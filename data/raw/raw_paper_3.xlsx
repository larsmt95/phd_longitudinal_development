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ihno-my.sharepoint.com/personal/larsmt_nih_no/Documents/PhD/R-studio/Project/Revisjoner phd/Revisjoner PhD/paper_3/data/raw/"/>
    </mc:Choice>
  </mc:AlternateContent>
  <xr:revisionPtr revIDLastSave="0" documentId="8_{374F48D9-EEE9-41E4-B1C3-8E8F39FA2F07}" xr6:coauthVersionLast="47" xr6:coauthVersionMax="47" xr10:uidLastSave="{00000000-0000-0000-0000-000000000000}"/>
  <bookViews>
    <workbookView xWindow="-120" yWindow="-120" windowWidth="38640" windowHeight="21840" xr2:uid="{C2199655-A65F-498C-B7F3-3F2E98A24804}"/>
  </bookViews>
  <sheets>
    <sheet name="paper3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1104" i="1" l="1"/>
  <c r="X1104" i="1" a="1"/>
  <c r="X1104" i="1" s="1"/>
  <c r="V1104" i="1"/>
  <c r="J1104" i="1"/>
  <c r="CP1103" i="1"/>
  <c r="X1103" i="1" a="1"/>
  <c r="X1103" i="1" s="1"/>
  <c r="V1103" i="1"/>
  <c r="J1103" i="1"/>
  <c r="CP1102" i="1"/>
  <c r="X1102" i="1" a="1"/>
  <c r="X1102" i="1" s="1"/>
  <c r="V1102" i="1"/>
  <c r="J1102" i="1"/>
  <c r="CP1101" i="1"/>
  <c r="X1101" i="1"/>
  <c r="X1101" i="1" a="1"/>
  <c r="V1101" i="1"/>
  <c r="J1101" i="1"/>
  <c r="CP1100" i="1"/>
  <c r="CJ1100" i="1"/>
  <c r="X1100" i="1" a="1"/>
  <c r="X1100" i="1" s="1"/>
  <c r="V1100" i="1"/>
  <c r="J1100" i="1"/>
  <c r="CP1099" i="1"/>
  <c r="X1099" i="1" a="1"/>
  <c r="X1099" i="1" s="1"/>
  <c r="V1099" i="1"/>
  <c r="J1099" i="1"/>
  <c r="CP1098" i="1"/>
  <c r="CJ1098" i="1"/>
  <c r="X1098" i="1" a="1"/>
  <c r="X1098" i="1" s="1"/>
  <c r="V1098" i="1"/>
  <c r="J1098" i="1"/>
  <c r="CP1097" i="1"/>
  <c r="CJ1097" i="1"/>
  <c r="J1097" i="1"/>
  <c r="CP1096" i="1"/>
  <c r="J1096" i="1"/>
  <c r="CJ1095" i="1"/>
  <c r="BJ1095" i="1"/>
  <c r="BN1095" i="1" s="1"/>
  <c r="BI1095" i="1"/>
  <c r="BM1095" i="1" s="1"/>
  <c r="AP1095" i="1"/>
  <c r="U1095" i="1"/>
  <c r="V1095" i="1" s="1"/>
  <c r="U1095" i="1" a="1"/>
  <c r="I1095" i="1"/>
  <c r="CJ1094" i="1"/>
  <c r="CJ1093" i="1"/>
  <c r="V1092" i="1"/>
  <c r="I1092" i="1"/>
  <c r="CP1091" i="1"/>
  <c r="X1091" i="1" a="1"/>
  <c r="X1091" i="1" s="1"/>
  <c r="V1091" i="1"/>
  <c r="I1091" i="1"/>
  <c r="CP1090" i="1"/>
  <c r="V1090" i="1"/>
  <c r="CP1089" i="1"/>
  <c r="V1089" i="1"/>
  <c r="CP1088" i="1"/>
  <c r="V1088" i="1"/>
  <c r="CP1087" i="1"/>
  <c r="V1087" i="1"/>
  <c r="I1086" i="1"/>
  <c r="CJ1085" i="1"/>
  <c r="I1085" i="1"/>
  <c r="CP1084" i="1"/>
  <c r="CJ1084" i="1"/>
  <c r="BJ1084" i="1"/>
  <c r="BN1084" i="1" s="1"/>
  <c r="BI1084" i="1"/>
  <c r="BM1084" i="1" s="1"/>
  <c r="X1084" i="1" a="1"/>
  <c r="X1084" i="1" s="1"/>
  <c r="V1084" i="1"/>
  <c r="I1084" i="1"/>
  <c r="CP1083" i="1"/>
  <c r="CJ1083" i="1"/>
  <c r="BN1083" i="1"/>
  <c r="BJ1083" i="1"/>
  <c r="BI1083" i="1"/>
  <c r="BM1083" i="1" s="1"/>
  <c r="X1083" i="1" a="1"/>
  <c r="X1083" i="1" s="1"/>
  <c r="V1083" i="1"/>
  <c r="I1083" i="1"/>
  <c r="CP1082" i="1"/>
  <c r="CJ1082" i="1"/>
  <c r="AJ1082" i="1"/>
  <c r="AI1082" i="1"/>
  <c r="AH1082" i="1"/>
  <c r="X1082" i="1" a="1"/>
  <c r="X1082" i="1" s="1"/>
  <c r="V1082" i="1"/>
  <c r="CP1081" i="1"/>
  <c r="CJ1081" i="1"/>
  <c r="AJ1081" i="1"/>
  <c r="AI1081" i="1"/>
  <c r="AH1081" i="1"/>
  <c r="X1081" i="1" a="1"/>
  <c r="X1081" i="1" s="1"/>
  <c r="V1081" i="1"/>
  <c r="CP1080" i="1"/>
  <c r="CJ1080" i="1"/>
  <c r="AJ1080" i="1"/>
  <c r="AI1080" i="1"/>
  <c r="AH1080" i="1"/>
  <c r="X1080" i="1" a="1"/>
  <c r="X1080" i="1" s="1"/>
  <c r="V1080" i="1"/>
  <c r="CP1079" i="1"/>
  <c r="CJ1079" i="1"/>
  <c r="AJ1079" i="1"/>
  <c r="AI1079" i="1"/>
  <c r="AH1079" i="1"/>
  <c r="X1079" i="1" a="1"/>
  <c r="X1079" i="1" s="1"/>
  <c r="V1079" i="1"/>
  <c r="CP1078" i="1"/>
  <c r="CJ1078" i="1"/>
  <c r="BJ1078" i="1"/>
  <c r="BN1078" i="1" s="1"/>
  <c r="BI1078" i="1"/>
  <c r="BM1078" i="1" s="1"/>
  <c r="AJ1078" i="1"/>
  <c r="AI1078" i="1"/>
  <c r="AH1078" i="1"/>
  <c r="X1078" i="1" a="1"/>
  <c r="X1078" i="1" s="1"/>
  <c r="V1078" i="1"/>
  <c r="CP1077" i="1"/>
  <c r="CJ1077" i="1"/>
  <c r="BJ1077" i="1"/>
  <c r="BN1077" i="1" s="1"/>
  <c r="BI1077" i="1"/>
  <c r="BM1077" i="1" s="1"/>
  <c r="AJ1077" i="1"/>
  <c r="AI1077" i="1"/>
  <c r="AH1077" i="1"/>
  <c r="X1077" i="1" a="1"/>
  <c r="X1077" i="1" s="1"/>
  <c r="V1077" i="1"/>
  <c r="CP1076" i="1"/>
  <c r="CJ1076" i="1"/>
  <c r="BJ1076" i="1"/>
  <c r="BN1076" i="1" s="1"/>
  <c r="BI1076" i="1"/>
  <c r="BM1076" i="1" s="1"/>
  <c r="AJ1076" i="1"/>
  <c r="AI1076" i="1"/>
  <c r="AH1076" i="1"/>
  <c r="X1076" i="1" a="1"/>
  <c r="X1076" i="1" s="1"/>
  <c r="V1076" i="1"/>
  <c r="CP1075" i="1"/>
  <c r="CJ1075" i="1"/>
  <c r="AJ1075" i="1"/>
  <c r="AI1075" i="1"/>
  <c r="AH1075" i="1"/>
  <c r="X1075" i="1" a="1"/>
  <c r="X1075" i="1" s="1"/>
  <c r="V1075" i="1"/>
  <c r="CP1074" i="1"/>
  <c r="CJ1074" i="1"/>
  <c r="BN1074" i="1"/>
  <c r="BJ1074" i="1"/>
  <c r="BI1074" i="1"/>
  <c r="BM1074" i="1" s="1"/>
  <c r="AJ1074" i="1"/>
  <c r="AI1074" i="1"/>
  <c r="AH1074" i="1"/>
  <c r="X1074" i="1"/>
  <c r="X1074" i="1" a="1"/>
  <c r="V1074" i="1"/>
  <c r="CJ1073" i="1"/>
  <c r="BJ1073" i="1"/>
  <c r="BN1073" i="1" s="1"/>
  <c r="BI1073" i="1"/>
  <c r="BM1073" i="1" s="1"/>
  <c r="AJ1073" i="1"/>
  <c r="AI1073" i="1"/>
  <c r="AH1073" i="1"/>
  <c r="V1073" i="1"/>
  <c r="CJ1072" i="1"/>
  <c r="CP1071" i="1"/>
  <c r="CJ1071" i="1"/>
  <c r="BN1071" i="1"/>
  <c r="BM1071" i="1"/>
  <c r="BJ1071" i="1"/>
  <c r="BI1071" i="1"/>
  <c r="AJ1071" i="1"/>
  <c r="AI1071" i="1"/>
  <c r="AH1071" i="1"/>
  <c r="X1071" i="1" a="1"/>
  <c r="X1071" i="1" s="1"/>
  <c r="V1071" i="1"/>
  <c r="CP1070" i="1"/>
  <c r="CJ1070" i="1"/>
  <c r="BJ1070" i="1"/>
  <c r="BN1070" i="1" s="1"/>
  <c r="BI1070" i="1"/>
  <c r="BM1070" i="1" s="1"/>
  <c r="AJ1070" i="1"/>
  <c r="AI1070" i="1"/>
  <c r="AH1070" i="1"/>
  <c r="X1070" i="1" a="1"/>
  <c r="X1070" i="1" s="1"/>
  <c r="V1070" i="1"/>
  <c r="CP1069" i="1"/>
  <c r="BN1069" i="1"/>
  <c r="BJ1069" i="1"/>
  <c r="BI1069" i="1"/>
  <c r="BM1069" i="1" s="1"/>
  <c r="V1069" i="1"/>
  <c r="CJ1068" i="1"/>
  <c r="I1068" i="1"/>
  <c r="CP1067" i="1"/>
  <c r="CJ1067" i="1"/>
  <c r="X1067" i="1"/>
  <c r="X1067" i="1" a="1"/>
  <c r="V1067" i="1"/>
  <c r="I1067" i="1"/>
  <c r="CP1066" i="1"/>
  <c r="BN1066" i="1"/>
  <c r="BJ1066" i="1"/>
  <c r="BI1066" i="1"/>
  <c r="BM1066" i="1" s="1"/>
  <c r="X1066" i="1" a="1"/>
  <c r="X1066" i="1" s="1"/>
  <c r="V1066" i="1"/>
  <c r="I1066" i="1"/>
  <c r="CP1065" i="1"/>
  <c r="CJ1065" i="1"/>
  <c r="BJ1065" i="1"/>
  <c r="BN1065" i="1" s="1"/>
  <c r="BI1065" i="1"/>
  <c r="BM1065" i="1" s="1"/>
  <c r="X1065" i="1" a="1"/>
  <c r="X1065" i="1" s="1"/>
  <c r="V1065" i="1"/>
  <c r="I1065" i="1"/>
  <c r="CJ1064" i="1"/>
  <c r="I1064" i="1"/>
  <c r="CP1063" i="1"/>
  <c r="CJ1063" i="1"/>
  <c r="BM1063" i="1"/>
  <c r="BJ1063" i="1"/>
  <c r="BN1063" i="1" s="1"/>
  <c r="BI1063" i="1"/>
  <c r="X1063" i="1" a="1"/>
  <c r="X1063" i="1" s="1"/>
  <c r="V1063" i="1"/>
  <c r="I1063" i="1"/>
  <c r="CP1062" i="1"/>
  <c r="CJ1062" i="1"/>
  <c r="BN1062" i="1"/>
  <c r="BJ1062" i="1"/>
  <c r="BI1062" i="1"/>
  <c r="BM1062" i="1" s="1"/>
  <c r="X1062" i="1" a="1"/>
  <c r="X1062" i="1" s="1"/>
  <c r="V1062" i="1"/>
  <c r="I1062" i="1"/>
  <c r="CP1061" i="1"/>
  <c r="CJ1061" i="1"/>
  <c r="BN1061" i="1"/>
  <c r="BJ1061" i="1"/>
  <c r="BI1061" i="1"/>
  <c r="BM1061" i="1" s="1"/>
  <c r="X1061" i="1"/>
  <c r="X1061" i="1" a="1"/>
  <c r="V1061" i="1"/>
  <c r="I1061" i="1"/>
  <c r="CP1060" i="1"/>
  <c r="CJ1060" i="1"/>
  <c r="BJ1060" i="1"/>
  <c r="BN1060" i="1" s="1"/>
  <c r="BI1060" i="1"/>
  <c r="BM1060" i="1" s="1"/>
  <c r="X1060" i="1" a="1"/>
  <c r="X1060" i="1" s="1"/>
  <c r="V1060" i="1"/>
  <c r="I1060" i="1"/>
  <c r="CP1059" i="1"/>
  <c r="CJ1059" i="1"/>
  <c r="BN1059" i="1"/>
  <c r="BJ1059" i="1"/>
  <c r="BI1059" i="1"/>
  <c r="BM1059" i="1" s="1"/>
  <c r="X1059" i="1" a="1"/>
  <c r="X1059" i="1" s="1"/>
  <c r="V1059" i="1"/>
  <c r="I1059" i="1"/>
  <c r="CP1058" i="1"/>
  <c r="CJ1058" i="1"/>
  <c r="BJ1058" i="1"/>
  <c r="BN1058" i="1" s="1"/>
  <c r="BI1058" i="1"/>
  <c r="BM1058" i="1" s="1"/>
  <c r="AJ1058" i="1"/>
  <c r="AI1058" i="1"/>
  <c r="AH1058" i="1"/>
  <c r="X1058" i="1" a="1"/>
  <c r="X1058" i="1" s="1"/>
  <c r="V1058" i="1"/>
  <c r="I1058" i="1"/>
  <c r="CJ1057" i="1"/>
  <c r="BJ1057" i="1"/>
  <c r="BN1057" i="1" s="1"/>
  <c r="BI1057" i="1"/>
  <c r="BM1057" i="1" s="1"/>
  <c r="V1057" i="1"/>
  <c r="I1057" i="1"/>
  <c r="CP1056" i="1"/>
  <c r="CJ1056" i="1"/>
  <c r="BJ1056" i="1"/>
  <c r="BN1056" i="1" s="1"/>
  <c r="BI1056" i="1"/>
  <c r="BM1056" i="1" s="1"/>
  <c r="X1056" i="1" a="1"/>
  <c r="X1056" i="1" s="1"/>
  <c r="V1056" i="1"/>
  <c r="I1056" i="1"/>
  <c r="CP1055" i="1"/>
  <c r="CJ1055" i="1"/>
  <c r="BM1055" i="1"/>
  <c r="BJ1055" i="1"/>
  <c r="BN1055" i="1" s="1"/>
  <c r="BI1055" i="1"/>
  <c r="X1055" i="1" a="1"/>
  <c r="X1055" i="1" s="1"/>
  <c r="V1055" i="1"/>
  <c r="I1055" i="1"/>
  <c r="CP1054" i="1"/>
  <c r="CJ1054" i="1"/>
  <c r="BM1054" i="1"/>
  <c r="BJ1054" i="1"/>
  <c r="BN1054" i="1" s="1"/>
  <c r="BI1054" i="1"/>
  <c r="X1054" i="1" a="1"/>
  <c r="X1054" i="1" s="1"/>
  <c r="V1054" i="1"/>
  <c r="I1054" i="1"/>
  <c r="CP1053" i="1"/>
  <c r="CJ1053" i="1"/>
  <c r="BN1053" i="1"/>
  <c r="BJ1053" i="1"/>
  <c r="BI1053" i="1"/>
  <c r="BM1053" i="1" s="1"/>
  <c r="X1053" i="1" a="1"/>
  <c r="X1053" i="1" s="1"/>
  <c r="V1053" i="1"/>
  <c r="I1053" i="1"/>
  <c r="CP1052" i="1"/>
  <c r="CJ1052" i="1"/>
  <c r="BJ1052" i="1"/>
  <c r="BN1052" i="1" s="1"/>
  <c r="BI1052" i="1"/>
  <c r="BM1052" i="1" s="1"/>
  <c r="X1052" i="1" a="1"/>
  <c r="X1052" i="1" s="1"/>
  <c r="V1052" i="1"/>
  <c r="I1052" i="1"/>
  <c r="CP1051" i="1"/>
  <c r="X1051" i="1"/>
  <c r="X1051" i="1" a="1"/>
  <c r="V1051" i="1"/>
  <c r="I1051" i="1"/>
  <c r="CP1050" i="1"/>
  <c r="X1050" i="1" a="1"/>
  <c r="X1050" i="1" s="1"/>
  <c r="V1050" i="1"/>
  <c r="I1050" i="1"/>
  <c r="CP1049" i="1"/>
  <c r="X1049" i="1" a="1"/>
  <c r="X1049" i="1" s="1"/>
  <c r="V1049" i="1"/>
  <c r="I1049" i="1"/>
  <c r="CP1048" i="1"/>
  <c r="X1048" i="1" a="1"/>
  <c r="X1048" i="1" s="1"/>
  <c r="V1048" i="1"/>
  <c r="I1048" i="1"/>
  <c r="CP1047" i="1"/>
  <c r="X1047" i="1"/>
  <c r="X1047" i="1" a="1"/>
  <c r="V1047" i="1"/>
  <c r="I1047" i="1"/>
  <c r="CP1046" i="1"/>
  <c r="X1046" i="1" a="1"/>
  <c r="X1046" i="1" s="1"/>
  <c r="V1046" i="1"/>
  <c r="I1046" i="1"/>
  <c r="CP1045" i="1"/>
  <c r="X1045" i="1" a="1"/>
  <c r="X1045" i="1" s="1"/>
  <c r="V1045" i="1"/>
  <c r="I1045" i="1"/>
  <c r="CP1044" i="1"/>
  <c r="AJ1044" i="1"/>
  <c r="AI1044" i="1"/>
  <c r="AH1044" i="1"/>
  <c r="X1044" i="1" a="1"/>
  <c r="X1044" i="1" s="1"/>
  <c r="V1044" i="1"/>
  <c r="I1044" i="1"/>
  <c r="CP1043" i="1"/>
  <c r="X1043" i="1" a="1"/>
  <c r="X1043" i="1" s="1"/>
  <c r="V1043" i="1"/>
  <c r="I1043" i="1"/>
  <c r="CP1042" i="1"/>
  <c r="X1042" i="1" a="1"/>
  <c r="X1042" i="1" s="1"/>
  <c r="V1042" i="1"/>
  <c r="I1042" i="1"/>
  <c r="CJ1041" i="1"/>
  <c r="BN1041" i="1"/>
  <c r="BJ1041" i="1"/>
  <c r="BI1041" i="1"/>
  <c r="BM1041" i="1" s="1"/>
  <c r="I1041" i="1"/>
  <c r="CP1040" i="1"/>
  <c r="CJ1040" i="1"/>
  <c r="BJ1040" i="1"/>
  <c r="BN1040" i="1" s="1"/>
  <c r="BI1040" i="1"/>
  <c r="BM1040" i="1" s="1"/>
  <c r="X1040" i="1"/>
  <c r="X1040" i="1" a="1"/>
  <c r="V1040" i="1"/>
  <c r="I1040" i="1"/>
  <c r="CJ1039" i="1"/>
  <c r="I1039" i="1"/>
  <c r="CP1038" i="1"/>
  <c r="BJ1038" i="1"/>
  <c r="BN1038" i="1" s="1"/>
  <c r="BI1038" i="1"/>
  <c r="BM1038" i="1" s="1"/>
  <c r="X1038" i="1" a="1"/>
  <c r="X1038" i="1" s="1"/>
  <c r="V1038" i="1"/>
  <c r="I1038" i="1"/>
  <c r="CP1037" i="1"/>
  <c r="CJ1037" i="1"/>
  <c r="BN1037" i="1"/>
  <c r="BJ1037" i="1"/>
  <c r="BI1037" i="1"/>
  <c r="BM1037" i="1" s="1"/>
  <c r="X1037" i="1" a="1"/>
  <c r="X1037" i="1" s="1"/>
  <c r="V1037" i="1"/>
  <c r="I1037" i="1"/>
  <c r="CP1036" i="1"/>
  <c r="CJ1036" i="1"/>
  <c r="BJ1036" i="1"/>
  <c r="BN1036" i="1" s="1"/>
  <c r="BI1036" i="1"/>
  <c r="BM1036" i="1" s="1"/>
  <c r="X1036" i="1" a="1"/>
  <c r="X1036" i="1" s="1"/>
  <c r="V1036" i="1"/>
  <c r="I1036" i="1"/>
  <c r="CP1035" i="1"/>
  <c r="CJ1035" i="1"/>
  <c r="BJ1035" i="1"/>
  <c r="BN1035" i="1" s="1"/>
  <c r="BI1035" i="1"/>
  <c r="BM1035" i="1" s="1"/>
  <c r="X1035" i="1" a="1"/>
  <c r="X1035" i="1" s="1"/>
  <c r="V1035" i="1"/>
  <c r="I1035" i="1"/>
  <c r="CP1034" i="1"/>
  <c r="CJ1034" i="1"/>
  <c r="BM1034" i="1"/>
  <c r="BJ1034" i="1"/>
  <c r="BN1034" i="1" s="1"/>
  <c r="BI1034" i="1"/>
  <c r="AJ1034" i="1"/>
  <c r="AI1034" i="1"/>
  <c r="AH1034" i="1"/>
  <c r="X1034" i="1" a="1"/>
  <c r="X1034" i="1" s="1"/>
  <c r="V1034" i="1"/>
  <c r="I1034" i="1"/>
  <c r="CP1033" i="1"/>
  <c r="CJ1033" i="1"/>
  <c r="BJ1033" i="1"/>
  <c r="BN1033" i="1" s="1"/>
  <c r="BI1033" i="1"/>
  <c r="BM1033" i="1" s="1"/>
  <c r="X1033" i="1" a="1"/>
  <c r="X1033" i="1" s="1"/>
  <c r="V1033" i="1"/>
  <c r="I1033" i="1"/>
  <c r="CP1032" i="1"/>
  <c r="CJ1032" i="1"/>
  <c r="BJ1032" i="1"/>
  <c r="BN1032" i="1" s="1"/>
  <c r="BI1032" i="1"/>
  <c r="BM1032" i="1" s="1"/>
  <c r="X1032" i="1"/>
  <c r="X1032" i="1" a="1"/>
  <c r="V1032" i="1"/>
  <c r="I1032" i="1"/>
  <c r="CP1031" i="1"/>
  <c r="CJ1031" i="1"/>
  <c r="BJ1031" i="1"/>
  <c r="BN1031" i="1" s="1"/>
  <c r="BI1031" i="1"/>
  <c r="BM1031" i="1" s="1"/>
  <c r="X1031" i="1"/>
  <c r="X1031" i="1" a="1"/>
  <c r="V1031" i="1"/>
  <c r="CP1030" i="1"/>
  <c r="CJ1030" i="1"/>
  <c r="BM1030" i="1"/>
  <c r="BJ1030" i="1"/>
  <c r="BN1030" i="1" s="1"/>
  <c r="BI1030" i="1"/>
  <c r="X1030" i="1" a="1"/>
  <c r="X1030" i="1" s="1"/>
  <c r="V1030" i="1"/>
  <c r="CP1029" i="1"/>
  <c r="X1029" i="1" a="1"/>
  <c r="X1029" i="1" s="1"/>
  <c r="V1029" i="1"/>
  <c r="CP1028" i="1"/>
  <c r="CJ1028" i="1"/>
  <c r="BJ1028" i="1"/>
  <c r="BN1028" i="1" s="1"/>
  <c r="BI1028" i="1"/>
  <c r="BM1028" i="1" s="1"/>
  <c r="X1028" i="1" a="1"/>
  <c r="X1028" i="1" s="1"/>
  <c r="V1028" i="1"/>
  <c r="CP1027" i="1"/>
  <c r="BJ1027" i="1"/>
  <c r="BN1027" i="1" s="1"/>
  <c r="BI1027" i="1"/>
  <c r="BM1027" i="1" s="1"/>
  <c r="X1027" i="1" a="1"/>
  <c r="X1027" i="1" s="1"/>
  <c r="V1027" i="1"/>
  <c r="I1027" i="1"/>
  <c r="CP1026" i="1"/>
  <c r="CJ1026" i="1"/>
  <c r="BM1026" i="1"/>
  <c r="BJ1026" i="1"/>
  <c r="BN1026" i="1" s="1"/>
  <c r="BI1026" i="1"/>
  <c r="X1026" i="1" a="1"/>
  <c r="X1026" i="1" s="1"/>
  <c r="V1026" i="1"/>
  <c r="I1026" i="1"/>
  <c r="CP1025" i="1"/>
  <c r="CJ1025" i="1"/>
  <c r="BJ1025" i="1"/>
  <c r="BN1025" i="1" s="1"/>
  <c r="BI1025" i="1"/>
  <c r="BM1025" i="1" s="1"/>
  <c r="X1025" i="1" a="1"/>
  <c r="X1025" i="1" s="1"/>
  <c r="V1025" i="1"/>
  <c r="I1025" i="1"/>
  <c r="CP1024" i="1"/>
  <c r="BN1024" i="1"/>
  <c r="BJ1024" i="1"/>
  <c r="BI1024" i="1"/>
  <c r="BM1024" i="1" s="1"/>
  <c r="X1024" i="1" a="1"/>
  <c r="X1024" i="1" s="1"/>
  <c r="V1024" i="1"/>
  <c r="I1024" i="1"/>
  <c r="CJ1023" i="1"/>
  <c r="I1023" i="1"/>
  <c r="CP1022" i="1"/>
  <c r="CJ1022" i="1"/>
  <c r="BJ1022" i="1"/>
  <c r="BN1022" i="1" s="1"/>
  <c r="BI1022" i="1"/>
  <c r="BM1022" i="1" s="1"/>
  <c r="X1022" i="1" a="1"/>
  <c r="X1022" i="1" s="1"/>
  <c r="V1022" i="1"/>
  <c r="I1022" i="1"/>
  <c r="CP1021" i="1"/>
  <c r="X1021" i="1"/>
  <c r="X1021" i="1" a="1"/>
  <c r="V1021" i="1"/>
  <c r="CP1020" i="1"/>
  <c r="X1020" i="1" a="1"/>
  <c r="X1020" i="1" s="1"/>
  <c r="V1020" i="1"/>
  <c r="CP1019" i="1"/>
  <c r="X1019" i="1"/>
  <c r="X1019" i="1" a="1"/>
  <c r="V1019" i="1"/>
  <c r="CP1018" i="1"/>
  <c r="X1018" i="1" a="1"/>
  <c r="X1018" i="1" s="1"/>
  <c r="V1018" i="1"/>
  <c r="CP1017" i="1"/>
  <c r="CP1016" i="1"/>
  <c r="X1016" i="1"/>
  <c r="X1016" i="1" a="1"/>
  <c r="V1016" i="1"/>
  <c r="CP1015" i="1"/>
  <c r="X1015" i="1" a="1"/>
  <c r="X1015" i="1" s="1"/>
  <c r="V1015" i="1"/>
  <c r="CP1014" i="1"/>
  <c r="X1014" i="1" a="1"/>
  <c r="X1014" i="1" s="1"/>
  <c r="V1014" i="1"/>
  <c r="CP1013" i="1"/>
  <c r="X1013" i="1" a="1"/>
  <c r="X1013" i="1" s="1"/>
  <c r="V1013" i="1"/>
  <c r="CP1012" i="1"/>
  <c r="X1012" i="1" a="1"/>
  <c r="X1012" i="1" s="1"/>
  <c r="V1012" i="1"/>
  <c r="CP1011" i="1"/>
  <c r="X1011" i="1" a="1"/>
  <c r="X1011" i="1" s="1"/>
  <c r="V1011" i="1"/>
  <c r="CP1010" i="1"/>
  <c r="X1010" i="1" a="1"/>
  <c r="X1010" i="1" s="1"/>
  <c r="V1010" i="1"/>
  <c r="CP1009" i="1"/>
  <c r="X1009" i="1"/>
  <c r="X1009" i="1" a="1"/>
  <c r="V1009" i="1"/>
  <c r="CP1008" i="1"/>
  <c r="X1008" i="1" a="1"/>
  <c r="X1008" i="1" s="1"/>
  <c r="V1008" i="1"/>
  <c r="V1007" i="1"/>
  <c r="CP1006" i="1"/>
  <c r="X1006" i="1" a="1"/>
  <c r="X1006" i="1" s="1"/>
  <c r="V1006" i="1"/>
  <c r="CP1005" i="1"/>
  <c r="X1005" i="1" a="1"/>
  <c r="X1005" i="1" s="1"/>
  <c r="V1005" i="1"/>
  <c r="CP1004" i="1"/>
  <c r="AJ1004" i="1"/>
  <c r="AI1004" i="1"/>
  <c r="AH1004" i="1"/>
  <c r="X1004" i="1" a="1"/>
  <c r="X1004" i="1" s="1"/>
  <c r="V1004" i="1"/>
  <c r="CP1003" i="1"/>
  <c r="X1003" i="1" a="1"/>
  <c r="X1003" i="1" s="1"/>
  <c r="V1003" i="1"/>
  <c r="CP1002" i="1"/>
  <c r="X1002" i="1" a="1"/>
  <c r="X1002" i="1" s="1"/>
  <c r="V1002" i="1"/>
  <c r="V1001" i="1"/>
  <c r="CP1000" i="1"/>
  <c r="X1000" i="1" a="1"/>
  <c r="X1000" i="1" s="1"/>
  <c r="V1000" i="1"/>
  <c r="CP999" i="1"/>
  <c r="X999" i="1"/>
  <c r="X999" i="1" a="1"/>
  <c r="V999" i="1"/>
  <c r="CP998" i="1"/>
  <c r="X998" i="1" a="1"/>
  <c r="X998" i="1" s="1"/>
  <c r="V998" i="1"/>
  <c r="CP997" i="1"/>
  <c r="AJ997" i="1"/>
  <c r="AI997" i="1"/>
  <c r="AH997" i="1"/>
  <c r="X997" i="1" a="1"/>
  <c r="X997" i="1" s="1"/>
  <c r="V997" i="1"/>
  <c r="CP996" i="1"/>
  <c r="AJ996" i="1"/>
  <c r="AI996" i="1"/>
  <c r="AH996" i="1"/>
  <c r="X996" i="1" a="1"/>
  <c r="X996" i="1" s="1"/>
  <c r="V996" i="1"/>
  <c r="CP995" i="1"/>
  <c r="AH995" i="1"/>
  <c r="X995" i="1" a="1"/>
  <c r="X995" i="1" s="1"/>
  <c r="V995" i="1"/>
  <c r="CP994" i="1"/>
  <c r="AJ994" i="1"/>
  <c r="AI994" i="1"/>
  <c r="AH994" i="1"/>
  <c r="X994" i="1" a="1"/>
  <c r="X994" i="1" s="1"/>
  <c r="V994" i="1"/>
  <c r="CS993" i="1"/>
  <c r="CR993" i="1"/>
  <c r="CP993" i="1"/>
  <c r="CJ993" i="1"/>
  <c r="X993" i="1" a="1"/>
  <c r="X993" i="1" s="1"/>
  <c r="U993" i="1"/>
  <c r="V993" i="1" s="1"/>
  <c r="CB993" i="1" s="1"/>
  <c r="CS992" i="1"/>
  <c r="CR992" i="1"/>
  <c r="CP992" i="1"/>
  <c r="X992" i="1" a="1"/>
  <c r="X992" i="1" s="1"/>
  <c r="U992" i="1"/>
  <c r="V992" i="1" s="1"/>
  <c r="CS991" i="1"/>
  <c r="CR991" i="1"/>
  <c r="CP991" i="1"/>
  <c r="X991" i="1" a="1"/>
  <c r="X991" i="1" s="1"/>
  <c r="U991" i="1"/>
  <c r="V991" i="1" s="1"/>
  <c r="CB991" i="1" s="1"/>
  <c r="CS990" i="1"/>
  <c r="CC990" i="1" s="1"/>
  <c r="CR990" i="1"/>
  <c r="CB990" i="1" s="1"/>
  <c r="CP990" i="1"/>
  <c r="X990" i="1" a="1"/>
  <c r="X990" i="1" s="1"/>
  <c r="V990" i="1"/>
  <c r="U990" i="1"/>
  <c r="CS989" i="1"/>
  <c r="CR989" i="1"/>
  <c r="CB989" i="1" s="1"/>
  <c r="CP989" i="1"/>
  <c r="X989" i="1" a="1"/>
  <c r="X989" i="1" s="1"/>
  <c r="U989" i="1"/>
  <c r="V989" i="1" s="1"/>
  <c r="CS988" i="1"/>
  <c r="CR988" i="1"/>
  <c r="CP988" i="1"/>
  <c r="X988" i="1"/>
  <c r="X988" i="1" a="1"/>
  <c r="U988" i="1"/>
  <c r="V988" i="1" s="1"/>
  <c r="CC988" i="1" s="1"/>
  <c r="CS987" i="1"/>
  <c r="CR987" i="1"/>
  <c r="CP987" i="1"/>
  <c r="X987" i="1" a="1"/>
  <c r="X987" i="1" s="1"/>
  <c r="U987" i="1"/>
  <c r="V987" i="1" s="1"/>
  <c r="CS986" i="1"/>
  <c r="CR986" i="1"/>
  <c r="CP986" i="1"/>
  <c r="CJ986" i="1"/>
  <c r="X986" i="1"/>
  <c r="X986" i="1" a="1"/>
  <c r="U986" i="1"/>
  <c r="V986" i="1" s="1"/>
  <c r="CS985" i="1"/>
  <c r="CR985" i="1"/>
  <c r="CP985" i="1"/>
  <c r="CJ985" i="1"/>
  <c r="X985" i="1" a="1"/>
  <c r="X985" i="1" s="1"/>
  <c r="U985" i="1"/>
  <c r="V985" i="1" s="1"/>
  <c r="CS984" i="1"/>
  <c r="CC984" i="1" s="1"/>
  <c r="CR984" i="1"/>
  <c r="CP984" i="1"/>
  <c r="CJ984" i="1"/>
  <c r="X984" i="1" a="1"/>
  <c r="X984" i="1" s="1"/>
  <c r="U984" i="1"/>
  <c r="V984" i="1" s="1"/>
  <c r="CS983" i="1"/>
  <c r="CR983" i="1"/>
  <c r="CP983" i="1"/>
  <c r="CJ983" i="1"/>
  <c r="X983" i="1" a="1"/>
  <c r="X983" i="1" s="1"/>
  <c r="U983" i="1"/>
  <c r="V983" i="1" s="1"/>
  <c r="CR982" i="1"/>
  <c r="CP982" i="1"/>
  <c r="CJ982" i="1"/>
  <c r="X982" i="1" a="1"/>
  <c r="X982" i="1" s="1"/>
  <c r="U982" i="1"/>
  <c r="V982" i="1" s="1"/>
  <c r="CS981" i="1"/>
  <c r="CC981" i="1" s="1"/>
  <c r="CR981" i="1"/>
  <c r="CP981" i="1"/>
  <c r="CJ981" i="1"/>
  <c r="X981" i="1" a="1"/>
  <c r="X981" i="1" s="1"/>
  <c r="U981" i="1"/>
  <c r="V981" i="1" s="1"/>
  <c r="CS980" i="1"/>
  <c r="CC980" i="1" s="1"/>
  <c r="CR980" i="1"/>
  <c r="CP980" i="1"/>
  <c r="X980" i="1" a="1"/>
  <c r="X980" i="1" s="1"/>
  <c r="V980" i="1"/>
  <c r="CB980" i="1" s="1"/>
  <c r="U980" i="1"/>
  <c r="CS979" i="1"/>
  <c r="CR979" i="1"/>
  <c r="CP979" i="1"/>
  <c r="CJ979" i="1"/>
  <c r="X979" i="1" a="1"/>
  <c r="X979" i="1" s="1"/>
  <c r="U979" i="1"/>
  <c r="V979" i="1" s="1"/>
  <c r="CS978" i="1"/>
  <c r="CR978" i="1"/>
  <c r="CP978" i="1"/>
  <c r="CJ978" i="1"/>
  <c r="CC978" i="1"/>
  <c r="CB978" i="1"/>
  <c r="X978" i="1" a="1"/>
  <c r="X978" i="1" s="1"/>
  <c r="V978" i="1"/>
  <c r="U978" i="1"/>
  <c r="CS977" i="1"/>
  <c r="CR977" i="1"/>
  <c r="CP977" i="1"/>
  <c r="CJ977" i="1"/>
  <c r="X977" i="1" a="1"/>
  <c r="X977" i="1" s="1"/>
  <c r="U977" i="1"/>
  <c r="V977" i="1" s="1"/>
  <c r="CC977" i="1" s="1"/>
  <c r="CS976" i="1"/>
  <c r="CC976" i="1" s="1"/>
  <c r="CR976" i="1"/>
  <c r="CP976" i="1"/>
  <c r="CJ976" i="1"/>
  <c r="X976" i="1" a="1"/>
  <c r="X976" i="1" s="1"/>
  <c r="V976" i="1"/>
  <c r="U976" i="1"/>
  <c r="CS975" i="1"/>
  <c r="CR975" i="1"/>
  <c r="CP975" i="1"/>
  <c r="CJ975" i="1"/>
  <c r="X975" i="1" a="1"/>
  <c r="X975" i="1" s="1"/>
  <c r="U975" i="1"/>
  <c r="V975" i="1" s="1"/>
  <c r="CS974" i="1"/>
  <c r="CC974" i="1" s="1"/>
  <c r="CR974" i="1"/>
  <c r="CB974" i="1" s="1"/>
  <c r="CP974" i="1"/>
  <c r="X974" i="1" a="1"/>
  <c r="X974" i="1" s="1"/>
  <c r="U974" i="1"/>
  <c r="V974" i="1" s="1"/>
  <c r="CS973" i="1"/>
  <c r="CR973" i="1"/>
  <c r="CP973" i="1"/>
  <c r="X973" i="1" a="1"/>
  <c r="X973" i="1" s="1"/>
  <c r="U973" i="1"/>
  <c r="V973" i="1" s="1"/>
  <c r="CC973" i="1" s="1"/>
  <c r="CS972" i="1"/>
  <c r="CR972" i="1"/>
  <c r="CP972" i="1"/>
  <c r="X972" i="1" a="1"/>
  <c r="X972" i="1" s="1"/>
  <c r="U972" i="1"/>
  <c r="V972" i="1" s="1"/>
  <c r="CS971" i="1"/>
  <c r="CR971" i="1"/>
  <c r="CP971" i="1"/>
  <c r="X971" i="1" a="1"/>
  <c r="X971" i="1" s="1"/>
  <c r="U971" i="1"/>
  <c r="V971" i="1" s="1"/>
  <c r="CC971" i="1" s="1"/>
  <c r="CS970" i="1"/>
  <c r="CR970" i="1"/>
  <c r="CP970" i="1"/>
  <c r="X970" i="1" a="1"/>
  <c r="X970" i="1" s="1"/>
  <c r="U970" i="1"/>
  <c r="V970" i="1" s="1"/>
  <c r="CB970" i="1" s="1"/>
  <c r="CS969" i="1"/>
  <c r="CC969" i="1" s="1"/>
  <c r="CR969" i="1"/>
  <c r="CP969" i="1"/>
  <c r="X969" i="1" a="1"/>
  <c r="X969" i="1" s="1"/>
  <c r="U969" i="1"/>
  <c r="V969" i="1" s="1"/>
  <c r="CB969" i="1" s="1"/>
  <c r="CS968" i="1"/>
  <c r="CR968" i="1"/>
  <c r="CP968" i="1"/>
  <c r="X968" i="1" a="1"/>
  <c r="X968" i="1" s="1"/>
  <c r="U968" i="1"/>
  <c r="V968" i="1" s="1"/>
  <c r="CS967" i="1"/>
  <c r="CR967" i="1"/>
  <c r="CB967" i="1" s="1"/>
  <c r="CP967" i="1"/>
  <c r="X967" i="1"/>
  <c r="X967" i="1" a="1"/>
  <c r="U967" i="1"/>
  <c r="V967" i="1" s="1"/>
  <c r="CS966" i="1"/>
  <c r="CC966" i="1" s="1"/>
  <c r="CR966" i="1"/>
  <c r="CP966" i="1"/>
  <c r="CJ966" i="1"/>
  <c r="X966" i="1" a="1"/>
  <c r="X966" i="1" s="1"/>
  <c r="U966" i="1"/>
  <c r="V966" i="1" s="1"/>
  <c r="CB966" i="1" s="1"/>
  <c r="CS965" i="1"/>
  <c r="CR965" i="1"/>
  <c r="CP965" i="1"/>
  <c r="CJ965" i="1"/>
  <c r="X965" i="1" a="1"/>
  <c r="X965" i="1" s="1"/>
  <c r="V965" i="1"/>
  <c r="U965" i="1"/>
  <c r="CS964" i="1"/>
  <c r="CR964" i="1"/>
  <c r="CP964" i="1"/>
  <c r="CJ964" i="1"/>
  <c r="X964" i="1" a="1"/>
  <c r="X964" i="1" s="1"/>
  <c r="U964" i="1"/>
  <c r="V964" i="1" s="1"/>
  <c r="CB964" i="1" s="1"/>
  <c r="CS963" i="1"/>
  <c r="CC963" i="1" s="1"/>
  <c r="CR963" i="1"/>
  <c r="CP963" i="1"/>
  <c r="CJ963" i="1"/>
  <c r="X963" i="1"/>
  <c r="X963" i="1" a="1"/>
  <c r="V963" i="1"/>
  <c r="U963" i="1"/>
  <c r="CP962" i="1"/>
  <c r="CJ962" i="1"/>
  <c r="X962" i="1" a="1"/>
  <c r="X962" i="1" s="1"/>
  <c r="U962" i="1"/>
  <c r="V962" i="1" s="1"/>
  <c r="CS961" i="1"/>
  <c r="CC961" i="1" s="1"/>
  <c r="CR961" i="1"/>
  <c r="CP961" i="1"/>
  <c r="CJ961" i="1"/>
  <c r="X961" i="1" a="1"/>
  <c r="X961" i="1" s="1"/>
  <c r="U961" i="1"/>
  <c r="V961" i="1" s="1"/>
  <c r="CS960" i="1"/>
  <c r="CR960" i="1"/>
  <c r="CP960" i="1"/>
  <c r="X960" i="1" a="1"/>
  <c r="X960" i="1" s="1"/>
  <c r="U960" i="1"/>
  <c r="V960" i="1" s="1"/>
  <c r="CB960" i="1" s="1"/>
  <c r="CS959" i="1"/>
  <c r="CR959" i="1"/>
  <c r="CP959" i="1"/>
  <c r="X959" i="1" a="1"/>
  <c r="X959" i="1" s="1"/>
  <c r="U959" i="1"/>
  <c r="V959" i="1" s="1"/>
  <c r="CS958" i="1"/>
  <c r="CR958" i="1"/>
  <c r="CP958" i="1"/>
  <c r="X958" i="1" a="1"/>
  <c r="X958" i="1" s="1"/>
  <c r="U958" i="1"/>
  <c r="V958" i="1" s="1"/>
  <c r="CS957" i="1"/>
  <c r="CC957" i="1" s="1"/>
  <c r="CR957" i="1"/>
  <c r="CB957" i="1" s="1"/>
  <c r="CP957" i="1"/>
  <c r="X957" i="1"/>
  <c r="X957" i="1" a="1"/>
  <c r="V957" i="1"/>
  <c r="U957" i="1"/>
  <c r="CS956" i="1"/>
  <c r="CR956" i="1"/>
  <c r="CP956" i="1"/>
  <c r="BN956" i="1"/>
  <c r="X956" i="1"/>
  <c r="X956" i="1" a="1"/>
  <c r="U956" i="1"/>
  <c r="V956" i="1" s="1"/>
  <c r="CS955" i="1"/>
  <c r="CC955" i="1" s="1"/>
  <c r="CR955" i="1"/>
  <c r="CP955" i="1"/>
  <c r="BL955" i="1"/>
  <c r="BK955" i="1"/>
  <c r="BJ955" i="1"/>
  <c r="BN955" i="1" s="1"/>
  <c r="BI955" i="1"/>
  <c r="BM955" i="1" s="1"/>
  <c r="X955" i="1" a="1"/>
  <c r="X955" i="1" s="1"/>
  <c r="U955" i="1"/>
  <c r="V955" i="1" s="1"/>
  <c r="CS954" i="1"/>
  <c r="CR954" i="1"/>
  <c r="CP954" i="1"/>
  <c r="BL954" i="1"/>
  <c r="BK954" i="1"/>
  <c r="BJ954" i="1"/>
  <c r="BN954" i="1" s="1"/>
  <c r="BI954" i="1"/>
  <c r="BM954" i="1" s="1"/>
  <c r="X954" i="1" a="1"/>
  <c r="X954" i="1" s="1"/>
  <c r="U954" i="1"/>
  <c r="V954" i="1" s="1"/>
  <c r="CS953" i="1"/>
  <c r="CR953" i="1"/>
  <c r="CP953" i="1"/>
  <c r="BL953" i="1"/>
  <c r="BK953" i="1"/>
  <c r="BJ953" i="1"/>
  <c r="BN953" i="1" s="1"/>
  <c r="BI953" i="1"/>
  <c r="BM953" i="1" s="1"/>
  <c r="X953" i="1" a="1"/>
  <c r="X953" i="1" s="1"/>
  <c r="U953" i="1"/>
  <c r="V953" i="1" s="1"/>
  <c r="CB953" i="1" s="1"/>
  <c r="CS952" i="1"/>
  <c r="CR952" i="1"/>
  <c r="CB952" i="1" s="1"/>
  <c r="CP952" i="1"/>
  <c r="BL952" i="1"/>
  <c r="BK952" i="1"/>
  <c r="BJ952" i="1"/>
  <c r="BN952" i="1" s="1"/>
  <c r="BI952" i="1"/>
  <c r="BM952" i="1" s="1"/>
  <c r="X952" i="1" a="1"/>
  <c r="X952" i="1" s="1"/>
  <c r="V952" i="1"/>
  <c r="U952" i="1"/>
  <c r="CS951" i="1"/>
  <c r="CR951" i="1"/>
  <c r="CP951" i="1"/>
  <c r="CG951" i="1"/>
  <c r="CF951" i="1"/>
  <c r="BL951" i="1"/>
  <c r="BK951" i="1"/>
  <c r="BJ951" i="1"/>
  <c r="BN951" i="1" s="1"/>
  <c r="BI951" i="1"/>
  <c r="BM951" i="1" s="1"/>
  <c r="AX951" i="1"/>
  <c r="X951" i="1" a="1"/>
  <c r="X951" i="1" s="1"/>
  <c r="U951" i="1"/>
  <c r="V951" i="1" s="1"/>
  <c r="CS950" i="1"/>
  <c r="CR950" i="1"/>
  <c r="CP950" i="1"/>
  <c r="CG950" i="1"/>
  <c r="CF950" i="1"/>
  <c r="BN950" i="1"/>
  <c r="BL950" i="1"/>
  <c r="BK950" i="1"/>
  <c r="BJ950" i="1"/>
  <c r="BI950" i="1"/>
  <c r="BM950" i="1" s="1"/>
  <c r="AX950" i="1"/>
  <c r="X950" i="1" a="1"/>
  <c r="X950" i="1" s="1"/>
  <c r="U950" i="1"/>
  <c r="V950" i="1" s="1"/>
  <c r="CC950" i="1" s="1"/>
  <c r="CS949" i="1"/>
  <c r="CR949" i="1"/>
  <c r="CP949" i="1"/>
  <c r="CG949" i="1"/>
  <c r="CF949" i="1"/>
  <c r="BL949" i="1"/>
  <c r="BK949" i="1"/>
  <c r="BJ949" i="1"/>
  <c r="BN949" i="1" s="1"/>
  <c r="BI949" i="1"/>
  <c r="BM949" i="1" s="1"/>
  <c r="AX949" i="1"/>
  <c r="X949" i="1" a="1"/>
  <c r="X949" i="1" s="1"/>
  <c r="U949" i="1"/>
  <c r="V949" i="1" s="1"/>
  <c r="CS948" i="1"/>
  <c r="CC948" i="1" s="1"/>
  <c r="CR948" i="1"/>
  <c r="CP948" i="1"/>
  <c r="CG948" i="1"/>
  <c r="CF948" i="1"/>
  <c r="BN948" i="1"/>
  <c r="BL948" i="1"/>
  <c r="BK948" i="1"/>
  <c r="BJ948" i="1"/>
  <c r="BI948" i="1"/>
  <c r="BM948" i="1" s="1"/>
  <c r="AX948" i="1"/>
  <c r="X948" i="1"/>
  <c r="X948" i="1" a="1"/>
  <c r="U948" i="1"/>
  <c r="V948" i="1" s="1"/>
  <c r="CS947" i="1"/>
  <c r="CR947" i="1"/>
  <c r="CP947" i="1"/>
  <c r="BL947" i="1"/>
  <c r="BK947" i="1"/>
  <c r="BJ947" i="1"/>
  <c r="BN947" i="1" s="1"/>
  <c r="BI947" i="1"/>
  <c r="BM947" i="1" s="1"/>
  <c r="X947" i="1" a="1"/>
  <c r="X947" i="1" s="1"/>
  <c r="U947" i="1"/>
  <c r="V947" i="1" s="1"/>
  <c r="CS946" i="1"/>
  <c r="CR946" i="1"/>
  <c r="CB946" i="1" s="1"/>
  <c r="CP946" i="1"/>
  <c r="BM946" i="1"/>
  <c r="BL946" i="1"/>
  <c r="BK946" i="1"/>
  <c r="BJ946" i="1"/>
  <c r="BN946" i="1" s="1"/>
  <c r="BI946" i="1"/>
  <c r="AX946" i="1"/>
  <c r="X946" i="1" a="1"/>
  <c r="X946" i="1" s="1"/>
  <c r="U946" i="1"/>
  <c r="V946" i="1" s="1"/>
  <c r="CC946" i="1" s="1"/>
  <c r="CS945" i="1"/>
  <c r="CR945" i="1"/>
  <c r="CB945" i="1" s="1"/>
  <c r="CP945" i="1"/>
  <c r="BL945" i="1"/>
  <c r="BK945" i="1"/>
  <c r="BJ945" i="1"/>
  <c r="BN945" i="1" s="1"/>
  <c r="BI945" i="1"/>
  <c r="BM945" i="1" s="1"/>
  <c r="AX945" i="1"/>
  <c r="X945" i="1" a="1"/>
  <c r="X945" i="1" s="1"/>
  <c r="V945" i="1"/>
  <c r="U945" i="1"/>
  <c r="CJ944" i="1"/>
  <c r="X944" i="1" a="1"/>
  <c r="X944" i="1" s="1"/>
  <c r="V944" i="1"/>
  <c r="CC944" i="1" s="1"/>
  <c r="U944" i="1"/>
  <c r="CJ943" i="1"/>
  <c r="X943" i="1" a="1"/>
  <c r="X943" i="1" s="1"/>
  <c r="U943" i="1"/>
  <c r="V943" i="1" s="1"/>
  <c r="CC943" i="1" s="1"/>
  <c r="X942" i="1" a="1"/>
  <c r="X942" i="1" s="1"/>
  <c r="U942" i="1"/>
  <c r="V942" i="1" s="1"/>
  <c r="CB942" i="1" s="1"/>
  <c r="X941" i="1" a="1"/>
  <c r="X941" i="1" s="1"/>
  <c r="U941" i="1"/>
  <c r="V941" i="1" s="1"/>
  <c r="CB941" i="1" s="1"/>
  <c r="X940" i="1" a="1"/>
  <c r="X940" i="1" s="1"/>
  <c r="U940" i="1"/>
  <c r="T940" i="1"/>
  <c r="V940" i="1" s="1"/>
  <c r="CB940" i="1" s="1"/>
  <c r="CJ939" i="1"/>
  <c r="X939" i="1" a="1"/>
  <c r="X939" i="1" s="1"/>
  <c r="V939" i="1"/>
  <c r="CC939" i="1" s="1"/>
  <c r="U939" i="1"/>
  <c r="CJ938" i="1"/>
  <c r="X938" i="1" a="1"/>
  <c r="X938" i="1" s="1"/>
  <c r="U938" i="1"/>
  <c r="V938" i="1" s="1"/>
  <c r="CJ937" i="1"/>
  <c r="X937" i="1" a="1"/>
  <c r="X937" i="1" s="1"/>
  <c r="U937" i="1"/>
  <c r="V937" i="1" s="1"/>
  <c r="CJ936" i="1"/>
  <c r="X936" i="1"/>
  <c r="X936" i="1" a="1"/>
  <c r="V936" i="1"/>
  <c r="CC936" i="1" s="1"/>
  <c r="U936" i="1"/>
  <c r="CJ935" i="1"/>
  <c r="X935" i="1" a="1"/>
  <c r="X935" i="1" s="1"/>
  <c r="U935" i="1"/>
  <c r="V935" i="1" s="1"/>
  <c r="CJ934" i="1"/>
  <c r="X934" i="1"/>
  <c r="X934" i="1" a="1"/>
  <c r="U934" i="1"/>
  <c r="V934" i="1" s="1"/>
  <c r="X933" i="1" a="1"/>
  <c r="X933" i="1" s="1"/>
  <c r="U933" i="1"/>
  <c r="V933" i="1" s="1"/>
  <c r="X932" i="1" a="1"/>
  <c r="X932" i="1" s="1"/>
  <c r="U932" i="1"/>
  <c r="V932" i="1" s="1"/>
  <c r="CC932" i="1" s="1"/>
  <c r="CJ931" i="1"/>
  <c r="X931" i="1" a="1"/>
  <c r="X931" i="1" s="1"/>
  <c r="V931" i="1"/>
  <c r="CC931" i="1" s="1"/>
  <c r="U931" i="1"/>
  <c r="CJ930" i="1"/>
  <c r="X930" i="1" a="1"/>
  <c r="X930" i="1" s="1"/>
  <c r="U930" i="1"/>
  <c r="V930" i="1" s="1"/>
  <c r="CB930" i="1" s="1"/>
  <c r="CJ929" i="1"/>
  <c r="X929" i="1" a="1"/>
  <c r="X929" i="1" s="1"/>
  <c r="V929" i="1"/>
  <c r="CB929" i="1" s="1"/>
  <c r="U929" i="1"/>
  <c r="X928" i="1" a="1"/>
  <c r="X928" i="1" s="1"/>
  <c r="U928" i="1"/>
  <c r="V928" i="1" s="1"/>
  <c r="CB928" i="1" s="1"/>
  <c r="X927" i="1" a="1"/>
  <c r="X927" i="1" s="1"/>
  <c r="V927" i="1"/>
  <c r="CB927" i="1" s="1"/>
  <c r="U927" i="1"/>
  <c r="X926" i="1" a="1"/>
  <c r="X926" i="1" s="1"/>
  <c r="U926" i="1"/>
  <c r="V926" i="1" s="1"/>
  <c r="CB926" i="1" s="1"/>
  <c r="CJ925" i="1"/>
  <c r="X925" i="1" a="1"/>
  <c r="X925" i="1" s="1"/>
  <c r="U925" i="1"/>
  <c r="V925" i="1" s="1"/>
  <c r="CB925" i="1" s="1"/>
  <c r="CJ924" i="1"/>
  <c r="X924" i="1" a="1"/>
  <c r="X924" i="1" s="1"/>
  <c r="U924" i="1"/>
  <c r="V924" i="1" s="1"/>
  <c r="CB924" i="1" s="1"/>
  <c r="CB923" i="1"/>
  <c r="X923" i="1"/>
  <c r="X923" i="1" a="1"/>
  <c r="V923" i="1"/>
  <c r="U923" i="1"/>
  <c r="X922" i="1" a="1"/>
  <c r="X922" i="1" s="1"/>
  <c r="V922" i="1"/>
  <c r="CB922" i="1" s="1"/>
  <c r="U922" i="1"/>
  <c r="CJ921" i="1"/>
  <c r="X921" i="1" a="1"/>
  <c r="X921" i="1" s="1"/>
  <c r="U921" i="1"/>
  <c r="V921" i="1" s="1"/>
  <c r="X920" i="1" a="1"/>
  <c r="X920" i="1" s="1"/>
  <c r="U920" i="1"/>
  <c r="V920" i="1" s="1"/>
  <c r="CB920" i="1" s="1"/>
  <c r="CJ919" i="1"/>
  <c r="CB919" i="1"/>
  <c r="X919" i="1" a="1"/>
  <c r="X919" i="1" s="1"/>
  <c r="V919" i="1"/>
  <c r="U919" i="1"/>
  <c r="CJ918" i="1"/>
  <c r="X918" i="1" a="1"/>
  <c r="X918" i="1" s="1"/>
  <c r="U918" i="1"/>
  <c r="V918" i="1" s="1"/>
  <c r="CB918" i="1" s="1"/>
  <c r="X917" i="1"/>
  <c r="X917" i="1" a="1"/>
  <c r="U917" i="1"/>
  <c r="V917" i="1" s="1"/>
  <c r="CB917" i="1" s="1"/>
  <c r="CJ916" i="1"/>
  <c r="CJ915" i="1"/>
  <c r="X915" i="1" a="1"/>
  <c r="X915" i="1" s="1"/>
  <c r="U915" i="1"/>
  <c r="V915" i="1" s="1"/>
  <c r="CC915" i="1" s="1"/>
  <c r="X914" i="1" a="1"/>
  <c r="X914" i="1" s="1"/>
  <c r="U914" i="1"/>
  <c r="V914" i="1" s="1"/>
  <c r="CB914" i="1" s="1"/>
  <c r="X913" i="1"/>
  <c r="X913" i="1" a="1"/>
  <c r="V913" i="1"/>
  <c r="U913" i="1"/>
  <c r="CJ912" i="1"/>
  <c r="X912" i="1" a="1"/>
  <c r="X912" i="1" s="1"/>
  <c r="V912" i="1"/>
  <c r="CC912" i="1" s="1"/>
  <c r="U912" i="1"/>
  <c r="CJ911" i="1"/>
  <c r="X911" i="1" a="1"/>
  <c r="X911" i="1" s="1"/>
  <c r="U911" i="1"/>
  <c r="V911" i="1" s="1"/>
  <c r="CJ910" i="1"/>
  <c r="X910" i="1" a="1"/>
  <c r="X910" i="1" s="1"/>
  <c r="U910" i="1"/>
  <c r="V910" i="1" s="1"/>
  <c r="CC910" i="1" s="1"/>
  <c r="CJ909" i="1"/>
  <c r="X909" i="1" a="1"/>
  <c r="X909" i="1" s="1"/>
  <c r="U909" i="1"/>
  <c r="V909" i="1" s="1"/>
  <c r="CC909" i="1" s="1"/>
  <c r="CJ908" i="1"/>
  <c r="X908" i="1"/>
  <c r="X908" i="1" a="1"/>
  <c r="U908" i="1"/>
  <c r="V908" i="1" s="1"/>
  <c r="CC908" i="1" s="1"/>
  <c r="I907" i="1"/>
  <c r="I906" i="1"/>
  <c r="X905" i="1"/>
  <c r="X905" i="1" a="1"/>
  <c r="U905" i="1" a="1"/>
  <c r="U905" i="1" s="1"/>
  <c r="V905" i="1" s="1"/>
  <c r="I905" i="1"/>
  <c r="X904" i="1" a="1"/>
  <c r="X904" i="1" s="1"/>
  <c r="U904" i="1" a="1"/>
  <c r="U904" i="1" s="1"/>
  <c r="V904" i="1" s="1"/>
  <c r="I904" i="1"/>
  <c r="CJ903" i="1"/>
  <c r="BJ903" i="1"/>
  <c r="BN903" i="1" s="1"/>
  <c r="BI903" i="1"/>
  <c r="BM903" i="1" s="1"/>
  <c r="AP903" i="1"/>
  <c r="X903" i="1" a="1"/>
  <c r="X903" i="1" s="1"/>
  <c r="U903" i="1" a="1"/>
  <c r="U903" i="1" s="1"/>
  <c r="V903" i="1" s="1"/>
  <c r="I903" i="1"/>
  <c r="CJ902" i="1"/>
  <c r="AP902" i="1"/>
  <c r="X902" i="1" a="1"/>
  <c r="X902" i="1" s="1"/>
  <c r="U902" i="1" a="1"/>
  <c r="U902" i="1" s="1"/>
  <c r="V902" i="1" s="1"/>
  <c r="I902" i="1"/>
  <c r="I901" i="1"/>
  <c r="I900" i="1"/>
  <c r="I899" i="1"/>
  <c r="X898" i="1" a="1"/>
  <c r="X898" i="1" s="1"/>
  <c r="U898" i="1" a="1"/>
  <c r="U898" i="1" s="1"/>
  <c r="V898" i="1" s="1"/>
  <c r="I898" i="1"/>
  <c r="CJ897" i="1"/>
  <c r="AP897" i="1"/>
  <c r="I897" i="1"/>
  <c r="CJ896" i="1"/>
  <c r="AP896" i="1"/>
  <c r="AJ896" i="1"/>
  <c r="AI896" i="1"/>
  <c r="AH896" i="1"/>
  <c r="X896" i="1" a="1"/>
  <c r="X896" i="1" s="1"/>
  <c r="U896" i="1" a="1"/>
  <c r="U896" i="1" s="1"/>
  <c r="V896" i="1" s="1"/>
  <c r="I896" i="1"/>
  <c r="CJ895" i="1"/>
  <c r="AP895" i="1"/>
  <c r="U895" i="1" a="1"/>
  <c r="U895" i="1" s="1"/>
  <c r="V895" i="1" s="1"/>
  <c r="U894" i="1"/>
  <c r="V894" i="1" s="1"/>
  <c r="U894" i="1" a="1"/>
  <c r="I894" i="1"/>
  <c r="CJ893" i="1"/>
  <c r="AP893" i="1"/>
  <c r="X893" i="1" a="1"/>
  <c r="X893" i="1" s="1"/>
  <c r="U893" i="1" a="1"/>
  <c r="U893" i="1" s="1"/>
  <c r="V893" i="1" s="1"/>
  <c r="I893" i="1"/>
  <c r="X892" i="1" a="1"/>
  <c r="X892" i="1" s="1"/>
  <c r="U892" i="1" a="1"/>
  <c r="U892" i="1" s="1"/>
  <c r="V892" i="1" s="1"/>
  <c r="I892" i="1"/>
  <c r="CJ891" i="1"/>
  <c r="BN891" i="1"/>
  <c r="BJ891" i="1"/>
  <c r="BI891" i="1"/>
  <c r="BM891" i="1" s="1"/>
  <c r="AP891" i="1"/>
  <c r="X891" i="1"/>
  <c r="X891" i="1" a="1"/>
  <c r="U891" i="1" a="1"/>
  <c r="U891" i="1" s="1"/>
  <c r="V891" i="1" s="1"/>
  <c r="I891" i="1"/>
  <c r="CJ890" i="1"/>
  <c r="BM890" i="1"/>
  <c r="BJ890" i="1"/>
  <c r="BN890" i="1" s="1"/>
  <c r="BI890" i="1"/>
  <c r="AP890" i="1"/>
  <c r="X890" i="1" a="1"/>
  <c r="X890" i="1" s="1"/>
  <c r="U890" i="1" a="1"/>
  <c r="U890" i="1" s="1"/>
  <c r="V890" i="1" s="1"/>
  <c r="I890" i="1"/>
  <c r="X889" i="1"/>
  <c r="X889" i="1" a="1"/>
  <c r="U889" i="1" a="1"/>
  <c r="U889" i="1" s="1"/>
  <c r="V889" i="1" s="1"/>
  <c r="I889" i="1"/>
  <c r="X888" i="1" a="1"/>
  <c r="X888" i="1" s="1"/>
  <c r="U888" i="1" a="1"/>
  <c r="U888" i="1" s="1"/>
  <c r="V888" i="1" s="1"/>
  <c r="I888" i="1"/>
  <c r="AJ887" i="1"/>
  <c r="AI887" i="1"/>
  <c r="AH887" i="1"/>
  <c r="X887" i="1"/>
  <c r="X887" i="1" a="1"/>
  <c r="U887" i="1" a="1"/>
  <c r="U887" i="1" s="1"/>
  <c r="V887" i="1" s="1"/>
  <c r="I887" i="1"/>
  <c r="CJ886" i="1"/>
  <c r="AP886" i="1"/>
  <c r="AJ886" i="1"/>
  <c r="AI886" i="1"/>
  <c r="AH886" i="1"/>
  <c r="X886" i="1" a="1"/>
  <c r="X886" i="1" s="1"/>
  <c r="V886" i="1"/>
  <c r="U886" i="1"/>
  <c r="U886" i="1" a="1"/>
  <c r="I886" i="1"/>
  <c r="CJ885" i="1"/>
  <c r="BN885" i="1"/>
  <c r="BM885" i="1"/>
  <c r="BJ885" i="1"/>
  <c r="BI885" i="1"/>
  <c r="AP885" i="1"/>
  <c r="AJ885" i="1"/>
  <c r="AI885" i="1"/>
  <c r="AH885" i="1"/>
  <c r="X885" i="1" a="1"/>
  <c r="X885" i="1" s="1"/>
  <c r="U885" i="1" a="1"/>
  <c r="U885" i="1" s="1"/>
  <c r="V885" i="1" s="1"/>
  <c r="I885" i="1"/>
  <c r="CJ884" i="1"/>
  <c r="AP884" i="1"/>
  <c r="AJ884" i="1"/>
  <c r="AI884" i="1"/>
  <c r="AH884" i="1"/>
  <c r="X884" i="1" a="1"/>
  <c r="X884" i="1" s="1"/>
  <c r="U884" i="1" a="1"/>
  <c r="U884" i="1" s="1"/>
  <c r="V884" i="1" s="1"/>
  <c r="I884" i="1"/>
  <c r="I883" i="1"/>
  <c r="CJ882" i="1"/>
  <c r="BN882" i="1"/>
  <c r="BJ882" i="1"/>
  <c r="BI882" i="1"/>
  <c r="BM882" i="1" s="1"/>
  <c r="AP882" i="1"/>
  <c r="AJ882" i="1"/>
  <c r="AI882" i="1"/>
  <c r="AH882" i="1"/>
  <c r="X882" i="1" a="1"/>
  <c r="X882" i="1" s="1"/>
  <c r="U882" i="1" a="1"/>
  <c r="U882" i="1" s="1"/>
  <c r="V882" i="1" s="1"/>
  <c r="I882" i="1"/>
  <c r="CJ881" i="1"/>
  <c r="AP881" i="1"/>
  <c r="AJ881" i="1"/>
  <c r="AI881" i="1"/>
  <c r="AH881" i="1"/>
  <c r="X881" i="1" a="1"/>
  <c r="X881" i="1" s="1"/>
  <c r="U881" i="1" a="1"/>
  <c r="U881" i="1" s="1"/>
  <c r="V881" i="1" s="1"/>
  <c r="I881" i="1"/>
  <c r="CJ880" i="1"/>
  <c r="BJ880" i="1"/>
  <c r="BN880" i="1" s="1"/>
  <c r="BI880" i="1"/>
  <c r="BM880" i="1" s="1"/>
  <c r="AP880" i="1"/>
  <c r="AJ880" i="1"/>
  <c r="AI880" i="1"/>
  <c r="AH880" i="1"/>
  <c r="X880" i="1"/>
  <c r="X880" i="1" a="1"/>
  <c r="U880" i="1"/>
  <c r="V880" i="1" s="1"/>
  <c r="U880" i="1" a="1"/>
  <c r="I880" i="1"/>
  <c r="I879" i="1"/>
  <c r="CJ878" i="1"/>
  <c r="AP878" i="1"/>
  <c r="AJ878" i="1"/>
  <c r="AI878" i="1"/>
  <c r="AH878" i="1"/>
  <c r="X878" i="1"/>
  <c r="X878" i="1" a="1"/>
  <c r="V878" i="1"/>
  <c r="U878" i="1"/>
  <c r="U878" i="1" a="1"/>
  <c r="I878" i="1"/>
  <c r="I877" i="1"/>
  <c r="I876" i="1"/>
  <c r="CJ875" i="1"/>
  <c r="BJ875" i="1"/>
  <c r="BN875" i="1" s="1"/>
  <c r="BI875" i="1"/>
  <c r="BM875" i="1" s="1"/>
  <c r="AP875" i="1"/>
  <c r="AJ875" i="1"/>
  <c r="AI875" i="1"/>
  <c r="AH875" i="1"/>
  <c r="U875" i="1" a="1"/>
  <c r="U875" i="1" s="1"/>
  <c r="V875" i="1" s="1"/>
  <c r="I875" i="1"/>
  <c r="CJ874" i="1"/>
  <c r="BJ874" i="1"/>
  <c r="BN874" i="1" s="1"/>
  <c r="BI874" i="1"/>
  <c r="BM874" i="1" s="1"/>
  <c r="AP874" i="1"/>
  <c r="AJ874" i="1"/>
  <c r="AI874" i="1"/>
  <c r="AH874" i="1"/>
  <c r="U874" i="1" a="1"/>
  <c r="U874" i="1" s="1"/>
  <c r="V874" i="1" s="1"/>
  <c r="I874" i="1"/>
  <c r="CJ873" i="1"/>
  <c r="AP873" i="1"/>
  <c r="AJ873" i="1"/>
  <c r="AI873" i="1"/>
  <c r="AH873" i="1"/>
  <c r="X873" i="1" a="1"/>
  <c r="X873" i="1" s="1"/>
  <c r="U873" i="1"/>
  <c r="V873" i="1" s="1"/>
  <c r="U873" i="1" a="1"/>
  <c r="I873" i="1"/>
  <c r="BJ872" i="1"/>
  <c r="BN872" i="1" s="1"/>
  <c r="BI872" i="1"/>
  <c r="BM872" i="1" s="1"/>
  <c r="AJ872" i="1"/>
  <c r="AI872" i="1"/>
  <c r="AH872" i="1"/>
  <c r="X872" i="1"/>
  <c r="X872" i="1" a="1"/>
  <c r="U872" i="1"/>
  <c r="V872" i="1" s="1"/>
  <c r="U872" i="1" a="1"/>
  <c r="I872" i="1"/>
  <c r="CJ871" i="1"/>
  <c r="BJ871" i="1"/>
  <c r="BN871" i="1" s="1"/>
  <c r="BI871" i="1"/>
  <c r="BM871" i="1" s="1"/>
  <c r="AP871" i="1"/>
  <c r="AJ871" i="1"/>
  <c r="AI871" i="1"/>
  <c r="AH871" i="1"/>
  <c r="X871" i="1" a="1"/>
  <c r="X871" i="1" s="1"/>
  <c r="V871" i="1"/>
  <c r="U871" i="1"/>
  <c r="U871" i="1" a="1"/>
  <c r="I871" i="1"/>
  <c r="AJ870" i="1"/>
  <c r="AI870" i="1"/>
  <c r="AH870" i="1"/>
  <c r="X870" i="1"/>
  <c r="X870" i="1" a="1"/>
  <c r="U870" i="1" a="1"/>
  <c r="U870" i="1" s="1"/>
  <c r="V870" i="1" s="1"/>
  <c r="I870" i="1"/>
  <c r="BN869" i="1"/>
  <c r="BM869" i="1"/>
  <c r="BJ869" i="1"/>
  <c r="BI869" i="1"/>
  <c r="X869" i="1"/>
  <c r="X869" i="1" a="1"/>
  <c r="U869" i="1"/>
  <c r="V869" i="1" s="1"/>
  <c r="U869" i="1" a="1"/>
  <c r="I869" i="1"/>
  <c r="I868" i="1"/>
  <c r="I867" i="1"/>
  <c r="I866" i="1"/>
  <c r="CJ865" i="1"/>
  <c r="AP865" i="1"/>
  <c r="I865" i="1"/>
  <c r="I864" i="1"/>
  <c r="CJ863" i="1"/>
  <c r="AP863" i="1"/>
  <c r="I863" i="1"/>
  <c r="CJ862" i="1"/>
  <c r="BJ862" i="1"/>
  <c r="BN862" i="1" s="1"/>
  <c r="BI862" i="1"/>
  <c r="BM862" i="1" s="1"/>
  <c r="AP862" i="1"/>
  <c r="X862" i="1" a="1"/>
  <c r="X862" i="1" s="1"/>
  <c r="U862" i="1" a="1"/>
  <c r="U862" i="1" s="1"/>
  <c r="V862" i="1" s="1"/>
  <c r="I862" i="1"/>
  <c r="I861" i="1"/>
  <c r="I860" i="1"/>
  <c r="CJ859" i="1"/>
  <c r="BJ859" i="1"/>
  <c r="BN859" i="1" s="1"/>
  <c r="BI859" i="1"/>
  <c r="BM859" i="1" s="1"/>
  <c r="AP859" i="1"/>
  <c r="X859" i="1" a="1"/>
  <c r="X859" i="1" s="1"/>
  <c r="U859" i="1" a="1"/>
  <c r="U859" i="1" s="1"/>
  <c r="V859" i="1" s="1"/>
  <c r="I859" i="1"/>
  <c r="I858" i="1"/>
  <c r="CJ857" i="1"/>
  <c r="BJ857" i="1"/>
  <c r="BN857" i="1" s="1"/>
  <c r="BI857" i="1"/>
  <c r="BM857" i="1" s="1"/>
  <c r="AP857" i="1"/>
  <c r="X857" i="1" a="1"/>
  <c r="X857" i="1" s="1"/>
  <c r="U857" i="1" a="1"/>
  <c r="U857" i="1" s="1"/>
  <c r="V857" i="1" s="1"/>
  <c r="I857" i="1"/>
  <c r="BM856" i="1"/>
  <c r="BJ856" i="1"/>
  <c r="BN856" i="1" s="1"/>
  <c r="BI856" i="1"/>
  <c r="X856" i="1"/>
  <c r="X856" i="1" a="1"/>
  <c r="U856" i="1" a="1"/>
  <c r="U856" i="1" s="1"/>
  <c r="V856" i="1" s="1"/>
  <c r="I856" i="1"/>
  <c r="CJ855" i="1"/>
  <c r="BN855" i="1"/>
  <c r="BM855" i="1"/>
  <c r="BJ855" i="1"/>
  <c r="BI855" i="1"/>
  <c r="AP855" i="1"/>
  <c r="X855" i="1" a="1"/>
  <c r="X855" i="1" s="1"/>
  <c r="U855" i="1" a="1"/>
  <c r="U855" i="1" s="1"/>
  <c r="V855" i="1" s="1"/>
  <c r="I855" i="1"/>
  <c r="CJ854" i="1"/>
  <c r="BJ854" i="1"/>
  <c r="BN854" i="1" s="1"/>
  <c r="BI854" i="1"/>
  <c r="BM854" i="1" s="1"/>
  <c r="AP854" i="1"/>
  <c r="X854" i="1" a="1"/>
  <c r="X854" i="1" s="1"/>
  <c r="U854" i="1" a="1"/>
  <c r="U854" i="1" s="1"/>
  <c r="V854" i="1" s="1"/>
  <c r="I854" i="1"/>
  <c r="I853" i="1"/>
  <c r="CJ852" i="1"/>
  <c r="BJ852" i="1"/>
  <c r="BN852" i="1" s="1"/>
  <c r="BI852" i="1"/>
  <c r="BM852" i="1" s="1"/>
  <c r="AP852" i="1"/>
  <c r="X852" i="1" a="1"/>
  <c r="X852" i="1" s="1"/>
  <c r="U852" i="1" a="1"/>
  <c r="U852" i="1" s="1"/>
  <c r="V852" i="1" s="1"/>
  <c r="I852" i="1"/>
  <c r="BJ851" i="1"/>
  <c r="BN851" i="1" s="1"/>
  <c r="BI851" i="1"/>
  <c r="BM851" i="1" s="1"/>
  <c r="X851" i="1" a="1"/>
  <c r="X851" i="1" s="1"/>
  <c r="U851" i="1"/>
  <c r="V851" i="1" s="1"/>
  <c r="U851" i="1" a="1"/>
  <c r="I851" i="1"/>
  <c r="I850" i="1"/>
  <c r="I849" i="1"/>
  <c r="CP848" i="1"/>
  <c r="CJ848" i="1"/>
  <c r="BJ848" i="1"/>
  <c r="BN848" i="1" s="1"/>
  <c r="BI848" i="1"/>
  <c r="BM848" i="1" s="1"/>
  <c r="AP848" i="1"/>
  <c r="X848" i="1" a="1"/>
  <c r="X848" i="1" s="1"/>
  <c r="V848" i="1"/>
  <c r="U848" i="1"/>
  <c r="BN847" i="1"/>
  <c r="BM847" i="1"/>
  <c r="CP846" i="1"/>
  <c r="CJ846" i="1"/>
  <c r="BN846" i="1"/>
  <c r="BM846" i="1"/>
  <c r="AP846" i="1"/>
  <c r="BN845" i="1"/>
  <c r="BM845" i="1"/>
  <c r="CP842" i="1"/>
  <c r="CJ842" i="1"/>
  <c r="BN842" i="1"/>
  <c r="BJ842" i="1"/>
  <c r="BI842" i="1"/>
  <c r="BM842" i="1" s="1"/>
  <c r="AP842" i="1"/>
  <c r="X842" i="1" a="1"/>
  <c r="X842" i="1" s="1"/>
  <c r="U842" i="1" a="1"/>
  <c r="U842" i="1" s="1"/>
  <c r="V842" i="1" s="1"/>
  <c r="CP840" i="1"/>
  <c r="CJ840" i="1"/>
  <c r="AP840" i="1"/>
  <c r="X840" i="1"/>
  <c r="X840" i="1" a="1"/>
  <c r="U840" i="1" a="1"/>
  <c r="U840" i="1" s="1"/>
  <c r="V840" i="1" s="1"/>
  <c r="CP838" i="1"/>
  <c r="BJ838" i="1"/>
  <c r="BN838" i="1" s="1"/>
  <c r="BI838" i="1"/>
  <c r="BM838" i="1" s="1"/>
  <c r="X838" i="1" a="1"/>
  <c r="X838" i="1" s="1"/>
  <c r="U838" i="1" a="1"/>
  <c r="U838" i="1" s="1"/>
  <c r="V838" i="1" s="1"/>
  <c r="CJ837" i="1"/>
  <c r="BJ837" i="1"/>
  <c r="BN837" i="1" s="1"/>
  <c r="BI837" i="1"/>
  <c r="BM837" i="1" s="1"/>
  <c r="AP837" i="1"/>
  <c r="X837" i="1" a="1"/>
  <c r="X837" i="1" s="1"/>
  <c r="U837" i="1" a="1"/>
  <c r="U837" i="1" s="1"/>
  <c r="V837" i="1" s="1"/>
  <c r="I837" i="1"/>
  <c r="I836" i="1"/>
  <c r="I835" i="1"/>
  <c r="I834" i="1"/>
  <c r="I833" i="1"/>
  <c r="I832" i="1"/>
  <c r="I831" i="1"/>
  <c r="BJ830" i="1"/>
  <c r="BN830" i="1" s="1"/>
  <c r="BI830" i="1"/>
  <c r="BM830" i="1" s="1"/>
  <c r="I830" i="1"/>
  <c r="I829" i="1"/>
  <c r="BJ828" i="1"/>
  <c r="BN828" i="1" s="1"/>
  <c r="BI828" i="1"/>
  <c r="BM828" i="1" s="1"/>
  <c r="X828" i="1"/>
  <c r="X828" i="1" a="1"/>
  <c r="U828" i="1"/>
  <c r="V828" i="1" s="1"/>
  <c r="U828" i="1" a="1"/>
  <c r="I828" i="1"/>
  <c r="I827" i="1"/>
  <c r="CJ826" i="1"/>
  <c r="BJ826" i="1"/>
  <c r="BN826" i="1" s="1"/>
  <c r="BI826" i="1"/>
  <c r="BM826" i="1" s="1"/>
  <c r="AP826" i="1"/>
  <c r="X826" i="1" a="1"/>
  <c r="X826" i="1" s="1"/>
  <c r="U826" i="1" a="1"/>
  <c r="U826" i="1" s="1"/>
  <c r="V826" i="1" s="1"/>
  <c r="I826" i="1"/>
  <c r="CJ825" i="1"/>
  <c r="BM825" i="1"/>
  <c r="BJ825" i="1"/>
  <c r="BN825" i="1" s="1"/>
  <c r="BI825" i="1"/>
  <c r="AP825" i="1"/>
  <c r="X825" i="1" a="1"/>
  <c r="X825" i="1" s="1"/>
  <c r="U825" i="1"/>
  <c r="V825" i="1" s="1"/>
  <c r="U825" i="1" a="1"/>
  <c r="I825" i="1"/>
  <c r="I824" i="1"/>
  <c r="CJ823" i="1"/>
  <c r="BM823" i="1"/>
  <c r="BJ823" i="1"/>
  <c r="BN823" i="1" s="1"/>
  <c r="BI823" i="1"/>
  <c r="AP823" i="1"/>
  <c r="X823" i="1" a="1"/>
  <c r="X823" i="1" s="1"/>
  <c r="U823" i="1" a="1"/>
  <c r="U823" i="1" s="1"/>
  <c r="V823" i="1" s="1"/>
  <c r="I823" i="1"/>
  <c r="BJ822" i="1"/>
  <c r="BN822" i="1" s="1"/>
  <c r="X822" i="1" a="1"/>
  <c r="X822" i="1" s="1"/>
  <c r="U822" i="1" a="1"/>
  <c r="U822" i="1" s="1"/>
  <c r="V822" i="1" s="1"/>
  <c r="I822" i="1"/>
  <c r="CJ821" i="1"/>
  <c r="BJ821" i="1"/>
  <c r="BN821" i="1" s="1"/>
  <c r="AP821" i="1"/>
  <c r="X821" i="1" a="1"/>
  <c r="X821" i="1" s="1"/>
  <c r="U821" i="1" a="1"/>
  <c r="U821" i="1" s="1"/>
  <c r="V821" i="1" s="1"/>
  <c r="I821" i="1"/>
  <c r="I820" i="1"/>
  <c r="CJ819" i="1"/>
  <c r="BJ819" i="1"/>
  <c r="BN819" i="1" s="1"/>
  <c r="BI819" i="1"/>
  <c r="BM819" i="1" s="1"/>
  <c r="AP819" i="1"/>
  <c r="X819" i="1" a="1"/>
  <c r="X819" i="1" s="1"/>
  <c r="U819" i="1" a="1"/>
  <c r="U819" i="1" s="1"/>
  <c r="V819" i="1" s="1"/>
  <c r="I819" i="1"/>
  <c r="I818" i="1"/>
  <c r="I817" i="1"/>
  <c r="CJ816" i="1"/>
  <c r="AP816" i="1"/>
  <c r="I816" i="1"/>
  <c r="CJ815" i="1"/>
  <c r="BN815" i="1"/>
  <c r="BJ815" i="1"/>
  <c r="BI815" i="1"/>
  <c r="BM815" i="1" s="1"/>
  <c r="AP815" i="1"/>
  <c r="AJ815" i="1"/>
  <c r="AI815" i="1"/>
  <c r="AH815" i="1"/>
  <c r="X815" i="1" a="1"/>
  <c r="X815" i="1" s="1"/>
  <c r="U815" i="1" a="1"/>
  <c r="U815" i="1" s="1"/>
  <c r="V815" i="1" s="1"/>
  <c r="I815" i="1"/>
  <c r="BN814" i="1"/>
  <c r="BM814" i="1"/>
  <c r="BJ814" i="1"/>
  <c r="BI814" i="1"/>
  <c r="X814" i="1"/>
  <c r="X814" i="1" a="1"/>
  <c r="U814" i="1"/>
  <c r="V814" i="1" s="1"/>
  <c r="U814" i="1" a="1"/>
  <c r="I814" i="1"/>
  <c r="CJ813" i="1"/>
  <c r="BJ813" i="1"/>
  <c r="BN813" i="1" s="1"/>
  <c r="BI813" i="1"/>
  <c r="BM813" i="1" s="1"/>
  <c r="AP813" i="1"/>
  <c r="X813" i="1" a="1"/>
  <c r="X813" i="1" s="1"/>
  <c r="U813" i="1" a="1"/>
  <c r="U813" i="1" s="1"/>
  <c r="V813" i="1" s="1"/>
  <c r="I813" i="1"/>
  <c r="CJ812" i="1"/>
  <c r="BM812" i="1"/>
  <c r="BJ812" i="1"/>
  <c r="BN812" i="1" s="1"/>
  <c r="BI812" i="1"/>
  <c r="AP812" i="1"/>
  <c r="X812" i="1"/>
  <c r="X812" i="1" a="1"/>
  <c r="U812" i="1"/>
  <c r="V812" i="1" s="1"/>
  <c r="U812" i="1" a="1"/>
  <c r="I812" i="1"/>
  <c r="CJ811" i="1"/>
  <c r="BJ811" i="1"/>
  <c r="BN811" i="1" s="1"/>
  <c r="AP811" i="1"/>
  <c r="X811" i="1" a="1"/>
  <c r="X811" i="1" s="1"/>
  <c r="U811" i="1" a="1"/>
  <c r="U811" i="1" s="1"/>
  <c r="V811" i="1" s="1"/>
  <c r="I811" i="1"/>
  <c r="I810" i="1"/>
  <c r="CJ809" i="1"/>
  <c r="BJ809" i="1"/>
  <c r="BN809" i="1" s="1"/>
  <c r="BI809" i="1"/>
  <c r="BM809" i="1" s="1"/>
  <c r="AP809" i="1"/>
  <c r="X809" i="1" a="1"/>
  <c r="X809" i="1" s="1"/>
  <c r="U809" i="1" a="1"/>
  <c r="U809" i="1" s="1"/>
  <c r="V809" i="1" s="1"/>
  <c r="I809" i="1"/>
  <c r="BJ808" i="1"/>
  <c r="BN808" i="1" s="1"/>
  <c r="BI808" i="1"/>
  <c r="BM808" i="1" s="1"/>
  <c r="U808" i="1" a="1"/>
  <c r="U808" i="1" s="1"/>
  <c r="V808" i="1" s="1"/>
  <c r="I808" i="1"/>
  <c r="CJ807" i="1"/>
  <c r="BN807" i="1"/>
  <c r="BJ807" i="1"/>
  <c r="AP807" i="1"/>
  <c r="X807" i="1" a="1"/>
  <c r="X807" i="1" s="1"/>
  <c r="U807" i="1" a="1"/>
  <c r="U807" i="1" s="1"/>
  <c r="V807" i="1" s="1"/>
  <c r="I807" i="1"/>
  <c r="BJ806" i="1"/>
  <c r="BN806" i="1" s="1"/>
  <c r="BI806" i="1"/>
  <c r="BM806" i="1" s="1"/>
  <c r="AP806" i="1"/>
  <c r="X806" i="1" a="1"/>
  <c r="X806" i="1" s="1"/>
  <c r="U806" i="1" a="1"/>
  <c r="U806" i="1" s="1"/>
  <c r="V806" i="1" s="1"/>
  <c r="I806" i="1"/>
  <c r="CJ805" i="1"/>
  <c r="BJ805" i="1"/>
  <c r="BN805" i="1" s="1"/>
  <c r="BI805" i="1"/>
  <c r="BM805" i="1" s="1"/>
  <c r="AP805" i="1"/>
  <c r="X805" i="1" a="1"/>
  <c r="X805" i="1" s="1"/>
  <c r="U805" i="1" a="1"/>
  <c r="U805" i="1" s="1"/>
  <c r="V805" i="1" s="1"/>
  <c r="I805" i="1"/>
  <c r="CJ804" i="1"/>
  <c r="BN804" i="1"/>
  <c r="BM804" i="1"/>
  <c r="BJ804" i="1"/>
  <c r="BI804" i="1"/>
  <c r="AP804" i="1"/>
  <c r="X804" i="1" a="1"/>
  <c r="X804" i="1" s="1"/>
  <c r="U804" i="1" a="1"/>
  <c r="U804" i="1" s="1"/>
  <c r="V804" i="1" s="1"/>
  <c r="I804" i="1"/>
  <c r="BJ803" i="1"/>
  <c r="BN803" i="1" s="1"/>
  <c r="X803" i="1" a="1"/>
  <c r="X803" i="1" s="1"/>
  <c r="U803" i="1" a="1"/>
  <c r="U803" i="1" s="1"/>
  <c r="V803" i="1" s="1"/>
  <c r="I803" i="1"/>
  <c r="BJ802" i="1"/>
  <c r="BN802" i="1" s="1"/>
  <c r="BI802" i="1"/>
  <c r="BM802" i="1" s="1"/>
  <c r="X802" i="1" a="1"/>
  <c r="X802" i="1" s="1"/>
  <c r="U802" i="1" a="1"/>
  <c r="U802" i="1" s="1"/>
  <c r="V802" i="1" s="1"/>
  <c r="I802" i="1"/>
  <c r="BJ801" i="1"/>
  <c r="BN801" i="1" s="1"/>
  <c r="X801" i="1" a="1"/>
  <c r="X801" i="1" s="1"/>
  <c r="U801" i="1" a="1"/>
  <c r="U801" i="1" s="1"/>
  <c r="V801" i="1" s="1"/>
  <c r="I801" i="1"/>
  <c r="I800" i="1"/>
  <c r="I799" i="1"/>
  <c r="CJ798" i="1"/>
  <c r="BM798" i="1"/>
  <c r="BJ798" i="1"/>
  <c r="BN798" i="1" s="1"/>
  <c r="BI798" i="1"/>
  <c r="AP798" i="1"/>
  <c r="X798" i="1"/>
  <c r="X798" i="1" a="1"/>
  <c r="U798" i="1"/>
  <c r="V798" i="1" s="1"/>
  <c r="U798" i="1" a="1"/>
  <c r="I798" i="1"/>
  <c r="I797" i="1"/>
  <c r="CJ796" i="1"/>
  <c r="BJ796" i="1"/>
  <c r="BN796" i="1" s="1"/>
  <c r="BI796" i="1"/>
  <c r="BM796" i="1" s="1"/>
  <c r="AP796" i="1"/>
  <c r="X796" i="1"/>
  <c r="X796" i="1" a="1"/>
  <c r="U796" i="1" a="1"/>
  <c r="U796" i="1" s="1"/>
  <c r="V796" i="1" s="1"/>
  <c r="I796" i="1"/>
  <c r="CJ795" i="1"/>
  <c r="BN795" i="1"/>
  <c r="BJ795" i="1"/>
  <c r="AP795" i="1"/>
  <c r="X795" i="1" a="1"/>
  <c r="X795" i="1" s="1"/>
  <c r="U795" i="1" a="1"/>
  <c r="U795" i="1" s="1"/>
  <c r="V795" i="1" s="1"/>
  <c r="I795" i="1"/>
  <c r="BJ794" i="1"/>
  <c r="BN794" i="1" s="1"/>
  <c r="BI794" i="1"/>
  <c r="BM794" i="1" s="1"/>
  <c r="X794" i="1" a="1"/>
  <c r="X794" i="1" s="1"/>
  <c r="U794" i="1" a="1"/>
  <c r="U794" i="1" s="1"/>
  <c r="V794" i="1" s="1"/>
  <c r="I794" i="1"/>
  <c r="AJ793" i="1"/>
  <c r="AI793" i="1"/>
  <c r="AH793" i="1"/>
  <c r="X793" i="1" a="1"/>
  <c r="X793" i="1" s="1"/>
  <c r="U793" i="1"/>
  <c r="V793" i="1" s="1"/>
  <c r="U793" i="1" a="1"/>
  <c r="I793" i="1"/>
  <c r="CJ792" i="1"/>
  <c r="AP792" i="1"/>
  <c r="AJ792" i="1"/>
  <c r="AI792" i="1"/>
  <c r="AH792" i="1"/>
  <c r="X792" i="1" a="1"/>
  <c r="X792" i="1" s="1"/>
  <c r="U792" i="1" a="1"/>
  <c r="U792" i="1" s="1"/>
  <c r="V792" i="1" s="1"/>
  <c r="I792" i="1"/>
  <c r="CJ791" i="1"/>
  <c r="AP791" i="1"/>
  <c r="I791" i="1"/>
  <c r="AJ790" i="1"/>
  <c r="AI790" i="1"/>
  <c r="AH790" i="1"/>
  <c r="X790" i="1" a="1"/>
  <c r="X790" i="1" s="1"/>
  <c r="U790" i="1" a="1"/>
  <c r="U790" i="1" s="1"/>
  <c r="V790" i="1" s="1"/>
  <c r="I790" i="1"/>
  <c r="AJ789" i="1"/>
  <c r="AI789" i="1"/>
  <c r="AH789" i="1"/>
  <c r="X789" i="1" a="1"/>
  <c r="X789" i="1" s="1"/>
  <c r="U789" i="1"/>
  <c r="V789" i="1" s="1"/>
  <c r="U789" i="1" a="1"/>
  <c r="I789" i="1"/>
  <c r="CJ788" i="1"/>
  <c r="AP788" i="1"/>
  <c r="AJ788" i="1"/>
  <c r="AI788" i="1"/>
  <c r="AH788" i="1"/>
  <c r="X788" i="1" a="1"/>
  <c r="X788" i="1" s="1"/>
  <c r="U788" i="1" a="1"/>
  <c r="U788" i="1" s="1"/>
  <c r="V788" i="1" s="1"/>
  <c r="I788" i="1"/>
  <c r="CJ787" i="1"/>
  <c r="AP787" i="1"/>
  <c r="AJ787" i="1"/>
  <c r="AI787" i="1"/>
  <c r="AH787" i="1"/>
  <c r="X787" i="1" a="1"/>
  <c r="X787" i="1" s="1"/>
  <c r="U787" i="1" a="1"/>
  <c r="U787" i="1" s="1"/>
  <c r="V787" i="1" s="1"/>
  <c r="I787" i="1"/>
  <c r="CJ786" i="1"/>
  <c r="AP786" i="1"/>
  <c r="AJ786" i="1"/>
  <c r="AI786" i="1"/>
  <c r="AH786" i="1"/>
  <c r="X786" i="1" a="1"/>
  <c r="X786" i="1" s="1"/>
  <c r="U786" i="1" a="1"/>
  <c r="U786" i="1" s="1"/>
  <c r="V786" i="1" s="1"/>
  <c r="I786" i="1"/>
  <c r="AP785" i="1"/>
  <c r="AJ785" i="1"/>
  <c r="AI785" i="1"/>
  <c r="AH785" i="1"/>
  <c r="X785" i="1"/>
  <c r="X785" i="1" a="1"/>
  <c r="U785" i="1" a="1"/>
  <c r="U785" i="1" s="1"/>
  <c r="V785" i="1" s="1"/>
  <c r="I785" i="1"/>
  <c r="CJ784" i="1"/>
  <c r="AP784" i="1"/>
  <c r="AJ784" i="1"/>
  <c r="AI784" i="1"/>
  <c r="AH784" i="1"/>
  <c r="X784" i="1"/>
  <c r="X784" i="1" a="1"/>
  <c r="U784" i="1"/>
  <c r="V784" i="1" s="1"/>
  <c r="U784" i="1" a="1"/>
  <c r="I784" i="1"/>
  <c r="AJ783" i="1"/>
  <c r="AI783" i="1"/>
  <c r="AH783" i="1"/>
  <c r="X783" i="1"/>
  <c r="X783" i="1" a="1"/>
  <c r="U783" i="1"/>
  <c r="V783" i="1" s="1"/>
  <c r="U783" i="1" a="1"/>
  <c r="I783" i="1"/>
  <c r="CJ782" i="1"/>
  <c r="AP782" i="1"/>
  <c r="AJ782" i="1"/>
  <c r="AI782" i="1"/>
  <c r="AH782" i="1"/>
  <c r="X782" i="1" a="1"/>
  <c r="X782" i="1" s="1"/>
  <c r="U782" i="1" a="1"/>
  <c r="U782" i="1" s="1"/>
  <c r="V782" i="1" s="1"/>
  <c r="I782" i="1"/>
  <c r="AJ781" i="1"/>
  <c r="AI781" i="1"/>
  <c r="AH781" i="1"/>
  <c r="X781" i="1" a="1"/>
  <c r="X781" i="1" s="1"/>
  <c r="U781" i="1"/>
  <c r="V781" i="1" s="1"/>
  <c r="U781" i="1" a="1"/>
  <c r="I781" i="1"/>
  <c r="CJ780" i="1"/>
  <c r="AP780" i="1"/>
  <c r="I780" i="1"/>
  <c r="CJ779" i="1"/>
  <c r="AP779" i="1"/>
  <c r="AJ779" i="1"/>
  <c r="AI779" i="1"/>
  <c r="AH779" i="1"/>
  <c r="X779" i="1" a="1"/>
  <c r="X779" i="1" s="1"/>
  <c r="U779" i="1"/>
  <c r="V779" i="1" s="1"/>
  <c r="U779" i="1" a="1"/>
  <c r="I779" i="1"/>
  <c r="I778" i="1"/>
  <c r="CJ777" i="1"/>
  <c r="AP777" i="1"/>
  <c r="I777" i="1"/>
  <c r="CJ776" i="1"/>
  <c r="AP776" i="1"/>
  <c r="AJ776" i="1"/>
  <c r="AI776" i="1"/>
  <c r="AH776" i="1"/>
  <c r="X776" i="1" a="1"/>
  <c r="X776" i="1" s="1"/>
  <c r="U776" i="1"/>
  <c r="V776" i="1" s="1"/>
  <c r="U776" i="1" a="1"/>
  <c r="I776" i="1"/>
  <c r="CJ775" i="1"/>
  <c r="BJ775" i="1"/>
  <c r="BN775" i="1" s="1"/>
  <c r="BI775" i="1"/>
  <c r="BM775" i="1" s="1"/>
  <c r="AP775" i="1"/>
  <c r="X775" i="1"/>
  <c r="X775" i="1" a="1"/>
  <c r="U775" i="1" a="1"/>
  <c r="U775" i="1" s="1"/>
  <c r="V775" i="1" s="1"/>
  <c r="I775" i="1"/>
  <c r="CJ774" i="1"/>
  <c r="AP774" i="1"/>
  <c r="X774" i="1" a="1"/>
  <c r="X774" i="1" s="1"/>
  <c r="U774" i="1" a="1"/>
  <c r="U774" i="1" s="1"/>
  <c r="V774" i="1" s="1"/>
  <c r="I774" i="1"/>
  <c r="CJ773" i="1"/>
  <c r="AP773" i="1"/>
  <c r="I773" i="1"/>
  <c r="CJ772" i="1"/>
  <c r="BJ772" i="1"/>
  <c r="BN772" i="1" s="1"/>
  <c r="AP772" i="1"/>
  <c r="X772" i="1" a="1"/>
  <c r="X772" i="1" s="1"/>
  <c r="U772" i="1" a="1"/>
  <c r="U772" i="1" s="1"/>
  <c r="V772" i="1" s="1"/>
  <c r="I772" i="1"/>
  <c r="CJ771" i="1"/>
  <c r="BJ771" i="1"/>
  <c r="BN771" i="1" s="1"/>
  <c r="BI771" i="1"/>
  <c r="BM771" i="1" s="1"/>
  <c r="AP771" i="1"/>
  <c r="X771" i="1" a="1"/>
  <c r="X771" i="1" s="1"/>
  <c r="U771" i="1" a="1"/>
  <c r="U771" i="1" s="1"/>
  <c r="V771" i="1" s="1"/>
  <c r="I771" i="1"/>
  <c r="CJ770" i="1"/>
  <c r="BJ770" i="1"/>
  <c r="BN770" i="1" s="1"/>
  <c r="BI770" i="1"/>
  <c r="BM770" i="1" s="1"/>
  <c r="AP770" i="1"/>
  <c r="X770" i="1"/>
  <c r="X770" i="1" a="1"/>
  <c r="U770" i="1" a="1"/>
  <c r="U770" i="1" s="1"/>
  <c r="V770" i="1" s="1"/>
  <c r="I770" i="1"/>
  <c r="I769" i="1"/>
  <c r="I768" i="1"/>
  <c r="CJ767" i="1"/>
  <c r="BJ767" i="1"/>
  <c r="BN767" i="1" s="1"/>
  <c r="BI767" i="1"/>
  <c r="BM767" i="1" s="1"/>
  <c r="AP767" i="1"/>
  <c r="AJ767" i="1"/>
  <c r="AI767" i="1"/>
  <c r="AH767" i="1"/>
  <c r="X767" i="1" a="1"/>
  <c r="X767" i="1" s="1"/>
  <c r="V767" i="1"/>
  <c r="U767" i="1"/>
  <c r="U767" i="1" a="1"/>
  <c r="I767" i="1"/>
  <c r="I766" i="1"/>
  <c r="CJ765" i="1"/>
  <c r="BN765" i="1"/>
  <c r="BJ765" i="1"/>
  <c r="BI765" i="1"/>
  <c r="BM765" i="1" s="1"/>
  <c r="AP765" i="1"/>
  <c r="X765" i="1" a="1"/>
  <c r="X765" i="1" s="1"/>
  <c r="U765" i="1" a="1"/>
  <c r="U765" i="1" s="1"/>
  <c r="V765" i="1" s="1"/>
  <c r="I765" i="1"/>
  <c r="CJ764" i="1"/>
  <c r="BJ764" i="1"/>
  <c r="BN764" i="1" s="1"/>
  <c r="BI764" i="1"/>
  <c r="BM764" i="1" s="1"/>
  <c r="AP764" i="1"/>
  <c r="X764" i="1" a="1"/>
  <c r="X764" i="1" s="1"/>
  <c r="U764" i="1" a="1"/>
  <c r="U764" i="1" s="1"/>
  <c r="V764" i="1" s="1"/>
  <c r="I764" i="1"/>
  <c r="BN763" i="1"/>
  <c r="BM763" i="1"/>
  <c r="BJ763" i="1"/>
  <c r="BI763" i="1"/>
  <c r="X763" i="1" a="1"/>
  <c r="X763" i="1" s="1"/>
  <c r="U763" i="1" a="1"/>
  <c r="U763" i="1" s="1"/>
  <c r="V763" i="1" s="1"/>
  <c r="I763" i="1"/>
  <c r="CJ762" i="1"/>
  <c r="BJ762" i="1"/>
  <c r="BN762" i="1" s="1"/>
  <c r="BI762" i="1"/>
  <c r="BM762" i="1" s="1"/>
  <c r="AP762" i="1"/>
  <c r="X762" i="1"/>
  <c r="X762" i="1" a="1"/>
  <c r="U762" i="1" a="1"/>
  <c r="U762" i="1" s="1"/>
  <c r="V762" i="1" s="1"/>
  <c r="I762" i="1"/>
  <c r="CJ761" i="1"/>
  <c r="BJ761" i="1"/>
  <c r="BN761" i="1" s="1"/>
  <c r="AP761" i="1"/>
  <c r="X761" i="1" a="1"/>
  <c r="X761" i="1" s="1"/>
  <c r="U761" i="1" a="1"/>
  <c r="U761" i="1" s="1"/>
  <c r="V761" i="1" s="1"/>
  <c r="I761" i="1"/>
  <c r="CJ760" i="1"/>
  <c r="BJ760" i="1"/>
  <c r="BN760" i="1" s="1"/>
  <c r="BI760" i="1"/>
  <c r="BM760" i="1" s="1"/>
  <c r="AP760" i="1"/>
  <c r="AJ760" i="1"/>
  <c r="AI760" i="1"/>
  <c r="AH760" i="1"/>
  <c r="X760" i="1" a="1"/>
  <c r="X760" i="1" s="1"/>
  <c r="U760" i="1"/>
  <c r="V760" i="1" s="1"/>
  <c r="U760" i="1" a="1"/>
  <c r="I760" i="1"/>
  <c r="CJ759" i="1"/>
  <c r="BJ759" i="1"/>
  <c r="BN759" i="1" s="1"/>
  <c r="AP759" i="1"/>
  <c r="X759" i="1" a="1"/>
  <c r="X759" i="1" s="1"/>
  <c r="U759" i="1" a="1"/>
  <c r="U759" i="1" s="1"/>
  <c r="V759" i="1" s="1"/>
  <c r="I759" i="1"/>
  <c r="I758" i="1"/>
  <c r="BJ757" i="1"/>
  <c r="BN757" i="1" s="1"/>
  <c r="X757" i="1" a="1"/>
  <c r="X757" i="1" s="1"/>
  <c r="U757" i="1" a="1"/>
  <c r="U757" i="1" s="1"/>
  <c r="V757" i="1" s="1"/>
  <c r="I757" i="1"/>
  <c r="I756" i="1"/>
  <c r="I755" i="1"/>
  <c r="I754" i="1"/>
  <c r="CJ753" i="1"/>
  <c r="BM753" i="1"/>
  <c r="BJ753" i="1"/>
  <c r="BN753" i="1" s="1"/>
  <c r="BI753" i="1"/>
  <c r="AP753" i="1"/>
  <c r="X753" i="1" a="1"/>
  <c r="X753" i="1" s="1"/>
  <c r="U753" i="1"/>
  <c r="V753" i="1" s="1"/>
  <c r="U753" i="1" a="1"/>
  <c r="I753" i="1"/>
  <c r="I752" i="1"/>
  <c r="CJ751" i="1"/>
  <c r="BN751" i="1"/>
  <c r="BM751" i="1"/>
  <c r="BJ751" i="1"/>
  <c r="BI751" i="1"/>
  <c r="AP751" i="1"/>
  <c r="X751" i="1" a="1"/>
  <c r="X751" i="1" s="1"/>
  <c r="U751" i="1" a="1"/>
  <c r="U751" i="1" s="1"/>
  <c r="V751" i="1" s="1"/>
  <c r="I751" i="1"/>
  <c r="CJ750" i="1"/>
  <c r="BJ750" i="1"/>
  <c r="BN750" i="1" s="1"/>
  <c r="AP750" i="1"/>
  <c r="X750" i="1" a="1"/>
  <c r="X750" i="1" s="1"/>
  <c r="U750" i="1" a="1"/>
  <c r="U750" i="1" s="1"/>
  <c r="V750" i="1" s="1"/>
  <c r="I750" i="1"/>
  <c r="CJ749" i="1"/>
  <c r="BJ749" i="1"/>
  <c r="BN749" i="1" s="1"/>
  <c r="AP749" i="1"/>
  <c r="X749" i="1"/>
  <c r="X749" i="1" a="1"/>
  <c r="U749" i="1" a="1"/>
  <c r="U749" i="1" s="1"/>
  <c r="V749" i="1" s="1"/>
  <c r="I749" i="1"/>
  <c r="CJ748" i="1"/>
  <c r="BN748" i="1"/>
  <c r="BJ748" i="1"/>
  <c r="AP748" i="1"/>
  <c r="AJ748" i="1"/>
  <c r="AI748" i="1"/>
  <c r="AH748" i="1"/>
  <c r="X748" i="1"/>
  <c r="X748" i="1" a="1"/>
  <c r="U748" i="1" a="1"/>
  <c r="U748" i="1" s="1"/>
  <c r="V748" i="1" s="1"/>
  <c r="I748" i="1"/>
  <c r="CJ747" i="1"/>
  <c r="BN747" i="1"/>
  <c r="BJ747" i="1"/>
  <c r="AP747" i="1"/>
  <c r="X747" i="1"/>
  <c r="X747" i="1" a="1"/>
  <c r="U747" i="1" a="1"/>
  <c r="U747" i="1" s="1"/>
  <c r="V747" i="1" s="1"/>
  <c r="I747" i="1"/>
  <c r="CJ746" i="1"/>
  <c r="BM746" i="1"/>
  <c r="BJ746" i="1"/>
  <c r="BN746" i="1" s="1"/>
  <c r="BI746" i="1"/>
  <c r="AP746" i="1"/>
  <c r="X746" i="1" a="1"/>
  <c r="X746" i="1" s="1"/>
  <c r="U746" i="1" a="1"/>
  <c r="U746" i="1" s="1"/>
  <c r="V746" i="1" s="1"/>
  <c r="I746" i="1"/>
  <c r="I745" i="1"/>
  <c r="BN744" i="1"/>
  <c r="BJ744" i="1"/>
  <c r="BI744" i="1"/>
  <c r="BM744" i="1" s="1"/>
  <c r="X744" i="1"/>
  <c r="X744" i="1" a="1"/>
  <c r="U744" i="1" a="1"/>
  <c r="U744" i="1" s="1"/>
  <c r="V744" i="1" s="1"/>
  <c r="I744" i="1"/>
  <c r="CJ743" i="1"/>
  <c r="AP743" i="1"/>
  <c r="I742" i="1"/>
  <c r="CJ740" i="1"/>
  <c r="BJ740" i="1"/>
  <c r="BN740" i="1" s="1"/>
  <c r="AP740" i="1"/>
  <c r="X740" i="1" a="1"/>
  <c r="X740" i="1" s="1"/>
  <c r="V740" i="1"/>
  <c r="U740" i="1"/>
  <c r="U740" i="1" a="1"/>
  <c r="I740" i="1"/>
  <c r="CJ739" i="1"/>
  <c r="AP739" i="1"/>
  <c r="I738" i="1"/>
  <c r="I737" i="1"/>
  <c r="CJ736" i="1"/>
  <c r="BJ736" i="1"/>
  <c r="BN736" i="1" s="1"/>
  <c r="BI736" i="1"/>
  <c r="BM736" i="1" s="1"/>
  <c r="AP736" i="1"/>
  <c r="X736" i="1" a="1"/>
  <c r="X736" i="1" s="1"/>
  <c r="U736" i="1" a="1"/>
  <c r="U736" i="1" s="1"/>
  <c r="V736" i="1" s="1"/>
  <c r="I736" i="1"/>
  <c r="I735" i="1"/>
  <c r="I734" i="1"/>
  <c r="CJ733" i="1"/>
  <c r="AP733" i="1"/>
  <c r="I733" i="1"/>
  <c r="I732" i="1"/>
  <c r="BM731" i="1"/>
  <c r="BJ731" i="1"/>
  <c r="BN731" i="1" s="1"/>
  <c r="BI731" i="1"/>
  <c r="AP731" i="1"/>
  <c r="AJ731" i="1"/>
  <c r="AI731" i="1"/>
  <c r="AH731" i="1"/>
  <c r="X731" i="1" a="1"/>
  <c r="X731" i="1" s="1"/>
  <c r="U731" i="1"/>
  <c r="V731" i="1" s="1"/>
  <c r="U731" i="1" a="1"/>
  <c r="I731" i="1"/>
  <c r="CJ730" i="1"/>
  <c r="AP730" i="1"/>
  <c r="I730" i="1"/>
  <c r="CJ729" i="1"/>
  <c r="AP729" i="1"/>
  <c r="I729" i="1"/>
  <c r="BN728" i="1"/>
  <c r="BJ728" i="1"/>
  <c r="BI728" i="1"/>
  <c r="BM728" i="1" s="1"/>
  <c r="X728" i="1" a="1"/>
  <c r="X728" i="1" s="1"/>
  <c r="U728" i="1" a="1"/>
  <c r="U728" i="1" s="1"/>
  <c r="V728" i="1" s="1"/>
  <c r="I728" i="1"/>
  <c r="CJ727" i="1"/>
  <c r="BN727" i="1"/>
  <c r="BJ727" i="1"/>
  <c r="BI727" i="1"/>
  <c r="BM727" i="1" s="1"/>
  <c r="AP727" i="1"/>
  <c r="X727" i="1" a="1"/>
  <c r="X727" i="1" s="1"/>
  <c r="U727" i="1"/>
  <c r="V727" i="1" s="1"/>
  <c r="U727" i="1" a="1"/>
  <c r="I727" i="1"/>
  <c r="I726" i="1"/>
  <c r="I725" i="1"/>
  <c r="I723" i="1"/>
  <c r="I722" i="1"/>
  <c r="I721" i="1"/>
  <c r="I720" i="1"/>
  <c r="I719" i="1"/>
  <c r="I718" i="1"/>
  <c r="X713" i="1" a="1"/>
  <c r="X713" i="1" s="1"/>
  <c r="V713" i="1"/>
  <c r="X712" i="1" a="1"/>
  <c r="X712" i="1" s="1"/>
  <c r="V712" i="1"/>
  <c r="X711" i="1"/>
  <c r="X711" i="1" a="1"/>
  <c r="V711" i="1"/>
  <c r="X709" i="1"/>
  <c r="X709" i="1" a="1"/>
  <c r="V709" i="1"/>
  <c r="X708" i="1"/>
  <c r="X708" i="1" a="1"/>
  <c r="V708" i="1"/>
  <c r="X706" i="1"/>
  <c r="X706" i="1" a="1"/>
  <c r="V706" i="1"/>
  <c r="X704" i="1" a="1"/>
  <c r="X704" i="1" s="1"/>
  <c r="V704" i="1"/>
  <c r="X703" i="1"/>
  <c r="X703" i="1" a="1"/>
  <c r="V703" i="1"/>
  <c r="X701" i="1"/>
  <c r="X701" i="1" a="1"/>
  <c r="V701" i="1"/>
  <c r="X700" i="1"/>
  <c r="X700" i="1" a="1"/>
  <c r="V700" i="1"/>
  <c r="X698" i="1"/>
  <c r="X698" i="1" a="1"/>
  <c r="V698" i="1"/>
  <c r="X697" i="1" a="1"/>
  <c r="X697" i="1" s="1"/>
  <c r="V697" i="1"/>
  <c r="X696" i="1" a="1"/>
  <c r="X696" i="1" s="1"/>
  <c r="V696" i="1"/>
  <c r="X695" i="1" a="1"/>
  <c r="X695" i="1" s="1"/>
  <c r="V695" i="1"/>
  <c r="X694" i="1" a="1"/>
  <c r="X694" i="1" s="1"/>
  <c r="V694" i="1"/>
  <c r="X692" i="1"/>
  <c r="X692" i="1" a="1"/>
  <c r="V692" i="1"/>
  <c r="X691" i="1"/>
  <c r="X691" i="1" a="1"/>
  <c r="V691" i="1"/>
  <c r="X690" i="1"/>
  <c r="X690" i="1" a="1"/>
  <c r="V690" i="1"/>
  <c r="X689" i="1" a="1"/>
  <c r="X689" i="1" s="1"/>
  <c r="V689" i="1"/>
  <c r="X687" i="1"/>
  <c r="X687" i="1" a="1"/>
  <c r="V687" i="1"/>
  <c r="X686" i="1" a="1"/>
  <c r="X686" i="1" s="1"/>
  <c r="V686" i="1"/>
  <c r="X684" i="1"/>
  <c r="X684" i="1" a="1"/>
  <c r="V684" i="1"/>
  <c r="CP683" i="1"/>
  <c r="X683" i="1" a="1"/>
  <c r="X683" i="1" s="1"/>
  <c r="V683" i="1"/>
  <c r="CP682" i="1"/>
  <c r="X682" i="1" a="1"/>
  <c r="X682" i="1" s="1"/>
  <c r="V682" i="1"/>
  <c r="CP681" i="1"/>
  <c r="AJ681" i="1"/>
  <c r="AI681" i="1"/>
  <c r="AH681" i="1"/>
  <c r="X681" i="1" a="1"/>
  <c r="X681" i="1" s="1"/>
  <c r="V681" i="1"/>
  <c r="V680" i="1"/>
  <c r="X679" i="1"/>
  <c r="X679" i="1" a="1"/>
  <c r="V679" i="1"/>
  <c r="X678" i="1" a="1"/>
  <c r="X678" i="1" s="1"/>
  <c r="V678" i="1"/>
  <c r="X677" i="1" a="1"/>
  <c r="X677" i="1" s="1"/>
  <c r="V677" i="1"/>
  <c r="X676" i="1" a="1"/>
  <c r="X676" i="1" s="1"/>
  <c r="V676" i="1"/>
  <c r="X675" i="1" a="1"/>
  <c r="X675" i="1" s="1"/>
  <c r="V675" i="1"/>
  <c r="X674" i="1" a="1"/>
  <c r="X674" i="1" s="1"/>
  <c r="V674" i="1"/>
  <c r="X673" i="1"/>
  <c r="X673" i="1" a="1"/>
  <c r="V673" i="1"/>
  <c r="X672" i="1" a="1"/>
  <c r="X672" i="1" s="1"/>
  <c r="V672" i="1"/>
  <c r="V671" i="1"/>
  <c r="X670" i="1"/>
  <c r="X670" i="1" a="1"/>
  <c r="V670" i="1"/>
  <c r="X669" i="1"/>
  <c r="X669" i="1" a="1"/>
  <c r="V669" i="1"/>
  <c r="X668" i="1" a="1"/>
  <c r="X668" i="1" s="1"/>
  <c r="V668" i="1"/>
  <c r="X667" i="1" a="1"/>
  <c r="X667" i="1" s="1"/>
  <c r="V667" i="1"/>
  <c r="X666" i="1" a="1"/>
  <c r="X666" i="1" s="1"/>
  <c r="V666" i="1"/>
  <c r="X665" i="1" a="1"/>
  <c r="X665" i="1" s="1"/>
  <c r="V665" i="1"/>
  <c r="X664" i="1" a="1"/>
  <c r="X664" i="1" s="1"/>
  <c r="V664" i="1"/>
  <c r="X663" i="1" a="1"/>
  <c r="X663" i="1" s="1"/>
  <c r="V663" i="1"/>
  <c r="X662" i="1" a="1"/>
  <c r="X662" i="1" s="1"/>
  <c r="V662" i="1"/>
  <c r="X661" i="1" a="1"/>
  <c r="X661" i="1" s="1"/>
  <c r="V661" i="1"/>
  <c r="X660" i="1" a="1"/>
  <c r="X660" i="1" s="1"/>
  <c r="V660" i="1"/>
  <c r="X659" i="1" a="1"/>
  <c r="X659" i="1" s="1"/>
  <c r="V659" i="1"/>
  <c r="X658" i="1"/>
  <c r="X658" i="1" a="1"/>
  <c r="V658" i="1"/>
  <c r="X657" i="1"/>
  <c r="X657" i="1" a="1"/>
  <c r="V657" i="1"/>
  <c r="X656" i="1" a="1"/>
  <c r="X656" i="1" s="1"/>
  <c r="V656" i="1"/>
  <c r="X655" i="1"/>
  <c r="X655" i="1" a="1"/>
  <c r="V655" i="1"/>
  <c r="X654" i="1" a="1"/>
  <c r="X654" i="1" s="1"/>
  <c r="V654" i="1"/>
  <c r="CJ653" i="1"/>
  <c r="X653" i="1" a="1"/>
  <c r="X653" i="1" s="1"/>
  <c r="V653" i="1"/>
  <c r="U653" i="1"/>
  <c r="CJ652" i="1"/>
  <c r="X652" i="1" a="1"/>
  <c r="X652" i="1" s="1"/>
  <c r="V652" i="1"/>
  <c r="U652" i="1"/>
  <c r="CJ651" i="1"/>
  <c r="X651" i="1" a="1"/>
  <c r="X651" i="1" s="1"/>
  <c r="U651" i="1"/>
  <c r="V651" i="1" s="1"/>
  <c r="X650" i="1" a="1"/>
  <c r="X650" i="1" s="1"/>
  <c r="V650" i="1"/>
  <c r="U650" i="1"/>
  <c r="X649" i="1"/>
  <c r="X649" i="1" a="1"/>
  <c r="U649" i="1"/>
  <c r="V649" i="1" s="1"/>
  <c r="X648" i="1" a="1"/>
  <c r="X648" i="1" s="1"/>
  <c r="V648" i="1"/>
  <c r="U648" i="1"/>
  <c r="X647" i="1" a="1"/>
  <c r="X647" i="1" s="1"/>
  <c r="U647" i="1"/>
  <c r="V647" i="1" s="1"/>
  <c r="X646" i="1" a="1"/>
  <c r="X646" i="1" s="1"/>
  <c r="V646" i="1"/>
  <c r="U646" i="1"/>
  <c r="CJ645" i="1"/>
  <c r="X645" i="1"/>
  <c r="X645" i="1" a="1"/>
  <c r="U645" i="1"/>
  <c r="V645" i="1" s="1"/>
  <c r="CJ644" i="1"/>
  <c r="X644" i="1"/>
  <c r="X644" i="1" a="1"/>
  <c r="U644" i="1"/>
  <c r="V644" i="1" s="1"/>
  <c r="CJ643" i="1"/>
  <c r="X643" i="1" a="1"/>
  <c r="X643" i="1" s="1"/>
  <c r="V643" i="1"/>
  <c r="U643" i="1"/>
  <c r="CJ642" i="1"/>
  <c r="X642" i="1"/>
  <c r="X642" i="1" a="1"/>
  <c r="U642" i="1"/>
  <c r="V642" i="1" s="1"/>
  <c r="CJ641" i="1"/>
  <c r="X641" i="1" a="1"/>
  <c r="X641" i="1" s="1"/>
  <c r="V641" i="1"/>
  <c r="U641" i="1"/>
  <c r="CJ640" i="1"/>
  <c r="X640" i="1"/>
  <c r="X640" i="1" a="1"/>
  <c r="U640" i="1"/>
  <c r="V640" i="1" s="1"/>
  <c r="X639" i="1"/>
  <c r="X639" i="1" a="1"/>
  <c r="U639" i="1"/>
  <c r="V639" i="1" s="1"/>
  <c r="CJ638" i="1"/>
  <c r="X638" i="1" a="1"/>
  <c r="X638" i="1" s="1"/>
  <c r="V638" i="1"/>
  <c r="U638" i="1"/>
  <c r="CJ637" i="1"/>
  <c r="X637" i="1"/>
  <c r="X637" i="1" a="1"/>
  <c r="U637" i="1"/>
  <c r="V637" i="1" s="1"/>
  <c r="CJ636" i="1"/>
  <c r="X636" i="1" a="1"/>
  <c r="X636" i="1" s="1"/>
  <c r="U636" i="1"/>
  <c r="V636" i="1" s="1"/>
  <c r="CJ635" i="1"/>
  <c r="X635" i="1" a="1"/>
  <c r="X635" i="1" s="1"/>
  <c r="V635" i="1"/>
  <c r="U635" i="1"/>
  <c r="CJ634" i="1"/>
  <c r="X634" i="1" a="1"/>
  <c r="X634" i="1" s="1"/>
  <c r="V634" i="1"/>
  <c r="U634" i="1"/>
  <c r="CJ633" i="1"/>
  <c r="X633" i="1" a="1"/>
  <c r="X633" i="1" s="1"/>
  <c r="U633" i="1"/>
  <c r="V633" i="1" s="1"/>
  <c r="CJ632" i="1"/>
  <c r="X632" i="1"/>
  <c r="X632" i="1" a="1"/>
  <c r="V632" i="1"/>
  <c r="U632" i="1"/>
  <c r="CJ631" i="1"/>
  <c r="X631" i="1" a="1"/>
  <c r="X631" i="1" s="1"/>
  <c r="U631" i="1"/>
  <c r="V631" i="1" s="1"/>
  <c r="CJ630" i="1"/>
  <c r="X630" i="1" a="1"/>
  <c r="X630" i="1" s="1"/>
  <c r="U630" i="1"/>
  <c r="V630" i="1" s="1"/>
  <c r="CJ629" i="1"/>
  <c r="X629" i="1"/>
  <c r="X629" i="1" a="1"/>
  <c r="U629" i="1"/>
  <c r="V629" i="1" s="1"/>
  <c r="X628" i="1" a="1"/>
  <c r="X628" i="1" s="1"/>
  <c r="V628" i="1"/>
  <c r="U628" i="1"/>
  <c r="CJ627" i="1"/>
  <c r="X627" i="1"/>
  <c r="X627" i="1" a="1"/>
  <c r="U627" i="1"/>
  <c r="V627" i="1" s="1"/>
  <c r="CJ626" i="1"/>
  <c r="X626" i="1" a="1"/>
  <c r="X626" i="1" s="1"/>
  <c r="V626" i="1"/>
  <c r="U626" i="1"/>
  <c r="CJ625" i="1"/>
  <c r="X625" i="1"/>
  <c r="X625" i="1" a="1"/>
  <c r="U625" i="1"/>
  <c r="V625" i="1" s="1"/>
  <c r="CJ624" i="1"/>
  <c r="X624" i="1" a="1"/>
  <c r="X624" i="1" s="1"/>
  <c r="U624" i="1"/>
  <c r="V624" i="1" s="1"/>
  <c r="CJ623" i="1"/>
  <c r="X623" i="1"/>
  <c r="X623" i="1" a="1"/>
  <c r="U623" i="1"/>
  <c r="V623" i="1" s="1"/>
  <c r="CJ622" i="1"/>
  <c r="X622" i="1" a="1"/>
  <c r="X622" i="1" s="1"/>
  <c r="U622" i="1"/>
  <c r="V622" i="1" s="1"/>
  <c r="CJ621" i="1"/>
  <c r="X621" i="1" a="1"/>
  <c r="X621" i="1" s="1"/>
  <c r="U621" i="1"/>
  <c r="V621" i="1" s="1"/>
  <c r="CJ620" i="1"/>
  <c r="X620" i="1" a="1"/>
  <c r="X620" i="1" s="1"/>
  <c r="U620" i="1"/>
  <c r="V620" i="1" s="1"/>
  <c r="CJ619" i="1"/>
  <c r="X619" i="1" a="1"/>
  <c r="X619" i="1" s="1"/>
  <c r="V619" i="1"/>
  <c r="U619" i="1"/>
  <c r="CJ618" i="1"/>
  <c r="X618" i="1" a="1"/>
  <c r="X618" i="1" s="1"/>
  <c r="V618" i="1"/>
  <c r="U618" i="1"/>
  <c r="CJ617" i="1"/>
  <c r="X617" i="1"/>
  <c r="X617" i="1" a="1"/>
  <c r="U617" i="1"/>
  <c r="V617" i="1" s="1"/>
  <c r="CJ616" i="1"/>
  <c r="X616" i="1" a="1"/>
  <c r="X616" i="1" s="1"/>
  <c r="V616" i="1"/>
  <c r="U616" i="1"/>
  <c r="CJ615" i="1"/>
  <c r="X615" i="1" a="1"/>
  <c r="X615" i="1" s="1"/>
  <c r="V615" i="1"/>
  <c r="U615" i="1"/>
  <c r="CJ614" i="1"/>
  <c r="X614" i="1" a="1"/>
  <c r="X614" i="1" s="1"/>
  <c r="V614" i="1"/>
  <c r="U614" i="1"/>
  <c r="CJ613" i="1"/>
  <c r="X613" i="1"/>
  <c r="X613" i="1" a="1"/>
  <c r="U613" i="1"/>
  <c r="V613" i="1" s="1"/>
  <c r="X612" i="1"/>
  <c r="X612" i="1" a="1"/>
  <c r="U612" i="1"/>
  <c r="V612" i="1" s="1"/>
  <c r="CJ611" i="1"/>
  <c r="X611" i="1" a="1"/>
  <c r="X611" i="1" s="1"/>
  <c r="U611" i="1"/>
  <c r="V611" i="1" s="1"/>
  <c r="CJ610" i="1"/>
  <c r="X610" i="1"/>
  <c r="X610" i="1" a="1"/>
  <c r="U610" i="1"/>
  <c r="V610" i="1" s="1"/>
  <c r="CJ609" i="1"/>
  <c r="X609" i="1" a="1"/>
  <c r="X609" i="1" s="1"/>
  <c r="V609" i="1"/>
  <c r="U609" i="1"/>
  <c r="CJ608" i="1"/>
  <c r="X608" i="1"/>
  <c r="X608" i="1" a="1"/>
  <c r="U608" i="1"/>
  <c r="V608" i="1" s="1"/>
  <c r="CJ607" i="1"/>
  <c r="X607" i="1"/>
  <c r="X607" i="1" a="1"/>
  <c r="U607" i="1"/>
  <c r="V607" i="1" s="1"/>
  <c r="CJ606" i="1"/>
  <c r="X606" i="1" a="1"/>
  <c r="X606" i="1" s="1"/>
  <c r="V606" i="1"/>
  <c r="U606" i="1"/>
  <c r="X605" i="1" a="1"/>
  <c r="X605" i="1" s="1"/>
  <c r="U605" i="1"/>
  <c r="V605" i="1" s="1"/>
  <c r="X604" i="1"/>
  <c r="X604" i="1" a="1"/>
  <c r="U604" i="1"/>
  <c r="V604" i="1" s="1"/>
  <c r="CJ603" i="1"/>
  <c r="X603" i="1"/>
  <c r="X603" i="1" a="1"/>
  <c r="V603" i="1"/>
  <c r="U603" i="1"/>
  <c r="CJ602" i="1"/>
  <c r="X602" i="1"/>
  <c r="X602" i="1" a="1"/>
  <c r="U602" i="1"/>
  <c r="V602" i="1" s="1"/>
  <c r="CJ601" i="1"/>
  <c r="CJ600" i="1"/>
  <c r="U600" i="1"/>
  <c r="V600" i="1" s="1"/>
  <c r="CJ599" i="1"/>
  <c r="X599" i="1" a="1"/>
  <c r="X599" i="1" s="1"/>
  <c r="V599" i="1"/>
  <c r="U599" i="1"/>
  <c r="X598" i="1" a="1"/>
  <c r="X598" i="1" s="1"/>
  <c r="U598" i="1"/>
  <c r="V598" i="1" s="1"/>
  <c r="CJ597" i="1"/>
  <c r="X597" i="1"/>
  <c r="X597" i="1" a="1"/>
  <c r="U597" i="1"/>
  <c r="V597" i="1" s="1"/>
  <c r="X596" i="1" a="1"/>
  <c r="X596" i="1" s="1"/>
  <c r="V596" i="1"/>
  <c r="U596" i="1"/>
  <c r="CJ595" i="1"/>
  <c r="X595" i="1" a="1"/>
  <c r="X595" i="1" s="1"/>
  <c r="V595" i="1"/>
  <c r="U595" i="1"/>
  <c r="CJ594" i="1"/>
  <c r="X594" i="1" a="1"/>
  <c r="X594" i="1" s="1"/>
  <c r="U594" i="1"/>
  <c r="V594" i="1" s="1"/>
  <c r="X593" i="1" a="1"/>
  <c r="X593" i="1" s="1"/>
  <c r="U593" i="1"/>
  <c r="V593" i="1" s="1"/>
  <c r="CJ592" i="1"/>
  <c r="X592" i="1" a="1"/>
  <c r="X592" i="1" s="1"/>
  <c r="U592" i="1"/>
  <c r="V592" i="1" s="1"/>
  <c r="CJ591" i="1"/>
  <c r="X591" i="1"/>
  <c r="X591" i="1" a="1"/>
  <c r="U591" i="1"/>
  <c r="V591" i="1" s="1"/>
  <c r="CJ590" i="1"/>
  <c r="X590" i="1" a="1"/>
  <c r="X590" i="1" s="1"/>
  <c r="V590" i="1"/>
  <c r="U590" i="1"/>
  <c r="X589" i="1" a="1"/>
  <c r="X589" i="1" s="1"/>
  <c r="V589" i="1"/>
  <c r="U589" i="1"/>
  <c r="X588" i="1" a="1"/>
  <c r="X588" i="1" s="1"/>
  <c r="V588" i="1"/>
  <c r="U588" i="1"/>
  <c r="X587" i="1" a="1"/>
  <c r="X587" i="1" s="1"/>
  <c r="V587" i="1"/>
  <c r="U587" i="1"/>
  <c r="X586" i="1" a="1"/>
  <c r="X586" i="1" s="1"/>
  <c r="U586" i="1"/>
  <c r="V586" i="1" s="1"/>
  <c r="X585" i="1" a="1"/>
  <c r="X585" i="1" s="1"/>
  <c r="V585" i="1"/>
  <c r="U585" i="1"/>
  <c r="X584" i="1" a="1"/>
  <c r="X584" i="1" s="1"/>
  <c r="U584" i="1"/>
  <c r="V584" i="1" s="1"/>
  <c r="V583" i="1"/>
  <c r="U583" i="1"/>
  <c r="V582" i="1"/>
  <c r="U582" i="1"/>
  <c r="CJ581" i="1"/>
  <c r="CJ580" i="1"/>
  <c r="X580" i="1"/>
  <c r="X580" i="1" a="1"/>
  <c r="V580" i="1"/>
  <c r="U580" i="1"/>
  <c r="X579" i="1"/>
  <c r="X579" i="1" a="1"/>
  <c r="U579" i="1"/>
  <c r="V579" i="1" s="1"/>
  <c r="CJ578" i="1"/>
  <c r="X578" i="1"/>
  <c r="X578" i="1" a="1"/>
  <c r="V578" i="1"/>
  <c r="U578" i="1"/>
  <c r="CJ577" i="1"/>
  <c r="X577" i="1"/>
  <c r="X577" i="1" a="1"/>
  <c r="U577" i="1"/>
  <c r="V577" i="1" s="1"/>
  <c r="CJ576" i="1"/>
  <c r="X575" i="1" a="1"/>
  <c r="X575" i="1" s="1"/>
  <c r="V575" i="1"/>
  <c r="U575" i="1"/>
  <c r="X574" i="1" a="1"/>
  <c r="X574" i="1" s="1"/>
  <c r="V574" i="1"/>
  <c r="U574" i="1"/>
  <c r="X573" i="1"/>
  <c r="X573" i="1" a="1"/>
  <c r="U573" i="1"/>
  <c r="V573" i="1" s="1"/>
  <c r="X572" i="1"/>
  <c r="X572" i="1" a="1"/>
  <c r="U572" i="1"/>
  <c r="V572" i="1" s="1"/>
  <c r="CJ571" i="1"/>
  <c r="CJ570" i="1"/>
  <c r="X570" i="1" a="1"/>
  <c r="X570" i="1" s="1"/>
  <c r="U570" i="1"/>
  <c r="V570" i="1" s="1"/>
  <c r="CJ569" i="1"/>
  <c r="CJ568" i="1"/>
  <c r="X568" i="1" a="1"/>
  <c r="X568" i="1" s="1"/>
  <c r="V568" i="1"/>
  <c r="U568" i="1"/>
  <c r="X567" i="1" a="1"/>
  <c r="X567" i="1" s="1"/>
  <c r="U567" i="1"/>
  <c r="V567" i="1" s="1"/>
  <c r="CP566" i="1"/>
  <c r="X566" i="1" a="1"/>
  <c r="X566" i="1" s="1"/>
  <c r="U566" i="1"/>
  <c r="V566" i="1" s="1"/>
  <c r="X565" i="1"/>
  <c r="X565" i="1" a="1"/>
  <c r="U565" i="1"/>
  <c r="V565" i="1" s="1"/>
  <c r="X564" i="1"/>
  <c r="X564" i="1" a="1"/>
  <c r="U564" i="1"/>
  <c r="V564" i="1" s="1"/>
  <c r="X563" i="1"/>
  <c r="X563" i="1" a="1"/>
  <c r="U563" i="1"/>
  <c r="V563" i="1" s="1"/>
  <c r="X562" i="1" a="1"/>
  <c r="X562" i="1" s="1"/>
  <c r="U562" i="1"/>
  <c r="V562" i="1" s="1"/>
  <c r="X561" i="1"/>
  <c r="X561" i="1" a="1"/>
  <c r="U561" i="1"/>
  <c r="V561" i="1" s="1"/>
  <c r="X560" i="1" a="1"/>
  <c r="X560" i="1" s="1"/>
  <c r="V560" i="1"/>
  <c r="U560" i="1"/>
  <c r="CJ559" i="1"/>
  <c r="X559" i="1" a="1"/>
  <c r="X559" i="1" s="1"/>
  <c r="V559" i="1"/>
  <c r="U559" i="1"/>
  <c r="X558" i="1" a="1"/>
  <c r="X558" i="1" s="1"/>
  <c r="V558" i="1"/>
  <c r="U558" i="1"/>
  <c r="X557" i="1" a="1"/>
  <c r="X557" i="1" s="1"/>
  <c r="U557" i="1"/>
  <c r="V557" i="1" s="1"/>
  <c r="X556" i="1" a="1"/>
  <c r="X556" i="1" s="1"/>
  <c r="V556" i="1"/>
  <c r="U556" i="1"/>
  <c r="CJ555" i="1"/>
  <c r="X555" i="1"/>
  <c r="X555" i="1" a="1"/>
  <c r="U555" i="1"/>
  <c r="V555" i="1" s="1"/>
  <c r="CP554" i="1"/>
  <c r="X554" i="1" a="1"/>
  <c r="X554" i="1" s="1"/>
  <c r="V554" i="1"/>
  <c r="U554" i="1"/>
  <c r="U553" i="1"/>
  <c r="V553" i="1" s="1"/>
  <c r="X552" i="1" a="1"/>
  <c r="X552" i="1" s="1"/>
  <c r="V552" i="1"/>
  <c r="U552" i="1"/>
  <c r="CJ551" i="1"/>
  <c r="X551" i="1" a="1"/>
  <c r="X551" i="1" s="1"/>
  <c r="U551" i="1"/>
  <c r="V551" i="1" s="1"/>
  <c r="CJ550" i="1"/>
  <c r="X550" i="1"/>
  <c r="X550" i="1" a="1"/>
  <c r="U550" i="1"/>
  <c r="V550" i="1" s="1"/>
  <c r="X549" i="1"/>
  <c r="X549" i="1" a="1"/>
  <c r="U549" i="1"/>
  <c r="V549" i="1" s="1"/>
  <c r="CJ548" i="1"/>
  <c r="X548" i="1" a="1"/>
  <c r="X548" i="1" s="1"/>
  <c r="U548" i="1"/>
  <c r="V548" i="1" s="1"/>
  <c r="CJ547" i="1"/>
  <c r="CJ546" i="1"/>
  <c r="CJ545" i="1"/>
  <c r="X545" i="1" a="1"/>
  <c r="X545" i="1" s="1"/>
  <c r="U545" i="1"/>
  <c r="V545" i="1" s="1"/>
  <c r="CJ544" i="1"/>
  <c r="X544" i="1"/>
  <c r="X544" i="1" a="1"/>
  <c r="U544" i="1"/>
  <c r="V544" i="1" s="1"/>
  <c r="CJ543" i="1"/>
  <c r="X543" i="1" a="1"/>
  <c r="X543" i="1" s="1"/>
  <c r="U543" i="1"/>
  <c r="V543" i="1" s="1"/>
  <c r="CJ542" i="1"/>
  <c r="X542" i="1" a="1"/>
  <c r="X542" i="1" s="1"/>
  <c r="U542" i="1"/>
  <c r="V542" i="1" s="1"/>
  <c r="CJ541" i="1"/>
  <c r="X541" i="1" a="1"/>
  <c r="X541" i="1" s="1"/>
  <c r="V541" i="1"/>
  <c r="U541" i="1"/>
  <c r="X540" i="1" a="1"/>
  <c r="X540" i="1" s="1"/>
  <c r="U540" i="1"/>
  <c r="V540" i="1" s="1"/>
  <c r="CJ539" i="1"/>
  <c r="X538" i="1"/>
  <c r="X538" i="1" a="1"/>
  <c r="U538" i="1"/>
  <c r="V538" i="1" s="1"/>
  <c r="X537" i="1" a="1"/>
  <c r="X537" i="1" s="1"/>
  <c r="U537" i="1"/>
  <c r="V537" i="1" s="1"/>
  <c r="X536" i="1"/>
  <c r="X536" i="1" a="1"/>
  <c r="U536" i="1"/>
  <c r="V536" i="1" s="1"/>
  <c r="CJ535" i="1"/>
  <c r="CJ533" i="1"/>
  <c r="X533" i="1" a="1"/>
  <c r="X533" i="1" s="1"/>
  <c r="U533" i="1"/>
  <c r="V533" i="1" s="1"/>
  <c r="X532" i="1" a="1"/>
  <c r="X532" i="1" s="1"/>
  <c r="U532" i="1"/>
  <c r="V532" i="1" s="1"/>
  <c r="CJ531" i="1"/>
  <c r="X531" i="1" a="1"/>
  <c r="X531" i="1" s="1"/>
  <c r="V531" i="1"/>
  <c r="U531" i="1"/>
  <c r="CJ530" i="1"/>
  <c r="X530" i="1"/>
  <c r="X530" i="1" a="1"/>
  <c r="U530" i="1"/>
  <c r="V530" i="1" s="1"/>
  <c r="X529" i="1" a="1"/>
  <c r="X529" i="1" s="1"/>
  <c r="U529" i="1"/>
  <c r="V529" i="1" s="1"/>
  <c r="X528" i="1"/>
  <c r="X528" i="1" a="1"/>
  <c r="U528" i="1"/>
  <c r="V528" i="1" s="1"/>
  <c r="X527" i="1" a="1"/>
  <c r="X527" i="1" s="1"/>
  <c r="U527" i="1"/>
  <c r="V527" i="1" s="1"/>
  <c r="X526" i="1" a="1"/>
  <c r="X526" i="1" s="1"/>
  <c r="U526" i="1"/>
  <c r="V526" i="1" s="1"/>
  <c r="X525" i="1" a="1"/>
  <c r="X525" i="1" s="1"/>
  <c r="V525" i="1"/>
  <c r="U525" i="1"/>
  <c r="CJ524" i="1"/>
  <c r="X524" i="1" a="1"/>
  <c r="X524" i="1" s="1"/>
  <c r="U524" i="1"/>
  <c r="V524" i="1" s="1"/>
  <c r="X523" i="1" a="1"/>
  <c r="X523" i="1" s="1"/>
  <c r="U523" i="1"/>
  <c r="V523" i="1" s="1"/>
  <c r="X522" i="1" a="1"/>
  <c r="X522" i="1" s="1"/>
  <c r="U522" i="1"/>
  <c r="V522" i="1" s="1"/>
  <c r="CJ521" i="1"/>
  <c r="X521" i="1" a="1"/>
  <c r="X521" i="1" s="1"/>
  <c r="CJ520" i="1"/>
  <c r="X520" i="1"/>
  <c r="X520" i="1" a="1"/>
  <c r="U520" i="1"/>
  <c r="V520" i="1" s="1"/>
  <c r="CJ519" i="1"/>
  <c r="X519" i="1" a="1"/>
  <c r="X519" i="1" s="1"/>
  <c r="U519" i="1"/>
  <c r="V519" i="1" s="1"/>
  <c r="X518" i="1" a="1"/>
  <c r="X518" i="1" s="1"/>
  <c r="U518" i="1"/>
  <c r="V518" i="1" s="1"/>
  <c r="CJ517" i="1"/>
  <c r="X517" i="1" a="1"/>
  <c r="X517" i="1" s="1"/>
  <c r="X516" i="1"/>
  <c r="X516" i="1" a="1"/>
  <c r="V516" i="1"/>
  <c r="U516" i="1"/>
  <c r="CJ515" i="1"/>
  <c r="X515" i="1"/>
  <c r="X515" i="1" a="1"/>
  <c r="CJ514" i="1"/>
  <c r="X514" i="1" a="1"/>
  <c r="X514" i="1" s="1"/>
  <c r="U514" i="1"/>
  <c r="V514" i="1" s="1"/>
  <c r="X513" i="1" a="1"/>
  <c r="X513" i="1" s="1"/>
  <c r="V513" i="1"/>
  <c r="U513" i="1"/>
  <c r="CJ512" i="1"/>
  <c r="X512" i="1" a="1"/>
  <c r="X512" i="1" s="1"/>
  <c r="V512" i="1"/>
  <c r="U512" i="1"/>
  <c r="X511" i="1" a="1"/>
  <c r="X511" i="1" s="1"/>
  <c r="U511" i="1"/>
  <c r="V511" i="1" s="1"/>
  <c r="CJ510" i="1"/>
  <c r="U510" i="1"/>
  <c r="V510" i="1" s="1"/>
  <c r="X509" i="1"/>
  <c r="X509" i="1" a="1"/>
  <c r="U509" i="1"/>
  <c r="V509" i="1" s="1"/>
  <c r="X508" i="1" a="1"/>
  <c r="X508" i="1" s="1"/>
  <c r="U508" i="1"/>
  <c r="V508" i="1" s="1"/>
  <c r="CJ507" i="1"/>
  <c r="X507" i="1" a="1"/>
  <c r="X507" i="1" s="1"/>
  <c r="U507" i="1"/>
  <c r="V507" i="1" s="1"/>
  <c r="CJ506" i="1"/>
  <c r="X506" i="1" a="1"/>
  <c r="X506" i="1" s="1"/>
  <c r="V506" i="1"/>
  <c r="U506" i="1"/>
  <c r="CJ505" i="1"/>
  <c r="X505" i="1" a="1"/>
  <c r="X505" i="1" s="1"/>
  <c r="V505" i="1"/>
  <c r="U505" i="1"/>
  <c r="CJ504" i="1"/>
  <c r="X504" i="1"/>
  <c r="X504" i="1" a="1"/>
  <c r="V504" i="1"/>
  <c r="U504" i="1"/>
  <c r="CJ503" i="1"/>
  <c r="CJ502" i="1"/>
  <c r="X502" i="1"/>
  <c r="X502" i="1" a="1"/>
  <c r="U502" i="1"/>
  <c r="V502" i="1" s="1"/>
  <c r="CJ501" i="1"/>
  <c r="X501" i="1" a="1"/>
  <c r="X501" i="1" s="1"/>
  <c r="V501" i="1"/>
  <c r="U501" i="1"/>
  <c r="CJ500" i="1"/>
  <c r="X500" i="1" a="1"/>
  <c r="X500" i="1" s="1"/>
  <c r="V500" i="1"/>
  <c r="U500" i="1"/>
  <c r="CJ499" i="1"/>
  <c r="X499" i="1" a="1"/>
  <c r="X499" i="1" s="1"/>
  <c r="U499" i="1"/>
  <c r="V499" i="1" s="1"/>
  <c r="CJ498" i="1"/>
  <c r="X498" i="1" a="1"/>
  <c r="X498" i="1" s="1"/>
  <c r="U498" i="1"/>
  <c r="V498" i="1" s="1"/>
  <c r="CJ497" i="1"/>
  <c r="X497" i="1"/>
  <c r="X497" i="1" a="1"/>
  <c r="U497" i="1"/>
  <c r="V497" i="1" s="1"/>
  <c r="CJ494" i="1"/>
  <c r="X494" i="1" a="1"/>
  <c r="X494" i="1" s="1"/>
  <c r="U494" i="1"/>
  <c r="V494" i="1" s="1"/>
  <c r="CJ493" i="1"/>
  <c r="AX493" i="1"/>
  <c r="X493" i="1"/>
  <c r="X493" i="1" a="1"/>
  <c r="V493" i="1"/>
  <c r="J493" i="1"/>
  <c r="CJ492" i="1"/>
  <c r="X492" i="1" a="1"/>
  <c r="X492" i="1" s="1"/>
  <c r="V492" i="1"/>
  <c r="J492" i="1"/>
  <c r="CJ491" i="1"/>
  <c r="X491" i="1"/>
  <c r="X491" i="1" a="1"/>
  <c r="V491" i="1"/>
  <c r="J491" i="1"/>
  <c r="CJ490" i="1"/>
  <c r="X490" i="1"/>
  <c r="X490" i="1" a="1"/>
  <c r="V490" i="1"/>
  <c r="J490" i="1"/>
  <c r="CJ489" i="1"/>
  <c r="J489" i="1"/>
  <c r="CJ488" i="1"/>
  <c r="X488" i="1"/>
  <c r="X488" i="1" a="1"/>
  <c r="V488" i="1"/>
  <c r="J488" i="1"/>
  <c r="CJ487" i="1"/>
  <c r="X487" i="1" a="1"/>
  <c r="X487" i="1" s="1"/>
  <c r="V487" i="1"/>
  <c r="J487" i="1"/>
  <c r="CJ486" i="1"/>
  <c r="X486" i="1" a="1"/>
  <c r="X486" i="1" s="1"/>
  <c r="V486" i="1"/>
  <c r="J486" i="1"/>
  <c r="CJ485" i="1"/>
  <c r="X485" i="1" a="1"/>
  <c r="X485" i="1" s="1"/>
  <c r="V485" i="1"/>
  <c r="J485" i="1"/>
  <c r="CJ484" i="1"/>
  <c r="X484" i="1" a="1"/>
  <c r="X484" i="1" s="1"/>
  <c r="V484" i="1"/>
  <c r="J484" i="1"/>
  <c r="CJ483" i="1"/>
  <c r="X483" i="1" a="1"/>
  <c r="X483" i="1" s="1"/>
  <c r="V483" i="1"/>
  <c r="J483" i="1"/>
  <c r="CJ482" i="1"/>
  <c r="X482" i="1" a="1"/>
  <c r="X482" i="1" s="1"/>
  <c r="V482" i="1"/>
  <c r="J482" i="1"/>
  <c r="CJ481" i="1"/>
  <c r="X481" i="1"/>
  <c r="X481" i="1" a="1"/>
  <c r="V481" i="1"/>
  <c r="J481" i="1"/>
  <c r="CJ480" i="1"/>
  <c r="X480" i="1" a="1"/>
  <c r="X480" i="1" s="1"/>
  <c r="V480" i="1"/>
  <c r="J480" i="1"/>
  <c r="CJ479" i="1"/>
  <c r="X479" i="1"/>
  <c r="X479" i="1" a="1"/>
  <c r="V479" i="1"/>
  <c r="J479" i="1"/>
  <c r="CJ478" i="1"/>
  <c r="X478" i="1" a="1"/>
  <c r="X478" i="1" s="1"/>
  <c r="V478" i="1"/>
  <c r="J478" i="1"/>
  <c r="J477" i="1"/>
  <c r="CJ476" i="1"/>
  <c r="X476" i="1"/>
  <c r="X476" i="1" a="1"/>
  <c r="V476" i="1"/>
  <c r="J476" i="1"/>
  <c r="CJ475" i="1"/>
  <c r="X475" i="1" a="1"/>
  <c r="X475" i="1" s="1"/>
  <c r="V475" i="1"/>
  <c r="J475" i="1"/>
  <c r="CJ474" i="1"/>
  <c r="X474" i="1" a="1"/>
  <c r="X474" i="1" s="1"/>
  <c r="V474" i="1"/>
  <c r="J474" i="1"/>
  <c r="J473" i="1"/>
  <c r="CJ472" i="1"/>
  <c r="J472" i="1"/>
  <c r="CJ471" i="1"/>
  <c r="X471" i="1" a="1"/>
  <c r="X471" i="1" s="1"/>
  <c r="V471" i="1"/>
  <c r="CJ470" i="1"/>
  <c r="X470" i="1"/>
  <c r="X470" i="1" a="1"/>
  <c r="V470" i="1"/>
  <c r="J470" i="1"/>
  <c r="X469" i="1" a="1"/>
  <c r="X469" i="1" s="1"/>
  <c r="V469" i="1"/>
  <c r="J469" i="1"/>
  <c r="X468" i="1"/>
  <c r="X468" i="1" a="1"/>
  <c r="V468" i="1"/>
  <c r="J468" i="1"/>
  <c r="CJ467" i="1"/>
  <c r="X467" i="1" a="1"/>
  <c r="X467" i="1" s="1"/>
  <c r="V467" i="1"/>
  <c r="J467" i="1"/>
  <c r="X466" i="1" a="1"/>
  <c r="X466" i="1" s="1"/>
  <c r="V466" i="1"/>
  <c r="J466" i="1"/>
  <c r="X465" i="1" a="1"/>
  <c r="X465" i="1" s="1"/>
  <c r="V465" i="1"/>
  <c r="X464" i="1" a="1"/>
  <c r="X464" i="1" s="1"/>
  <c r="V464" i="1"/>
  <c r="J464" i="1"/>
  <c r="X463" i="1" a="1"/>
  <c r="X463" i="1" s="1"/>
  <c r="V463" i="1"/>
  <c r="J463" i="1"/>
  <c r="CJ462" i="1"/>
  <c r="X462" i="1" a="1"/>
  <c r="X462" i="1" s="1"/>
  <c r="V462" i="1"/>
  <c r="J462" i="1"/>
  <c r="X461" i="1" a="1"/>
  <c r="X461" i="1" s="1"/>
  <c r="V461" i="1"/>
  <c r="J461" i="1"/>
  <c r="CJ460" i="1"/>
  <c r="X460" i="1" a="1"/>
  <c r="X460" i="1" s="1"/>
  <c r="V460" i="1"/>
  <c r="J460" i="1"/>
  <c r="X459" i="1"/>
  <c r="X459" i="1" a="1"/>
  <c r="V459" i="1"/>
  <c r="J459" i="1"/>
  <c r="X458" i="1"/>
  <c r="X458" i="1" a="1"/>
  <c r="V458" i="1"/>
  <c r="J458" i="1"/>
  <c r="X457" i="1" a="1"/>
  <c r="X457" i="1" s="1"/>
  <c r="V457" i="1"/>
  <c r="J457" i="1"/>
  <c r="CJ456" i="1"/>
  <c r="X456" i="1" a="1"/>
  <c r="X456" i="1" s="1"/>
  <c r="V456" i="1"/>
  <c r="J456" i="1"/>
  <c r="CJ455" i="1"/>
  <c r="X455" i="1" a="1"/>
  <c r="X455" i="1" s="1"/>
  <c r="V455" i="1"/>
  <c r="J455" i="1"/>
  <c r="X454" i="1" a="1"/>
  <c r="X454" i="1" s="1"/>
  <c r="V454" i="1"/>
  <c r="J454" i="1"/>
  <c r="CJ453" i="1"/>
  <c r="X453" i="1" a="1"/>
  <c r="X453" i="1" s="1"/>
  <c r="V453" i="1"/>
  <c r="J453" i="1"/>
  <c r="X452" i="1" a="1"/>
  <c r="X452" i="1" s="1"/>
  <c r="V452" i="1"/>
  <c r="J452" i="1"/>
  <c r="X451" i="1" a="1"/>
  <c r="X451" i="1" s="1"/>
  <c r="V451" i="1"/>
  <c r="J451" i="1"/>
  <c r="CJ450" i="1"/>
  <c r="X450" i="1"/>
  <c r="X450" i="1" a="1"/>
  <c r="V450" i="1"/>
  <c r="J450" i="1"/>
  <c r="CJ449" i="1"/>
  <c r="X449" i="1" a="1"/>
  <c r="X449" i="1" s="1"/>
  <c r="V449" i="1"/>
  <c r="J449" i="1"/>
  <c r="CJ448" i="1"/>
  <c r="X448" i="1"/>
  <c r="X448" i="1" a="1"/>
  <c r="V448" i="1"/>
  <c r="J448" i="1"/>
  <c r="CJ447" i="1"/>
  <c r="X447" i="1" a="1"/>
  <c r="X447" i="1" s="1"/>
  <c r="V447" i="1"/>
  <c r="J447" i="1"/>
  <c r="CJ446" i="1"/>
  <c r="X446" i="1" a="1"/>
  <c r="X446" i="1" s="1"/>
  <c r="V446" i="1"/>
  <c r="J446" i="1"/>
  <c r="CJ445" i="1"/>
  <c r="J445" i="1"/>
  <c r="CJ444" i="1"/>
  <c r="X444" i="1"/>
  <c r="X444" i="1" a="1"/>
  <c r="V444" i="1"/>
  <c r="J444" i="1"/>
  <c r="CJ443" i="1"/>
  <c r="X443" i="1" a="1"/>
  <c r="X443" i="1" s="1"/>
  <c r="V443" i="1"/>
  <c r="J443" i="1"/>
  <c r="CJ442" i="1"/>
  <c r="X442" i="1"/>
  <c r="X442" i="1" a="1"/>
  <c r="V442" i="1"/>
  <c r="J442" i="1"/>
  <c r="CJ441" i="1"/>
  <c r="J441" i="1"/>
  <c r="CJ440" i="1"/>
  <c r="J440" i="1"/>
  <c r="CJ439" i="1"/>
  <c r="J439" i="1"/>
  <c r="CJ438" i="1"/>
  <c r="X438" i="1" a="1"/>
  <c r="X438" i="1" s="1"/>
  <c r="V438" i="1"/>
  <c r="J438" i="1"/>
  <c r="CJ437" i="1"/>
  <c r="X437" i="1" a="1"/>
  <c r="X437" i="1" s="1"/>
  <c r="V437" i="1"/>
  <c r="J437" i="1"/>
  <c r="CJ436" i="1"/>
  <c r="J436" i="1"/>
  <c r="CJ435" i="1"/>
  <c r="J435" i="1"/>
  <c r="CJ434" i="1"/>
  <c r="X434" i="1" a="1"/>
  <c r="X434" i="1" s="1"/>
  <c r="V434" i="1"/>
  <c r="J434" i="1"/>
  <c r="CJ433" i="1"/>
  <c r="X433" i="1"/>
  <c r="X433" i="1" a="1"/>
  <c r="V433" i="1"/>
  <c r="J433" i="1"/>
  <c r="CJ432" i="1"/>
  <c r="V432" i="1"/>
  <c r="J432" i="1"/>
  <c r="CJ431" i="1"/>
  <c r="X431" i="1"/>
  <c r="X431" i="1" a="1"/>
  <c r="V431" i="1"/>
  <c r="J431" i="1"/>
  <c r="CJ430" i="1"/>
  <c r="J430" i="1"/>
  <c r="CJ429" i="1"/>
  <c r="J429" i="1"/>
  <c r="CJ428" i="1"/>
  <c r="J428" i="1"/>
  <c r="CJ427" i="1"/>
  <c r="X427" i="1" a="1"/>
  <c r="X427" i="1" s="1"/>
  <c r="V427" i="1"/>
  <c r="J427" i="1"/>
  <c r="CJ426" i="1"/>
  <c r="X426" i="1" a="1"/>
  <c r="X426" i="1" s="1"/>
  <c r="V426" i="1"/>
  <c r="J426" i="1"/>
  <c r="CJ425" i="1"/>
  <c r="X425" i="1" a="1"/>
  <c r="X425" i="1" s="1"/>
  <c r="V425" i="1"/>
  <c r="J425" i="1"/>
  <c r="CJ424" i="1"/>
  <c r="X424" i="1" a="1"/>
  <c r="X424" i="1" s="1"/>
  <c r="V424" i="1"/>
  <c r="J424" i="1"/>
  <c r="CJ423" i="1"/>
  <c r="X423" i="1" a="1"/>
  <c r="X423" i="1" s="1"/>
  <c r="V423" i="1"/>
  <c r="J423" i="1"/>
  <c r="CJ422" i="1"/>
  <c r="X422" i="1" a="1"/>
  <c r="X422" i="1" s="1"/>
  <c r="V422" i="1"/>
  <c r="J422" i="1"/>
  <c r="CJ421" i="1"/>
  <c r="X421" i="1" a="1"/>
  <c r="X421" i="1" s="1"/>
  <c r="V421" i="1"/>
  <c r="J421" i="1"/>
  <c r="CJ420" i="1"/>
  <c r="J420" i="1"/>
  <c r="CJ419" i="1"/>
  <c r="X419" i="1" a="1"/>
  <c r="X419" i="1" s="1"/>
  <c r="V419" i="1"/>
  <c r="J419" i="1"/>
  <c r="CJ418" i="1"/>
  <c r="X418" i="1" a="1"/>
  <c r="X418" i="1" s="1"/>
  <c r="V418" i="1"/>
  <c r="J418" i="1"/>
  <c r="CJ417" i="1"/>
  <c r="X417" i="1"/>
  <c r="X417" i="1" a="1"/>
  <c r="V417" i="1"/>
  <c r="J417" i="1"/>
  <c r="CJ416" i="1"/>
  <c r="X416" i="1" a="1"/>
  <c r="X416" i="1" s="1"/>
  <c r="V416" i="1"/>
  <c r="J416" i="1"/>
  <c r="CJ415" i="1"/>
  <c r="X415" i="1" a="1"/>
  <c r="X415" i="1" s="1"/>
  <c r="V415" i="1"/>
  <c r="J415" i="1"/>
  <c r="CJ414" i="1"/>
  <c r="X414" i="1" a="1"/>
  <c r="X414" i="1" s="1"/>
  <c r="V414" i="1"/>
  <c r="J414" i="1"/>
  <c r="CJ413" i="1"/>
  <c r="X413" i="1" a="1"/>
  <c r="X413" i="1" s="1"/>
  <c r="V413" i="1"/>
  <c r="J413" i="1"/>
  <c r="CJ412" i="1"/>
  <c r="X412" i="1" a="1"/>
  <c r="X412" i="1" s="1"/>
  <c r="V412" i="1"/>
  <c r="J412" i="1"/>
  <c r="CJ411" i="1"/>
  <c r="X411" i="1" a="1"/>
  <c r="X411" i="1" s="1"/>
  <c r="V411" i="1"/>
  <c r="J411" i="1"/>
  <c r="CJ410" i="1"/>
  <c r="X410" i="1" a="1"/>
  <c r="X410" i="1" s="1"/>
  <c r="V410" i="1"/>
  <c r="J410" i="1"/>
  <c r="CJ409" i="1"/>
  <c r="J409" i="1"/>
  <c r="CJ408" i="1"/>
  <c r="X408" i="1" a="1"/>
  <c r="X408" i="1" s="1"/>
  <c r="V408" i="1"/>
  <c r="J408" i="1"/>
  <c r="CJ407" i="1"/>
  <c r="X407" i="1" a="1"/>
  <c r="X407" i="1" s="1"/>
  <c r="V407" i="1"/>
  <c r="J407" i="1"/>
  <c r="CJ406" i="1"/>
  <c r="X406" i="1" a="1"/>
  <c r="X406" i="1" s="1"/>
  <c r="V406" i="1"/>
  <c r="J406" i="1"/>
  <c r="CJ405" i="1"/>
  <c r="X405" i="1" a="1"/>
  <c r="X405" i="1" s="1"/>
  <c r="V405" i="1"/>
  <c r="J405" i="1"/>
  <c r="CJ404" i="1"/>
  <c r="J404" i="1"/>
  <c r="CJ403" i="1"/>
  <c r="J403" i="1"/>
  <c r="J402" i="1"/>
  <c r="CJ401" i="1"/>
  <c r="J401" i="1"/>
  <c r="CJ400" i="1"/>
  <c r="X400" i="1" a="1"/>
  <c r="X400" i="1" s="1"/>
  <c r="V400" i="1"/>
  <c r="J400" i="1"/>
  <c r="CJ399" i="1"/>
  <c r="X399" i="1" a="1"/>
  <c r="X399" i="1" s="1"/>
  <c r="V399" i="1"/>
  <c r="J399" i="1"/>
  <c r="CJ398" i="1"/>
  <c r="X398" i="1"/>
  <c r="X398" i="1" a="1"/>
  <c r="V398" i="1"/>
  <c r="J398" i="1"/>
  <c r="CJ397" i="1"/>
  <c r="X397" i="1" a="1"/>
  <c r="X397" i="1" s="1"/>
  <c r="V397" i="1"/>
  <c r="J397" i="1"/>
  <c r="CJ396" i="1"/>
  <c r="X396" i="1" a="1"/>
  <c r="X396" i="1" s="1"/>
  <c r="V396" i="1"/>
  <c r="J396" i="1"/>
  <c r="CJ395" i="1"/>
  <c r="X395" i="1"/>
  <c r="X395" i="1" a="1"/>
  <c r="V395" i="1"/>
  <c r="J395" i="1"/>
  <c r="CJ394" i="1"/>
  <c r="X394" i="1" a="1"/>
  <c r="X394" i="1" s="1"/>
  <c r="V394" i="1"/>
  <c r="J394" i="1"/>
  <c r="CJ393" i="1"/>
  <c r="X393" i="1" a="1"/>
  <c r="X393" i="1" s="1"/>
  <c r="V393" i="1"/>
  <c r="J393" i="1"/>
  <c r="CJ392" i="1"/>
  <c r="X392" i="1" a="1"/>
  <c r="X392" i="1" s="1"/>
  <c r="V392" i="1"/>
  <c r="J392" i="1"/>
  <c r="CJ391" i="1"/>
  <c r="X391" i="1"/>
  <c r="X391" i="1" a="1"/>
  <c r="V391" i="1"/>
  <c r="J391" i="1"/>
  <c r="J390" i="1"/>
  <c r="CJ389" i="1"/>
  <c r="X389" i="1" a="1"/>
  <c r="X389" i="1" s="1"/>
  <c r="V389" i="1"/>
  <c r="J389" i="1"/>
  <c r="CJ388" i="1"/>
  <c r="X388" i="1"/>
  <c r="X388" i="1" a="1"/>
  <c r="V388" i="1"/>
  <c r="J388" i="1"/>
  <c r="CJ387" i="1"/>
  <c r="X387" i="1" a="1"/>
  <c r="X387" i="1" s="1"/>
  <c r="V387" i="1"/>
  <c r="J387" i="1"/>
  <c r="J386" i="1"/>
  <c r="CJ385" i="1"/>
  <c r="X385" i="1"/>
  <c r="X385" i="1" a="1"/>
  <c r="V385" i="1"/>
  <c r="J385" i="1"/>
  <c r="CJ384" i="1"/>
  <c r="X384" i="1" a="1"/>
  <c r="X384" i="1" s="1"/>
  <c r="V384" i="1"/>
  <c r="J384" i="1"/>
  <c r="CJ383" i="1"/>
  <c r="X383" i="1"/>
  <c r="X383" i="1" a="1"/>
  <c r="V383" i="1"/>
  <c r="J383" i="1"/>
  <c r="J382" i="1"/>
  <c r="CJ381" i="1"/>
  <c r="X381" i="1" a="1"/>
  <c r="X381" i="1" s="1"/>
  <c r="V381" i="1"/>
  <c r="J381" i="1"/>
  <c r="CJ380" i="1"/>
  <c r="X380" i="1" a="1"/>
  <c r="X380" i="1" s="1"/>
  <c r="V380" i="1"/>
  <c r="J380" i="1"/>
  <c r="CJ379" i="1"/>
  <c r="X379" i="1" a="1"/>
  <c r="X379" i="1" s="1"/>
  <c r="V379" i="1"/>
  <c r="J379" i="1"/>
  <c r="CJ378" i="1"/>
  <c r="X378" i="1" a="1"/>
  <c r="X378" i="1" s="1"/>
  <c r="V378" i="1"/>
  <c r="J378" i="1"/>
  <c r="CJ377" i="1"/>
  <c r="X377" i="1" a="1"/>
  <c r="X377" i="1" s="1"/>
  <c r="V377" i="1"/>
  <c r="J377" i="1"/>
  <c r="CJ376" i="1"/>
  <c r="J376" i="1"/>
  <c r="CJ375" i="1"/>
  <c r="X375" i="1" a="1"/>
  <c r="X375" i="1" s="1"/>
  <c r="V375" i="1"/>
  <c r="J375" i="1"/>
  <c r="CJ374" i="1"/>
  <c r="X374" i="1" a="1"/>
  <c r="X374" i="1" s="1"/>
  <c r="V374" i="1"/>
  <c r="J374" i="1"/>
  <c r="CJ373" i="1"/>
  <c r="X373" i="1"/>
  <c r="X373" i="1" a="1"/>
  <c r="V373" i="1"/>
  <c r="J373" i="1"/>
  <c r="CJ372" i="1"/>
  <c r="X372" i="1"/>
  <c r="X372" i="1" a="1"/>
  <c r="V372" i="1"/>
  <c r="J372" i="1"/>
  <c r="CJ371" i="1"/>
  <c r="X371" i="1" a="1"/>
  <c r="X371" i="1" s="1"/>
  <c r="V371" i="1"/>
  <c r="J371" i="1"/>
  <c r="CJ370" i="1"/>
  <c r="X370" i="1" a="1"/>
  <c r="X370" i="1" s="1"/>
  <c r="V370" i="1"/>
  <c r="J370" i="1"/>
  <c r="CJ369" i="1"/>
  <c r="J369" i="1"/>
  <c r="X368" i="1"/>
  <c r="X368" i="1" a="1"/>
  <c r="V368" i="1"/>
  <c r="J368" i="1"/>
  <c r="CJ367" i="1"/>
  <c r="X367" i="1" a="1"/>
  <c r="X367" i="1" s="1"/>
  <c r="V367" i="1"/>
  <c r="J367" i="1"/>
  <c r="CJ366" i="1"/>
  <c r="J366" i="1"/>
  <c r="CJ365" i="1"/>
  <c r="X365" i="1" a="1"/>
  <c r="X365" i="1" s="1"/>
  <c r="V365" i="1"/>
  <c r="J365" i="1"/>
  <c r="CJ364" i="1"/>
  <c r="X364" i="1" a="1"/>
  <c r="X364" i="1" s="1"/>
  <c r="V364" i="1"/>
  <c r="J364" i="1"/>
  <c r="CJ363" i="1"/>
  <c r="X363" i="1" a="1"/>
  <c r="X363" i="1" s="1"/>
  <c r="V363" i="1"/>
  <c r="J363" i="1"/>
  <c r="CJ362" i="1"/>
  <c r="X362" i="1" a="1"/>
  <c r="X362" i="1" s="1"/>
  <c r="V362" i="1"/>
  <c r="J362" i="1"/>
  <c r="CJ361" i="1"/>
  <c r="X361" i="1" a="1"/>
  <c r="X361" i="1" s="1"/>
  <c r="V361" i="1"/>
  <c r="J361" i="1"/>
  <c r="CJ360" i="1"/>
  <c r="X360" i="1" a="1"/>
  <c r="X360" i="1" s="1"/>
  <c r="V360" i="1"/>
  <c r="J360" i="1"/>
  <c r="CJ359" i="1"/>
  <c r="J359" i="1"/>
  <c r="CJ358" i="1"/>
  <c r="X358" i="1"/>
  <c r="X358" i="1" a="1"/>
  <c r="V358" i="1"/>
  <c r="J358" i="1"/>
  <c r="X357" i="1" a="1"/>
  <c r="X357" i="1" s="1"/>
  <c r="V357" i="1"/>
  <c r="J357" i="1"/>
  <c r="CJ356" i="1"/>
  <c r="X356" i="1" a="1"/>
  <c r="X356" i="1" s="1"/>
  <c r="V356" i="1"/>
  <c r="J356" i="1"/>
  <c r="CJ355" i="1"/>
  <c r="X355" i="1" a="1"/>
  <c r="X355" i="1" s="1"/>
  <c r="V355" i="1"/>
  <c r="J355" i="1"/>
  <c r="CJ354" i="1"/>
  <c r="X354" i="1" a="1"/>
  <c r="X354" i="1" s="1"/>
  <c r="V354" i="1"/>
  <c r="J354" i="1"/>
  <c r="CJ353" i="1"/>
  <c r="J353" i="1"/>
  <c r="CJ352" i="1"/>
  <c r="J352" i="1"/>
  <c r="CJ351" i="1"/>
  <c r="J351" i="1"/>
  <c r="CJ350" i="1"/>
  <c r="J350" i="1"/>
  <c r="CP349" i="1"/>
  <c r="X349" i="1" a="1"/>
  <c r="X349" i="1" s="1"/>
  <c r="V349" i="1"/>
  <c r="J349" i="1"/>
  <c r="CJ348" i="1"/>
  <c r="X348" i="1" a="1"/>
  <c r="X348" i="1" s="1"/>
  <c r="V348" i="1"/>
  <c r="CJ347" i="1"/>
  <c r="X347" i="1" a="1"/>
  <c r="X347" i="1" s="1"/>
  <c r="V347" i="1"/>
  <c r="CJ346" i="1"/>
  <c r="X346" i="1" a="1"/>
  <c r="X346" i="1" s="1"/>
  <c r="V346" i="1"/>
  <c r="X345" i="1" a="1"/>
  <c r="X345" i="1" s="1"/>
  <c r="V345" i="1"/>
  <c r="X344" i="1" a="1"/>
  <c r="X344" i="1" s="1"/>
  <c r="V344" i="1"/>
  <c r="X343" i="1" a="1"/>
  <c r="X343" i="1" s="1"/>
  <c r="V343" i="1"/>
  <c r="X342" i="1" a="1"/>
  <c r="X342" i="1" s="1"/>
  <c r="V342" i="1"/>
  <c r="X341" i="1" a="1"/>
  <c r="X341" i="1" s="1"/>
  <c r="V341" i="1"/>
  <c r="CJ340" i="1"/>
  <c r="X340" i="1" a="1"/>
  <c r="X340" i="1" s="1"/>
  <c r="V340" i="1"/>
  <c r="CJ339" i="1"/>
  <c r="X339" i="1" a="1"/>
  <c r="X339" i="1" s="1"/>
  <c r="V339" i="1"/>
  <c r="CJ338" i="1"/>
  <c r="X338" i="1"/>
  <c r="X338" i="1" a="1"/>
  <c r="V338" i="1"/>
  <c r="CJ337" i="1"/>
  <c r="X337" i="1" a="1"/>
  <c r="X337" i="1" s="1"/>
  <c r="V337" i="1"/>
  <c r="X336" i="1" a="1"/>
  <c r="X336" i="1" s="1"/>
  <c r="V336" i="1"/>
  <c r="X335" i="1" a="1"/>
  <c r="X335" i="1" s="1"/>
  <c r="V335" i="1"/>
  <c r="X334" i="1" a="1"/>
  <c r="X334" i="1" s="1"/>
  <c r="V334" i="1"/>
  <c r="X333" i="1" a="1"/>
  <c r="X333" i="1" s="1"/>
  <c r="V333" i="1"/>
  <c r="CJ332" i="1"/>
  <c r="X332" i="1" a="1"/>
  <c r="X332" i="1" s="1"/>
  <c r="V332" i="1"/>
  <c r="CJ331" i="1"/>
  <c r="X331" i="1" a="1"/>
  <c r="X331" i="1" s="1"/>
  <c r="V331" i="1"/>
  <c r="CJ330" i="1"/>
  <c r="X330" i="1" a="1"/>
  <c r="X330" i="1" s="1"/>
  <c r="V330" i="1"/>
  <c r="CJ329" i="1"/>
  <c r="X329" i="1" a="1"/>
  <c r="X329" i="1" s="1"/>
  <c r="V329" i="1"/>
  <c r="X328" i="1" a="1"/>
  <c r="X328" i="1" s="1"/>
  <c r="V328" i="1"/>
  <c r="X327" i="1" a="1"/>
  <c r="X327" i="1" s="1"/>
  <c r="V327" i="1"/>
  <c r="CJ326" i="1"/>
  <c r="X326" i="1" a="1"/>
  <c r="X326" i="1" s="1"/>
  <c r="V326" i="1"/>
  <c r="X325" i="1" a="1"/>
  <c r="X325" i="1" s="1"/>
  <c r="V325" i="1"/>
  <c r="CJ324" i="1"/>
  <c r="X324" i="1" a="1"/>
  <c r="X324" i="1" s="1"/>
  <c r="V324" i="1"/>
  <c r="CJ323" i="1"/>
  <c r="X323" i="1" a="1"/>
  <c r="X323" i="1" s="1"/>
  <c r="V323" i="1"/>
  <c r="CJ322" i="1"/>
  <c r="X322" i="1" a="1"/>
  <c r="X322" i="1" s="1"/>
  <c r="V322" i="1"/>
  <c r="CJ321" i="1"/>
  <c r="X321" i="1" a="1"/>
  <c r="X321" i="1" s="1"/>
  <c r="V321" i="1"/>
  <c r="CJ320" i="1"/>
  <c r="X320" i="1"/>
  <c r="X320" i="1" a="1"/>
  <c r="V320" i="1"/>
  <c r="CJ319" i="1"/>
  <c r="X319" i="1" a="1"/>
  <c r="X319" i="1" s="1"/>
  <c r="V319" i="1"/>
  <c r="CJ318" i="1"/>
  <c r="X318" i="1" a="1"/>
  <c r="X318" i="1" s="1"/>
  <c r="V318" i="1"/>
  <c r="CJ317" i="1"/>
  <c r="X317" i="1" a="1"/>
  <c r="X317" i="1" s="1"/>
  <c r="V317" i="1"/>
  <c r="X316" i="1" a="1"/>
  <c r="X316" i="1" s="1"/>
  <c r="V316" i="1"/>
  <c r="CJ315" i="1"/>
  <c r="X315" i="1" a="1"/>
  <c r="X315" i="1" s="1"/>
  <c r="V315" i="1"/>
  <c r="CJ314" i="1"/>
  <c r="X314" i="1" a="1"/>
  <c r="X314" i="1" s="1"/>
  <c r="V314" i="1"/>
  <c r="X313" i="1" a="1"/>
  <c r="X313" i="1" s="1"/>
  <c r="V313" i="1"/>
  <c r="CJ312" i="1"/>
  <c r="X312" i="1" a="1"/>
  <c r="X312" i="1" s="1"/>
  <c r="V312" i="1"/>
  <c r="CJ311" i="1"/>
  <c r="X311" i="1" a="1"/>
  <c r="X311" i="1" s="1"/>
  <c r="V311" i="1"/>
  <c r="CJ310" i="1"/>
  <c r="X310" i="1" a="1"/>
  <c r="X310" i="1" s="1"/>
  <c r="V310" i="1"/>
  <c r="CJ309" i="1"/>
  <c r="X309" i="1"/>
  <c r="X309" i="1" a="1"/>
  <c r="V309" i="1"/>
  <c r="CJ308" i="1"/>
  <c r="X308" i="1" a="1"/>
  <c r="X308" i="1" s="1"/>
  <c r="V308" i="1"/>
  <c r="CJ307" i="1"/>
  <c r="X307" i="1"/>
  <c r="X307" i="1" a="1"/>
  <c r="V307" i="1"/>
  <c r="CJ306" i="1"/>
  <c r="X306" i="1" a="1"/>
  <c r="X306" i="1" s="1"/>
  <c r="V306" i="1"/>
  <c r="CJ305" i="1"/>
  <c r="X305" i="1" a="1"/>
  <c r="X305" i="1" s="1"/>
  <c r="V305" i="1"/>
  <c r="V304" i="1"/>
  <c r="X303" i="1" a="1"/>
  <c r="X303" i="1" s="1"/>
  <c r="V303" i="1"/>
  <c r="X302" i="1" a="1"/>
  <c r="X302" i="1" s="1"/>
  <c r="V302" i="1"/>
  <c r="CJ301" i="1"/>
  <c r="X301" i="1" a="1"/>
  <c r="X301" i="1" s="1"/>
  <c r="V301" i="1"/>
  <c r="X300" i="1" a="1"/>
  <c r="X300" i="1" s="1"/>
  <c r="V300" i="1"/>
  <c r="CJ299" i="1"/>
  <c r="X299" i="1" a="1"/>
  <c r="X299" i="1" s="1"/>
  <c r="V299" i="1"/>
  <c r="CJ298" i="1"/>
  <c r="X298" i="1" a="1"/>
  <c r="X298" i="1" s="1"/>
  <c r="V298" i="1"/>
  <c r="CJ297" i="1"/>
  <c r="X297" i="1"/>
  <c r="X297" i="1" a="1"/>
  <c r="V297" i="1"/>
  <c r="CJ296" i="1"/>
  <c r="X296" i="1" a="1"/>
  <c r="X296" i="1" s="1"/>
  <c r="V296" i="1"/>
  <c r="CJ295" i="1"/>
  <c r="X295" i="1" a="1"/>
  <c r="X295" i="1" s="1"/>
  <c r="V295" i="1"/>
  <c r="CJ294" i="1"/>
  <c r="X294" i="1"/>
  <c r="X294" i="1" a="1"/>
  <c r="V294" i="1"/>
  <c r="CJ293" i="1"/>
  <c r="X293" i="1" a="1"/>
  <c r="X293" i="1" s="1"/>
  <c r="V293" i="1"/>
  <c r="CJ292" i="1"/>
  <c r="X292" i="1" a="1"/>
  <c r="X292" i="1" s="1"/>
  <c r="V292" i="1"/>
  <c r="CJ291" i="1"/>
  <c r="X291" i="1" a="1"/>
  <c r="X291" i="1" s="1"/>
  <c r="V291" i="1"/>
  <c r="CJ290" i="1"/>
  <c r="X290" i="1"/>
  <c r="X290" i="1" a="1"/>
  <c r="V290" i="1"/>
  <c r="CJ289" i="1"/>
  <c r="X289" i="1" a="1"/>
  <c r="X289" i="1" s="1"/>
  <c r="V289" i="1"/>
  <c r="X288" i="1" a="1"/>
  <c r="X288" i="1" s="1"/>
  <c r="V288" i="1"/>
  <c r="X287" i="1" a="1"/>
  <c r="X287" i="1" s="1"/>
  <c r="V287" i="1"/>
  <c r="CJ286" i="1"/>
  <c r="X286" i="1" a="1"/>
  <c r="X286" i="1" s="1"/>
  <c r="V286" i="1"/>
  <c r="X285" i="1"/>
  <c r="X285" i="1" a="1"/>
  <c r="V285" i="1"/>
  <c r="CJ284" i="1"/>
  <c r="X284" i="1"/>
  <c r="X284" i="1" a="1"/>
  <c r="V284" i="1"/>
  <c r="X283" i="1" a="1"/>
  <c r="X283" i="1" s="1"/>
  <c r="V283" i="1"/>
  <c r="CJ282" i="1"/>
  <c r="X282" i="1" a="1"/>
  <c r="X282" i="1" s="1"/>
  <c r="V282" i="1"/>
  <c r="CJ281" i="1"/>
  <c r="X281" i="1" a="1"/>
  <c r="X281" i="1" s="1"/>
  <c r="V281" i="1"/>
  <c r="X280" i="1"/>
  <c r="X280" i="1" a="1"/>
  <c r="V280" i="1"/>
  <c r="CJ279" i="1"/>
  <c r="X279" i="1" a="1"/>
  <c r="X279" i="1" s="1"/>
  <c r="V279" i="1"/>
  <c r="CJ278" i="1"/>
  <c r="X278" i="1"/>
  <c r="X278" i="1" a="1"/>
  <c r="V278" i="1"/>
  <c r="CJ277" i="1"/>
  <c r="X277" i="1"/>
  <c r="X277" i="1" a="1"/>
  <c r="V277" i="1"/>
  <c r="CJ276" i="1"/>
  <c r="X276" i="1" a="1"/>
  <c r="X276" i="1" s="1"/>
  <c r="V276" i="1"/>
  <c r="CJ275" i="1"/>
  <c r="X275" i="1" a="1"/>
  <c r="X275" i="1" s="1"/>
  <c r="V275" i="1"/>
  <c r="CJ274" i="1"/>
  <c r="X274" i="1"/>
  <c r="X274" i="1" a="1"/>
  <c r="V274" i="1"/>
  <c r="CJ273" i="1"/>
  <c r="X273" i="1"/>
  <c r="X273" i="1" a="1"/>
  <c r="V273" i="1"/>
  <c r="CJ272" i="1"/>
  <c r="X272" i="1" a="1"/>
  <c r="X272" i="1" s="1"/>
  <c r="V272" i="1"/>
  <c r="CJ271" i="1"/>
  <c r="X271" i="1"/>
  <c r="X271" i="1" a="1"/>
  <c r="V271" i="1"/>
  <c r="CJ270" i="1"/>
  <c r="X270" i="1"/>
  <c r="X270" i="1" a="1"/>
  <c r="V270" i="1"/>
  <c r="CJ269" i="1"/>
  <c r="X269" i="1" a="1"/>
  <c r="X269" i="1" s="1"/>
  <c r="V269" i="1"/>
  <c r="CJ268" i="1"/>
  <c r="X268" i="1" a="1"/>
  <c r="X268" i="1" s="1"/>
  <c r="V268" i="1"/>
  <c r="CJ267" i="1"/>
  <c r="X267" i="1"/>
  <c r="X267" i="1" a="1"/>
  <c r="V267" i="1"/>
  <c r="CJ266" i="1"/>
  <c r="X266" i="1" a="1"/>
  <c r="X266" i="1" s="1"/>
  <c r="V266" i="1"/>
  <c r="CJ265" i="1"/>
  <c r="X265" i="1" a="1"/>
  <c r="X265" i="1" s="1"/>
  <c r="U265" i="1"/>
  <c r="V265" i="1" s="1"/>
  <c r="CJ264" i="1"/>
  <c r="X264" i="1" a="1"/>
  <c r="X264" i="1" s="1"/>
  <c r="U264" i="1"/>
  <c r="V264" i="1" s="1"/>
  <c r="CJ263" i="1"/>
  <c r="X263" i="1" a="1"/>
  <c r="X263" i="1" s="1"/>
  <c r="U263" i="1"/>
  <c r="V263" i="1" s="1"/>
  <c r="CJ262" i="1"/>
  <c r="X262" i="1"/>
  <c r="X262" i="1" a="1"/>
  <c r="V262" i="1"/>
  <c r="U262" i="1"/>
  <c r="CJ261" i="1"/>
  <c r="X261" i="1"/>
  <c r="X261" i="1" a="1"/>
  <c r="V261" i="1"/>
  <c r="U261" i="1"/>
  <c r="CJ260" i="1"/>
  <c r="X260" i="1" a="1"/>
  <c r="X260" i="1" s="1"/>
  <c r="U260" i="1"/>
  <c r="V260" i="1" s="1"/>
  <c r="CJ259" i="1"/>
  <c r="X259" i="1" a="1"/>
  <c r="X259" i="1" s="1"/>
  <c r="V259" i="1"/>
  <c r="U259" i="1"/>
  <c r="CJ258" i="1"/>
  <c r="X258" i="1" a="1"/>
  <c r="X258" i="1" s="1"/>
  <c r="U258" i="1"/>
  <c r="V258" i="1" s="1"/>
  <c r="X257" i="1" a="1"/>
  <c r="X257" i="1" s="1"/>
  <c r="U257" i="1"/>
  <c r="V257" i="1" s="1"/>
  <c r="X256" i="1" a="1"/>
  <c r="X256" i="1" s="1"/>
  <c r="V256" i="1"/>
  <c r="U256" i="1"/>
  <c r="CJ255" i="1"/>
  <c r="X255" i="1" a="1"/>
  <c r="X255" i="1" s="1"/>
  <c r="V255" i="1"/>
  <c r="U255" i="1"/>
  <c r="X254" i="1" a="1"/>
  <c r="X254" i="1" s="1"/>
  <c r="U254" i="1"/>
  <c r="V254" i="1" s="1"/>
  <c r="CJ253" i="1"/>
  <c r="X253" i="1" a="1"/>
  <c r="X253" i="1" s="1"/>
  <c r="V253" i="1"/>
  <c r="U253" i="1"/>
  <c r="CJ252" i="1"/>
  <c r="X252" i="1" a="1"/>
  <c r="X252" i="1" s="1"/>
  <c r="V252" i="1"/>
  <c r="U252" i="1"/>
  <c r="CJ251" i="1"/>
  <c r="X251" i="1"/>
  <c r="X251" i="1" a="1"/>
  <c r="U251" i="1"/>
  <c r="V251" i="1" s="1"/>
  <c r="CJ250" i="1"/>
  <c r="X250" i="1" a="1"/>
  <c r="X250" i="1" s="1"/>
  <c r="U250" i="1"/>
  <c r="V250" i="1" s="1"/>
  <c r="X249" i="1" a="1"/>
  <c r="X249" i="1" s="1"/>
  <c r="U249" i="1"/>
  <c r="V249" i="1" s="1"/>
  <c r="CJ248" i="1"/>
  <c r="X248" i="1"/>
  <c r="X248" i="1" a="1"/>
  <c r="U248" i="1"/>
  <c r="V248" i="1" s="1"/>
  <c r="CJ247" i="1"/>
  <c r="X247" i="1" a="1"/>
  <c r="X247" i="1" s="1"/>
  <c r="U247" i="1"/>
  <c r="V247" i="1" s="1"/>
  <c r="CJ246" i="1"/>
  <c r="X246" i="1" a="1"/>
  <c r="X246" i="1" s="1"/>
  <c r="U246" i="1"/>
  <c r="V246" i="1" s="1"/>
  <c r="CJ245" i="1"/>
  <c r="X245" i="1" a="1"/>
  <c r="X245" i="1" s="1"/>
  <c r="U245" i="1"/>
  <c r="V245" i="1" s="1"/>
  <c r="CJ244" i="1"/>
  <c r="X244" i="1"/>
  <c r="X244" i="1" a="1"/>
  <c r="U244" i="1"/>
  <c r="V244" i="1" s="1"/>
  <c r="CJ243" i="1"/>
  <c r="X243" i="1"/>
  <c r="X243" i="1" a="1"/>
  <c r="U243" i="1"/>
  <c r="V243" i="1" s="1"/>
  <c r="CJ242" i="1"/>
  <c r="X242" i="1" a="1"/>
  <c r="X242" i="1" s="1"/>
  <c r="V242" i="1"/>
  <c r="U242" i="1"/>
  <c r="CJ241" i="1"/>
  <c r="X241" i="1" a="1"/>
  <c r="X241" i="1" s="1"/>
  <c r="U241" i="1"/>
  <c r="V241" i="1" s="1"/>
  <c r="CJ240" i="1"/>
  <c r="X240" i="1" a="1"/>
  <c r="X240" i="1" s="1"/>
  <c r="V240" i="1"/>
  <c r="U240" i="1"/>
  <c r="CJ239" i="1"/>
  <c r="X239" i="1" a="1"/>
  <c r="X239" i="1" s="1"/>
  <c r="U239" i="1"/>
  <c r="V239" i="1" s="1"/>
  <c r="X238" i="1" a="1"/>
  <c r="X238" i="1" s="1"/>
  <c r="U238" i="1"/>
  <c r="V238" i="1" s="1"/>
  <c r="X237" i="1" a="1"/>
  <c r="X237" i="1" s="1"/>
  <c r="U237" i="1"/>
  <c r="V237" i="1" s="1"/>
  <c r="CJ236" i="1"/>
  <c r="X236" i="1" a="1"/>
  <c r="X236" i="1" s="1"/>
  <c r="V236" i="1"/>
  <c r="U236" i="1"/>
  <c r="X235" i="1"/>
  <c r="X235" i="1" a="1"/>
  <c r="U235" i="1"/>
  <c r="V235" i="1" s="1"/>
  <c r="X234" i="1" a="1"/>
  <c r="X234" i="1" s="1"/>
  <c r="U234" i="1"/>
  <c r="V234" i="1" s="1"/>
  <c r="CJ233" i="1"/>
  <c r="X233" i="1" a="1"/>
  <c r="X233" i="1" s="1"/>
  <c r="U233" i="1"/>
  <c r="V233" i="1" s="1"/>
  <c r="CJ232" i="1"/>
  <c r="X232" i="1"/>
  <c r="X232" i="1" a="1"/>
  <c r="U232" i="1"/>
  <c r="V232" i="1" s="1"/>
  <c r="CJ231" i="1"/>
  <c r="X231" i="1"/>
  <c r="X231" i="1" a="1"/>
  <c r="U231" i="1"/>
  <c r="V231" i="1" s="1"/>
  <c r="CJ230" i="1"/>
  <c r="X230" i="1" a="1"/>
  <c r="X230" i="1" s="1"/>
  <c r="U230" i="1"/>
  <c r="V230" i="1" s="1"/>
  <c r="X229" i="1" a="1"/>
  <c r="X229" i="1" s="1"/>
  <c r="U229" i="1"/>
  <c r="V229" i="1" s="1"/>
  <c r="X228" i="1" a="1"/>
  <c r="X228" i="1" s="1"/>
  <c r="U228" i="1"/>
  <c r="V228" i="1" s="1"/>
  <c r="X227" i="1"/>
  <c r="X227" i="1" a="1"/>
  <c r="U227" i="1"/>
  <c r="V227" i="1" s="1"/>
  <c r="CJ226" i="1"/>
  <c r="X226" i="1" a="1"/>
  <c r="X226" i="1" s="1"/>
  <c r="U226" i="1"/>
  <c r="V226" i="1" s="1"/>
  <c r="CJ225" i="1"/>
  <c r="X225" i="1" a="1"/>
  <c r="X225" i="1" s="1"/>
  <c r="U225" i="1"/>
  <c r="V225" i="1" s="1"/>
  <c r="CJ224" i="1"/>
  <c r="X224" i="1" a="1"/>
  <c r="X224" i="1" s="1"/>
  <c r="U224" i="1"/>
  <c r="V224" i="1" s="1"/>
  <c r="CJ223" i="1"/>
  <c r="X223" i="1" a="1"/>
  <c r="X223" i="1" s="1"/>
  <c r="U223" i="1"/>
  <c r="V223" i="1" s="1"/>
  <c r="CJ222" i="1"/>
  <c r="X222" i="1" a="1"/>
  <c r="X222" i="1" s="1"/>
  <c r="U222" i="1"/>
  <c r="V222" i="1" s="1"/>
  <c r="X221" i="1" a="1"/>
  <c r="X221" i="1" s="1"/>
  <c r="U221" i="1"/>
  <c r="V221" i="1" s="1"/>
  <c r="CJ220" i="1"/>
  <c r="X220" i="1" a="1"/>
  <c r="X220" i="1" s="1"/>
  <c r="U220" i="1"/>
  <c r="V220" i="1" s="1"/>
  <c r="CJ219" i="1"/>
  <c r="X219" i="1" a="1"/>
  <c r="X219" i="1" s="1"/>
  <c r="U219" i="1"/>
  <c r="V219" i="1" s="1"/>
  <c r="CJ218" i="1"/>
  <c r="X218" i="1" a="1"/>
  <c r="X218" i="1" s="1"/>
  <c r="U218" i="1"/>
  <c r="V218" i="1" s="1"/>
  <c r="CJ217" i="1"/>
  <c r="X217" i="1" a="1"/>
  <c r="X217" i="1" s="1"/>
  <c r="U217" i="1"/>
  <c r="V217" i="1" s="1"/>
  <c r="CJ216" i="1"/>
  <c r="X216" i="1" a="1"/>
  <c r="X216" i="1" s="1"/>
  <c r="U216" i="1"/>
  <c r="V216" i="1" s="1"/>
  <c r="X215" i="1" a="1"/>
  <c r="X215" i="1" s="1"/>
  <c r="V215" i="1"/>
  <c r="U215" i="1"/>
  <c r="X214" i="1" a="1"/>
  <c r="X214" i="1" s="1"/>
  <c r="U214" i="1"/>
  <c r="V214" i="1" s="1"/>
  <c r="X213" i="1" a="1"/>
  <c r="X213" i="1" s="1"/>
  <c r="U213" i="1"/>
  <c r="V213" i="1" s="1"/>
  <c r="CJ212" i="1"/>
  <c r="X212" i="1" a="1"/>
  <c r="X212" i="1" s="1"/>
  <c r="U212" i="1"/>
  <c r="V212" i="1" s="1"/>
  <c r="CJ211" i="1"/>
  <c r="X211" i="1" a="1"/>
  <c r="X211" i="1" s="1"/>
  <c r="U211" i="1"/>
  <c r="V211" i="1" s="1"/>
  <c r="X210" i="1" a="1"/>
  <c r="X210" i="1" s="1"/>
  <c r="U210" i="1"/>
  <c r="V210" i="1" s="1"/>
  <c r="CJ209" i="1"/>
  <c r="X209" i="1" a="1"/>
  <c r="X209" i="1" s="1"/>
  <c r="U209" i="1"/>
  <c r="V209" i="1" s="1"/>
  <c r="X208" i="1" a="1"/>
  <c r="X208" i="1" s="1"/>
  <c r="V208" i="1"/>
  <c r="U208" i="1"/>
  <c r="X207" i="1" a="1"/>
  <c r="X207" i="1" s="1"/>
  <c r="V207" i="1"/>
  <c r="U207" i="1"/>
  <c r="X206" i="1" a="1"/>
  <c r="X206" i="1" s="1"/>
  <c r="U206" i="1"/>
  <c r="V206" i="1" s="1"/>
  <c r="CJ205" i="1"/>
  <c r="X205" i="1" a="1"/>
  <c r="X205" i="1" s="1"/>
  <c r="U205" i="1"/>
  <c r="V205" i="1" s="1"/>
  <c r="CJ204" i="1"/>
  <c r="X204" i="1" a="1"/>
  <c r="X204" i="1" s="1"/>
  <c r="U204" i="1"/>
  <c r="V204" i="1" s="1"/>
  <c r="CJ203" i="1"/>
  <c r="X203" i="1" a="1"/>
  <c r="X203" i="1" s="1"/>
  <c r="U203" i="1"/>
  <c r="V203" i="1" s="1"/>
  <c r="CJ202" i="1"/>
  <c r="X202" i="1" a="1"/>
  <c r="X202" i="1" s="1"/>
  <c r="U202" i="1"/>
  <c r="V202" i="1" s="1"/>
  <c r="CJ201" i="1"/>
  <c r="X201" i="1" a="1"/>
  <c r="X201" i="1" s="1"/>
  <c r="U201" i="1"/>
  <c r="V201" i="1" s="1"/>
  <c r="CJ200" i="1"/>
  <c r="X200" i="1" a="1"/>
  <c r="X200" i="1" s="1"/>
  <c r="U200" i="1"/>
  <c r="V200" i="1" s="1"/>
  <c r="CJ199" i="1"/>
  <c r="X199" i="1" a="1"/>
  <c r="X199" i="1" s="1"/>
  <c r="U199" i="1"/>
  <c r="V199" i="1" s="1"/>
  <c r="CJ198" i="1"/>
  <c r="X198" i="1" a="1"/>
  <c r="X198" i="1" s="1"/>
  <c r="U198" i="1"/>
  <c r="V198" i="1" s="1"/>
  <c r="CJ197" i="1"/>
  <c r="X197" i="1" a="1"/>
  <c r="X197" i="1" s="1"/>
  <c r="V197" i="1"/>
  <c r="U197" i="1"/>
  <c r="CJ196" i="1"/>
  <c r="X196" i="1" a="1"/>
  <c r="X196" i="1" s="1"/>
  <c r="U196" i="1"/>
  <c r="V196" i="1" s="1"/>
  <c r="X195" i="1" a="1"/>
  <c r="X195" i="1" s="1"/>
  <c r="U195" i="1"/>
  <c r="V195" i="1" s="1"/>
  <c r="CJ194" i="1"/>
  <c r="X194" i="1" a="1"/>
  <c r="X194" i="1" s="1"/>
  <c r="U194" i="1"/>
  <c r="V194" i="1" s="1"/>
  <c r="CJ193" i="1"/>
  <c r="X193" i="1"/>
  <c r="X193" i="1" a="1"/>
  <c r="U193" i="1"/>
  <c r="V193" i="1" s="1"/>
  <c r="CJ192" i="1"/>
  <c r="X192" i="1" a="1"/>
  <c r="X192" i="1" s="1"/>
  <c r="U192" i="1"/>
  <c r="V192" i="1" s="1"/>
  <c r="CJ191" i="1"/>
  <c r="X191" i="1" a="1"/>
  <c r="X191" i="1" s="1"/>
  <c r="U191" i="1"/>
  <c r="V191" i="1" s="1"/>
  <c r="X190" i="1"/>
  <c r="X190" i="1" a="1"/>
  <c r="U190" i="1"/>
  <c r="V190" i="1" s="1"/>
  <c r="CJ189" i="1"/>
  <c r="X189" i="1" a="1"/>
  <c r="X189" i="1" s="1"/>
  <c r="U189" i="1"/>
  <c r="V189" i="1" s="1"/>
  <c r="CJ188" i="1"/>
  <c r="X188" i="1" a="1"/>
  <c r="X188" i="1" s="1"/>
  <c r="U188" i="1"/>
  <c r="V188" i="1" s="1"/>
  <c r="CJ187" i="1"/>
  <c r="X187" i="1" a="1"/>
  <c r="X187" i="1" s="1"/>
  <c r="U187" i="1"/>
  <c r="V187" i="1" s="1"/>
  <c r="CJ186" i="1"/>
  <c r="X186" i="1" a="1"/>
  <c r="X186" i="1" s="1"/>
  <c r="U186" i="1"/>
  <c r="V186" i="1" s="1"/>
  <c r="CJ185" i="1"/>
  <c r="X185" i="1"/>
  <c r="X185" i="1" a="1"/>
  <c r="U185" i="1"/>
  <c r="V185" i="1" s="1"/>
  <c r="X184" i="1" a="1"/>
  <c r="X184" i="1" s="1"/>
  <c r="U184" i="1"/>
  <c r="V184" i="1" s="1"/>
  <c r="CJ183" i="1"/>
  <c r="X183" i="1" a="1"/>
  <c r="X183" i="1" s="1"/>
  <c r="U183" i="1"/>
  <c r="V183" i="1" s="1"/>
  <c r="X182" i="1" a="1"/>
  <c r="X182" i="1" s="1"/>
  <c r="U182" i="1"/>
  <c r="V182" i="1" s="1"/>
  <c r="CJ181" i="1"/>
  <c r="X181" i="1" a="1"/>
  <c r="X181" i="1" s="1"/>
  <c r="U181" i="1"/>
  <c r="V181" i="1" s="1"/>
  <c r="CJ180" i="1"/>
  <c r="X180" i="1" a="1"/>
  <c r="X180" i="1" s="1"/>
  <c r="U180" i="1"/>
  <c r="V180" i="1" s="1"/>
  <c r="CJ179" i="1"/>
  <c r="X179" i="1"/>
  <c r="X179" i="1" a="1"/>
  <c r="U179" i="1"/>
  <c r="V179" i="1" s="1"/>
  <c r="CJ178" i="1"/>
  <c r="X178" i="1" a="1"/>
  <c r="X178" i="1" s="1"/>
  <c r="V178" i="1"/>
  <c r="U178" i="1"/>
  <c r="CJ177" i="1"/>
  <c r="X177" i="1"/>
  <c r="X177" i="1" a="1"/>
  <c r="U177" i="1"/>
  <c r="V177" i="1" s="1"/>
  <c r="X176" i="1"/>
  <c r="X176" i="1" a="1"/>
  <c r="U176" i="1"/>
  <c r="V176" i="1" s="1"/>
  <c r="CJ175" i="1"/>
  <c r="X175" i="1" a="1"/>
  <c r="X175" i="1" s="1"/>
  <c r="V175" i="1"/>
  <c r="U175" i="1"/>
  <c r="CJ174" i="1"/>
  <c r="X174" i="1"/>
  <c r="X174" i="1" a="1"/>
  <c r="U174" i="1"/>
  <c r="V174" i="1" s="1"/>
  <c r="CJ173" i="1"/>
  <c r="X173" i="1" a="1"/>
  <c r="X173" i="1" s="1"/>
  <c r="U173" i="1"/>
  <c r="V173" i="1" s="1"/>
  <c r="X172" i="1" a="1"/>
  <c r="X172" i="1" s="1"/>
  <c r="U172" i="1"/>
  <c r="V172" i="1" s="1"/>
  <c r="CJ171" i="1"/>
  <c r="X171" i="1"/>
  <c r="X171" i="1" a="1"/>
  <c r="U171" i="1"/>
  <c r="V171" i="1" s="1"/>
  <c r="CJ170" i="1"/>
  <c r="X170" i="1" a="1"/>
  <c r="X170" i="1" s="1"/>
  <c r="U170" i="1"/>
  <c r="V170" i="1" s="1"/>
  <c r="CJ169" i="1"/>
  <c r="X169" i="1" a="1"/>
  <c r="X169" i="1" s="1"/>
  <c r="U169" i="1"/>
  <c r="V169" i="1" s="1"/>
  <c r="CJ168" i="1"/>
  <c r="X168" i="1" a="1"/>
  <c r="X168" i="1" s="1"/>
  <c r="U168" i="1"/>
  <c r="V168" i="1" s="1"/>
  <c r="CJ167" i="1"/>
  <c r="X167" i="1" a="1"/>
  <c r="X167" i="1" s="1"/>
  <c r="U167" i="1"/>
  <c r="V167" i="1" s="1"/>
  <c r="CJ166" i="1"/>
  <c r="X166" i="1"/>
  <c r="X166" i="1" a="1"/>
  <c r="U166" i="1"/>
  <c r="V166" i="1" s="1"/>
  <c r="CJ165" i="1"/>
  <c r="X165" i="1" a="1"/>
  <c r="X165" i="1" s="1"/>
  <c r="U165" i="1"/>
  <c r="V165" i="1" s="1"/>
  <c r="CJ164" i="1"/>
  <c r="X164" i="1" a="1"/>
  <c r="X164" i="1" s="1"/>
  <c r="U164" i="1"/>
  <c r="V164" i="1" s="1"/>
  <c r="CJ163" i="1"/>
  <c r="X163" i="1" a="1"/>
  <c r="X163" i="1" s="1"/>
  <c r="U163" i="1"/>
  <c r="V163" i="1" s="1"/>
  <c r="X162" i="1" a="1"/>
  <c r="X162" i="1" s="1"/>
  <c r="U162" i="1"/>
  <c r="V162" i="1" s="1"/>
  <c r="X161" i="1" a="1"/>
  <c r="X161" i="1" s="1"/>
  <c r="U161" i="1"/>
  <c r="V161" i="1" s="1"/>
  <c r="CJ160" i="1"/>
  <c r="X160" i="1"/>
  <c r="X160" i="1" a="1"/>
  <c r="U160" i="1"/>
  <c r="V160" i="1" s="1"/>
  <c r="CJ159" i="1"/>
  <c r="X159" i="1" a="1"/>
  <c r="X159" i="1" s="1"/>
  <c r="U159" i="1"/>
  <c r="V159" i="1" s="1"/>
  <c r="CJ158" i="1"/>
  <c r="X158" i="1" a="1"/>
  <c r="X158" i="1" s="1"/>
  <c r="U158" i="1"/>
  <c r="V158" i="1" s="1"/>
  <c r="CJ157" i="1"/>
  <c r="X157" i="1" a="1"/>
  <c r="X157" i="1" s="1"/>
  <c r="V157" i="1"/>
  <c r="U157" i="1"/>
  <c r="X156" i="1" a="1"/>
  <c r="X156" i="1" s="1"/>
  <c r="V156" i="1"/>
  <c r="U156" i="1"/>
  <c r="CJ155" i="1"/>
  <c r="X155" i="1" a="1"/>
  <c r="X155" i="1" s="1"/>
  <c r="U155" i="1"/>
  <c r="V155" i="1" s="1"/>
  <c r="CJ154" i="1"/>
  <c r="X154" i="1" a="1"/>
  <c r="X154" i="1" s="1"/>
  <c r="U154" i="1"/>
  <c r="V154" i="1" s="1"/>
  <c r="CJ153" i="1"/>
  <c r="X153" i="1" a="1"/>
  <c r="X153" i="1" s="1"/>
  <c r="U153" i="1"/>
  <c r="V153" i="1" s="1"/>
  <c r="CJ152" i="1"/>
  <c r="X152" i="1" a="1"/>
  <c r="X152" i="1" s="1"/>
  <c r="U152" i="1"/>
  <c r="V152" i="1" s="1"/>
  <c r="CJ151" i="1"/>
  <c r="X151" i="1" a="1"/>
  <c r="X151" i="1" s="1"/>
  <c r="U151" i="1"/>
  <c r="V151" i="1" s="1"/>
  <c r="CJ150" i="1"/>
  <c r="X150" i="1" a="1"/>
  <c r="X150" i="1" s="1"/>
  <c r="U150" i="1"/>
  <c r="V150" i="1" s="1"/>
  <c r="CJ149" i="1"/>
  <c r="X149" i="1" a="1"/>
  <c r="X149" i="1" s="1"/>
  <c r="V149" i="1"/>
  <c r="U149" i="1"/>
  <c r="CJ148" i="1"/>
  <c r="X148" i="1"/>
  <c r="X148" i="1" a="1"/>
  <c r="U148" i="1"/>
  <c r="V148" i="1" s="1"/>
  <c r="CJ147" i="1"/>
  <c r="U147" i="1"/>
  <c r="V147" i="1" s="1"/>
  <c r="V146" i="1"/>
  <c r="U146" i="1"/>
  <c r="U145" i="1"/>
  <c r="V145" i="1" s="1"/>
  <c r="CJ141" i="1"/>
  <c r="CP140" i="1"/>
  <c r="CJ140" i="1"/>
  <c r="X139" i="1"/>
  <c r="X139" i="1" a="1"/>
  <c r="U139" i="1"/>
  <c r="V139" i="1" s="1"/>
  <c r="CJ138" i="1"/>
  <c r="X138" i="1" a="1"/>
  <c r="X138" i="1" s="1"/>
  <c r="V138" i="1"/>
  <c r="U138" i="1"/>
  <c r="U137" i="1"/>
  <c r="V137" i="1" s="1"/>
  <c r="CJ136" i="1"/>
  <c r="X136" i="1" a="1"/>
  <c r="X136" i="1" s="1"/>
  <c r="U136" i="1"/>
  <c r="V136" i="1" s="1"/>
  <c r="CJ135" i="1"/>
  <c r="X135" i="1" a="1"/>
  <c r="X135" i="1" s="1"/>
  <c r="U135" i="1"/>
  <c r="V135" i="1" s="1"/>
  <c r="X134" i="1"/>
  <c r="X134" i="1" a="1"/>
  <c r="U134" i="1"/>
  <c r="V134" i="1" s="1"/>
  <c r="CJ133" i="1"/>
  <c r="X133" i="1" a="1"/>
  <c r="X133" i="1" s="1"/>
  <c r="U133" i="1"/>
  <c r="V133" i="1" s="1"/>
  <c r="CJ132" i="1"/>
  <c r="X132" i="1" a="1"/>
  <c r="X132" i="1" s="1"/>
  <c r="U132" i="1"/>
  <c r="V132" i="1" s="1"/>
  <c r="U131" i="1"/>
  <c r="V131" i="1" s="1"/>
  <c r="X129" i="1" a="1"/>
  <c r="X129" i="1" s="1"/>
  <c r="V129" i="1"/>
  <c r="U129" i="1"/>
  <c r="X127" i="1" a="1"/>
  <c r="X127" i="1" s="1"/>
  <c r="U127" i="1"/>
  <c r="V127" i="1" s="1"/>
  <c r="X126" i="1" a="1"/>
  <c r="X126" i="1" s="1"/>
  <c r="U126" i="1"/>
  <c r="V126" i="1" s="1"/>
  <c r="U125" i="1"/>
  <c r="V125" i="1" s="1"/>
  <c r="X124" i="1" a="1"/>
  <c r="X124" i="1" s="1"/>
  <c r="U124" i="1"/>
  <c r="V124" i="1" s="1"/>
  <c r="X123" i="1" a="1"/>
  <c r="X123" i="1" s="1"/>
  <c r="U123" i="1"/>
  <c r="V123" i="1" s="1"/>
  <c r="X122" i="1" a="1"/>
  <c r="X122" i="1" s="1"/>
  <c r="U122" i="1"/>
  <c r="V122" i="1" s="1"/>
  <c r="X121" i="1"/>
  <c r="X121" i="1" a="1"/>
  <c r="U121" i="1"/>
  <c r="V121" i="1" s="1"/>
  <c r="X119" i="1" a="1"/>
  <c r="X119" i="1" s="1"/>
  <c r="U119" i="1"/>
  <c r="V119" i="1" s="1"/>
  <c r="CJ118" i="1"/>
  <c r="X118" i="1" a="1"/>
  <c r="X118" i="1" s="1"/>
  <c r="U118" i="1"/>
  <c r="V118" i="1" s="1"/>
  <c r="CJ117" i="1"/>
  <c r="X117" i="1" a="1"/>
  <c r="X117" i="1" s="1"/>
  <c r="U117" i="1"/>
  <c r="V117" i="1" s="1"/>
  <c r="X116" i="1"/>
  <c r="X116" i="1" a="1"/>
  <c r="U116" i="1"/>
  <c r="V116" i="1" s="1"/>
  <c r="X115" i="1" a="1"/>
  <c r="X115" i="1" s="1"/>
  <c r="U115" i="1"/>
  <c r="V115" i="1" s="1"/>
  <c r="X114" i="1" a="1"/>
  <c r="X114" i="1" s="1"/>
  <c r="U114" i="1"/>
  <c r="V114" i="1" s="1"/>
  <c r="CJ113" i="1"/>
  <c r="X113" i="1" a="1"/>
  <c r="X113" i="1" s="1"/>
  <c r="U113" i="1"/>
  <c r="V113" i="1" s="1"/>
  <c r="CJ112" i="1"/>
  <c r="X112" i="1" a="1"/>
  <c r="X112" i="1" s="1"/>
  <c r="U112" i="1"/>
  <c r="V112" i="1" s="1"/>
  <c r="X111" i="1" a="1"/>
  <c r="X111" i="1" s="1"/>
  <c r="U111" i="1"/>
  <c r="V111" i="1" s="1"/>
  <c r="CJ110" i="1"/>
  <c r="X110" i="1" a="1"/>
  <c r="X110" i="1" s="1"/>
  <c r="U110" i="1"/>
  <c r="V110" i="1" s="1"/>
  <c r="CJ109" i="1"/>
  <c r="X109" i="1" a="1"/>
  <c r="X109" i="1" s="1"/>
  <c r="U109" i="1"/>
  <c r="V109" i="1" s="1"/>
  <c r="CJ108" i="1"/>
  <c r="X108" i="1" a="1"/>
  <c r="X108" i="1" s="1"/>
  <c r="U108" i="1"/>
  <c r="V108" i="1" s="1"/>
  <c r="X107" i="1" a="1"/>
  <c r="X107" i="1" s="1"/>
  <c r="U107" i="1"/>
  <c r="V107" i="1" s="1"/>
  <c r="CJ106" i="1"/>
  <c r="X106" i="1" a="1"/>
  <c r="X106" i="1" s="1"/>
  <c r="U106" i="1"/>
  <c r="V106" i="1" s="1"/>
  <c r="CJ105" i="1"/>
  <c r="X105" i="1" a="1"/>
  <c r="X105" i="1" s="1"/>
  <c r="V105" i="1"/>
  <c r="U105" i="1"/>
  <c r="CJ104" i="1"/>
  <c r="X104" i="1" a="1"/>
  <c r="X104" i="1" s="1"/>
  <c r="U104" i="1"/>
  <c r="V104" i="1" s="1"/>
  <c r="X103" i="1" a="1"/>
  <c r="X103" i="1" s="1"/>
  <c r="U103" i="1"/>
  <c r="V103" i="1" s="1"/>
  <c r="CJ102" i="1"/>
  <c r="X102" i="1" a="1"/>
  <c r="X102" i="1" s="1"/>
  <c r="U102" i="1"/>
  <c r="V102" i="1" s="1"/>
  <c r="X101" i="1" a="1"/>
  <c r="X101" i="1" s="1"/>
  <c r="U101" i="1"/>
  <c r="V101" i="1" s="1"/>
  <c r="CJ100" i="1"/>
  <c r="X100" i="1" a="1"/>
  <c r="X100" i="1" s="1"/>
  <c r="U100" i="1"/>
  <c r="V100" i="1" s="1"/>
  <c r="X99" i="1" a="1"/>
  <c r="X99" i="1" s="1"/>
  <c r="U99" i="1"/>
  <c r="V99" i="1" s="1"/>
  <c r="CJ98" i="1"/>
  <c r="X98" i="1" a="1"/>
  <c r="X98" i="1" s="1"/>
  <c r="U98" i="1"/>
  <c r="V98" i="1" s="1"/>
  <c r="CJ97" i="1"/>
  <c r="X97" i="1" a="1"/>
  <c r="X97" i="1" s="1"/>
  <c r="U97" i="1"/>
  <c r="V97" i="1" s="1"/>
  <c r="X96" i="1" a="1"/>
  <c r="X96" i="1" s="1"/>
  <c r="U96" i="1"/>
  <c r="V96" i="1" s="1"/>
  <c r="CJ95" i="1"/>
  <c r="X95" i="1" a="1"/>
  <c r="X95" i="1" s="1"/>
  <c r="U95" i="1"/>
  <c r="V95" i="1" s="1"/>
  <c r="CJ94" i="1"/>
  <c r="X94" i="1" a="1"/>
  <c r="X94" i="1" s="1"/>
  <c r="U94" i="1"/>
  <c r="V94" i="1" s="1"/>
  <c r="CJ93" i="1"/>
  <c r="X93" i="1" a="1"/>
  <c r="X93" i="1" s="1"/>
  <c r="V93" i="1"/>
  <c r="U93" i="1"/>
  <c r="CJ92" i="1"/>
  <c r="X92" i="1" a="1"/>
  <c r="X92" i="1" s="1"/>
  <c r="U92" i="1"/>
  <c r="V92" i="1" s="1"/>
  <c r="CJ91" i="1"/>
  <c r="X91" i="1" a="1"/>
  <c r="X91" i="1" s="1"/>
  <c r="U91" i="1"/>
  <c r="V91" i="1" s="1"/>
  <c r="CJ90" i="1"/>
  <c r="X90" i="1"/>
  <c r="X90" i="1" a="1"/>
  <c r="U90" i="1"/>
  <c r="V90" i="1" s="1"/>
  <c r="CJ89" i="1"/>
  <c r="X89" i="1" a="1"/>
  <c r="X89" i="1" s="1"/>
  <c r="V89" i="1"/>
  <c r="U89" i="1"/>
  <c r="U88" i="1"/>
  <c r="V88" i="1" s="1"/>
  <c r="X87" i="1" a="1"/>
  <c r="X87" i="1" s="1"/>
  <c r="U87" i="1"/>
  <c r="V87" i="1" s="1"/>
  <c r="X86" i="1" a="1"/>
  <c r="X86" i="1" s="1"/>
  <c r="U86" i="1"/>
  <c r="V86" i="1" s="1"/>
  <c r="U85" i="1"/>
  <c r="V85" i="1" s="1"/>
  <c r="X84" i="1"/>
  <c r="X84" i="1" a="1"/>
  <c r="U84" i="1"/>
  <c r="V84" i="1" s="1"/>
  <c r="CJ83" i="1"/>
  <c r="X83" i="1" a="1"/>
  <c r="X83" i="1" s="1"/>
  <c r="U83" i="1"/>
  <c r="V83" i="1" s="1"/>
  <c r="X82" i="1" a="1"/>
  <c r="X82" i="1" s="1"/>
  <c r="U82" i="1"/>
  <c r="V82" i="1" s="1"/>
  <c r="CJ81" i="1"/>
  <c r="X81" i="1" a="1"/>
  <c r="X81" i="1" s="1"/>
  <c r="U81" i="1"/>
  <c r="V81" i="1" s="1"/>
  <c r="CJ80" i="1"/>
  <c r="X80" i="1" a="1"/>
  <c r="X80" i="1" s="1"/>
  <c r="V80" i="1"/>
  <c r="U80" i="1"/>
  <c r="X79" i="1" a="1"/>
  <c r="X79" i="1" s="1"/>
  <c r="U79" i="1"/>
  <c r="V79" i="1" s="1"/>
  <c r="U78" i="1"/>
  <c r="V78" i="1" s="1"/>
  <c r="U77" i="1"/>
  <c r="V77" i="1" s="1"/>
  <c r="U76" i="1"/>
  <c r="V76" i="1" s="1"/>
  <c r="X75" i="1" a="1"/>
  <c r="X75" i="1" s="1"/>
  <c r="U75" i="1"/>
  <c r="V75" i="1" s="1"/>
  <c r="X74" i="1" a="1"/>
  <c r="X74" i="1" s="1"/>
  <c r="V74" i="1"/>
  <c r="U74" i="1"/>
  <c r="CJ73" i="1"/>
  <c r="X73" i="1" a="1"/>
  <c r="X73" i="1" s="1"/>
  <c r="U73" i="1"/>
  <c r="V73" i="1" s="1"/>
  <c r="X72" i="1" a="1"/>
  <c r="X72" i="1" s="1"/>
  <c r="U72" i="1"/>
  <c r="V72" i="1" s="1"/>
  <c r="X71" i="1" a="1"/>
  <c r="X71" i="1" s="1"/>
  <c r="U71" i="1"/>
  <c r="V71" i="1" s="1"/>
  <c r="CJ70" i="1"/>
  <c r="X69" i="1" a="1"/>
  <c r="X69" i="1" s="1"/>
  <c r="U69" i="1"/>
  <c r="V69" i="1" s="1"/>
  <c r="CJ68" i="1"/>
  <c r="X68" i="1"/>
  <c r="X68" i="1" a="1"/>
  <c r="U68" i="1"/>
  <c r="V68" i="1" s="1"/>
  <c r="CJ67" i="1"/>
  <c r="X67" i="1" a="1"/>
  <c r="X67" i="1" s="1"/>
  <c r="U67" i="1"/>
  <c r="V67" i="1" s="1"/>
  <c r="CJ66" i="1"/>
  <c r="X66" i="1" a="1"/>
  <c r="X66" i="1" s="1"/>
  <c r="U66" i="1"/>
  <c r="V66" i="1" s="1"/>
  <c r="CJ65" i="1"/>
  <c r="X65" i="1" a="1"/>
  <c r="X65" i="1" s="1"/>
  <c r="U65" i="1"/>
  <c r="V65" i="1" s="1"/>
  <c r="X64" i="1" a="1"/>
  <c r="X64" i="1" s="1"/>
  <c r="V64" i="1"/>
  <c r="U64" i="1"/>
  <c r="CJ63" i="1"/>
  <c r="X63" i="1" a="1"/>
  <c r="X63" i="1" s="1"/>
  <c r="U63" i="1"/>
  <c r="V63" i="1" s="1"/>
  <c r="U62" i="1"/>
  <c r="V62" i="1" s="1"/>
  <c r="U61" i="1"/>
  <c r="V61" i="1" s="1"/>
  <c r="X60" i="1" a="1"/>
  <c r="X60" i="1" s="1"/>
  <c r="U60" i="1"/>
  <c r="V60" i="1" s="1"/>
  <c r="X59" i="1" a="1"/>
  <c r="X59" i="1" s="1"/>
  <c r="U59" i="1"/>
  <c r="V59" i="1" s="1"/>
  <c r="X58" i="1" a="1"/>
  <c r="X58" i="1" s="1"/>
  <c r="U58" i="1"/>
  <c r="V58" i="1" s="1"/>
  <c r="X57" i="1" a="1"/>
  <c r="X57" i="1" s="1"/>
  <c r="U57" i="1"/>
  <c r="V57" i="1" s="1"/>
  <c r="CJ56" i="1"/>
  <c r="X56" i="1" a="1"/>
  <c r="X56" i="1" s="1"/>
  <c r="U56" i="1"/>
  <c r="V56" i="1" s="1"/>
  <c r="X55" i="1" a="1"/>
  <c r="X55" i="1" s="1"/>
  <c r="U55" i="1"/>
  <c r="V55" i="1" s="1"/>
  <c r="X54" i="1" a="1"/>
  <c r="X54" i="1" s="1"/>
  <c r="U54" i="1"/>
  <c r="V54" i="1" s="1"/>
  <c r="CJ53" i="1"/>
  <c r="X53" i="1" a="1"/>
  <c r="X53" i="1" s="1"/>
  <c r="U53" i="1"/>
  <c r="V53" i="1" s="1"/>
  <c r="CJ52" i="1"/>
  <c r="X52" i="1" a="1"/>
  <c r="X52" i="1" s="1"/>
  <c r="U52" i="1"/>
  <c r="V52" i="1" s="1"/>
  <c r="X51" i="1" a="1"/>
  <c r="X51" i="1" s="1"/>
  <c r="U51" i="1"/>
  <c r="V51" i="1" s="1"/>
  <c r="X50" i="1" a="1"/>
  <c r="X50" i="1" s="1"/>
  <c r="U50" i="1"/>
  <c r="V50" i="1" s="1"/>
  <c r="CJ49" i="1"/>
  <c r="X49" i="1"/>
  <c r="X49" i="1" a="1"/>
  <c r="U49" i="1"/>
  <c r="V49" i="1" s="1"/>
  <c r="CJ48" i="1"/>
  <c r="X48" i="1" a="1"/>
  <c r="X48" i="1" s="1"/>
  <c r="U48" i="1"/>
  <c r="V48" i="1" s="1"/>
  <c r="X47" i="1" a="1"/>
  <c r="X47" i="1" s="1"/>
  <c r="U47" i="1"/>
  <c r="V47" i="1" s="1"/>
  <c r="CJ46" i="1"/>
  <c r="X46" i="1" a="1"/>
  <c r="X46" i="1" s="1"/>
  <c r="U46" i="1"/>
  <c r="V46" i="1" s="1"/>
  <c r="CJ45" i="1"/>
  <c r="X45" i="1" a="1"/>
  <c r="X45" i="1" s="1"/>
  <c r="U45" i="1"/>
  <c r="V45" i="1" s="1"/>
  <c r="X44" i="1" a="1"/>
  <c r="X44" i="1" s="1"/>
  <c r="U44" i="1"/>
  <c r="V44" i="1" s="1"/>
  <c r="X43" i="1" a="1"/>
  <c r="X43" i="1" s="1"/>
  <c r="U43" i="1"/>
  <c r="V43" i="1" s="1"/>
  <c r="CJ42" i="1"/>
  <c r="X42" i="1"/>
  <c r="X42" i="1" a="1"/>
  <c r="V42" i="1"/>
  <c r="U42" i="1"/>
  <c r="CJ41" i="1"/>
  <c r="X41" i="1" a="1"/>
  <c r="X41" i="1" s="1"/>
  <c r="U41" i="1"/>
  <c r="V41" i="1" s="1"/>
  <c r="CJ40" i="1"/>
  <c r="X40" i="1" a="1"/>
  <c r="X40" i="1" s="1"/>
  <c r="U40" i="1"/>
  <c r="V40" i="1" s="1"/>
  <c r="CJ39" i="1"/>
  <c r="X39" i="1" a="1"/>
  <c r="X39" i="1" s="1"/>
  <c r="V39" i="1"/>
  <c r="U39" i="1"/>
  <c r="X38" i="1" a="1"/>
  <c r="X38" i="1" s="1"/>
  <c r="U38" i="1"/>
  <c r="V38" i="1" s="1"/>
  <c r="CJ37" i="1"/>
  <c r="X37" i="1" a="1"/>
  <c r="X37" i="1" s="1"/>
  <c r="U37" i="1"/>
  <c r="V37" i="1" s="1"/>
  <c r="X36" i="1" a="1"/>
  <c r="X36" i="1" s="1"/>
  <c r="U36" i="1"/>
  <c r="V36" i="1" s="1"/>
  <c r="X35" i="1" a="1"/>
  <c r="X35" i="1" s="1"/>
  <c r="U35" i="1"/>
  <c r="V35" i="1" s="1"/>
  <c r="CJ34" i="1"/>
  <c r="X34" i="1" a="1"/>
  <c r="X34" i="1" s="1"/>
  <c r="U34" i="1"/>
  <c r="V34" i="1" s="1"/>
  <c r="X33" i="1" a="1"/>
  <c r="X33" i="1" s="1"/>
  <c r="U33" i="1"/>
  <c r="V33" i="1" s="1"/>
  <c r="CJ32" i="1"/>
  <c r="X32" i="1" a="1"/>
  <c r="X32" i="1" s="1"/>
  <c r="U32" i="1"/>
  <c r="V32" i="1" s="1"/>
  <c r="CJ31" i="1"/>
  <c r="X31" i="1" a="1"/>
  <c r="X31" i="1" s="1"/>
  <c r="U31" i="1"/>
  <c r="V31" i="1" s="1"/>
  <c r="CJ30" i="1"/>
  <c r="X30" i="1"/>
  <c r="X30" i="1" a="1"/>
  <c r="U30" i="1"/>
  <c r="V30" i="1" s="1"/>
  <c r="CJ29" i="1"/>
  <c r="X29" i="1" a="1"/>
  <c r="X29" i="1" s="1"/>
  <c r="U29" i="1"/>
  <c r="V29" i="1" s="1"/>
  <c r="CJ28" i="1"/>
  <c r="X28" i="1" a="1"/>
  <c r="X28" i="1" s="1"/>
  <c r="U28" i="1"/>
  <c r="V28" i="1" s="1"/>
  <c r="CJ27" i="1"/>
  <c r="X27" i="1" a="1"/>
  <c r="X27" i="1" s="1"/>
  <c r="V27" i="1"/>
  <c r="U27" i="1"/>
  <c r="CJ26" i="1"/>
  <c r="X26" i="1" a="1"/>
  <c r="X26" i="1" s="1"/>
  <c r="U26" i="1"/>
  <c r="V26" i="1" s="1"/>
  <c r="CJ25" i="1"/>
  <c r="X25" i="1" a="1"/>
  <c r="X25" i="1" s="1"/>
  <c r="U25" i="1"/>
  <c r="V25" i="1" s="1"/>
  <c r="CJ24" i="1"/>
  <c r="X24" i="1" a="1"/>
  <c r="X24" i="1" s="1"/>
  <c r="U24" i="1"/>
  <c r="V24" i="1" s="1"/>
  <c r="CJ23" i="1"/>
  <c r="X23" i="1" a="1"/>
  <c r="X23" i="1" s="1"/>
  <c r="U23" i="1"/>
  <c r="V23" i="1" s="1"/>
  <c r="CJ22" i="1"/>
  <c r="X22" i="1" a="1"/>
  <c r="X22" i="1" s="1"/>
  <c r="U22" i="1"/>
  <c r="V22" i="1" s="1"/>
  <c r="CJ21" i="1"/>
  <c r="X21" i="1" a="1"/>
  <c r="X21" i="1" s="1"/>
  <c r="U21" i="1"/>
  <c r="V21" i="1" s="1"/>
  <c r="CJ20" i="1"/>
  <c r="X20" i="1" a="1"/>
  <c r="X20" i="1" s="1"/>
  <c r="U20" i="1"/>
  <c r="V20" i="1" s="1"/>
  <c r="CJ19" i="1"/>
  <c r="X19" i="1" a="1"/>
  <c r="X19" i="1" s="1"/>
  <c r="U19" i="1"/>
  <c r="V19" i="1" s="1"/>
  <c r="CJ18" i="1"/>
  <c r="X18" i="1" a="1"/>
  <c r="X18" i="1" s="1"/>
  <c r="U18" i="1"/>
  <c r="V18" i="1" s="1"/>
  <c r="CJ17" i="1"/>
  <c r="X17" i="1" a="1"/>
  <c r="X17" i="1" s="1"/>
  <c r="U17" i="1"/>
  <c r="V17" i="1" s="1"/>
  <c r="CJ16" i="1"/>
  <c r="X16" i="1" a="1"/>
  <c r="X16" i="1" s="1"/>
  <c r="U16" i="1"/>
  <c r="V16" i="1" s="1"/>
  <c r="X15" i="1" a="1"/>
  <c r="X15" i="1" s="1"/>
  <c r="U15" i="1"/>
  <c r="V15" i="1" s="1"/>
  <c r="X14" i="1" a="1"/>
  <c r="X14" i="1" s="1"/>
  <c r="V14" i="1"/>
  <c r="U14" i="1"/>
  <c r="X13" i="1" a="1"/>
  <c r="X13" i="1" s="1"/>
  <c r="U13" i="1"/>
  <c r="V13" i="1" s="1"/>
  <c r="CP12" i="1"/>
  <c r="X12" i="1" a="1"/>
  <c r="X12" i="1" s="1"/>
  <c r="U12" i="1"/>
  <c r="V12" i="1" s="1"/>
  <c r="X11" i="1" a="1"/>
  <c r="X11" i="1" s="1"/>
  <c r="U11" i="1"/>
  <c r="V11" i="1" s="1"/>
  <c r="X10" i="1" a="1"/>
  <c r="X10" i="1" s="1"/>
  <c r="U10" i="1"/>
  <c r="V10" i="1" s="1"/>
  <c r="CJ9" i="1"/>
  <c r="X9" i="1" a="1"/>
  <c r="X9" i="1" s="1"/>
  <c r="U9" i="1"/>
  <c r="V9" i="1" s="1"/>
  <c r="X8" i="1" a="1"/>
  <c r="X8" i="1" s="1"/>
  <c r="U8" i="1"/>
  <c r="V8" i="1" s="1"/>
  <c r="X7" i="1" a="1"/>
  <c r="X7" i="1" s="1"/>
  <c r="U7" i="1"/>
  <c r="V7" i="1" s="1"/>
  <c r="X6" i="1" a="1"/>
  <c r="X6" i="1" s="1"/>
  <c r="V6" i="1"/>
  <c r="U6" i="1"/>
  <c r="X5" i="1" a="1"/>
  <c r="X5" i="1" s="1"/>
  <c r="U5" i="1"/>
  <c r="V5" i="1" s="1"/>
  <c r="CJ4" i="1"/>
  <c r="X4" i="1" a="1"/>
  <c r="X4" i="1" s="1"/>
  <c r="U4" i="1"/>
  <c r="V4" i="1" s="1"/>
  <c r="X3" i="1" a="1"/>
  <c r="X3" i="1" s="1"/>
  <c r="U3" i="1"/>
  <c r="V3" i="1" s="1"/>
  <c r="X2" i="1" a="1"/>
  <c r="X2" i="1" s="1"/>
  <c r="U2" i="1"/>
  <c r="V2" i="1" s="1"/>
  <c r="CC933" i="1" l="1"/>
  <c r="CB933" i="1"/>
  <c r="CC937" i="1"/>
  <c r="CB937" i="1"/>
  <c r="CC938" i="1"/>
  <c r="CB938" i="1"/>
  <c r="CC975" i="1"/>
  <c r="CC935" i="1"/>
  <c r="CB935" i="1"/>
  <c r="CB951" i="1"/>
  <c r="CB958" i="1"/>
  <c r="CC934" i="1"/>
  <c r="CB934" i="1"/>
  <c r="CC986" i="1"/>
  <c r="CC951" i="1"/>
  <c r="CB949" i="1"/>
  <c r="CC949" i="1"/>
  <c r="CB950" i="1"/>
  <c r="CB986" i="1"/>
  <c r="CB912" i="1"/>
  <c r="CB939" i="1"/>
  <c r="CB948" i="1"/>
  <c r="CB956" i="1"/>
  <c r="CC952" i="1"/>
  <c r="CB954" i="1"/>
  <c r="CC970" i="1"/>
  <c r="CB988" i="1"/>
  <c r="CC954" i="1"/>
  <c r="CC964" i="1"/>
  <c r="CC945" i="1"/>
  <c r="CB973" i="1"/>
  <c r="CB975" i="1"/>
  <c r="CB977" i="1"/>
  <c r="CB981" i="1"/>
  <c r="CC965" i="1"/>
  <c r="CC989" i="1"/>
  <c r="CC958" i="1"/>
  <c r="CC967" i="1"/>
  <c r="CB971" i="1"/>
  <c r="CB976" i="1"/>
  <c r="CB984" i="1"/>
  <c r="CB936" i="1"/>
  <c r="CB961" i="1"/>
  <c r="CB963" i="1"/>
  <c r="CB965" i="1"/>
  <c r="CB955" i="1"/>
  <c r="CC968" i="1"/>
  <c r="CB968" i="1"/>
  <c r="CB982" i="1"/>
  <c r="CC983" i="1"/>
  <c r="CB983" i="1"/>
  <c r="CC993" i="1"/>
  <c r="CC960" i="1"/>
  <c r="CB985" i="1"/>
  <c r="CB987" i="1"/>
  <c r="CC991" i="1"/>
  <c r="CC985" i="1"/>
  <c r="CC987" i="1"/>
  <c r="CC992" i="1"/>
  <c r="CB992" i="1"/>
  <c r="CC947" i="1"/>
  <c r="CB947" i="1"/>
  <c r="CC956" i="1"/>
  <c r="CC953" i="1"/>
  <c r="CC959" i="1"/>
  <c r="CB959" i="1"/>
  <c r="CB979" i="1"/>
  <c r="CC979" i="1"/>
  <c r="CC972" i="1"/>
  <c r="CB972" i="1"/>
  <c r="CB908" i="1"/>
  <c r="CB910" i="1"/>
  <c r="CB915" i="1"/>
  <c r="CB931" i="1"/>
  <c r="CB944" i="1"/>
  <c r="CB909" i="1"/>
  <c r="CB932" i="1"/>
  <c r="CB9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tc={232E23FA-D01D-4253-A56F-BC2542760CE5}</author>
    <author>tc={F2B90FD2-0922-4042-A0FB-9AEDC5EB0831}</author>
    <author>tc={12BA9928-57D4-4B27-B5A2-954AB34E9943}</author>
    <author>tc={DF7BD3AA-575B-4CE1-9C5B-C6AAC03694F2}</author>
    <author>tc={A4F205C5-9294-4AB3-B4F1-62C499877F66}</author>
    <author>tc={1F9F1666-92BF-4590-8280-FFB2314A7BBB}</author>
    <author>tc={B82EF599-3DA5-4D1B-8385-A4F9FD11BF79}</author>
    <author>tc={2EEAD454-2C72-4044-BBFA-887345B01634}</author>
    <author>tc={CB9AB9C6-8AB7-426E-8027-00D4ADA020C3}</author>
  </authors>
  <commentList>
    <comment ref="A35" authorId="0" shapeId="0" xr:uid="{232E23FA-D01D-4253-A56F-BC2542760CE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Skada</t>
      </text>
    </comment>
    <comment ref="A58" authorId="1" shapeId="0" xr:uid="{F2B90FD2-0922-4042-A0FB-9AEDC5EB083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skada</t>
      </text>
    </comment>
    <comment ref="A60" authorId="2" shapeId="0" xr:uid="{12BA9928-57D4-4B27-B5A2-954AB34E994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Skada</t>
      </text>
    </comment>
    <comment ref="A550" authorId="3" shapeId="0" xr:uid="{DF7BD3AA-575B-4CE1-9C5B-C6AAC03694F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Skada</t>
      </text>
    </comment>
    <comment ref="A650" authorId="4" shapeId="0" xr:uid="{A4F205C5-9294-4AB3-B4F1-62C499877F6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Skada</t>
      </text>
    </comment>
    <comment ref="A960" authorId="5" shapeId="0" xr:uid="{1F9F1666-92BF-4590-8280-FFB2314A7BB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skade</t>
      </text>
    </comment>
    <comment ref="A987" authorId="6" shapeId="0" xr:uid="{B82EF599-3DA5-4D1B-8385-A4F9FD11BF79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Skada leddbånd kne</t>
      </text>
    </comment>
    <comment ref="AB1044" authorId="7" shapeId="0" xr:uid="{2EEAD454-2C72-4044-BBFA-887345B0163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1,403'</t>
      </text>
    </comment>
    <comment ref="AB1078" authorId="8" shapeId="0" xr:uid="{CB9AB9C6-8AB7-426E-8027-00D4ADA020C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1,364'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<sst xmlns="http://schemas.openxmlformats.org/spreadsheetml/2006/main" count="10679" uniqueCount="361">
  <si>
    <t>id</t>
  </si>
  <si>
    <t>FP2</t>
  </si>
  <si>
    <t>Dominant fot</t>
  </si>
  <si>
    <t>time</t>
  </si>
  <si>
    <t>date</t>
  </si>
  <si>
    <t>sport</t>
  </si>
  <si>
    <t>sex</t>
  </si>
  <si>
    <t>year</t>
  </si>
  <si>
    <t>ageg</t>
  </si>
  <si>
    <t>group</t>
  </si>
  <si>
    <t>Høyde 1</t>
  </si>
  <si>
    <t>Høyde 2</t>
  </si>
  <si>
    <t>Høyde 3</t>
  </si>
  <si>
    <t>Sittende høyde 1</t>
  </si>
  <si>
    <t>Sittende høyde 2</t>
  </si>
  <si>
    <t>Sittende høyde 3</t>
  </si>
  <si>
    <t>Vekt 1</t>
  </si>
  <si>
    <t>Vekt 2</t>
  </si>
  <si>
    <t>Vekt 3</t>
  </si>
  <si>
    <t>height</t>
  </si>
  <si>
    <t>sittingheight</t>
  </si>
  <si>
    <t>leglength</t>
  </si>
  <si>
    <t>bodymass</t>
  </si>
  <si>
    <t>phv</t>
  </si>
  <si>
    <t>10m1</t>
  </si>
  <si>
    <t>20m1</t>
  </si>
  <si>
    <t>30m1</t>
  </si>
  <si>
    <t>10m2</t>
  </si>
  <si>
    <t>20m2</t>
  </si>
  <si>
    <t>30m2</t>
  </si>
  <si>
    <t>10m3</t>
  </si>
  <si>
    <t>20m3</t>
  </si>
  <si>
    <t>30m3</t>
  </si>
  <si>
    <t>sprint10</t>
  </si>
  <si>
    <t>sprint20</t>
  </si>
  <si>
    <t>sprint30</t>
  </si>
  <si>
    <t>topspeed</t>
  </si>
  <si>
    <t>Agility dominant 1</t>
  </si>
  <si>
    <t>Agility dominant 2</t>
  </si>
  <si>
    <t>Agility ikke-dominant 1</t>
  </si>
  <si>
    <t>Agility ikke-dominant 2</t>
  </si>
  <si>
    <t>cod</t>
  </si>
  <si>
    <t>Agility dominant (s)</t>
  </si>
  <si>
    <t>Agility ikke-dominant (s)</t>
  </si>
  <si>
    <t>Spenst 1</t>
  </si>
  <si>
    <t>Spenst 2</t>
  </si>
  <si>
    <t>Spenst 3</t>
  </si>
  <si>
    <t>Spenst 4</t>
  </si>
  <si>
    <t>Spenst 5</t>
  </si>
  <si>
    <t>cmj</t>
  </si>
  <si>
    <t>Kommentar</t>
  </si>
  <si>
    <t>Seteposisjon</t>
  </si>
  <si>
    <t>RM-utgang</t>
  </si>
  <si>
    <t>Reps</t>
  </si>
  <si>
    <t>RM-siste rep</t>
  </si>
  <si>
    <t>Kraft ikke-dominant</t>
  </si>
  <si>
    <t>Kraft dominant</t>
  </si>
  <si>
    <t>Kraft èn fot</t>
  </si>
  <si>
    <t>Pwr ikke-dominant</t>
  </si>
  <si>
    <t>Pwr dominant</t>
  </si>
  <si>
    <t>totforce</t>
  </si>
  <si>
    <t>totpwr</t>
  </si>
  <si>
    <t>Sideforskjell kraft</t>
  </si>
  <si>
    <t>Sideforskjell pwr</t>
  </si>
  <si>
    <t>relforce</t>
  </si>
  <si>
    <t>relpwr</t>
  </si>
  <si>
    <t>Hamstring beste</t>
  </si>
  <si>
    <t>Hamstring ikke-dominant</t>
  </si>
  <si>
    <t>Hamstring dominant</t>
  </si>
  <si>
    <t>Sideforskjell hamstring (%)</t>
  </si>
  <si>
    <t>relhams</t>
  </si>
  <si>
    <t>Adduksjon ikke-dominant</t>
  </si>
  <si>
    <t>Adduksjon dominant</t>
  </si>
  <si>
    <t>Abduksjon ikke-dominant</t>
  </si>
  <si>
    <t>Abduksjon dominant</t>
  </si>
  <si>
    <t>Sideforskjell add</t>
  </si>
  <si>
    <t>Sideforskjell abd</t>
  </si>
  <si>
    <t xml:space="preserve">Ratio add:abd høyre </t>
  </si>
  <si>
    <t>Ratio add:abd venstre</t>
  </si>
  <si>
    <t>reladd</t>
  </si>
  <si>
    <t>relabd</t>
  </si>
  <si>
    <t>ir</t>
  </si>
  <si>
    <t>erot</t>
  </si>
  <si>
    <t>relir</t>
  </si>
  <si>
    <t>reler</t>
  </si>
  <si>
    <t>Ratio ER:IR</t>
  </si>
  <si>
    <t>YYIR nivå</t>
  </si>
  <si>
    <t>yyir</t>
  </si>
  <si>
    <t>Sal</t>
  </si>
  <si>
    <t>Lean mass</t>
  </si>
  <si>
    <t>Lean mass (kg)</t>
  </si>
  <si>
    <t>ADD beste</t>
  </si>
  <si>
    <t>ABD beste</t>
  </si>
  <si>
    <t>age</t>
  </si>
  <si>
    <t>Leg lean mass</t>
  </si>
  <si>
    <t>meanadd</t>
  </si>
  <si>
    <t>meanabd</t>
  </si>
  <si>
    <t>meanhams</t>
  </si>
  <si>
    <t>10m_korr</t>
  </si>
  <si>
    <t>30m_korr</t>
  </si>
  <si>
    <t>cod_korr</t>
  </si>
  <si>
    <t>cmj_korr</t>
  </si>
  <si>
    <t>posisjon</t>
  </si>
  <si>
    <t>nih</t>
  </si>
  <si>
    <t>Høyre</t>
  </si>
  <si>
    <t>round1</t>
  </si>
  <si>
    <t>football</t>
  </si>
  <si>
    <t>girls</t>
  </si>
  <si>
    <t>U14</t>
  </si>
  <si>
    <t>girlsU14</t>
  </si>
  <si>
    <t/>
  </si>
  <si>
    <t>3 reps ekstra WU</t>
  </si>
  <si>
    <t>Krø1+2</t>
  </si>
  <si>
    <t>Vond hofte</t>
  </si>
  <si>
    <t xml:space="preserve">11842 </t>
  </si>
  <si>
    <t>høyre</t>
  </si>
  <si>
    <t>U16</t>
  </si>
  <si>
    <t>girlsU16</t>
  </si>
  <si>
    <t>reas</t>
  </si>
  <si>
    <t>0 (etter 9)</t>
  </si>
  <si>
    <t>girlsU18</t>
  </si>
  <si>
    <t>U18</t>
  </si>
  <si>
    <t>boys</t>
  </si>
  <si>
    <t>boysU14</t>
  </si>
  <si>
    <t xml:space="preserve">14601 </t>
  </si>
  <si>
    <t>Keeper</t>
  </si>
  <si>
    <t xml:space="preserve">18369 </t>
  </si>
  <si>
    <t>idrettshallen</t>
  </si>
  <si>
    <t xml:space="preserve">9692 </t>
  </si>
  <si>
    <t>Ballspillsalen - glatt</t>
  </si>
  <si>
    <t xml:space="preserve">11865 </t>
  </si>
  <si>
    <t>startet ikke på 10</t>
  </si>
  <si>
    <t xml:space="preserve">9510 </t>
  </si>
  <si>
    <t xml:space="preserve">16613 </t>
  </si>
  <si>
    <t xml:space="preserve">11777 </t>
  </si>
  <si>
    <t xml:space="preserve">17208 </t>
  </si>
  <si>
    <t xml:space="preserve">12782 </t>
  </si>
  <si>
    <t xml:space="preserve">12628 </t>
  </si>
  <si>
    <t>registrerte ikke på 20</t>
  </si>
  <si>
    <t xml:space="preserve">11078 </t>
  </si>
  <si>
    <t xml:space="preserve">12005 </t>
  </si>
  <si>
    <t xml:space="preserve">10638 </t>
  </si>
  <si>
    <t xml:space="preserve">12023 </t>
  </si>
  <si>
    <t xml:space="preserve">14613 </t>
  </si>
  <si>
    <t xml:space="preserve">16463 </t>
  </si>
  <si>
    <t xml:space="preserve">12942 </t>
  </si>
  <si>
    <t xml:space="preserve">13630 </t>
  </si>
  <si>
    <t xml:space="preserve">16095 </t>
  </si>
  <si>
    <t xml:space="preserve">11681 </t>
  </si>
  <si>
    <t>står over</t>
  </si>
  <si>
    <t xml:space="preserve">11813 </t>
  </si>
  <si>
    <t xml:space="preserve">12055 </t>
  </si>
  <si>
    <t xml:space="preserve">15358 </t>
  </si>
  <si>
    <t xml:space="preserve">13646 </t>
  </si>
  <si>
    <t xml:space="preserve">11109 </t>
  </si>
  <si>
    <t xml:space="preserve">10771 </t>
  </si>
  <si>
    <t xml:space="preserve">14101 </t>
  </si>
  <si>
    <t>boysU16</t>
  </si>
  <si>
    <t>venstre</t>
  </si>
  <si>
    <t xml:space="preserve">høyre </t>
  </si>
  <si>
    <t>boysU18</t>
  </si>
  <si>
    <t>skad</t>
  </si>
  <si>
    <t>4,37</t>
  </si>
  <si>
    <t>skada i ryggen</t>
  </si>
  <si>
    <t xml:space="preserve">venstre </t>
  </si>
  <si>
    <t xml:space="preserve">9670 </t>
  </si>
  <si>
    <t xml:space="preserve">11832 </t>
  </si>
  <si>
    <t xml:space="preserve">11150 </t>
  </si>
  <si>
    <t xml:space="preserve">8532 </t>
  </si>
  <si>
    <t xml:space="preserve">11598 </t>
  </si>
  <si>
    <t xml:space="preserve">13089 </t>
  </si>
  <si>
    <t>Venstre</t>
  </si>
  <si>
    <t>11..1</t>
  </si>
  <si>
    <t xml:space="preserve">14322 </t>
  </si>
  <si>
    <t xml:space="preserve">14277 </t>
  </si>
  <si>
    <t xml:space="preserve">11780 </t>
  </si>
  <si>
    <t>vondt lyske</t>
  </si>
  <si>
    <t xml:space="preserve">13150 </t>
  </si>
  <si>
    <t xml:space="preserve">11992 </t>
  </si>
  <si>
    <t xml:space="preserve">15886 </t>
  </si>
  <si>
    <t xml:space="preserve">13800 </t>
  </si>
  <si>
    <t xml:space="preserve">13604 </t>
  </si>
  <si>
    <t xml:space="preserve">13106 </t>
  </si>
  <si>
    <t xml:space="preserve">14945 </t>
  </si>
  <si>
    <t>slatters</t>
  </si>
  <si>
    <t xml:space="preserve">11093 </t>
  </si>
  <si>
    <t>handball</t>
  </si>
  <si>
    <t>9//11</t>
  </si>
  <si>
    <t>Idrettshallen</t>
  </si>
  <si>
    <t>xx</t>
  </si>
  <si>
    <t>Ballspillsalen</t>
  </si>
  <si>
    <t>"</t>
  </si>
  <si>
    <t>omvendt kurve</t>
  </si>
  <si>
    <t>Kroppsøvingssal 1+2</t>
  </si>
  <si>
    <t>Idrettshall 1</t>
  </si>
  <si>
    <t>&lt; Mer å gå på</t>
  </si>
  <si>
    <t xml:space="preserve">Maskinen sluttet å registrere, så vi måtte gå over til å øke motstand manuelt. Usikker på antall repetisjoner. </t>
  </si>
  <si>
    <t>280-310</t>
  </si>
  <si>
    <t>400?</t>
  </si>
  <si>
    <t>uia</t>
  </si>
  <si>
    <t>Midtstopper</t>
  </si>
  <si>
    <t>Sentral midtbane</t>
  </si>
  <si>
    <t>Kant</t>
  </si>
  <si>
    <t>Spiss</t>
  </si>
  <si>
    <t>Back</t>
  </si>
  <si>
    <t>Ving</t>
  </si>
  <si>
    <t>Midt</t>
  </si>
  <si>
    <t>Strek</t>
  </si>
  <si>
    <t>Skadet</t>
  </si>
  <si>
    <t>22 10</t>
  </si>
  <si>
    <t>-</t>
  </si>
  <si>
    <t>25 10</t>
  </si>
  <si>
    <t>26 10</t>
  </si>
  <si>
    <t>|</t>
  </si>
  <si>
    <t>feil</t>
  </si>
  <si>
    <t>round2</t>
  </si>
  <si>
    <t xml:space="preserve">20815 </t>
  </si>
  <si>
    <t>Skade</t>
  </si>
  <si>
    <t>tidligere skade</t>
  </si>
  <si>
    <t>10,64 (sklei)</t>
  </si>
  <si>
    <t>9,,40</t>
  </si>
  <si>
    <t xml:space="preserve">13539 </t>
  </si>
  <si>
    <t>vondt venstre</t>
  </si>
  <si>
    <t>ankel</t>
  </si>
  <si>
    <t>knær</t>
  </si>
  <si>
    <t>x 8,96</t>
  </si>
  <si>
    <t>uten sko</t>
  </si>
  <si>
    <t>nh</t>
  </si>
  <si>
    <t>228*</t>
  </si>
  <si>
    <t>199*</t>
  </si>
  <si>
    <t>A</t>
  </si>
  <si>
    <t>rygg strekk</t>
  </si>
  <si>
    <t>legg/hams</t>
  </si>
  <si>
    <t>15 V og 14 H</t>
  </si>
  <si>
    <t>190-200</t>
  </si>
  <si>
    <t xml:space="preserve"> </t>
  </si>
  <si>
    <t>Idrettshall</t>
  </si>
  <si>
    <t>8 (SL)</t>
  </si>
  <si>
    <t>250(?)</t>
  </si>
  <si>
    <t>290-300</t>
  </si>
  <si>
    <t>etter annen testing</t>
  </si>
  <si>
    <t>ikke samme som sist</t>
  </si>
  <si>
    <t>maskina ville ikke jkøre, funka fint når jeg gjorde det??</t>
  </si>
  <si>
    <t>skade korsbånd 3 måneder</t>
  </si>
  <si>
    <t>325-350</t>
  </si>
  <si>
    <t>230W</t>
  </si>
  <si>
    <t>ikke godkjent</t>
  </si>
  <si>
    <t>225W</t>
  </si>
  <si>
    <t>220W</t>
  </si>
  <si>
    <t>210W</t>
  </si>
  <si>
    <t>ute</t>
  </si>
  <si>
    <t>Ba om å få slippe</t>
  </si>
  <si>
    <t>Dominant = den foten de sparker en ball med</t>
  </si>
  <si>
    <t>190W</t>
  </si>
  <si>
    <t>240W</t>
  </si>
  <si>
    <t>215W</t>
  </si>
  <si>
    <t>Glemte å skrive på keiser data!!</t>
  </si>
  <si>
    <t>Den er lagret på samme dato som de andre, siste som testet? Var antakeligvis før 921 - da må resterende navnfiler flyttes opp et hakk etter dato</t>
  </si>
  <si>
    <t>320W</t>
  </si>
  <si>
    <t>340W</t>
  </si>
  <si>
    <t>OPS: Han må skrives i keiser data!</t>
  </si>
  <si>
    <t>skade</t>
  </si>
  <si>
    <t>1,311'</t>
  </si>
  <si>
    <t>2,956'</t>
  </si>
  <si>
    <t>4,425'</t>
  </si>
  <si>
    <t>250W</t>
  </si>
  <si>
    <t>1,101'</t>
  </si>
  <si>
    <t>2,954'</t>
  </si>
  <si>
    <t>4,675'</t>
  </si>
  <si>
    <t>round3</t>
  </si>
  <si>
    <t>Vondt kne</t>
  </si>
  <si>
    <t xml:space="preserve">sensorer funket ikke </t>
  </si>
  <si>
    <t>skadet fot, nettopp tilbake</t>
  </si>
  <si>
    <t>kutta pga ROM?</t>
  </si>
  <si>
    <t>10,71</t>
  </si>
  <si>
    <t>11,38</t>
  </si>
  <si>
    <t>endret setetet en bak på rep 10</t>
  </si>
  <si>
    <t>9,12'</t>
  </si>
  <si>
    <t>skade rygg</t>
  </si>
  <si>
    <t>244 (v)</t>
  </si>
  <si>
    <t>måtte dra tidligere</t>
  </si>
  <si>
    <t xml:space="preserve">reg ikke siste </t>
  </si>
  <si>
    <t>kg</t>
  </si>
  <si>
    <t>Mulig feil pga plattformen</t>
  </si>
  <si>
    <t>skadet</t>
  </si>
  <si>
    <t>skade ankel</t>
  </si>
  <si>
    <t>kneskade</t>
  </si>
  <si>
    <t xml:space="preserve">  </t>
  </si>
  <si>
    <t>10,08</t>
  </si>
  <si>
    <t>10,92</t>
  </si>
  <si>
    <t>(fra benk 153)</t>
  </si>
  <si>
    <t>(fra benk 164)</t>
  </si>
  <si>
    <t>260W</t>
  </si>
  <si>
    <t>(fra benk 159)</t>
  </si>
  <si>
    <t>275W</t>
  </si>
  <si>
    <t>(fra benk 157,3)</t>
  </si>
  <si>
    <t>(fra benk 164,5)</t>
  </si>
  <si>
    <t>(fra benk 163,5)</t>
  </si>
  <si>
    <t>(fra benk 159,9)</t>
  </si>
  <si>
    <t>(fra benk 170,5)</t>
  </si>
  <si>
    <t>(fra benk 158)</t>
  </si>
  <si>
    <t>(fra nek 156,9)</t>
  </si>
  <si>
    <t>(fra benk 158,5)</t>
  </si>
  <si>
    <t>(fra benk 158,6)</t>
  </si>
  <si>
    <t>(fra benk 166,5)</t>
  </si>
  <si>
    <t>(fra benk 169)</t>
  </si>
  <si>
    <t>(fra benk 154)</t>
  </si>
  <si>
    <t>245W</t>
  </si>
  <si>
    <t>(fra benk 163,4)</t>
  </si>
  <si>
    <t>(fra benk 163,2)</t>
  </si>
  <si>
    <t>(fra benk 160,9)</t>
  </si>
  <si>
    <t>(fra benk 156,6)</t>
  </si>
  <si>
    <t>(fra benk 157)</t>
  </si>
  <si>
    <t>(fra benk 160)</t>
  </si>
  <si>
    <t>(fra benk 166,9)</t>
  </si>
  <si>
    <t>(fra benk 164,4)</t>
  </si>
  <si>
    <t>280W</t>
  </si>
  <si>
    <t>(fra benk 170,9)</t>
  </si>
  <si>
    <t>(fra benk 162,1)</t>
  </si>
  <si>
    <t>(fra benk 157,5)</t>
  </si>
  <si>
    <t>(fra benk 161,5)</t>
  </si>
  <si>
    <t>(fra benk 156,7)</t>
  </si>
  <si>
    <t>(fra benk 162)</t>
  </si>
  <si>
    <t>(fra benk 152,5)</t>
  </si>
  <si>
    <t>(fra benk 155)</t>
  </si>
  <si>
    <t>(fra benk 156,2)</t>
  </si>
  <si>
    <t>(fra benk 163)</t>
  </si>
  <si>
    <t>(fra benk 160,5)</t>
  </si>
  <si>
    <t>1,514'</t>
  </si>
  <si>
    <t>3,111'</t>
  </si>
  <si>
    <t>4,558'</t>
  </si>
  <si>
    <t>(fra benk 158,4)</t>
  </si>
  <si>
    <t>( fra benk 161,3)</t>
  </si>
  <si>
    <t>(fra benk 155,2)</t>
  </si>
  <si>
    <t>(fra benk 157,2)</t>
  </si>
  <si>
    <t>(fra benk 159,5)</t>
  </si>
  <si>
    <t>(fra benk 161,9)</t>
  </si>
  <si>
    <t>(fra benk 158,1)</t>
  </si>
  <si>
    <t>(fra benk 160,2)</t>
  </si>
  <si>
    <t xml:space="preserve">Problem med datafil </t>
  </si>
  <si>
    <t>(fra benk 160,7)</t>
  </si>
  <si>
    <t>(fra benk 158,7)</t>
  </si>
  <si>
    <t>1,582'</t>
  </si>
  <si>
    <t>3,246'</t>
  </si>
  <si>
    <t>4,803'</t>
  </si>
  <si>
    <t>(fra benk 164,2)</t>
  </si>
  <si>
    <t>300W</t>
  </si>
  <si>
    <t>(fra benk 153,4)</t>
  </si>
  <si>
    <t>(fra benk 163,7)</t>
  </si>
  <si>
    <t>1,521'</t>
  </si>
  <si>
    <t>3,153'</t>
  </si>
  <si>
    <t>4,664'</t>
  </si>
  <si>
    <t>(fra benk 156,5)</t>
  </si>
  <si>
    <t>(fra benk 154,4)</t>
  </si>
  <si>
    <t>(fra benk 165,5)</t>
  </si>
  <si>
    <t>(fra benk 154,5)</t>
  </si>
  <si>
    <t>(fra benk 167,4)</t>
  </si>
  <si>
    <t>295W</t>
  </si>
  <si>
    <t>(fra benk 162,3)</t>
  </si>
  <si>
    <t>(fra benk 155,8)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</si>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</sst>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\ %"/>
    <numFmt numFmtId="166" formatCode="0.0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FacebookEmoji"/>
      <charset val="1"/>
    </font>
    <font>
      <sz val="12"/>
      <color rgb="FFFF003B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</font>
    <font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rgb="FFDDEBF7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21">
    <xf numFmtId="0" fontId="0" fillId="0" borderId="0" xfId="0"/>
    <xf numFmtId="0" fontId="5" fillId="0" borderId="1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Alignment="1">
      <alignment horizontal="center"/>
    </xf>
    <xf numFmtId="0" fontId="4" fillId="0" borderId="2" xfId="1" applyBorder="1" applyAlignment="1">
      <alignment horizontal="center"/>
    </xf>
    <xf numFmtId="16" fontId="4" fillId="0" borderId="0" xfId="1" applyNumberFormat="1" applyAlignment="1">
      <alignment horizontal="center"/>
    </xf>
    <xf numFmtId="16" fontId="4" fillId="0" borderId="3" xfId="1" applyNumberFormat="1" applyBorder="1" applyAlignment="1">
      <alignment horizontal="center"/>
    </xf>
    <xf numFmtId="16" fontId="4" fillId="0" borderId="4" xfId="1" applyNumberFormat="1" applyBorder="1" applyAlignment="1">
      <alignment horizontal="center"/>
    </xf>
    <xf numFmtId="16" fontId="4" fillId="0" borderId="5" xfId="1" applyNumberFormat="1" applyBorder="1" applyAlignment="1">
      <alignment horizontal="center"/>
    </xf>
    <xf numFmtId="0" fontId="4" fillId="0" borderId="3" xfId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5" xfId="1" applyBorder="1" applyAlignment="1">
      <alignment horizontal="center"/>
    </xf>
    <xf numFmtId="1" fontId="6" fillId="2" borderId="0" xfId="1" applyNumberFormat="1" applyFont="1" applyFill="1" applyAlignment="1">
      <alignment horizontal="center"/>
    </xf>
    <xf numFmtId="16" fontId="6" fillId="2" borderId="0" xfId="1" applyNumberFormat="1" applyFont="1" applyFill="1" applyAlignment="1">
      <alignment horizontal="center"/>
    </xf>
    <xf numFmtId="2" fontId="6" fillId="2" borderId="0" xfId="1" applyNumberFormat="1" applyFont="1" applyFill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4" fillId="0" borderId="7" xfId="1" applyBorder="1" applyAlignment="1">
      <alignment horizontal="center"/>
    </xf>
    <xf numFmtId="0" fontId="4" fillId="0" borderId="8" xfId="1" applyBorder="1" applyAlignment="1">
      <alignment horizontal="center"/>
    </xf>
    <xf numFmtId="0" fontId="7" fillId="3" borderId="9" xfId="1" applyFont="1" applyFill="1" applyBorder="1" applyAlignment="1">
      <alignment horizontal="center"/>
    </xf>
    <xf numFmtId="0" fontId="7" fillId="3" borderId="10" xfId="1" applyFont="1" applyFill="1" applyBorder="1" applyAlignment="1">
      <alignment horizontal="center"/>
    </xf>
    <xf numFmtId="0" fontId="7" fillId="3" borderId="11" xfId="1" applyFont="1" applyFill="1" applyBorder="1" applyAlignment="1">
      <alignment horizontal="center"/>
    </xf>
    <xf numFmtId="0" fontId="8" fillId="4" borderId="6" xfId="1" applyFont="1" applyFill="1" applyBorder="1" applyAlignment="1">
      <alignment horizontal="center"/>
    </xf>
    <xf numFmtId="0" fontId="8" fillId="5" borderId="12" xfId="1" applyFont="1" applyFill="1" applyBorder="1" applyAlignment="1">
      <alignment horizontal="center"/>
    </xf>
    <xf numFmtId="0" fontId="3" fillId="6" borderId="0" xfId="1" applyFont="1" applyFill="1" applyAlignment="1">
      <alignment horizontal="center" vertical="center"/>
    </xf>
    <xf numFmtId="0" fontId="4" fillId="6" borderId="0" xfId="1" applyFill="1" applyAlignment="1">
      <alignment horizontal="center"/>
    </xf>
    <xf numFmtId="0" fontId="4" fillId="6" borderId="6" xfId="1" applyFill="1" applyBorder="1" applyAlignment="1">
      <alignment horizontal="center"/>
    </xf>
    <xf numFmtId="0" fontId="4" fillId="7" borderId="13" xfId="1" applyFill="1" applyBorder="1" applyAlignment="1">
      <alignment horizontal="center"/>
    </xf>
    <xf numFmtId="0" fontId="8" fillId="7" borderId="0" xfId="1" applyFont="1" applyFill="1" applyAlignment="1">
      <alignment horizontal="center"/>
    </xf>
    <xf numFmtId="2" fontId="8" fillId="7" borderId="6" xfId="1" applyNumberFormat="1" applyFont="1" applyFill="1" applyBorder="1" applyAlignment="1">
      <alignment horizontal="center"/>
    </xf>
    <xf numFmtId="0" fontId="8" fillId="8" borderId="0" xfId="1" applyFont="1" applyFill="1" applyAlignment="1">
      <alignment horizontal="center"/>
    </xf>
    <xf numFmtId="2" fontId="8" fillId="8" borderId="0" xfId="1" applyNumberFormat="1" applyFont="1" applyFill="1" applyAlignment="1">
      <alignment horizontal="center"/>
    </xf>
    <xf numFmtId="0" fontId="9" fillId="5" borderId="7" xfId="1" applyFont="1" applyFill="1" applyBorder="1" applyAlignment="1">
      <alignment horizontal="center"/>
    </xf>
    <xf numFmtId="0" fontId="9" fillId="5" borderId="0" xfId="1" applyFont="1" applyFill="1" applyAlignment="1">
      <alignment horizontal="center"/>
    </xf>
    <xf numFmtId="0" fontId="8" fillId="5" borderId="0" xfId="1" applyFont="1" applyFill="1" applyAlignment="1">
      <alignment horizontal="center"/>
    </xf>
    <xf numFmtId="2" fontId="4" fillId="0" borderId="1" xfId="1" applyNumberFormat="1" applyBorder="1" applyAlignment="1">
      <alignment horizontal="center"/>
    </xf>
    <xf numFmtId="2" fontId="4" fillId="0" borderId="6" xfId="1" applyNumberFormat="1" applyBorder="1" applyAlignment="1">
      <alignment horizontal="center"/>
    </xf>
    <xf numFmtId="0" fontId="9" fillId="8" borderId="0" xfId="1" applyFont="1" applyFill="1" applyAlignment="1">
      <alignment horizontal="center"/>
    </xf>
    <xf numFmtId="0" fontId="10" fillId="0" borderId="0" xfId="1" applyFont="1" applyAlignment="1">
      <alignment horizontal="center"/>
    </xf>
    <xf numFmtId="14" fontId="4" fillId="0" borderId="0" xfId="1" applyNumberFormat="1" applyAlignment="1">
      <alignment horizontal="center"/>
    </xf>
    <xf numFmtId="1" fontId="4" fillId="0" borderId="0" xfId="1" applyNumberFormat="1" applyAlignment="1">
      <alignment horizontal="center"/>
    </xf>
    <xf numFmtId="164" fontId="4" fillId="0" borderId="0" xfId="1" applyNumberFormat="1" applyAlignment="1">
      <alignment horizontal="center"/>
    </xf>
    <xf numFmtId="164" fontId="4" fillId="2" borderId="0" xfId="1" applyNumberFormat="1" applyFill="1" applyAlignment="1">
      <alignment horizontal="center"/>
    </xf>
    <xf numFmtId="2" fontId="4" fillId="2" borderId="0" xfId="1" applyNumberFormat="1" applyFill="1" applyAlignment="1">
      <alignment horizontal="center"/>
    </xf>
    <xf numFmtId="0" fontId="4" fillId="3" borderId="0" xfId="1" applyFill="1" applyAlignment="1">
      <alignment horizontal="center"/>
    </xf>
    <xf numFmtId="2" fontId="4" fillId="3" borderId="0" xfId="1" applyNumberFormat="1" applyFill="1" applyAlignment="1">
      <alignment horizontal="center"/>
    </xf>
    <xf numFmtId="0" fontId="11" fillId="0" borderId="0" xfId="1" applyFont="1" applyAlignment="1">
      <alignment horizontal="center"/>
    </xf>
    <xf numFmtId="2" fontId="4" fillId="4" borderId="0" xfId="1" applyNumberFormat="1" applyFill="1" applyAlignment="1">
      <alignment horizontal="center"/>
    </xf>
    <xf numFmtId="164" fontId="4" fillId="5" borderId="0" xfId="1" applyNumberFormat="1" applyFill="1" applyAlignment="1">
      <alignment horizontal="center"/>
    </xf>
    <xf numFmtId="1" fontId="4" fillId="6" borderId="0" xfId="1" applyNumberFormat="1" applyFill="1" applyAlignment="1">
      <alignment horizontal="center"/>
    </xf>
    <xf numFmtId="165" fontId="4" fillId="6" borderId="0" xfId="1" applyNumberFormat="1" applyFill="1" applyAlignment="1">
      <alignment horizontal="center"/>
    </xf>
    <xf numFmtId="164" fontId="4" fillId="6" borderId="0" xfId="1" applyNumberFormat="1" applyFill="1" applyAlignment="1">
      <alignment horizontal="center"/>
    </xf>
    <xf numFmtId="0" fontId="4" fillId="7" borderId="0" xfId="1" applyFill="1" applyAlignment="1">
      <alignment horizontal="center"/>
    </xf>
    <xf numFmtId="165" fontId="4" fillId="7" borderId="0" xfId="1" applyNumberFormat="1" applyFill="1" applyAlignment="1">
      <alignment horizontal="center"/>
    </xf>
    <xf numFmtId="2" fontId="4" fillId="7" borderId="0" xfId="1" applyNumberFormat="1" applyFill="1" applyAlignment="1">
      <alignment horizontal="center"/>
    </xf>
    <xf numFmtId="0" fontId="4" fillId="9" borderId="0" xfId="1" applyFill="1" applyAlignment="1">
      <alignment horizontal="center"/>
    </xf>
    <xf numFmtId="1" fontId="4" fillId="9" borderId="0" xfId="1" applyNumberFormat="1" applyFill="1" applyAlignment="1">
      <alignment horizontal="center"/>
    </xf>
    <xf numFmtId="0" fontId="4" fillId="10" borderId="0" xfId="1" applyFill="1" applyAlignment="1">
      <alignment horizontal="center"/>
    </xf>
    <xf numFmtId="165" fontId="4" fillId="8" borderId="0" xfId="2" applyNumberFormat="1" applyFont="1" applyFill="1" applyBorder="1" applyAlignment="1">
      <alignment horizontal="center"/>
    </xf>
    <xf numFmtId="2" fontId="4" fillId="8" borderId="0" xfId="1" applyNumberFormat="1" applyFill="1" applyAlignment="1">
      <alignment horizontal="center"/>
    </xf>
    <xf numFmtId="2" fontId="4" fillId="0" borderId="0" xfId="1" applyNumberFormat="1" applyAlignment="1">
      <alignment horizontal="center"/>
    </xf>
    <xf numFmtId="2" fontId="4" fillId="5" borderId="0" xfId="1" applyNumberFormat="1" applyFill="1" applyAlignment="1">
      <alignment horizontal="center"/>
    </xf>
    <xf numFmtId="0" fontId="4" fillId="8" borderId="0" xfId="1" applyFill="1" applyAlignment="1">
      <alignment horizontal="center"/>
    </xf>
    <xf numFmtId="164" fontId="4" fillId="8" borderId="0" xfId="1" applyNumberFormat="1" applyFill="1" applyAlignment="1">
      <alignment horizontal="center"/>
    </xf>
    <xf numFmtId="2" fontId="4" fillId="8" borderId="0" xfId="2" applyNumberFormat="1" applyFont="1" applyFill="1" applyBorder="1" applyAlignment="1">
      <alignment horizontal="center"/>
    </xf>
    <xf numFmtId="0" fontId="12" fillId="0" borderId="0" xfId="3" applyFont="1"/>
    <xf numFmtId="10" fontId="4" fillId="6" borderId="0" xfId="1" applyNumberFormat="1" applyFill="1" applyAlignment="1">
      <alignment horizontal="center"/>
    </xf>
    <xf numFmtId="10" fontId="4" fillId="7" borderId="0" xfId="1" applyNumberFormat="1" applyFill="1" applyAlignment="1">
      <alignment horizontal="center"/>
    </xf>
    <xf numFmtId="0" fontId="4" fillId="11" borderId="0" xfId="1" applyFill="1" applyAlignment="1">
      <alignment horizontal="center"/>
    </xf>
    <xf numFmtId="1" fontId="4" fillId="11" borderId="0" xfId="1" applyNumberFormat="1" applyFill="1" applyAlignment="1">
      <alignment horizontal="center"/>
    </xf>
    <xf numFmtId="165" fontId="4" fillId="8" borderId="0" xfId="1" applyNumberFormat="1" applyFill="1" applyAlignment="1">
      <alignment horizontal="center"/>
    </xf>
    <xf numFmtId="0" fontId="4" fillId="5" borderId="0" xfId="1" applyFill="1" applyAlignment="1">
      <alignment horizontal="center"/>
    </xf>
    <xf numFmtId="2" fontId="11" fillId="0" borderId="0" xfId="1" applyNumberFormat="1" applyFont="1" applyAlignment="1">
      <alignment horizontal="center"/>
    </xf>
    <xf numFmtId="0" fontId="4" fillId="2" borderId="0" xfId="1" applyFill="1" applyAlignment="1">
      <alignment horizontal="center"/>
    </xf>
    <xf numFmtId="164" fontId="11" fillId="0" borderId="0" xfId="1" applyNumberFormat="1" applyFont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1" fontId="13" fillId="0" borderId="0" xfId="1" applyNumberFormat="1" applyFont="1" applyAlignment="1">
      <alignment horizontal="center"/>
    </xf>
    <xf numFmtId="0" fontId="13" fillId="12" borderId="0" xfId="1" applyFont="1" applyFill="1" applyAlignment="1">
      <alignment horizontal="center"/>
    </xf>
    <xf numFmtId="1" fontId="13" fillId="12" borderId="0" xfId="1" applyNumberFormat="1" applyFont="1" applyFill="1" applyAlignment="1">
      <alignment horizontal="center"/>
    </xf>
    <xf numFmtId="1" fontId="1" fillId="0" borderId="0" xfId="1" applyNumberFormat="1" applyFont="1" applyAlignment="1">
      <alignment horizontal="center"/>
    </xf>
    <xf numFmtId="165" fontId="13" fillId="8" borderId="0" xfId="1" applyNumberFormat="1" applyFont="1" applyFill="1" applyAlignment="1">
      <alignment horizontal="center"/>
    </xf>
    <xf numFmtId="1" fontId="4" fillId="0" borderId="0" xfId="1" applyNumberFormat="1"/>
    <xf numFmtId="2" fontId="4" fillId="10" borderId="0" xfId="1" applyNumberFormat="1" applyFill="1" applyAlignment="1">
      <alignment horizontal="center"/>
    </xf>
    <xf numFmtId="1" fontId="11" fillId="0" borderId="0" xfId="1" applyNumberFormat="1" applyFont="1" applyAlignment="1">
      <alignment horizontal="center"/>
    </xf>
    <xf numFmtId="164" fontId="12" fillId="0" borderId="0" xfId="3" applyNumberFormat="1" applyFont="1"/>
    <xf numFmtId="14" fontId="11" fillId="0" borderId="0" xfId="1" applyNumberFormat="1" applyFont="1" applyAlignment="1">
      <alignment horizontal="center"/>
    </xf>
    <xf numFmtId="49" fontId="11" fillId="0" borderId="0" xfId="1" applyNumberFormat="1" applyFont="1" applyAlignment="1">
      <alignment horizontal="center"/>
    </xf>
    <xf numFmtId="166" fontId="4" fillId="2" borderId="0" xfId="1" applyNumberFormat="1" applyFill="1" applyAlignment="1">
      <alignment horizontal="center"/>
    </xf>
    <xf numFmtId="1" fontId="4" fillId="10" borderId="0" xfId="1" applyNumberFormat="1" applyFill="1" applyAlignment="1">
      <alignment horizontal="center"/>
    </xf>
    <xf numFmtId="0" fontId="4" fillId="13" borderId="0" xfId="1" applyFill="1" applyAlignment="1">
      <alignment horizontal="center"/>
    </xf>
    <xf numFmtId="10" fontId="10" fillId="0" borderId="0" xfId="1" applyNumberFormat="1" applyFont="1" applyAlignment="1">
      <alignment horizontal="center"/>
    </xf>
    <xf numFmtId="0" fontId="14" fillId="0" borderId="0" xfId="1" applyFont="1" applyAlignment="1">
      <alignment horizontal="center"/>
    </xf>
    <xf numFmtId="1" fontId="10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164" fontId="13" fillId="0" borderId="0" xfId="1" applyNumberFormat="1" applyFont="1" applyAlignment="1">
      <alignment horizontal="center"/>
    </xf>
    <xf numFmtId="0" fontId="11" fillId="2" borderId="0" xfId="1" applyFont="1" applyFill="1" applyAlignment="1">
      <alignment horizontal="center"/>
    </xf>
    <xf numFmtId="0" fontId="15" fillId="0" borderId="0" xfId="1" applyFont="1" applyAlignment="1">
      <alignment horizontal="center"/>
    </xf>
    <xf numFmtId="164" fontId="11" fillId="2" borderId="0" xfId="1" applyNumberFormat="1" applyFont="1" applyFill="1" applyAlignment="1">
      <alignment horizontal="center"/>
    </xf>
    <xf numFmtId="2" fontId="11" fillId="2" borderId="0" xfId="1" applyNumberFormat="1" applyFont="1" applyFill="1" applyAlignment="1">
      <alignment horizontal="center"/>
    </xf>
    <xf numFmtId="0" fontId="11" fillId="3" borderId="0" xfId="1" applyFont="1" applyFill="1" applyAlignment="1">
      <alignment horizontal="center"/>
    </xf>
    <xf numFmtId="2" fontId="11" fillId="3" borderId="0" xfId="1" applyNumberFormat="1" applyFont="1" applyFill="1" applyAlignment="1">
      <alignment horizontal="center"/>
    </xf>
    <xf numFmtId="2" fontId="11" fillId="4" borderId="0" xfId="1" applyNumberFormat="1" applyFont="1" applyFill="1" applyAlignment="1">
      <alignment horizontal="center"/>
    </xf>
    <xf numFmtId="164" fontId="11" fillId="5" borderId="0" xfId="1" applyNumberFormat="1" applyFont="1" applyFill="1" applyAlignment="1">
      <alignment horizontal="center"/>
    </xf>
    <xf numFmtId="1" fontId="11" fillId="6" borderId="0" xfId="1" applyNumberFormat="1" applyFont="1" applyFill="1" applyAlignment="1">
      <alignment horizontal="center"/>
    </xf>
    <xf numFmtId="10" fontId="11" fillId="6" borderId="0" xfId="1" applyNumberFormat="1" applyFont="1" applyFill="1" applyAlignment="1">
      <alignment horizontal="center"/>
    </xf>
    <xf numFmtId="164" fontId="11" fillId="6" borderId="0" xfId="1" applyNumberFormat="1" applyFont="1" applyFill="1" applyAlignment="1">
      <alignment horizontal="center"/>
    </xf>
    <xf numFmtId="0" fontId="11" fillId="7" borderId="0" xfId="1" applyFont="1" applyFill="1" applyAlignment="1">
      <alignment horizontal="center"/>
    </xf>
    <xf numFmtId="10" fontId="11" fillId="7" borderId="0" xfId="1" applyNumberFormat="1" applyFont="1" applyFill="1" applyAlignment="1">
      <alignment horizontal="center"/>
    </xf>
    <xf numFmtId="2" fontId="11" fillId="7" borderId="0" xfId="1" applyNumberFormat="1" applyFont="1" applyFill="1" applyAlignment="1">
      <alignment horizontal="center"/>
    </xf>
    <xf numFmtId="165" fontId="11" fillId="8" borderId="0" xfId="1" applyNumberFormat="1" applyFont="1" applyFill="1" applyAlignment="1">
      <alignment horizontal="center"/>
    </xf>
    <xf numFmtId="2" fontId="11" fillId="8" borderId="0" xfId="1" applyNumberFormat="1" applyFont="1" applyFill="1" applyAlignment="1">
      <alignment horizontal="center"/>
    </xf>
    <xf numFmtId="2" fontId="11" fillId="5" borderId="0" xfId="1" applyNumberFormat="1" applyFont="1" applyFill="1" applyAlignment="1">
      <alignment horizontal="center"/>
    </xf>
    <xf numFmtId="0" fontId="11" fillId="8" borderId="0" xfId="1" applyFont="1" applyFill="1" applyAlignment="1">
      <alignment horizontal="center"/>
    </xf>
    <xf numFmtId="164" fontId="11" fillId="8" borderId="0" xfId="1" applyNumberFormat="1" applyFont="1" applyFill="1" applyAlignment="1">
      <alignment horizontal="center"/>
    </xf>
    <xf numFmtId="0" fontId="4" fillId="0" borderId="0" xfId="1" applyAlignment="1">
      <alignment horizontal="center" vertical="center"/>
    </xf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2" fontId="17" fillId="0" borderId="0" xfId="1" applyNumberFormat="1" applyFont="1" applyAlignment="1">
      <alignment horizontal="center"/>
    </xf>
    <xf numFmtId="1" fontId="4" fillId="0" borderId="0" xfId="1" applyNumberFormat="1" applyAlignment="1">
      <alignment horizontal="center" vertical="center"/>
    </xf>
    <xf numFmtId="9" fontId="4" fillId="6" borderId="0" xfId="2" applyFont="1" applyFill="1" applyBorder="1" applyAlignment="1">
      <alignment horizontal="center"/>
    </xf>
    <xf numFmtId="1" fontId="11" fillId="13" borderId="0" xfId="1" applyNumberFormat="1" applyFont="1" applyFill="1" applyAlignment="1">
      <alignment horizontal="center"/>
    </xf>
    <xf numFmtId="0" fontId="11" fillId="0" borderId="0" xfId="1" applyFont="1"/>
    <xf numFmtId="164" fontId="18" fillId="2" borderId="0" xfId="1" applyNumberFormat="1" applyFont="1" applyFill="1" applyAlignment="1">
      <alignment horizontal="center"/>
    </xf>
    <xf numFmtId="1" fontId="18" fillId="2" borderId="0" xfId="1" applyNumberFormat="1" applyFont="1" applyFill="1" applyAlignment="1">
      <alignment horizontal="center"/>
    </xf>
    <xf numFmtId="0" fontId="18" fillId="2" borderId="0" xfId="1" applyFont="1" applyFill="1" applyAlignment="1">
      <alignment horizontal="center"/>
    </xf>
    <xf numFmtId="0" fontId="4" fillId="0" borderId="0" xfId="1" quotePrefix="1" applyAlignment="1">
      <alignment horizontal="center"/>
    </xf>
    <xf numFmtId="2" fontId="18" fillId="3" borderId="0" xfId="1" quotePrefix="1" applyNumberFormat="1" applyFont="1" applyFill="1" applyAlignment="1">
      <alignment horizontal="center"/>
    </xf>
    <xf numFmtId="2" fontId="18" fillId="3" borderId="0" xfId="1" applyNumberFormat="1" applyFont="1" applyFill="1" applyAlignment="1">
      <alignment horizontal="center"/>
    </xf>
    <xf numFmtId="0" fontId="18" fillId="14" borderId="0" xfId="1" quotePrefix="1" applyFont="1" applyFill="1" applyAlignment="1">
      <alignment horizontal="center"/>
    </xf>
    <xf numFmtId="2" fontId="18" fillId="4" borderId="0" xfId="1" applyNumberFormat="1" applyFont="1" applyFill="1" applyAlignment="1">
      <alignment horizontal="center"/>
    </xf>
    <xf numFmtId="164" fontId="18" fillId="5" borderId="0" xfId="1" applyNumberFormat="1" applyFont="1" applyFill="1" applyAlignment="1">
      <alignment horizontal="center"/>
    </xf>
    <xf numFmtId="1" fontId="4" fillId="5" borderId="0" xfId="1" applyNumberFormat="1" applyFill="1" applyAlignment="1">
      <alignment horizontal="center"/>
    </xf>
    <xf numFmtId="1" fontId="4" fillId="15" borderId="0" xfId="1" applyNumberFormat="1" applyFill="1" applyAlignment="1">
      <alignment horizontal="center"/>
    </xf>
    <xf numFmtId="164" fontId="4" fillId="7" borderId="0" xfId="1" applyNumberFormat="1" applyFill="1" applyAlignment="1">
      <alignment horizontal="center"/>
    </xf>
    <xf numFmtId="0" fontId="18" fillId="14" borderId="0" xfId="1" applyFont="1" applyFill="1" applyAlignment="1">
      <alignment horizontal="center"/>
    </xf>
    <xf numFmtId="164" fontId="18" fillId="12" borderId="0" xfId="1" applyNumberFormat="1" applyFont="1" applyFill="1" applyAlignment="1">
      <alignment horizontal="center"/>
    </xf>
    <xf numFmtId="164" fontId="18" fillId="0" borderId="0" xfId="1" applyNumberFormat="1" applyFont="1" applyAlignment="1">
      <alignment horizontal="center"/>
    </xf>
    <xf numFmtId="164" fontId="13" fillId="12" borderId="0" xfId="1" applyNumberFormat="1" applyFont="1" applyFill="1" applyAlignment="1">
      <alignment horizontal="center"/>
    </xf>
    <xf numFmtId="0" fontId="18" fillId="16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4" applyAlignment="1">
      <alignment horizontal="center"/>
    </xf>
    <xf numFmtId="14" fontId="1" fillId="0" borderId="0" xfId="4" applyNumberFormat="1" applyAlignment="1">
      <alignment horizontal="center"/>
    </xf>
    <xf numFmtId="0" fontId="19" fillId="0" borderId="0" xfId="1" applyFont="1" applyAlignment="1">
      <alignment horizontal="center"/>
    </xf>
    <xf numFmtId="0" fontId="2" fillId="0" borderId="0" xfId="4" applyFont="1" applyAlignment="1">
      <alignment horizontal="center"/>
    </xf>
    <xf numFmtId="14" fontId="2" fillId="0" borderId="0" xfId="4" applyNumberFormat="1" applyFont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2" fontId="2" fillId="3" borderId="0" xfId="1" applyNumberFormat="1" applyFont="1" applyFill="1" applyAlignment="1">
      <alignment horizontal="center"/>
    </xf>
    <xf numFmtId="0" fontId="2" fillId="14" borderId="0" xfId="1" applyFont="1" applyFill="1" applyAlignment="1">
      <alignment horizontal="center"/>
    </xf>
    <xf numFmtId="2" fontId="2" fillId="4" borderId="0" xfId="1" applyNumberFormat="1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1" fontId="11" fillId="5" borderId="0" xfId="1" applyNumberFormat="1" applyFont="1" applyFill="1" applyAlignment="1">
      <alignment horizontal="center"/>
    </xf>
    <xf numFmtId="1" fontId="11" fillId="15" borderId="0" xfId="1" applyNumberFormat="1" applyFont="1" applyFill="1" applyAlignment="1">
      <alignment horizontal="center"/>
    </xf>
    <xf numFmtId="164" fontId="11" fillId="7" borderId="0" xfId="1" applyNumberFormat="1" applyFont="1" applyFill="1" applyAlignment="1">
      <alignment horizontal="center"/>
    </xf>
    <xf numFmtId="0" fontId="11" fillId="11" borderId="0" xfId="1" applyFont="1" applyFill="1" applyAlignment="1">
      <alignment horizontal="center"/>
    </xf>
    <xf numFmtId="1" fontId="11" fillId="11" borderId="0" xfId="1" applyNumberFormat="1" applyFont="1" applyFill="1" applyAlignment="1">
      <alignment horizontal="center"/>
    </xf>
    <xf numFmtId="0" fontId="4" fillId="0" borderId="0" xfId="1"/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4" fillId="12" borderId="0" xfId="1" applyFill="1" applyAlignment="1">
      <alignment horizontal="center"/>
    </xf>
    <xf numFmtId="14" fontId="13" fillId="12" borderId="0" xfId="1" applyNumberFormat="1" applyFont="1" applyFill="1" applyAlignment="1">
      <alignment horizontal="center"/>
    </xf>
    <xf numFmtId="164" fontId="13" fillId="2" borderId="0" xfId="1" applyNumberFormat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3" fillId="3" borderId="0" xfId="1" applyFont="1" applyFill="1" applyAlignment="1">
      <alignment horizontal="center"/>
    </xf>
    <xf numFmtId="2" fontId="13" fillId="3" borderId="0" xfId="1" applyNumberFormat="1" applyFont="1" applyFill="1" applyAlignment="1">
      <alignment horizontal="center"/>
    </xf>
    <xf numFmtId="2" fontId="13" fillId="4" borderId="0" xfId="1" applyNumberFormat="1" applyFont="1" applyFill="1" applyAlignment="1">
      <alignment horizontal="center"/>
    </xf>
    <xf numFmtId="164" fontId="13" fillId="5" borderId="0" xfId="1" applyNumberFormat="1" applyFont="1" applyFill="1" applyAlignment="1">
      <alignment horizontal="center"/>
    </xf>
    <xf numFmtId="1" fontId="13" fillId="6" borderId="0" xfId="1" applyNumberFormat="1" applyFont="1" applyFill="1" applyAlignment="1">
      <alignment horizontal="center"/>
    </xf>
    <xf numFmtId="0" fontId="13" fillId="7" borderId="0" xfId="1" applyFont="1" applyFill="1" applyAlignment="1">
      <alignment horizontal="center"/>
    </xf>
    <xf numFmtId="10" fontId="13" fillId="7" borderId="0" xfId="1" applyNumberFormat="1" applyFont="1" applyFill="1" applyAlignment="1">
      <alignment horizontal="center"/>
    </xf>
    <xf numFmtId="2" fontId="13" fillId="8" borderId="0" xfId="1" applyNumberFormat="1" applyFont="1" applyFill="1" applyAlignment="1">
      <alignment horizontal="center"/>
    </xf>
    <xf numFmtId="2" fontId="13" fillId="12" borderId="0" xfId="1" applyNumberFormat="1" applyFont="1" applyFill="1" applyAlignment="1">
      <alignment horizontal="center"/>
    </xf>
    <xf numFmtId="2" fontId="13" fillId="5" borderId="0" xfId="1" applyNumberFormat="1" applyFont="1" applyFill="1" applyAlignment="1">
      <alignment horizontal="center"/>
    </xf>
    <xf numFmtId="14" fontId="13" fillId="0" borderId="0" xfId="1" applyNumberFormat="1" applyFont="1" applyAlignment="1">
      <alignment horizontal="center"/>
    </xf>
    <xf numFmtId="2" fontId="13" fillId="0" borderId="0" xfId="1" applyNumberFormat="1" applyFont="1" applyAlignment="1">
      <alignment horizontal="center"/>
    </xf>
    <xf numFmtId="0" fontId="11" fillId="12" borderId="0" xfId="1" applyFont="1" applyFill="1" applyAlignment="1">
      <alignment horizontal="center"/>
    </xf>
    <xf numFmtId="2" fontId="11" fillId="12" borderId="0" xfId="1" applyNumberFormat="1" applyFont="1" applyFill="1" applyAlignment="1">
      <alignment horizontal="center"/>
    </xf>
    <xf numFmtId="0" fontId="4" fillId="17" borderId="0" xfId="1" applyFill="1" applyAlignment="1">
      <alignment horizontal="center"/>
    </xf>
    <xf numFmtId="0" fontId="21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2" fontId="19" fillId="0" borderId="0" xfId="1" applyNumberFormat="1" applyFont="1" applyAlignment="1">
      <alignment horizontal="center"/>
    </xf>
    <xf numFmtId="164" fontId="4" fillId="11" borderId="0" xfId="1" applyNumberFormat="1" applyFill="1" applyAlignment="1">
      <alignment horizontal="center"/>
    </xf>
    <xf numFmtId="1" fontId="14" fillId="0" borderId="0" xfId="1" applyNumberFormat="1" applyFont="1" applyAlignment="1">
      <alignment horizontal="center"/>
    </xf>
    <xf numFmtId="2" fontId="14" fillId="0" borderId="0" xfId="1" applyNumberFormat="1" applyFont="1" applyAlignment="1">
      <alignment horizontal="center"/>
    </xf>
    <xf numFmtId="0" fontId="4" fillId="0" borderId="0" xfId="5" applyFont="1" applyAlignment="1">
      <alignment horizontal="center"/>
    </xf>
    <xf numFmtId="1" fontId="4" fillId="2" borderId="0" xfId="1" applyNumberFormat="1" applyFill="1" applyAlignment="1">
      <alignment horizontal="center"/>
    </xf>
    <xf numFmtId="164" fontId="11" fillId="13" borderId="0" xfId="1" applyNumberFormat="1" applyFont="1" applyFill="1" applyAlignment="1">
      <alignment horizontal="center"/>
    </xf>
    <xf numFmtId="1" fontId="4" fillId="13" borderId="0" xfId="1" applyNumberFormat="1" applyFill="1" applyAlignment="1">
      <alignment horizontal="center"/>
    </xf>
    <xf numFmtId="14" fontId="22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0" fontId="2" fillId="3" borderId="0" xfId="1" applyFont="1" applyFill="1" applyAlignment="1">
      <alignment horizontal="center"/>
    </xf>
    <xf numFmtId="0" fontId="18" fillId="3" borderId="0" xfId="1" applyFont="1" applyFill="1" applyAlignment="1">
      <alignment horizontal="center"/>
    </xf>
    <xf numFmtId="1" fontId="18" fillId="5" borderId="0" xfId="1" applyNumberFormat="1" applyFont="1" applyFill="1" applyAlignment="1">
      <alignment horizontal="center"/>
    </xf>
    <xf numFmtId="0" fontId="22" fillId="10" borderId="0" xfId="1" applyFont="1" applyFill="1" applyAlignment="1">
      <alignment horizontal="center"/>
    </xf>
    <xf numFmtId="0" fontId="22" fillId="0" borderId="0" xfId="1" applyFont="1" applyAlignment="1">
      <alignment horizontal="center"/>
    </xf>
    <xf numFmtId="14" fontId="15" fillId="0" borderId="0" xfId="1" applyNumberFormat="1" applyFont="1" applyAlignment="1">
      <alignment horizontal="center"/>
    </xf>
    <xf numFmtId="1" fontId="11" fillId="2" borderId="0" xfId="1" applyNumberFormat="1" applyFont="1" applyFill="1" applyAlignment="1">
      <alignment horizontal="center"/>
    </xf>
    <xf numFmtId="0" fontId="2" fillId="0" borderId="0" xfId="1" applyFont="1" applyAlignment="1">
      <alignment horizontal="center"/>
    </xf>
    <xf numFmtId="1" fontId="2" fillId="5" borderId="0" xfId="1" applyNumberFormat="1" applyFont="1" applyFill="1" applyAlignment="1">
      <alignment horizontal="center"/>
    </xf>
    <xf numFmtId="0" fontId="9" fillId="0" borderId="0" xfId="1" applyFont="1" applyAlignment="1">
      <alignment horizontal="center"/>
    </xf>
    <xf numFmtId="0" fontId="18" fillId="18" borderId="0" xfId="1" applyFont="1" applyFill="1" applyAlignment="1">
      <alignment horizontal="center"/>
    </xf>
    <xf numFmtId="0" fontId="2" fillId="0" borderId="0" xfId="1" quotePrefix="1" applyFont="1" applyAlignment="1">
      <alignment horizontal="center"/>
    </xf>
    <xf numFmtId="0" fontId="11" fillId="0" borderId="0" xfId="1" quotePrefix="1" applyFont="1" applyAlignment="1">
      <alignment horizontal="center"/>
    </xf>
    <xf numFmtId="0" fontId="18" fillId="0" borderId="0" xfId="1" quotePrefix="1" applyFont="1" applyAlignment="1">
      <alignment horizontal="center"/>
    </xf>
    <xf numFmtId="0" fontId="9" fillId="13" borderId="0" xfId="1" applyFont="1" applyFill="1" applyAlignment="1">
      <alignment horizontal="center"/>
    </xf>
    <xf numFmtId="0" fontId="4" fillId="0" borderId="0" xfId="1" applyAlignment="1">
      <alignment horizontal="left"/>
    </xf>
    <xf numFmtId="1" fontId="4" fillId="7" borderId="0" xfId="1" applyNumberFormat="1" applyFill="1" applyAlignment="1">
      <alignment horizontal="center"/>
    </xf>
    <xf numFmtId="0" fontId="4" fillId="19" borderId="0" xfId="1" applyFill="1" applyAlignment="1">
      <alignment horizontal="center"/>
    </xf>
    <xf numFmtId="9" fontId="4" fillId="8" borderId="0" xfId="2" applyFont="1" applyFill="1" applyBorder="1" applyAlignment="1">
      <alignment horizontal="center"/>
    </xf>
    <xf numFmtId="0" fontId="4" fillId="0" borderId="0" xfId="6" applyFont="1" applyAlignment="1">
      <alignment horizontal="center"/>
    </xf>
    <xf numFmtId="1" fontId="4" fillId="15" borderId="0" xfId="1" quotePrefix="1" applyNumberFormat="1" applyFill="1" applyAlignment="1">
      <alignment horizontal="center"/>
    </xf>
    <xf numFmtId="2" fontId="18" fillId="2" borderId="0" xfId="1" applyNumberFormat="1" applyFont="1" applyFill="1" applyAlignment="1">
      <alignment horizontal="center"/>
    </xf>
    <xf numFmtId="14" fontId="22" fillId="10" borderId="0" xfId="1" applyNumberFormat="1" applyFont="1" applyFill="1" applyAlignment="1">
      <alignment horizontal="center"/>
    </xf>
    <xf numFmtId="0" fontId="11" fillId="10" borderId="0" xfId="1" applyFont="1" applyFill="1" applyAlignment="1">
      <alignment horizontal="center"/>
    </xf>
    <xf numFmtId="0" fontId="14" fillId="10" borderId="0" xfId="1" applyFont="1" applyFill="1" applyAlignment="1">
      <alignment horizontal="center"/>
    </xf>
    <xf numFmtId="14" fontId="4" fillId="10" borderId="0" xfId="1" applyNumberFormat="1" applyFill="1" applyAlignment="1">
      <alignment horizontal="center"/>
    </xf>
    <xf numFmtId="10" fontId="0" fillId="0" borderId="0" xfId="0" applyNumberFormat="1"/>
    <xf numFmtId="0" fontId="18" fillId="20" borderId="0" xfId="0" applyFont="1" applyFill="1" applyAlignment="1">
      <alignment horizontal="center"/>
    </xf>
  </cellXfs>
  <cellStyles count="7">
    <cellStyle name="Normal" xfId="0" builtinId="0"/>
    <cellStyle name="Normal 10" xfId="3" xr:uid="{F2F1867C-540A-4A4D-864E-FFCD9EF589F6}"/>
    <cellStyle name="Normal 11" xfId="6" xr:uid="{A392B16F-5E37-4DC9-BFB1-9CA63AE6BEC1}"/>
    <cellStyle name="Normal 12" xfId="1" xr:uid="{8F0047E1-2860-4B6A-AFF8-9C47DB143FE2}"/>
    <cellStyle name="Normal 6" xfId="5" xr:uid="{7DF556DC-0512-45E1-94D4-9D3F30BDB1AE}"/>
    <cellStyle name="Normal 8" xfId="4" xr:uid="{DBCA7660-50BF-47CF-9327-B37C87756E55}"/>
    <cellStyle name="Prosent 7" xfId="2" xr:uid="{72D7F9F8-F28F-4CD8-A069-B63E528A57E3}"/>
  </cellStyles>
  <dxfs count="132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numFmt numFmtId="165" formatCode="0.0\ %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numFmt numFmtId="165" formatCode="0.0\ %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14" formatCode="0.00\ 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numFmt numFmtId="14" formatCode="0.00\ %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numFmt numFmtId="14" formatCode="0.00\ %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rgb="FFD9E2F3"/>
          <bgColor rgb="FFD9E2F3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rgb="FFD9E2F3"/>
          <bgColor rgb="FFD9E2F3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rgb="FFD9E2F3"/>
          <bgColor rgb="FFD9E2F3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rgb="FFD9E2F3"/>
          <bgColor rgb="FFD9E2F3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theme="8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C6E0B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C6E0B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1" formatCode="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FFA7A7"/>
        </patternFill>
      </fill>
    </dxf>
    <dxf>
      <fill>
        <patternFill>
          <bgColor rgb="FFFFA7A7"/>
        </patternFill>
      </fill>
    </dxf>
    <dxf>
      <fill>
        <patternFill>
          <bgColor rgb="FFFFA7A7"/>
        </patternFill>
      </fill>
    </dxf>
    <dxf>
      <fill>
        <patternFill>
          <bgColor rgb="FFFFA7A7"/>
        </patternFill>
      </fill>
    </dxf>
    <dxf>
      <fill>
        <patternFill>
          <bgColor rgb="FFFFA7A7"/>
        </patternFill>
      </fill>
    </dxf>
    <dxf>
      <fill>
        <patternFill>
          <bgColor rgb="FFFFA7A7"/>
        </patternFill>
      </fill>
    </dxf>
    <dxf>
      <fill>
        <patternFill>
          <bgColor rgb="FFFFA7A7"/>
        </patternFill>
      </fill>
    </dxf>
    <dxf>
      <fill>
        <patternFill>
          <bgColor rgb="FFFFA7A7"/>
        </patternFill>
      </fill>
    </dxf>
    <dxf>
      <fill>
        <patternFill>
          <bgColor rgb="FFFFA7A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56</xdr:row>
      <xdr:rowOff>190500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C704D9B1-A336-4396-B071-E5431CEBC8ED}"/>
            </a:ext>
          </a:extLst>
        </xdr:cNvPr>
        <xdr:cNvSpPr txBox="1"/>
      </xdr:nvSpPr>
      <xdr:spPr>
        <a:xfrm>
          <a:off x="0" y="2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0</xdr:colOff>
      <xdr:row>57</xdr:row>
      <xdr:rowOff>0</xdr:rowOff>
    </xdr:from>
    <xdr:ext cx="184731" cy="264560"/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999108A4-098D-4631-B21F-8B03F2D72466}"/>
            </a:ext>
          </a:extLst>
        </xdr:cNvPr>
        <xdr:cNvSpPr txBox="1"/>
      </xdr:nvSpPr>
      <xdr:spPr>
        <a:xfrm>
          <a:off x="0" y="2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0</xdr:colOff>
      <xdr:row>56</xdr:row>
      <xdr:rowOff>190500</xdr:rowOff>
    </xdr:from>
    <xdr:ext cx="184731" cy="264560"/>
    <xdr:sp macro="" textlink="">
      <xdr:nvSpPr>
        <xdr:cNvPr id="4" name="TekstSylinder 3">
          <a:extLst>
            <a:ext uri="{FF2B5EF4-FFF2-40B4-BE49-F238E27FC236}">
              <a16:creationId xmlns:a16="http://schemas.microsoft.com/office/drawing/2014/main" id="{AF5D3107-CF7C-42AA-AFBE-10CD4D5DA878}"/>
            </a:ext>
          </a:extLst>
        </xdr:cNvPr>
        <xdr:cNvSpPr txBox="1"/>
      </xdr:nvSpPr>
      <xdr:spPr>
        <a:xfrm>
          <a:off x="0" y="2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0</xdr:colOff>
      <xdr:row>57</xdr:row>
      <xdr:rowOff>0</xdr:rowOff>
    </xdr:from>
    <xdr:ext cx="184731" cy="264560"/>
    <xdr:sp macro="" textlink="">
      <xdr:nvSpPr>
        <xdr:cNvPr id="5" name="TekstSylinder 4">
          <a:extLst>
            <a:ext uri="{FF2B5EF4-FFF2-40B4-BE49-F238E27FC236}">
              <a16:creationId xmlns:a16="http://schemas.microsoft.com/office/drawing/2014/main" id="{40AAC7BD-6C8E-4004-9970-99DDFE688068}"/>
            </a:ext>
          </a:extLst>
        </xdr:cNvPr>
        <xdr:cNvSpPr txBox="1"/>
      </xdr:nvSpPr>
      <xdr:spPr>
        <a:xfrm>
          <a:off x="0" y="23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0</xdr:colOff>
      <xdr:row>707</xdr:row>
      <xdr:rowOff>43626</xdr:rowOff>
    </xdr:from>
    <xdr:ext cx="184731" cy="264560"/>
    <xdr:sp macro="" textlink="">
      <xdr:nvSpPr>
        <xdr:cNvPr id="6" name="TekstSylinder 5">
          <a:extLst>
            <a:ext uri="{FF2B5EF4-FFF2-40B4-BE49-F238E27FC236}">
              <a16:creationId xmlns:a16="http://schemas.microsoft.com/office/drawing/2014/main" id="{6ACB379A-CF2B-4870-831A-57F6F7482502}"/>
            </a:ext>
          </a:extLst>
        </xdr:cNvPr>
        <xdr:cNvSpPr txBox="1"/>
      </xdr:nvSpPr>
      <xdr:spPr>
        <a:xfrm>
          <a:off x="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0</xdr:colOff>
      <xdr:row>677</xdr:row>
      <xdr:rowOff>0</xdr:rowOff>
    </xdr:from>
    <xdr:ext cx="184731" cy="264560"/>
    <xdr:sp macro="" textlink="">
      <xdr:nvSpPr>
        <xdr:cNvPr id="7" name="TekstSylinder 6">
          <a:extLst>
            <a:ext uri="{FF2B5EF4-FFF2-40B4-BE49-F238E27FC236}">
              <a16:creationId xmlns:a16="http://schemas.microsoft.com/office/drawing/2014/main" id="{BAF083C4-4316-4989-9279-950A2C0FDA70}"/>
            </a:ext>
          </a:extLst>
        </xdr:cNvPr>
        <xdr:cNvSpPr txBox="1"/>
      </xdr:nvSpPr>
      <xdr:spPr>
        <a:xfrm>
          <a:off x="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0</xdr:colOff>
      <xdr:row>677</xdr:row>
      <xdr:rowOff>0</xdr:rowOff>
    </xdr:from>
    <xdr:ext cx="184731" cy="264560"/>
    <xdr:sp macro="" textlink="">
      <xdr:nvSpPr>
        <xdr:cNvPr id="8" name="TekstSylinder 1">
          <a:extLst>
            <a:ext uri="{FF2B5EF4-FFF2-40B4-BE49-F238E27FC236}">
              <a16:creationId xmlns:a16="http://schemas.microsoft.com/office/drawing/2014/main" id="{356DBEB5-000B-494B-B530-ED0E77164A2B}"/>
            </a:ext>
          </a:extLst>
        </xdr:cNvPr>
        <xdr:cNvSpPr txBox="1"/>
      </xdr:nvSpPr>
      <xdr:spPr>
        <a:xfrm>
          <a:off x="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0</xdr:colOff>
      <xdr:row>937</xdr:row>
      <xdr:rowOff>0</xdr:rowOff>
    </xdr:from>
    <xdr:ext cx="184731" cy="264560"/>
    <xdr:sp macro="" textlink="">
      <xdr:nvSpPr>
        <xdr:cNvPr id="9" name="TekstSylinder 1">
          <a:extLst>
            <a:ext uri="{FF2B5EF4-FFF2-40B4-BE49-F238E27FC236}">
              <a16:creationId xmlns:a16="http://schemas.microsoft.com/office/drawing/2014/main" id="{DC50CC26-F9FF-4DFF-8703-586CBC700348}"/>
            </a:ext>
          </a:extLst>
        </xdr:cNvPr>
        <xdr:cNvSpPr txBox="1"/>
      </xdr:nvSpPr>
      <xdr:spPr>
        <a:xfrm>
          <a:off x="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0</xdr:colOff>
      <xdr:row>926</xdr:row>
      <xdr:rowOff>0</xdr:rowOff>
    </xdr:from>
    <xdr:ext cx="184731" cy="264560"/>
    <xdr:sp macro="" textlink="">
      <xdr:nvSpPr>
        <xdr:cNvPr id="10" name="TekstSylinder 1">
          <a:extLst>
            <a:ext uri="{FF2B5EF4-FFF2-40B4-BE49-F238E27FC236}">
              <a16:creationId xmlns:a16="http://schemas.microsoft.com/office/drawing/2014/main" id="{93379D80-DEB8-4590-8EA8-EA665A858847}"/>
            </a:ext>
          </a:extLst>
        </xdr:cNvPr>
        <xdr:cNvSpPr txBox="1"/>
      </xdr:nvSpPr>
      <xdr:spPr>
        <a:xfrm>
          <a:off x="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727</xdr:row>
      <xdr:rowOff>0</xdr:rowOff>
    </xdr:from>
    <xdr:ext cx="184731" cy="264560"/>
    <xdr:sp macro="" textlink="">
      <xdr:nvSpPr>
        <xdr:cNvPr id="11" name="TekstSylinder 10">
          <a:extLst>
            <a:ext uri="{FF2B5EF4-FFF2-40B4-BE49-F238E27FC236}">
              <a16:creationId xmlns:a16="http://schemas.microsoft.com/office/drawing/2014/main" id="{32A67807-3ECA-4274-B982-E6D1057CC823}"/>
            </a:ext>
          </a:extLst>
        </xdr:cNvPr>
        <xdr:cNvSpPr txBox="1"/>
      </xdr:nvSpPr>
      <xdr:spPr>
        <a:xfrm>
          <a:off x="7764780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786</xdr:row>
      <xdr:rowOff>0</xdr:rowOff>
    </xdr:from>
    <xdr:ext cx="184731" cy="264560"/>
    <xdr:sp macro="" textlink="">
      <xdr:nvSpPr>
        <xdr:cNvPr id="12" name="TekstSylinder 1">
          <a:extLst>
            <a:ext uri="{FF2B5EF4-FFF2-40B4-BE49-F238E27FC236}">
              <a16:creationId xmlns:a16="http://schemas.microsoft.com/office/drawing/2014/main" id="{C462F939-B453-4CCB-A75F-B0B9B8C7FC15}"/>
            </a:ext>
          </a:extLst>
        </xdr:cNvPr>
        <xdr:cNvSpPr txBox="1"/>
      </xdr:nvSpPr>
      <xdr:spPr>
        <a:xfrm>
          <a:off x="7764780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836</xdr:row>
      <xdr:rowOff>0</xdr:rowOff>
    </xdr:from>
    <xdr:ext cx="184731" cy="264560"/>
    <xdr:sp macro="" textlink="">
      <xdr:nvSpPr>
        <xdr:cNvPr id="13" name="TekstSylinder 1">
          <a:extLst>
            <a:ext uri="{FF2B5EF4-FFF2-40B4-BE49-F238E27FC236}">
              <a16:creationId xmlns:a16="http://schemas.microsoft.com/office/drawing/2014/main" id="{86052450-F68B-45DB-8DAF-BF9B1F52E453}"/>
            </a:ext>
          </a:extLst>
        </xdr:cNvPr>
        <xdr:cNvSpPr txBox="1"/>
      </xdr:nvSpPr>
      <xdr:spPr>
        <a:xfrm>
          <a:off x="7764780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859</xdr:row>
      <xdr:rowOff>0</xdr:rowOff>
    </xdr:from>
    <xdr:ext cx="184731" cy="264560"/>
    <xdr:sp macro="" textlink="">
      <xdr:nvSpPr>
        <xdr:cNvPr id="14" name="TekstSylinder 1">
          <a:extLst>
            <a:ext uri="{FF2B5EF4-FFF2-40B4-BE49-F238E27FC236}">
              <a16:creationId xmlns:a16="http://schemas.microsoft.com/office/drawing/2014/main" id="{2E82FA98-6053-42BE-A1C2-A1ED7A47FA09}"/>
            </a:ext>
          </a:extLst>
        </xdr:cNvPr>
        <xdr:cNvSpPr txBox="1"/>
      </xdr:nvSpPr>
      <xdr:spPr>
        <a:xfrm>
          <a:off x="7764780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880</xdr:row>
      <xdr:rowOff>0</xdr:rowOff>
    </xdr:from>
    <xdr:ext cx="184731" cy="264560"/>
    <xdr:sp macro="" textlink="">
      <xdr:nvSpPr>
        <xdr:cNvPr id="15" name="TekstSylinder 14">
          <a:extLst>
            <a:ext uri="{FF2B5EF4-FFF2-40B4-BE49-F238E27FC236}">
              <a16:creationId xmlns:a16="http://schemas.microsoft.com/office/drawing/2014/main" id="{6E3EBA88-6830-4D98-98C6-FEB12EF58A48}"/>
            </a:ext>
          </a:extLst>
        </xdr:cNvPr>
        <xdr:cNvSpPr txBox="1"/>
      </xdr:nvSpPr>
      <xdr:spPr>
        <a:xfrm>
          <a:off x="7764780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758</xdr:row>
      <xdr:rowOff>0</xdr:rowOff>
    </xdr:from>
    <xdr:ext cx="184731" cy="264560"/>
    <xdr:sp macro="" textlink="">
      <xdr:nvSpPr>
        <xdr:cNvPr id="16" name="TekstSylinder 1">
          <a:extLst>
            <a:ext uri="{FF2B5EF4-FFF2-40B4-BE49-F238E27FC236}">
              <a16:creationId xmlns:a16="http://schemas.microsoft.com/office/drawing/2014/main" id="{F0EFC173-377F-4900-8DAA-5B891573A9DD}"/>
            </a:ext>
          </a:extLst>
        </xdr:cNvPr>
        <xdr:cNvSpPr txBox="1"/>
      </xdr:nvSpPr>
      <xdr:spPr>
        <a:xfrm>
          <a:off x="7764780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804</xdr:row>
      <xdr:rowOff>0</xdr:rowOff>
    </xdr:from>
    <xdr:ext cx="184731" cy="264560"/>
    <xdr:sp macro="" textlink="">
      <xdr:nvSpPr>
        <xdr:cNvPr id="17" name="TekstSylinder 1">
          <a:extLst>
            <a:ext uri="{FF2B5EF4-FFF2-40B4-BE49-F238E27FC236}">
              <a16:creationId xmlns:a16="http://schemas.microsoft.com/office/drawing/2014/main" id="{84417ED2-C14A-4927-8EAE-DBFA4C6E939F}"/>
            </a:ext>
          </a:extLst>
        </xdr:cNvPr>
        <xdr:cNvSpPr txBox="1"/>
      </xdr:nvSpPr>
      <xdr:spPr>
        <a:xfrm>
          <a:off x="77647800" y="67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997</xdr:row>
      <xdr:rowOff>0</xdr:rowOff>
    </xdr:from>
    <xdr:ext cx="184731" cy="264560"/>
    <xdr:sp macro="" textlink="">
      <xdr:nvSpPr>
        <xdr:cNvPr id="22" name="TekstSylinder 1">
          <a:extLst>
            <a:ext uri="{FF2B5EF4-FFF2-40B4-BE49-F238E27FC236}">
              <a16:creationId xmlns:a16="http://schemas.microsoft.com/office/drawing/2014/main" id="{1EFEA4C9-8D21-4F69-904B-54FDE9931D41}"/>
            </a:ext>
          </a:extLst>
        </xdr:cNvPr>
        <xdr:cNvSpPr txBox="1"/>
      </xdr:nvSpPr>
      <xdr:spPr>
        <a:xfrm>
          <a:off x="77647800" y="91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1000</xdr:row>
      <xdr:rowOff>0</xdr:rowOff>
    </xdr:from>
    <xdr:ext cx="184731" cy="264560"/>
    <xdr:sp macro="" textlink="">
      <xdr:nvSpPr>
        <xdr:cNvPr id="23" name="TekstSylinder 1">
          <a:extLst>
            <a:ext uri="{FF2B5EF4-FFF2-40B4-BE49-F238E27FC236}">
              <a16:creationId xmlns:a16="http://schemas.microsoft.com/office/drawing/2014/main" id="{AE515833-3CD4-4273-B053-5A2449B8E934}"/>
            </a:ext>
          </a:extLst>
        </xdr:cNvPr>
        <xdr:cNvSpPr txBox="1"/>
      </xdr:nvSpPr>
      <xdr:spPr>
        <a:xfrm>
          <a:off x="77647800" y="91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1001</xdr:row>
      <xdr:rowOff>0</xdr:rowOff>
    </xdr:from>
    <xdr:ext cx="184731" cy="264560"/>
    <xdr:sp macro="" textlink="">
      <xdr:nvSpPr>
        <xdr:cNvPr id="24" name="TekstSylinder 1">
          <a:extLst>
            <a:ext uri="{FF2B5EF4-FFF2-40B4-BE49-F238E27FC236}">
              <a16:creationId xmlns:a16="http://schemas.microsoft.com/office/drawing/2014/main" id="{A945E527-8486-43BD-88B6-5D556FEC1588}"/>
            </a:ext>
          </a:extLst>
        </xdr:cNvPr>
        <xdr:cNvSpPr txBox="1"/>
      </xdr:nvSpPr>
      <xdr:spPr>
        <a:xfrm>
          <a:off x="77647800" y="91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1014</xdr:row>
      <xdr:rowOff>0</xdr:rowOff>
    </xdr:from>
    <xdr:ext cx="184731" cy="264560"/>
    <xdr:sp macro="" textlink="">
      <xdr:nvSpPr>
        <xdr:cNvPr id="25" name="TekstSylinder 1">
          <a:extLst>
            <a:ext uri="{FF2B5EF4-FFF2-40B4-BE49-F238E27FC236}">
              <a16:creationId xmlns:a16="http://schemas.microsoft.com/office/drawing/2014/main" id="{7C07649B-88C7-4175-97CC-0B12ACAE1689}"/>
            </a:ext>
          </a:extLst>
        </xdr:cNvPr>
        <xdr:cNvSpPr txBox="1"/>
      </xdr:nvSpPr>
      <xdr:spPr>
        <a:xfrm>
          <a:off x="77647800" y="91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67</xdr:col>
      <xdr:colOff>1609725</xdr:colOff>
      <xdr:row>1086</xdr:row>
      <xdr:rowOff>0</xdr:rowOff>
    </xdr:from>
    <xdr:ext cx="184731" cy="264560"/>
    <xdr:sp macro="" textlink="">
      <xdr:nvSpPr>
        <xdr:cNvPr id="26" name="TekstSylinder 1">
          <a:extLst>
            <a:ext uri="{FF2B5EF4-FFF2-40B4-BE49-F238E27FC236}">
              <a16:creationId xmlns:a16="http://schemas.microsoft.com/office/drawing/2014/main" id="{12AEFCC7-8D84-4EFA-A590-0E50B5F0C26F}"/>
            </a:ext>
          </a:extLst>
        </xdr:cNvPr>
        <xdr:cNvSpPr txBox="1"/>
      </xdr:nvSpPr>
      <xdr:spPr>
        <a:xfrm>
          <a:off x="77647800" y="914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hno-my.sharepoint.com/personal/larsmt_nih_no/Documents/PhD/R-studio/Project/Revisjoner%20phd/Revisjoner%20PhD/paper_3/data/raw/all_results.xlsx" TargetMode="External"/><Relationship Id="rId1" Type="http://schemas.openxmlformats.org/officeDocument/2006/relationships/externalLinkPath" Target="all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per3"/>
      <sheetName val="PHV ny"/>
      <sheetName val="uia"/>
      <sheetName val="Ark1"/>
      <sheetName val="keiser formel"/>
      <sheetName val="comments"/>
      <sheetName val="uia_korr"/>
      <sheetName val="Spillerliste "/>
      <sheetName val="Ark2"/>
      <sheetName val="R"/>
      <sheetName val="nei"/>
      <sheetName val="RIKTIG!"/>
      <sheetName val="unik2"/>
      <sheetName val="Spillerliste"/>
      <sheetName val="%endring"/>
      <sheetName val="%tabell"/>
      <sheetName val="antall"/>
      <sheetName val="Tabell"/>
      <sheetName val="antall lag"/>
      <sheetName val="Ark4"/>
      <sheetName val="sletta"/>
      <sheetName val="unik"/>
      <sheetName val="Ark3"/>
    </sheetNames>
    <sheetDataSet>
      <sheetData sheetId="0"/>
      <sheetData sheetId="1">
        <row r="1">
          <cell r="B1" t="str">
            <v>id</v>
          </cell>
          <cell r="C1" t="str">
            <v>time</v>
          </cell>
          <cell r="D1" t="str">
            <v>Årskull</v>
          </cell>
          <cell r="E1" t="str">
            <v>Gruppe</v>
          </cell>
          <cell r="F1" t="str">
            <v>Idrett</v>
          </cell>
          <cell r="G1" t="str">
            <v>Kjønn</v>
          </cell>
          <cell r="H1" t="str">
            <v>Age @ PHV</v>
          </cell>
          <cell r="I1" t="str">
            <v>yphv</v>
          </cell>
          <cell r="J1" t="str">
            <v>Date of Measure (dd-mm-yy)</v>
          </cell>
          <cell r="K1" t="str">
            <v>Date of Birth (dd-mm-yy)</v>
          </cell>
          <cell r="L1" t="str">
            <v>age</v>
          </cell>
        </row>
        <row r="2">
          <cell r="B2">
            <v>101</v>
          </cell>
          <cell r="C2" t="str">
            <v>round1</v>
          </cell>
          <cell r="D2">
            <v>2008</v>
          </cell>
          <cell r="E2" t="str">
            <v>girlsU14</v>
          </cell>
          <cell r="F2" t="str">
            <v>football</v>
          </cell>
          <cell r="G2" t="str">
            <v>girls</v>
          </cell>
          <cell r="H2">
            <v>13.08494302986556</v>
          </cell>
          <cell r="I2">
            <v>0.6483903034677736</v>
          </cell>
          <cell r="J2">
            <v>44466</v>
          </cell>
          <cell r="K2">
            <v>39450</v>
          </cell>
          <cell r="L2">
            <v>13.733333333333333</v>
          </cell>
        </row>
        <row r="3">
          <cell r="B3">
            <v>103</v>
          </cell>
          <cell r="C3" t="str">
            <v>round1</v>
          </cell>
          <cell r="D3">
            <v>2008</v>
          </cell>
          <cell r="E3" t="str">
            <v>girlsU14</v>
          </cell>
          <cell r="F3" t="str">
            <v>football</v>
          </cell>
          <cell r="G3" t="str">
            <v>girls</v>
          </cell>
          <cell r="H3">
            <v>12.330573100038961</v>
          </cell>
          <cell r="I3">
            <v>0.74442689996103795</v>
          </cell>
          <cell r="J3">
            <v>44466</v>
          </cell>
          <cell r="K3">
            <v>39690</v>
          </cell>
          <cell r="L3">
            <v>13.074999999999999</v>
          </cell>
        </row>
        <row r="4">
          <cell r="B4">
            <v>104</v>
          </cell>
          <cell r="C4" t="str">
            <v>round1</v>
          </cell>
          <cell r="D4">
            <v>2008</v>
          </cell>
          <cell r="E4" t="str">
            <v>girlsU14</v>
          </cell>
          <cell r="F4" t="str">
            <v>football</v>
          </cell>
          <cell r="G4" t="str">
            <v>girls</v>
          </cell>
          <cell r="H4">
            <v>12.035413447906542</v>
          </cell>
          <cell r="I4">
            <v>1.2423643298712355</v>
          </cell>
          <cell r="J4">
            <v>44466</v>
          </cell>
          <cell r="K4">
            <v>39616</v>
          </cell>
          <cell r="L4">
            <v>13.277777777777779</v>
          </cell>
        </row>
        <row r="5">
          <cell r="B5">
            <v>105</v>
          </cell>
          <cell r="C5" t="str">
            <v>round1</v>
          </cell>
          <cell r="D5">
            <v>2008</v>
          </cell>
          <cell r="E5" t="str">
            <v>girlsU14</v>
          </cell>
          <cell r="F5" t="str">
            <v>football</v>
          </cell>
          <cell r="G5" t="str">
            <v>girls</v>
          </cell>
          <cell r="H5">
            <v>12.203145115780874</v>
          </cell>
          <cell r="I5">
            <v>0.76907710644134797</v>
          </cell>
          <cell r="J5">
            <v>44466</v>
          </cell>
          <cell r="K5">
            <v>39728</v>
          </cell>
          <cell r="L5">
            <v>12.972222222222221</v>
          </cell>
        </row>
        <row r="6">
          <cell r="B6">
            <v>106</v>
          </cell>
          <cell r="C6" t="str">
            <v>round1</v>
          </cell>
          <cell r="D6">
            <v>2008</v>
          </cell>
          <cell r="E6" t="str">
            <v>girlsU14</v>
          </cell>
          <cell r="F6" t="str">
            <v>football</v>
          </cell>
          <cell r="G6" t="str">
            <v>girls</v>
          </cell>
          <cell r="H6">
            <v>11.658934338657089</v>
          </cell>
          <cell r="I6">
            <v>1.138287883565134</v>
          </cell>
          <cell r="J6">
            <v>44466</v>
          </cell>
          <cell r="K6">
            <v>39792</v>
          </cell>
          <cell r="L6">
            <v>12.797222222222222</v>
          </cell>
        </row>
        <row r="7">
          <cell r="B7">
            <v>108</v>
          </cell>
          <cell r="C7" t="str">
            <v>round1</v>
          </cell>
          <cell r="D7">
            <v>2008</v>
          </cell>
          <cell r="E7" t="str">
            <v>girlsU14</v>
          </cell>
          <cell r="F7" t="str">
            <v>football</v>
          </cell>
          <cell r="G7" t="str">
            <v>girls</v>
          </cell>
          <cell r="H7">
            <v>12.026950792973118</v>
          </cell>
          <cell r="I7">
            <v>1.0980492070268819</v>
          </cell>
          <cell r="J7">
            <v>44466</v>
          </cell>
          <cell r="K7">
            <v>39672</v>
          </cell>
          <cell r="L7">
            <v>13.125</v>
          </cell>
        </row>
        <row r="8">
          <cell r="B8">
            <v>109</v>
          </cell>
          <cell r="C8" t="str">
            <v>round1</v>
          </cell>
          <cell r="D8">
            <v>2008</v>
          </cell>
          <cell r="E8" t="str">
            <v>girlsU14</v>
          </cell>
          <cell r="F8" t="str">
            <v>football</v>
          </cell>
          <cell r="G8" t="str">
            <v>girls</v>
          </cell>
          <cell r="H8">
            <v>11.453292420658951</v>
          </cell>
          <cell r="I8">
            <v>2.2661520237854949</v>
          </cell>
          <cell r="J8">
            <v>44466</v>
          </cell>
          <cell r="K8">
            <v>39455</v>
          </cell>
          <cell r="L8">
            <v>13.719444444444445</v>
          </cell>
        </row>
        <row r="9">
          <cell r="B9">
            <v>110</v>
          </cell>
          <cell r="C9" t="str">
            <v>round1</v>
          </cell>
          <cell r="D9">
            <v>2008</v>
          </cell>
          <cell r="E9" t="str">
            <v>girlsU14</v>
          </cell>
          <cell r="F9" t="str">
            <v>football</v>
          </cell>
          <cell r="G9" t="str">
            <v>girls</v>
          </cell>
          <cell r="H9">
            <v>12.62331072532556</v>
          </cell>
          <cell r="I9">
            <v>1.1100226080077726</v>
          </cell>
          <cell r="J9">
            <v>44466</v>
          </cell>
          <cell r="K9">
            <v>39450</v>
          </cell>
          <cell r="L9">
            <v>13.733333333333333</v>
          </cell>
        </row>
        <row r="10">
          <cell r="B10">
            <v>112</v>
          </cell>
          <cell r="C10" t="str">
            <v>round1</v>
          </cell>
          <cell r="D10">
            <v>2006</v>
          </cell>
          <cell r="E10" t="str">
            <v>girlsU16</v>
          </cell>
          <cell r="F10" t="str">
            <v>football</v>
          </cell>
          <cell r="G10" t="str">
            <v>girls</v>
          </cell>
          <cell r="H10">
            <v>12.294300480441956</v>
          </cell>
          <cell r="I10">
            <v>3.2251439640024877</v>
          </cell>
          <cell r="J10">
            <v>44469</v>
          </cell>
          <cell r="K10">
            <v>38799</v>
          </cell>
          <cell r="L10">
            <v>15.519444444444444</v>
          </cell>
        </row>
        <row r="11">
          <cell r="B11">
            <v>115</v>
          </cell>
          <cell r="C11" t="str">
            <v>round1</v>
          </cell>
          <cell r="D11">
            <v>2006</v>
          </cell>
          <cell r="E11" t="str">
            <v>girlsU16</v>
          </cell>
          <cell r="F11" t="str">
            <v>football</v>
          </cell>
          <cell r="G11" t="str">
            <v>girls</v>
          </cell>
          <cell r="H11">
            <v>12.551517828111111</v>
          </cell>
          <cell r="I11">
            <v>2.2595932830000005</v>
          </cell>
          <cell r="J11">
            <v>44469</v>
          </cell>
          <cell r="K11">
            <v>39059</v>
          </cell>
          <cell r="L11">
            <v>14.811111111111112</v>
          </cell>
        </row>
        <row r="12">
          <cell r="B12">
            <v>123</v>
          </cell>
          <cell r="C12" t="str">
            <v>round1</v>
          </cell>
          <cell r="D12">
            <v>2005</v>
          </cell>
          <cell r="E12" t="str">
            <v>girlsU18</v>
          </cell>
          <cell r="F12" t="str">
            <v>football</v>
          </cell>
          <cell r="G12" t="str">
            <v>girls</v>
          </cell>
          <cell r="H12">
            <v>12.924546983885261</v>
          </cell>
          <cell r="I12">
            <v>3.2782307938925186</v>
          </cell>
          <cell r="J12">
            <v>44469</v>
          </cell>
          <cell r="K12">
            <v>38550</v>
          </cell>
          <cell r="L12">
            <v>16.202777777777779</v>
          </cell>
        </row>
        <row r="13">
          <cell r="B13">
            <v>126</v>
          </cell>
          <cell r="C13" t="str">
            <v>round1</v>
          </cell>
          <cell r="D13">
            <v>2004</v>
          </cell>
          <cell r="E13" t="str">
            <v>girlsU18</v>
          </cell>
          <cell r="F13" t="str">
            <v>football</v>
          </cell>
          <cell r="G13" t="str">
            <v>girls</v>
          </cell>
          <cell r="H13">
            <v>13.703530106127852</v>
          </cell>
          <cell r="I13">
            <v>3.4075810049832587</v>
          </cell>
          <cell r="J13">
            <v>44469</v>
          </cell>
          <cell r="K13">
            <v>38219</v>
          </cell>
          <cell r="L13">
            <v>17.111111111111111</v>
          </cell>
        </row>
        <row r="14">
          <cell r="B14">
            <v>134</v>
          </cell>
          <cell r="C14" t="str">
            <v>round1</v>
          </cell>
          <cell r="D14">
            <v>2008</v>
          </cell>
          <cell r="E14" t="str">
            <v>boysU14</v>
          </cell>
          <cell r="F14" t="str">
            <v>football</v>
          </cell>
          <cell r="G14" t="str">
            <v>boys</v>
          </cell>
          <cell r="H14">
            <v>13.842957802324799</v>
          </cell>
          <cell r="I14">
            <v>-0.32906891343591027</v>
          </cell>
          <cell r="J14">
            <v>44474</v>
          </cell>
          <cell r="K14" t="str">
            <v>31.03.2008</v>
          </cell>
          <cell r="L14">
            <v>13.513888888888889</v>
          </cell>
        </row>
        <row r="15">
          <cell r="B15">
            <v>135</v>
          </cell>
          <cell r="C15" t="str">
            <v>round1</v>
          </cell>
          <cell r="D15">
            <v>2008</v>
          </cell>
          <cell r="E15" t="str">
            <v>boysU14</v>
          </cell>
          <cell r="F15" t="str">
            <v>football</v>
          </cell>
          <cell r="G15" t="str">
            <v>boys</v>
          </cell>
          <cell r="H15">
            <v>13.976066183792231</v>
          </cell>
          <cell r="I15">
            <v>-0.31773285045889732</v>
          </cell>
          <cell r="J15">
            <v>44474</v>
          </cell>
          <cell r="K15" t="str">
            <v>08.02.2008</v>
          </cell>
          <cell r="L15">
            <v>13.658333333333333</v>
          </cell>
        </row>
        <row r="16">
          <cell r="B16">
            <v>136</v>
          </cell>
          <cell r="C16" t="str">
            <v>round1</v>
          </cell>
          <cell r="D16">
            <v>2008</v>
          </cell>
          <cell r="E16" t="str">
            <v>boysU14</v>
          </cell>
          <cell r="F16" t="str">
            <v>football</v>
          </cell>
          <cell r="G16" t="str">
            <v>boys</v>
          </cell>
          <cell r="H16">
            <v>15.708355055091713</v>
          </cell>
          <cell r="I16">
            <v>-2.0444661662028234</v>
          </cell>
          <cell r="J16">
            <v>44474</v>
          </cell>
          <cell r="K16" t="str">
            <v>06.02.2008</v>
          </cell>
          <cell r="L16">
            <v>13.66388888888889</v>
          </cell>
        </row>
        <row r="17">
          <cell r="B17">
            <v>137</v>
          </cell>
          <cell r="C17" t="str">
            <v>round1</v>
          </cell>
          <cell r="D17">
            <v>2008</v>
          </cell>
          <cell r="E17" t="str">
            <v>boysU14</v>
          </cell>
          <cell r="F17" t="str">
            <v>football</v>
          </cell>
          <cell r="G17" t="str">
            <v>boys</v>
          </cell>
          <cell r="H17">
            <v>14.023647253829814</v>
          </cell>
          <cell r="I17">
            <v>-0.67642503160759393</v>
          </cell>
          <cell r="J17">
            <v>44474</v>
          </cell>
          <cell r="K17" t="str">
            <v>30.05.2008</v>
          </cell>
          <cell r="L17">
            <v>13.347222222222221</v>
          </cell>
        </row>
        <row r="18">
          <cell r="B18">
            <v>138</v>
          </cell>
          <cell r="C18" t="str">
            <v>round1</v>
          </cell>
          <cell r="D18">
            <v>2008</v>
          </cell>
          <cell r="E18" t="str">
            <v>boysU14</v>
          </cell>
          <cell r="F18" t="str">
            <v>football</v>
          </cell>
          <cell r="G18" t="str">
            <v>boys</v>
          </cell>
          <cell r="H18">
            <v>14.96952004434338</v>
          </cell>
          <cell r="I18">
            <v>-1.8945200443433803</v>
          </cell>
          <cell r="J18">
            <v>44474</v>
          </cell>
          <cell r="K18" t="str">
            <v>08.09.2008</v>
          </cell>
          <cell r="L18">
            <v>13.074999999999999</v>
          </cell>
        </row>
        <row r="19">
          <cell r="B19">
            <v>139</v>
          </cell>
          <cell r="C19" t="str">
            <v>round1</v>
          </cell>
          <cell r="D19">
            <v>2008</v>
          </cell>
          <cell r="E19" t="str">
            <v>boysU14</v>
          </cell>
          <cell r="F19" t="str">
            <v>football</v>
          </cell>
          <cell r="G19" t="str">
            <v>boys</v>
          </cell>
          <cell r="H19">
            <v>13.92931353937842</v>
          </cell>
          <cell r="I19">
            <v>-0.20986909493397499</v>
          </cell>
          <cell r="J19">
            <v>44474</v>
          </cell>
          <cell r="K19" t="str">
            <v>16.01.2008</v>
          </cell>
          <cell r="L19">
            <v>13.719444444444445</v>
          </cell>
        </row>
        <row r="20">
          <cell r="B20">
            <v>140</v>
          </cell>
          <cell r="C20" t="str">
            <v>round1</v>
          </cell>
          <cell r="D20">
            <v>2008</v>
          </cell>
          <cell r="E20" t="str">
            <v>boysU14</v>
          </cell>
          <cell r="F20" t="str">
            <v>football</v>
          </cell>
          <cell r="G20" t="str">
            <v>boys</v>
          </cell>
          <cell r="H20">
            <v>14.225436376953146</v>
          </cell>
          <cell r="I20">
            <v>-0.88376971028647955</v>
          </cell>
          <cell r="J20">
            <v>44474</v>
          </cell>
          <cell r="K20" t="str">
            <v>02.06.2008</v>
          </cell>
          <cell r="L20">
            <v>13.341666666666667</v>
          </cell>
        </row>
        <row r="21">
          <cell r="B21">
            <v>141</v>
          </cell>
          <cell r="C21" t="str">
            <v>round1</v>
          </cell>
          <cell r="D21">
            <v>2008</v>
          </cell>
          <cell r="E21" t="str">
            <v>boysU14</v>
          </cell>
          <cell r="F21" t="str">
            <v>football</v>
          </cell>
          <cell r="G21" t="str">
            <v>boys</v>
          </cell>
          <cell r="H21">
            <v>13.170277022434181</v>
          </cell>
          <cell r="I21">
            <v>0.15750075534359587</v>
          </cell>
          <cell r="J21">
            <v>44474</v>
          </cell>
          <cell r="K21" t="str">
            <v>07.06.2008</v>
          </cell>
          <cell r="L21">
            <v>13.327777777777778</v>
          </cell>
        </row>
        <row r="22">
          <cell r="B22">
            <v>142</v>
          </cell>
          <cell r="C22" t="str">
            <v>round1</v>
          </cell>
          <cell r="D22">
            <v>2009</v>
          </cell>
          <cell r="E22" t="str">
            <v>boysU14</v>
          </cell>
          <cell r="F22" t="str">
            <v>football</v>
          </cell>
          <cell r="G22" t="str">
            <v>boys</v>
          </cell>
          <cell r="H22">
            <v>13.417862753948564</v>
          </cell>
          <cell r="I22">
            <v>-1.2817516428374527</v>
          </cell>
          <cell r="J22">
            <v>44474</v>
          </cell>
          <cell r="K22" t="str">
            <v>16.08.2009</v>
          </cell>
          <cell r="L22">
            <v>12.136111111111111</v>
          </cell>
        </row>
        <row r="23">
          <cell r="B23">
            <v>143</v>
          </cell>
          <cell r="C23" t="str">
            <v>round1</v>
          </cell>
          <cell r="D23">
            <v>2008</v>
          </cell>
          <cell r="E23" t="str">
            <v>boysU14</v>
          </cell>
          <cell r="F23" t="str">
            <v>football</v>
          </cell>
          <cell r="G23" t="str">
            <v>boys</v>
          </cell>
          <cell r="H23">
            <v>13.895547989197027</v>
          </cell>
          <cell r="I23">
            <v>-0.88721465586369408</v>
          </cell>
          <cell r="J23">
            <v>44474</v>
          </cell>
          <cell r="K23" t="str">
            <v>02.10.2008</v>
          </cell>
          <cell r="L23">
            <v>13.008333333333333</v>
          </cell>
        </row>
        <row r="24">
          <cell r="B24">
            <v>144</v>
          </cell>
          <cell r="C24" t="str">
            <v>round1</v>
          </cell>
          <cell r="D24">
            <v>2009</v>
          </cell>
          <cell r="E24" t="str">
            <v>boysU14</v>
          </cell>
          <cell r="F24" t="str">
            <v>football</v>
          </cell>
          <cell r="G24" t="str">
            <v>boys</v>
          </cell>
          <cell r="H24">
            <v>14.312828102115418</v>
          </cell>
          <cell r="I24">
            <v>-1.8489392132265285</v>
          </cell>
          <cell r="J24">
            <v>44474</v>
          </cell>
          <cell r="K24" t="str">
            <v>18.04.2009</v>
          </cell>
          <cell r="L24">
            <v>12.463888888888889</v>
          </cell>
        </row>
        <row r="25">
          <cell r="B25">
            <v>145</v>
          </cell>
          <cell r="C25" t="str">
            <v>round1</v>
          </cell>
          <cell r="D25">
            <v>2008</v>
          </cell>
          <cell r="E25" t="str">
            <v>boysU14</v>
          </cell>
          <cell r="F25" t="str">
            <v>football</v>
          </cell>
          <cell r="G25" t="str">
            <v>boys</v>
          </cell>
          <cell r="H25">
            <v>14.495563459220108</v>
          </cell>
          <cell r="I25">
            <v>-1.428896792553441</v>
          </cell>
          <cell r="J25">
            <v>44474</v>
          </cell>
          <cell r="K25" t="str">
            <v>11.09.2008</v>
          </cell>
          <cell r="L25">
            <v>13.066666666666666</v>
          </cell>
        </row>
        <row r="26">
          <cell r="B26">
            <v>146</v>
          </cell>
          <cell r="C26" t="str">
            <v>round1</v>
          </cell>
          <cell r="D26">
            <v>2008</v>
          </cell>
          <cell r="E26" t="str">
            <v>boysU14</v>
          </cell>
          <cell r="F26" t="str">
            <v>football</v>
          </cell>
          <cell r="G26" t="str">
            <v>boys</v>
          </cell>
          <cell r="H26">
            <v>14.581546057792348</v>
          </cell>
          <cell r="I26">
            <v>-1.4037682800145705</v>
          </cell>
          <cell r="J26">
            <v>44474</v>
          </cell>
          <cell r="K26" t="str">
            <v>01.08.2008</v>
          </cell>
          <cell r="L26">
            <v>13.177777777777777</v>
          </cell>
        </row>
        <row r="27">
          <cell r="B27">
            <v>147</v>
          </cell>
          <cell r="C27" t="str">
            <v>round1</v>
          </cell>
          <cell r="D27">
            <v>2008</v>
          </cell>
          <cell r="E27" t="str">
            <v>boysU14</v>
          </cell>
          <cell r="F27" t="str">
            <v>football</v>
          </cell>
          <cell r="G27" t="str">
            <v>boys</v>
          </cell>
          <cell r="H27">
            <v>14.742051559582528</v>
          </cell>
          <cell r="I27">
            <v>-1.2087182262491951</v>
          </cell>
          <cell r="J27">
            <v>44474</v>
          </cell>
          <cell r="K27" t="str">
            <v>23.03.2008</v>
          </cell>
          <cell r="L27">
            <v>13.533333333333333</v>
          </cell>
        </row>
        <row r="28">
          <cell r="B28">
            <v>148</v>
          </cell>
          <cell r="C28" t="str">
            <v>round1</v>
          </cell>
          <cell r="D28">
            <v>2008</v>
          </cell>
          <cell r="E28" t="str">
            <v>boysU14</v>
          </cell>
          <cell r="F28" t="str">
            <v>football</v>
          </cell>
          <cell r="G28" t="str">
            <v>boys</v>
          </cell>
          <cell r="H28">
            <v>14.084535001441054</v>
          </cell>
          <cell r="I28">
            <v>-0.49286833477438796</v>
          </cell>
          <cell r="J28">
            <v>44474</v>
          </cell>
          <cell r="K28" t="str">
            <v>02.03.2008</v>
          </cell>
          <cell r="L28">
            <v>13.591666666666667</v>
          </cell>
        </row>
        <row r="29">
          <cell r="B29">
            <v>152</v>
          </cell>
          <cell r="C29" t="str">
            <v>round1</v>
          </cell>
          <cell r="D29">
            <v>2008</v>
          </cell>
          <cell r="E29" t="str">
            <v>boysU14</v>
          </cell>
          <cell r="F29" t="str">
            <v>football</v>
          </cell>
          <cell r="G29" t="str">
            <v>boys</v>
          </cell>
          <cell r="H29">
            <v>13.293718335031153</v>
          </cell>
          <cell r="I29">
            <v>-0.28260722392004178</v>
          </cell>
          <cell r="J29">
            <v>44481</v>
          </cell>
          <cell r="K29">
            <v>39729</v>
          </cell>
          <cell r="L29">
            <v>13.011111111111111</v>
          </cell>
        </row>
        <row r="30">
          <cell r="B30">
            <v>153</v>
          </cell>
          <cell r="C30" t="str">
            <v>round1</v>
          </cell>
          <cell r="D30">
            <v>2008</v>
          </cell>
          <cell r="E30" t="str">
            <v>boysU14</v>
          </cell>
          <cell r="F30" t="str">
            <v>football</v>
          </cell>
          <cell r="G30" t="str">
            <v>boys</v>
          </cell>
          <cell r="H30">
            <v>14.56581498138727</v>
          </cell>
          <cell r="I30">
            <v>-1.2463705369428255</v>
          </cell>
          <cell r="J30">
            <v>44481</v>
          </cell>
          <cell r="K30">
            <v>39616</v>
          </cell>
          <cell r="L30">
            <v>13.319444444444445</v>
          </cell>
        </row>
        <row r="31">
          <cell r="B31">
            <v>154</v>
          </cell>
          <cell r="C31" t="str">
            <v>round1</v>
          </cell>
          <cell r="D31">
            <v>2008</v>
          </cell>
          <cell r="E31" t="str">
            <v>boysU14</v>
          </cell>
          <cell r="F31" t="str">
            <v>football</v>
          </cell>
          <cell r="G31" t="str">
            <v>boys</v>
          </cell>
          <cell r="H31">
            <v>13.856472946953986</v>
          </cell>
          <cell r="I31">
            <v>-0.70369516917620645</v>
          </cell>
          <cell r="J31">
            <v>44481</v>
          </cell>
          <cell r="K31">
            <v>39677</v>
          </cell>
          <cell r="L31">
            <v>13.152777777777779</v>
          </cell>
        </row>
        <row r="32">
          <cell r="B32">
            <v>155</v>
          </cell>
          <cell r="C32" t="str">
            <v>round1</v>
          </cell>
          <cell r="D32">
            <v>2008</v>
          </cell>
          <cell r="E32" t="str">
            <v>boysU14</v>
          </cell>
          <cell r="F32" t="str">
            <v>football</v>
          </cell>
          <cell r="G32" t="str">
            <v>boys</v>
          </cell>
          <cell r="H32">
            <v>14.015094847206601</v>
          </cell>
          <cell r="I32">
            <v>-0.86787262498437978</v>
          </cell>
          <cell r="J32">
            <v>44481</v>
          </cell>
          <cell r="K32">
            <v>39679</v>
          </cell>
          <cell r="L32">
            <v>13.147222222222222</v>
          </cell>
        </row>
        <row r="33">
          <cell r="B33">
            <v>156</v>
          </cell>
          <cell r="C33" t="str">
            <v>round1</v>
          </cell>
          <cell r="D33">
            <v>2008</v>
          </cell>
          <cell r="E33" t="str">
            <v>boysU14</v>
          </cell>
          <cell r="F33" t="str">
            <v>football</v>
          </cell>
          <cell r="G33" t="str">
            <v>boys</v>
          </cell>
          <cell r="H33">
            <v>13.85456481373077</v>
          </cell>
          <cell r="I33">
            <v>-0.39067592484188118</v>
          </cell>
          <cell r="J33">
            <v>44481</v>
          </cell>
          <cell r="K33">
            <v>39563</v>
          </cell>
          <cell r="L33">
            <v>13.463888888888889</v>
          </cell>
        </row>
        <row r="34">
          <cell r="B34">
            <v>158</v>
          </cell>
          <cell r="C34" t="str">
            <v>round1</v>
          </cell>
          <cell r="D34">
            <v>2008</v>
          </cell>
          <cell r="E34" t="str">
            <v>boysU14</v>
          </cell>
          <cell r="F34" t="str">
            <v>football</v>
          </cell>
          <cell r="G34" t="str">
            <v>boys</v>
          </cell>
          <cell r="H34">
            <v>14.24259153776903</v>
          </cell>
          <cell r="I34">
            <v>-1.4092582044356965</v>
          </cell>
          <cell r="J34">
            <v>44481</v>
          </cell>
          <cell r="K34">
            <v>39794</v>
          </cell>
          <cell r="L34">
            <v>12.833333333333334</v>
          </cell>
        </row>
        <row r="35">
          <cell r="B35">
            <v>160</v>
          </cell>
          <cell r="C35" t="str">
            <v>round1</v>
          </cell>
          <cell r="D35">
            <v>2008</v>
          </cell>
          <cell r="E35" t="str">
            <v>boysU14</v>
          </cell>
          <cell r="F35" t="str">
            <v>football</v>
          </cell>
          <cell r="G35" t="str">
            <v>boys</v>
          </cell>
          <cell r="H35">
            <v>14.453096401473077</v>
          </cell>
          <cell r="I35">
            <v>-1.5808741792508554</v>
          </cell>
          <cell r="J35">
            <v>44481</v>
          </cell>
          <cell r="K35">
            <v>39780</v>
          </cell>
          <cell r="L35">
            <v>12.872222222222222</v>
          </cell>
        </row>
        <row r="36">
          <cell r="B36">
            <v>161</v>
          </cell>
          <cell r="C36" t="str">
            <v>round1</v>
          </cell>
          <cell r="D36">
            <v>2008</v>
          </cell>
          <cell r="E36" t="str">
            <v>boysU14</v>
          </cell>
          <cell r="F36" t="str">
            <v>football</v>
          </cell>
          <cell r="G36" t="str">
            <v>boys</v>
          </cell>
          <cell r="H36">
            <v>14.227148460296261</v>
          </cell>
          <cell r="I36">
            <v>-1.029926238074039</v>
          </cell>
          <cell r="J36">
            <v>44481</v>
          </cell>
          <cell r="K36">
            <v>39661</v>
          </cell>
          <cell r="L36">
            <v>13.197222222222223</v>
          </cell>
        </row>
        <row r="37">
          <cell r="B37">
            <v>162</v>
          </cell>
          <cell r="C37" t="str">
            <v>round1</v>
          </cell>
          <cell r="D37">
            <v>2008</v>
          </cell>
          <cell r="E37" t="str">
            <v>boysU14</v>
          </cell>
          <cell r="F37" t="str">
            <v>football</v>
          </cell>
          <cell r="G37" t="str">
            <v>boys</v>
          </cell>
          <cell r="H37">
            <v>14.775280896415719</v>
          </cell>
          <cell r="I37">
            <v>-1.5391697853046078</v>
          </cell>
          <cell r="J37">
            <v>44481</v>
          </cell>
          <cell r="K37">
            <v>39646</v>
          </cell>
          <cell r="L37">
            <v>13.236111111111111</v>
          </cell>
        </row>
        <row r="38">
          <cell r="B38">
            <v>163</v>
          </cell>
          <cell r="C38" t="str">
            <v>round1</v>
          </cell>
          <cell r="D38">
            <v>2008</v>
          </cell>
          <cell r="E38" t="str">
            <v>boysU14</v>
          </cell>
          <cell r="F38" t="str">
            <v>football</v>
          </cell>
          <cell r="G38" t="str">
            <v>boys</v>
          </cell>
          <cell r="H38">
            <v>14.011662086111114</v>
          </cell>
          <cell r="I38">
            <v>-0.30610653055555814</v>
          </cell>
          <cell r="J38">
            <v>44481</v>
          </cell>
          <cell r="K38">
            <v>39475</v>
          </cell>
          <cell r="L38">
            <v>13.705555555555556</v>
          </cell>
        </row>
        <row r="39">
          <cell r="B39">
            <v>164</v>
          </cell>
          <cell r="C39" t="str">
            <v>round1</v>
          </cell>
          <cell r="D39">
            <v>2008</v>
          </cell>
          <cell r="E39" t="str">
            <v>boysU14</v>
          </cell>
          <cell r="F39" t="str">
            <v>football</v>
          </cell>
          <cell r="G39" t="str">
            <v>boys</v>
          </cell>
          <cell r="H39">
            <v>14.634189594628417</v>
          </cell>
          <cell r="I39">
            <v>-1.400856261295085</v>
          </cell>
          <cell r="J39">
            <v>44481</v>
          </cell>
          <cell r="K39">
            <v>39647</v>
          </cell>
          <cell r="L39">
            <v>13.233333333333333</v>
          </cell>
        </row>
        <row r="40">
          <cell r="B40">
            <v>165</v>
          </cell>
          <cell r="C40" t="str">
            <v>round1</v>
          </cell>
          <cell r="D40">
            <v>2008</v>
          </cell>
          <cell r="E40" t="str">
            <v>boysU14</v>
          </cell>
          <cell r="F40" t="str">
            <v>football</v>
          </cell>
          <cell r="G40" t="str">
            <v>boys</v>
          </cell>
          <cell r="H40">
            <v>14.110888736303483</v>
          </cell>
          <cell r="I40">
            <v>-0.74977762519237201</v>
          </cell>
          <cell r="J40">
            <v>44481</v>
          </cell>
          <cell r="K40">
            <v>39601</v>
          </cell>
          <cell r="L40">
            <v>13.361111111111111</v>
          </cell>
        </row>
        <row r="41">
          <cell r="B41">
            <v>166</v>
          </cell>
          <cell r="C41" t="str">
            <v>round1</v>
          </cell>
          <cell r="D41">
            <v>2008</v>
          </cell>
          <cell r="E41" t="str">
            <v>boysU14</v>
          </cell>
          <cell r="F41" t="str">
            <v>football</v>
          </cell>
          <cell r="G41" t="str">
            <v>boys</v>
          </cell>
          <cell r="H41">
            <v>14.532927154854638</v>
          </cell>
          <cell r="I41">
            <v>-0.83848271041019362</v>
          </cell>
          <cell r="J41">
            <v>44481</v>
          </cell>
          <cell r="K41">
            <v>39480</v>
          </cell>
          <cell r="L41">
            <v>13.694444444444445</v>
          </cell>
        </row>
        <row r="42">
          <cell r="B42">
            <v>167</v>
          </cell>
          <cell r="C42" t="str">
            <v>round1</v>
          </cell>
          <cell r="D42">
            <v>2008</v>
          </cell>
          <cell r="E42" t="str">
            <v>boysU14</v>
          </cell>
          <cell r="F42" t="str">
            <v>football</v>
          </cell>
          <cell r="G42" t="str">
            <v>boys</v>
          </cell>
          <cell r="H42">
            <v>14.572305619277779</v>
          </cell>
          <cell r="I42">
            <v>-1.5028611748333343</v>
          </cell>
          <cell r="J42">
            <v>44481</v>
          </cell>
          <cell r="K42">
            <v>39708</v>
          </cell>
          <cell r="L42">
            <v>13.069444444444445</v>
          </cell>
        </row>
        <row r="43">
          <cell r="B43">
            <v>168</v>
          </cell>
          <cell r="C43" t="str">
            <v>round1</v>
          </cell>
          <cell r="D43">
            <v>2008</v>
          </cell>
          <cell r="E43" t="str">
            <v>boysU14</v>
          </cell>
          <cell r="F43" t="str">
            <v>football</v>
          </cell>
          <cell r="G43" t="str">
            <v>boys</v>
          </cell>
          <cell r="H43">
            <v>14.079313568439868</v>
          </cell>
          <cell r="I43">
            <v>-0.61820245732875889</v>
          </cell>
          <cell r="J43">
            <v>44481</v>
          </cell>
          <cell r="K43">
            <v>39564</v>
          </cell>
          <cell r="L43">
            <v>13.46111111111111</v>
          </cell>
        </row>
        <row r="44">
          <cell r="B44">
            <v>169</v>
          </cell>
          <cell r="C44" t="str">
            <v>round1</v>
          </cell>
          <cell r="D44">
            <v>2006</v>
          </cell>
          <cell r="E44" t="str">
            <v>boysU16</v>
          </cell>
          <cell r="F44" t="str">
            <v>football</v>
          </cell>
          <cell r="G44" t="str">
            <v>boys</v>
          </cell>
          <cell r="H44">
            <v>13.749509623984496</v>
          </cell>
          <cell r="I44">
            <v>1.8643792649043931</v>
          </cell>
          <cell r="J44">
            <v>44482</v>
          </cell>
          <cell r="K44">
            <v>38778</v>
          </cell>
          <cell r="L44">
            <v>15.613888888888889</v>
          </cell>
        </row>
        <row r="45">
          <cell r="B45">
            <v>170</v>
          </cell>
          <cell r="C45" t="str">
            <v>round1</v>
          </cell>
          <cell r="D45">
            <v>2006</v>
          </cell>
          <cell r="E45" t="str">
            <v>boysU16</v>
          </cell>
          <cell r="F45" t="str">
            <v>football</v>
          </cell>
          <cell r="G45" t="str">
            <v>boys</v>
          </cell>
          <cell r="H45">
            <v>15.19441494017997</v>
          </cell>
          <cell r="I45">
            <v>-0.22219271795774853</v>
          </cell>
          <cell r="J45">
            <v>44482</v>
          </cell>
          <cell r="K45">
            <v>39013</v>
          </cell>
          <cell r="L45">
            <v>14.972222222222221</v>
          </cell>
        </row>
        <row r="46">
          <cell r="B46">
            <v>170</v>
          </cell>
          <cell r="C46" t="str">
            <v>round2</v>
          </cell>
          <cell r="D46">
            <v>2006</v>
          </cell>
          <cell r="E46" t="str">
            <v>boysU16</v>
          </cell>
          <cell r="F46" t="str">
            <v>football</v>
          </cell>
          <cell r="G46" t="str">
            <v>boys</v>
          </cell>
          <cell r="H46">
            <v>14.939002778171677</v>
          </cell>
          <cell r="I46">
            <v>1.072108332939437</v>
          </cell>
          <cell r="J46">
            <v>44861</v>
          </cell>
          <cell r="K46">
            <v>39013</v>
          </cell>
          <cell r="L46">
            <v>16.011111111111113</v>
          </cell>
        </row>
        <row r="47">
          <cell r="B47">
            <v>172</v>
          </cell>
          <cell r="C47" t="str">
            <v>round1</v>
          </cell>
          <cell r="D47">
            <v>2006</v>
          </cell>
          <cell r="E47" t="str">
            <v>boysU16</v>
          </cell>
          <cell r="F47" t="str">
            <v>football</v>
          </cell>
          <cell r="G47" t="str">
            <v>boys</v>
          </cell>
          <cell r="H47">
            <v>13.78129528595694</v>
          </cell>
          <cell r="I47">
            <v>1.7770380473763936</v>
          </cell>
          <cell r="J47">
            <v>44482</v>
          </cell>
          <cell r="K47">
            <v>38798</v>
          </cell>
          <cell r="L47">
            <v>15.558333333333334</v>
          </cell>
        </row>
        <row r="48">
          <cell r="B48">
            <v>170</v>
          </cell>
          <cell r="C48" t="str">
            <v>round3</v>
          </cell>
          <cell r="D48">
            <v>2006</v>
          </cell>
          <cell r="E48" t="str">
            <v>boysU16</v>
          </cell>
          <cell r="F48" t="str">
            <v>football</v>
          </cell>
          <cell r="G48" t="str">
            <v>boys</v>
          </cell>
          <cell r="H48">
            <v>15.030985392304776</v>
          </cell>
          <cell r="I48">
            <v>1.9884590521396688</v>
          </cell>
          <cell r="J48">
            <v>45229</v>
          </cell>
          <cell r="K48">
            <v>39013</v>
          </cell>
          <cell r="L48">
            <v>17.019444444444446</v>
          </cell>
        </row>
        <row r="49">
          <cell r="B49">
            <v>174</v>
          </cell>
          <cell r="C49" t="str">
            <v>round1</v>
          </cell>
          <cell r="D49">
            <v>2006</v>
          </cell>
          <cell r="E49" t="str">
            <v>boysU16</v>
          </cell>
          <cell r="F49" t="str">
            <v>football</v>
          </cell>
          <cell r="G49" t="str">
            <v>boys</v>
          </cell>
          <cell r="H49">
            <v>14.013151544067988</v>
          </cell>
          <cell r="I49">
            <v>1.5868484559320111</v>
          </cell>
          <cell r="J49">
            <v>44482</v>
          </cell>
          <cell r="K49">
            <v>38783</v>
          </cell>
          <cell r="L49">
            <v>15.6</v>
          </cell>
        </row>
        <row r="50">
          <cell r="B50">
            <v>175</v>
          </cell>
          <cell r="C50" t="str">
            <v>round1</v>
          </cell>
          <cell r="D50">
            <v>2006</v>
          </cell>
          <cell r="E50" t="str">
            <v>boysU16</v>
          </cell>
          <cell r="F50" t="str">
            <v>football</v>
          </cell>
          <cell r="G50" t="str">
            <v>boys</v>
          </cell>
          <cell r="H50">
            <v>14.197491611238719</v>
          </cell>
          <cell r="I50">
            <v>1.0163972776501697</v>
          </cell>
          <cell r="J50">
            <v>44482</v>
          </cell>
          <cell r="K50">
            <v>38924</v>
          </cell>
          <cell r="L50">
            <v>15.213888888888889</v>
          </cell>
        </row>
        <row r="51">
          <cell r="B51">
            <v>176</v>
          </cell>
          <cell r="C51" t="str">
            <v>round1</v>
          </cell>
          <cell r="D51">
            <v>2006</v>
          </cell>
          <cell r="E51" t="str">
            <v>boysU16</v>
          </cell>
          <cell r="F51" t="str">
            <v>football</v>
          </cell>
          <cell r="G51" t="str">
            <v>boys</v>
          </cell>
          <cell r="H51">
            <v>14.883630215449692</v>
          </cell>
          <cell r="I51">
            <v>0.66359200677253061</v>
          </cell>
          <cell r="J51">
            <v>44482</v>
          </cell>
          <cell r="K51">
            <v>38802</v>
          </cell>
          <cell r="L51">
            <v>15.547222222222222</v>
          </cell>
        </row>
        <row r="52">
          <cell r="B52">
            <v>177</v>
          </cell>
          <cell r="C52" t="str">
            <v>round1</v>
          </cell>
          <cell r="D52">
            <v>2006</v>
          </cell>
          <cell r="E52" t="str">
            <v>boysU16</v>
          </cell>
          <cell r="F52" t="str">
            <v>football</v>
          </cell>
          <cell r="G52" t="str">
            <v>boys</v>
          </cell>
          <cell r="H52">
            <v>15.147098910406305</v>
          </cell>
          <cell r="I52">
            <v>-0.31932113262852679</v>
          </cell>
          <cell r="J52">
            <v>44482</v>
          </cell>
          <cell r="K52">
            <v>39066</v>
          </cell>
          <cell r="L52">
            <v>14.827777777777778</v>
          </cell>
        </row>
        <row r="53">
          <cell r="B53">
            <v>178</v>
          </cell>
          <cell r="C53" t="str">
            <v>round1</v>
          </cell>
          <cell r="D53">
            <v>2006</v>
          </cell>
          <cell r="E53" t="str">
            <v>boysU16</v>
          </cell>
          <cell r="F53" t="str">
            <v>football</v>
          </cell>
          <cell r="G53" t="str">
            <v>boys</v>
          </cell>
          <cell r="H53">
            <v>15.088942662821266</v>
          </cell>
          <cell r="I53">
            <v>0.59994622606762216</v>
          </cell>
          <cell r="J53">
            <v>44482</v>
          </cell>
          <cell r="K53">
            <v>38753</v>
          </cell>
          <cell r="L53">
            <v>15.688888888888888</v>
          </cell>
        </row>
        <row r="54">
          <cell r="B54">
            <v>179</v>
          </cell>
          <cell r="C54" t="str">
            <v>round1</v>
          </cell>
          <cell r="D54">
            <v>2006</v>
          </cell>
          <cell r="E54" t="str">
            <v>boysU16</v>
          </cell>
          <cell r="F54" t="str">
            <v>football</v>
          </cell>
          <cell r="G54" t="str">
            <v>boys</v>
          </cell>
          <cell r="H54">
            <v>14.929070693513296</v>
          </cell>
          <cell r="I54">
            <v>0.51259597315337047</v>
          </cell>
          <cell r="J54">
            <v>44482</v>
          </cell>
          <cell r="K54">
            <v>38841</v>
          </cell>
          <cell r="L54">
            <v>15.441666666666666</v>
          </cell>
        </row>
        <row r="55">
          <cell r="B55">
            <v>180</v>
          </cell>
          <cell r="C55" t="str">
            <v>round1</v>
          </cell>
          <cell r="D55">
            <v>2005</v>
          </cell>
          <cell r="E55">
            <v>0</v>
          </cell>
          <cell r="F55" t="str">
            <v>football</v>
          </cell>
          <cell r="G55">
            <v>0</v>
          </cell>
          <cell r="H55">
            <v>12.823810593702087</v>
          </cell>
          <cell r="I55">
            <v>4.0067449618534692</v>
          </cell>
          <cell r="J55">
            <v>44861</v>
          </cell>
          <cell r="K55">
            <v>38714</v>
          </cell>
          <cell r="L55">
            <v>16.830555555555556</v>
          </cell>
        </row>
        <row r="56">
          <cell r="B56">
            <v>180</v>
          </cell>
          <cell r="C56" t="str">
            <v>round1</v>
          </cell>
          <cell r="D56">
            <v>2005</v>
          </cell>
          <cell r="E56">
            <v>0</v>
          </cell>
          <cell r="F56" t="str">
            <v>football</v>
          </cell>
          <cell r="G56">
            <v>0</v>
          </cell>
          <cell r="H56">
            <v>12.823810593702087</v>
          </cell>
          <cell r="I56">
            <v>4.0067449618534692</v>
          </cell>
          <cell r="J56">
            <v>44861</v>
          </cell>
          <cell r="K56">
            <v>38714</v>
          </cell>
          <cell r="L56">
            <v>16.830555555555556</v>
          </cell>
        </row>
        <row r="57">
          <cell r="B57">
            <v>181</v>
          </cell>
          <cell r="C57" t="str">
            <v>round1</v>
          </cell>
          <cell r="D57">
            <v>2006</v>
          </cell>
          <cell r="E57" t="str">
            <v>boysU16</v>
          </cell>
          <cell r="F57" t="str">
            <v>football</v>
          </cell>
          <cell r="G57" t="str">
            <v>boys</v>
          </cell>
          <cell r="H57">
            <v>14.750250354259929</v>
          </cell>
          <cell r="I57">
            <v>0.36919409018451366</v>
          </cell>
          <cell r="J57">
            <v>44482</v>
          </cell>
          <cell r="K57">
            <v>38959</v>
          </cell>
          <cell r="L57">
            <v>15.119444444444444</v>
          </cell>
        </row>
        <row r="58">
          <cell r="B58">
            <v>182</v>
          </cell>
          <cell r="C58" t="str">
            <v>round1</v>
          </cell>
          <cell r="D58">
            <v>2006</v>
          </cell>
          <cell r="E58" t="str">
            <v>boysU16</v>
          </cell>
          <cell r="F58" t="str">
            <v>football</v>
          </cell>
          <cell r="G58" t="str">
            <v>boys</v>
          </cell>
          <cell r="H58">
            <v>14.056385318761212</v>
          </cell>
          <cell r="I58">
            <v>1.5713924590165658</v>
          </cell>
          <cell r="J58">
            <v>44482</v>
          </cell>
          <cell r="K58">
            <v>38775</v>
          </cell>
          <cell r="L58">
            <v>15.627777777777778</v>
          </cell>
        </row>
        <row r="59">
          <cell r="B59">
            <v>183</v>
          </cell>
          <cell r="C59" t="str">
            <v>round1</v>
          </cell>
          <cell r="D59">
            <v>2006</v>
          </cell>
          <cell r="E59" t="str">
            <v>boysU16</v>
          </cell>
          <cell r="F59" t="str">
            <v>football</v>
          </cell>
          <cell r="G59" t="str">
            <v>boys</v>
          </cell>
          <cell r="H59">
            <v>13.780454518731691</v>
          </cell>
          <cell r="I59">
            <v>1.8251010368238654</v>
          </cell>
          <cell r="J59">
            <v>44482</v>
          </cell>
          <cell r="K59">
            <v>38781</v>
          </cell>
          <cell r="L59">
            <v>15.605555555555556</v>
          </cell>
        </row>
        <row r="60">
          <cell r="B60">
            <v>185</v>
          </cell>
          <cell r="C60" t="str">
            <v>round1</v>
          </cell>
          <cell r="D60">
            <v>2006</v>
          </cell>
          <cell r="E60" t="str">
            <v>boysU16</v>
          </cell>
          <cell r="F60" t="str">
            <v>football</v>
          </cell>
          <cell r="G60" t="str">
            <v>boys</v>
          </cell>
          <cell r="H60">
            <v>13.820703003332582</v>
          </cell>
          <cell r="I60">
            <v>1.4042969966674173</v>
          </cell>
          <cell r="J60">
            <v>44482</v>
          </cell>
          <cell r="K60">
            <v>38920</v>
          </cell>
          <cell r="L60">
            <v>15.225</v>
          </cell>
        </row>
        <row r="61">
          <cell r="B61">
            <v>186</v>
          </cell>
          <cell r="C61" t="str">
            <v>round1</v>
          </cell>
          <cell r="D61">
            <v>2006</v>
          </cell>
          <cell r="E61" t="str">
            <v>boysU16</v>
          </cell>
          <cell r="F61" t="str">
            <v>football</v>
          </cell>
          <cell r="G61" t="str">
            <v>boys</v>
          </cell>
          <cell r="J61">
            <v>44482</v>
          </cell>
          <cell r="K61">
            <v>0</v>
          </cell>
          <cell r="L61">
            <v>121.78611111111111</v>
          </cell>
        </row>
        <row r="62">
          <cell r="B62">
            <v>187</v>
          </cell>
          <cell r="C62" t="str">
            <v>round1</v>
          </cell>
          <cell r="D62">
            <v>2004</v>
          </cell>
          <cell r="E62" t="str">
            <v>boysU18</v>
          </cell>
          <cell r="F62" t="str">
            <v>football</v>
          </cell>
          <cell r="G62" t="str">
            <v>boys</v>
          </cell>
          <cell r="J62">
            <v>44487</v>
          </cell>
          <cell r="K62">
            <v>0</v>
          </cell>
          <cell r="L62">
            <v>121.8</v>
          </cell>
        </row>
        <row r="63">
          <cell r="B63">
            <v>188</v>
          </cell>
          <cell r="C63" t="str">
            <v>round1</v>
          </cell>
          <cell r="D63">
            <v>2004</v>
          </cell>
          <cell r="E63" t="str">
            <v>boysU18</v>
          </cell>
          <cell r="F63" t="str">
            <v>football</v>
          </cell>
          <cell r="G63" t="str">
            <v>boys</v>
          </cell>
          <cell r="H63">
            <v>14.048095989921874</v>
          </cell>
          <cell r="I63">
            <v>3.5324595656336815</v>
          </cell>
          <cell r="J63">
            <v>44487</v>
          </cell>
          <cell r="K63">
            <v>38065</v>
          </cell>
          <cell r="L63">
            <v>17.580555555555556</v>
          </cell>
        </row>
        <row r="64">
          <cell r="B64">
            <v>189</v>
          </cell>
          <cell r="C64" t="str">
            <v>round1</v>
          </cell>
          <cell r="D64">
            <v>2004</v>
          </cell>
          <cell r="E64" t="str">
            <v>boysU18</v>
          </cell>
          <cell r="F64" t="str">
            <v>football</v>
          </cell>
          <cell r="G64" t="str">
            <v>boys</v>
          </cell>
          <cell r="H64">
            <v>14.890978530214344</v>
          </cell>
          <cell r="I64">
            <v>2.7617992475634354</v>
          </cell>
          <cell r="J64">
            <v>44487</v>
          </cell>
          <cell r="K64">
            <v>38040</v>
          </cell>
          <cell r="L64">
            <v>17.652777777777779</v>
          </cell>
        </row>
        <row r="65">
          <cell r="B65">
            <v>190</v>
          </cell>
          <cell r="C65" t="str">
            <v>round1</v>
          </cell>
          <cell r="D65">
            <v>2004</v>
          </cell>
          <cell r="E65" t="str">
            <v>boysU18</v>
          </cell>
          <cell r="F65" t="str">
            <v>football</v>
          </cell>
          <cell r="G65" t="str">
            <v>boys</v>
          </cell>
          <cell r="H65">
            <v>14.070245467917276</v>
          </cell>
          <cell r="I65">
            <v>3.6991989765271698</v>
          </cell>
          <cell r="J65">
            <v>44487</v>
          </cell>
          <cell r="K65">
            <v>37997</v>
          </cell>
          <cell r="L65">
            <v>17.769444444444446</v>
          </cell>
        </row>
        <row r="66">
          <cell r="B66">
            <v>191</v>
          </cell>
          <cell r="C66" t="str">
            <v>round1</v>
          </cell>
          <cell r="D66">
            <v>2004</v>
          </cell>
          <cell r="E66" t="str">
            <v>boysU18</v>
          </cell>
          <cell r="F66" t="str">
            <v>football</v>
          </cell>
          <cell r="G66" t="str">
            <v>boys</v>
          </cell>
          <cell r="H66">
            <v>14.491454747924106</v>
          </cell>
          <cell r="I66">
            <v>3.1891008076314518</v>
          </cell>
          <cell r="J66">
            <v>44487</v>
          </cell>
          <cell r="K66">
            <v>38030</v>
          </cell>
          <cell r="L66">
            <v>17.680555555555557</v>
          </cell>
        </row>
        <row r="67">
          <cell r="B67">
            <v>192</v>
          </cell>
          <cell r="C67" t="str">
            <v>round1</v>
          </cell>
          <cell r="D67">
            <v>2006</v>
          </cell>
          <cell r="E67" t="str">
            <v>boysU16</v>
          </cell>
          <cell r="F67" t="str">
            <v>football</v>
          </cell>
          <cell r="G67" t="str">
            <v>boys</v>
          </cell>
          <cell r="H67">
            <v>13.374099608901068</v>
          </cell>
          <cell r="I67">
            <v>1.6147892799878207</v>
          </cell>
          <cell r="J67">
            <v>44482</v>
          </cell>
          <cell r="K67">
            <v>39007</v>
          </cell>
          <cell r="L67">
            <v>14.988888888888889</v>
          </cell>
        </row>
        <row r="68">
          <cell r="B68">
            <v>193</v>
          </cell>
          <cell r="C68" t="str">
            <v>round1</v>
          </cell>
          <cell r="D68">
            <v>2006</v>
          </cell>
          <cell r="E68" t="str">
            <v>boysU16</v>
          </cell>
          <cell r="F68" t="str">
            <v>football</v>
          </cell>
          <cell r="G68" t="str">
            <v>boys</v>
          </cell>
          <cell r="H68">
            <v>15.272771221865497</v>
          </cell>
          <cell r="I68">
            <v>0.36056211146783512</v>
          </cell>
          <cell r="J68">
            <v>44482</v>
          </cell>
          <cell r="K68">
            <v>38773</v>
          </cell>
          <cell r="L68">
            <v>15.633333333333333</v>
          </cell>
        </row>
        <row r="69">
          <cell r="B69">
            <v>194</v>
          </cell>
          <cell r="C69" t="str">
            <v>round1</v>
          </cell>
          <cell r="D69">
            <v>2006</v>
          </cell>
          <cell r="E69" t="str">
            <v>boysU16</v>
          </cell>
          <cell r="F69" t="str">
            <v>football</v>
          </cell>
          <cell r="G69" t="str">
            <v>boys</v>
          </cell>
          <cell r="H69">
            <v>13.85575567780214</v>
          </cell>
          <cell r="I69">
            <v>1.1914665444200829</v>
          </cell>
          <cell r="J69">
            <v>44482</v>
          </cell>
          <cell r="K69">
            <v>38986</v>
          </cell>
          <cell r="L69">
            <v>15.047222222222222</v>
          </cell>
        </row>
        <row r="70">
          <cell r="B70">
            <v>195</v>
          </cell>
          <cell r="C70" t="str">
            <v>round1</v>
          </cell>
          <cell r="D70">
            <v>2008</v>
          </cell>
          <cell r="E70" t="str">
            <v>boysU14</v>
          </cell>
          <cell r="F70" t="str">
            <v>football</v>
          </cell>
          <cell r="G70" t="str">
            <v>boys</v>
          </cell>
          <cell r="J70">
            <v>44487</v>
          </cell>
          <cell r="K70">
            <v>39799</v>
          </cell>
          <cell r="L70">
            <v>12.83611111111111</v>
          </cell>
        </row>
        <row r="71">
          <cell r="B71">
            <v>198</v>
          </cell>
          <cell r="C71" t="str">
            <v>round1</v>
          </cell>
          <cell r="D71">
            <v>2006</v>
          </cell>
          <cell r="E71" t="str">
            <v>boysU16</v>
          </cell>
          <cell r="F71" t="str">
            <v>football</v>
          </cell>
          <cell r="G71" t="str">
            <v>boys</v>
          </cell>
          <cell r="H71">
            <v>14.975900950506322</v>
          </cell>
          <cell r="I71">
            <v>6.8543493938122202E-2</v>
          </cell>
          <cell r="J71">
            <v>44488</v>
          </cell>
          <cell r="K71">
            <v>38993</v>
          </cell>
          <cell r="L71">
            <v>15.044444444444444</v>
          </cell>
        </row>
        <row r="72">
          <cell r="B72">
            <v>199</v>
          </cell>
          <cell r="C72" t="str">
            <v>round1</v>
          </cell>
          <cell r="D72">
            <v>2006</v>
          </cell>
          <cell r="E72" t="str">
            <v>boysU16</v>
          </cell>
          <cell r="F72" t="str">
            <v>football</v>
          </cell>
          <cell r="G72" t="str">
            <v>boys</v>
          </cell>
          <cell r="H72">
            <v>14.34982413913947</v>
          </cell>
          <cell r="I72">
            <v>0.80573141641608459</v>
          </cell>
          <cell r="J72">
            <v>44488</v>
          </cell>
          <cell r="K72">
            <v>38952</v>
          </cell>
          <cell r="L72">
            <v>15.155555555555555</v>
          </cell>
        </row>
        <row r="73">
          <cell r="B73">
            <v>201</v>
          </cell>
          <cell r="C73" t="str">
            <v>round1</v>
          </cell>
          <cell r="D73">
            <v>2006</v>
          </cell>
          <cell r="E73" t="str">
            <v>boysU16</v>
          </cell>
          <cell r="F73" t="str">
            <v>football</v>
          </cell>
          <cell r="G73" t="str">
            <v>boys</v>
          </cell>
          <cell r="H73">
            <v>14.006479620248498</v>
          </cell>
          <cell r="I73">
            <v>0.90463149086261252</v>
          </cell>
          <cell r="J73">
            <v>44488</v>
          </cell>
          <cell r="K73">
            <v>39042</v>
          </cell>
          <cell r="L73">
            <v>14.911111111111111</v>
          </cell>
        </row>
        <row r="74">
          <cell r="B74">
            <v>203</v>
          </cell>
          <cell r="C74" t="str">
            <v>round1</v>
          </cell>
          <cell r="D74">
            <v>2006</v>
          </cell>
          <cell r="E74" t="str">
            <v>boysU16</v>
          </cell>
          <cell r="F74" t="str">
            <v>football</v>
          </cell>
          <cell r="G74" t="str">
            <v>boys</v>
          </cell>
          <cell r="H74">
            <v>13.954371603773366</v>
          </cell>
          <cell r="I74">
            <v>1.3567395073377457</v>
          </cell>
          <cell r="J74">
            <v>44488</v>
          </cell>
          <cell r="K74">
            <v>38895</v>
          </cell>
          <cell r="L74">
            <v>15.311111111111112</v>
          </cell>
        </row>
        <row r="75">
          <cell r="B75">
            <v>205</v>
          </cell>
          <cell r="C75" t="str">
            <v>round1</v>
          </cell>
          <cell r="D75">
            <v>2006</v>
          </cell>
          <cell r="E75" t="str">
            <v>boysU16</v>
          </cell>
          <cell r="F75" t="str">
            <v>football</v>
          </cell>
          <cell r="G75" t="str">
            <v>boys</v>
          </cell>
          <cell r="H75">
            <v>13.717635021992789</v>
          </cell>
          <cell r="I75">
            <v>1.6379205335627667</v>
          </cell>
          <cell r="J75">
            <v>44490</v>
          </cell>
          <cell r="K75">
            <v>38881</v>
          </cell>
          <cell r="L75">
            <v>15.355555555555556</v>
          </cell>
        </row>
        <row r="76">
          <cell r="B76">
            <v>206</v>
          </cell>
          <cell r="C76" t="str">
            <v>round1</v>
          </cell>
          <cell r="D76">
            <v>2006</v>
          </cell>
          <cell r="E76" t="str">
            <v>boysU16</v>
          </cell>
          <cell r="F76" t="str">
            <v>football</v>
          </cell>
          <cell r="G76" t="str">
            <v>boys</v>
          </cell>
          <cell r="J76">
            <v>44490</v>
          </cell>
          <cell r="K76">
            <v>0</v>
          </cell>
          <cell r="L76">
            <v>121.80833333333334</v>
          </cell>
        </row>
        <row r="77">
          <cell r="B77">
            <v>208</v>
          </cell>
          <cell r="C77" t="str">
            <v>round1</v>
          </cell>
          <cell r="D77">
            <v>2006</v>
          </cell>
          <cell r="E77" t="str">
            <v>boysU16</v>
          </cell>
          <cell r="F77" t="str">
            <v>football</v>
          </cell>
          <cell r="G77" t="str">
            <v>boys</v>
          </cell>
          <cell r="J77">
            <v>44490</v>
          </cell>
          <cell r="K77">
            <v>0</v>
          </cell>
          <cell r="L77">
            <v>121.80833333333334</v>
          </cell>
        </row>
        <row r="78">
          <cell r="B78">
            <v>209</v>
          </cell>
          <cell r="C78" t="str">
            <v>round1</v>
          </cell>
          <cell r="D78">
            <v>2006</v>
          </cell>
          <cell r="E78" t="str">
            <v>boysU16</v>
          </cell>
          <cell r="F78" t="str">
            <v>football</v>
          </cell>
          <cell r="G78" t="str">
            <v>boys</v>
          </cell>
          <cell r="J78">
            <v>44490</v>
          </cell>
          <cell r="K78">
            <v>0</v>
          </cell>
          <cell r="L78">
            <v>121.80833333333334</v>
          </cell>
        </row>
        <row r="79">
          <cell r="B79">
            <v>210</v>
          </cell>
          <cell r="C79" t="str">
            <v>round1</v>
          </cell>
          <cell r="D79">
            <v>2006</v>
          </cell>
          <cell r="E79" t="str">
            <v>boysU16</v>
          </cell>
          <cell r="F79" t="str">
            <v>football</v>
          </cell>
          <cell r="G79" t="str">
            <v>boys</v>
          </cell>
          <cell r="H79">
            <v>14.319048676538804</v>
          </cell>
          <cell r="I79">
            <v>1.3503957679056398</v>
          </cell>
          <cell r="J79">
            <v>44490</v>
          </cell>
          <cell r="K79">
            <v>38768</v>
          </cell>
          <cell r="L79">
            <v>15.669444444444444</v>
          </cell>
        </row>
        <row r="80">
          <cell r="B80">
            <v>211</v>
          </cell>
          <cell r="C80" t="str">
            <v>round1</v>
          </cell>
          <cell r="D80">
            <v>2006</v>
          </cell>
          <cell r="E80" t="str">
            <v>boysU16</v>
          </cell>
          <cell r="F80" t="str">
            <v>football</v>
          </cell>
          <cell r="G80" t="str">
            <v>boys</v>
          </cell>
          <cell r="H80">
            <v>13.362537967951154</v>
          </cell>
          <cell r="I80">
            <v>1.8263509209377344</v>
          </cell>
          <cell r="J80">
            <v>44490</v>
          </cell>
          <cell r="K80">
            <v>38942</v>
          </cell>
          <cell r="L80">
            <v>15.188888888888888</v>
          </cell>
        </row>
        <row r="81">
          <cell r="B81">
            <v>212</v>
          </cell>
          <cell r="C81" t="str">
            <v>round1</v>
          </cell>
          <cell r="D81">
            <v>2006</v>
          </cell>
          <cell r="E81" t="str">
            <v>boysU16</v>
          </cell>
          <cell r="F81" t="str">
            <v>football</v>
          </cell>
          <cell r="G81" t="str">
            <v>boys</v>
          </cell>
          <cell r="H81">
            <v>13.689256283130096</v>
          </cell>
          <cell r="I81">
            <v>1.1718548279810159</v>
          </cell>
          <cell r="J81">
            <v>44490</v>
          </cell>
          <cell r="K81">
            <v>39062</v>
          </cell>
          <cell r="L81">
            <v>14.861111111111111</v>
          </cell>
        </row>
        <row r="82">
          <cell r="B82">
            <v>213</v>
          </cell>
          <cell r="C82" t="str">
            <v>round1</v>
          </cell>
          <cell r="D82">
            <v>2006</v>
          </cell>
          <cell r="E82" t="str">
            <v>boysU16</v>
          </cell>
          <cell r="F82" t="str">
            <v>football</v>
          </cell>
          <cell r="G82" t="str">
            <v>boys</v>
          </cell>
          <cell r="H82">
            <v>14.377974200949048</v>
          </cell>
          <cell r="I82">
            <v>1.3636924657176202</v>
          </cell>
          <cell r="J82">
            <v>44490</v>
          </cell>
          <cell r="K82">
            <v>38741</v>
          </cell>
          <cell r="L82">
            <v>15.741666666666667</v>
          </cell>
        </row>
        <row r="83">
          <cell r="B83">
            <v>214</v>
          </cell>
          <cell r="C83" t="str">
            <v>round1</v>
          </cell>
          <cell r="D83">
            <v>2006</v>
          </cell>
          <cell r="E83" t="str">
            <v>boysU16</v>
          </cell>
          <cell r="F83" t="str">
            <v>football</v>
          </cell>
          <cell r="G83" t="str">
            <v>boys</v>
          </cell>
          <cell r="H83">
            <v>13.803095092721325</v>
          </cell>
          <cell r="I83">
            <v>1.3719049072786751</v>
          </cell>
          <cell r="J83">
            <v>44490</v>
          </cell>
          <cell r="K83">
            <v>38947</v>
          </cell>
          <cell r="L83">
            <v>15.175000000000001</v>
          </cell>
        </row>
        <row r="84">
          <cell r="B84">
            <v>215</v>
          </cell>
          <cell r="C84" t="str">
            <v>round1</v>
          </cell>
          <cell r="D84">
            <v>2006</v>
          </cell>
          <cell r="E84" t="str">
            <v>boysU16</v>
          </cell>
          <cell r="F84" t="str">
            <v>football</v>
          </cell>
          <cell r="G84" t="str">
            <v>boys</v>
          </cell>
          <cell r="H84">
            <v>14.943787288971318</v>
          </cell>
          <cell r="I84">
            <v>0.28954604436201481</v>
          </cell>
          <cell r="J84">
            <v>44490</v>
          </cell>
          <cell r="K84">
            <v>38925</v>
          </cell>
          <cell r="L84">
            <v>15.233333333333333</v>
          </cell>
        </row>
        <row r="85">
          <cell r="B85">
            <v>216</v>
          </cell>
          <cell r="C85" t="str">
            <v>round1</v>
          </cell>
          <cell r="D85">
            <v>2006</v>
          </cell>
          <cell r="E85" t="str">
            <v>boysU16</v>
          </cell>
          <cell r="F85" t="str">
            <v>football</v>
          </cell>
          <cell r="G85" t="str">
            <v>boys</v>
          </cell>
          <cell r="J85">
            <v>44490</v>
          </cell>
          <cell r="K85">
            <v>0</v>
          </cell>
          <cell r="L85">
            <v>121.80833333333334</v>
          </cell>
        </row>
        <row r="86">
          <cell r="B86">
            <v>217</v>
          </cell>
          <cell r="C86" t="str">
            <v>round1</v>
          </cell>
          <cell r="D86">
            <v>2006</v>
          </cell>
          <cell r="E86" t="str">
            <v>boysU16</v>
          </cell>
          <cell r="F86" t="str">
            <v>football</v>
          </cell>
          <cell r="G86" t="str">
            <v>boys</v>
          </cell>
          <cell r="H86">
            <v>14.177819158491964</v>
          </cell>
          <cell r="I86">
            <v>0.91384750817470195</v>
          </cell>
          <cell r="J86">
            <v>44490</v>
          </cell>
          <cell r="K86">
            <v>38978</v>
          </cell>
          <cell r="L86">
            <v>15.091666666666667</v>
          </cell>
        </row>
        <row r="87">
          <cell r="B87">
            <v>218</v>
          </cell>
          <cell r="C87" t="str">
            <v>round1</v>
          </cell>
          <cell r="D87">
            <v>2006</v>
          </cell>
          <cell r="E87" t="str">
            <v>boysU16</v>
          </cell>
          <cell r="F87" t="str">
            <v>football</v>
          </cell>
          <cell r="G87" t="str">
            <v>boys</v>
          </cell>
          <cell r="H87">
            <v>13.844870333699344</v>
          </cell>
          <cell r="I87">
            <v>1.7245741107451</v>
          </cell>
          <cell r="J87">
            <v>44490</v>
          </cell>
          <cell r="K87">
            <v>38802</v>
          </cell>
          <cell r="L87">
            <v>15.569444444444445</v>
          </cell>
        </row>
        <row r="88">
          <cell r="B88">
            <v>219</v>
          </cell>
          <cell r="C88" t="str">
            <v>round1</v>
          </cell>
          <cell r="D88">
            <v>2006</v>
          </cell>
          <cell r="E88" t="str">
            <v>boysU16</v>
          </cell>
          <cell r="F88" t="str">
            <v>football</v>
          </cell>
          <cell r="G88" t="str">
            <v>boys</v>
          </cell>
          <cell r="J88">
            <v>44490</v>
          </cell>
          <cell r="K88">
            <v>0</v>
          </cell>
          <cell r="L88">
            <v>121.80833333333334</v>
          </cell>
        </row>
        <row r="89">
          <cell r="B89">
            <v>225</v>
          </cell>
          <cell r="C89" t="str">
            <v>round1</v>
          </cell>
          <cell r="D89">
            <v>2008</v>
          </cell>
          <cell r="E89" t="str">
            <v>girlsU14</v>
          </cell>
          <cell r="F89" t="str">
            <v>football</v>
          </cell>
          <cell r="G89" t="str">
            <v>girls</v>
          </cell>
          <cell r="H89">
            <v>12.980707907708743</v>
          </cell>
          <cell r="I89">
            <v>0.70540320340236962</v>
          </cell>
          <cell r="J89">
            <v>44502</v>
          </cell>
          <cell r="K89">
            <v>39503</v>
          </cell>
          <cell r="L89">
            <v>13.686111111111112</v>
          </cell>
        </row>
        <row r="90">
          <cell r="B90">
            <v>226</v>
          </cell>
          <cell r="C90" t="str">
            <v>round1</v>
          </cell>
          <cell r="D90">
            <v>2008</v>
          </cell>
          <cell r="E90" t="str">
            <v>girlsU14</v>
          </cell>
          <cell r="F90" t="str">
            <v>football</v>
          </cell>
          <cell r="G90" t="str">
            <v>girls</v>
          </cell>
          <cell r="H90">
            <v>12.011159896420677</v>
          </cell>
          <cell r="I90">
            <v>0.95272899246821052</v>
          </cell>
          <cell r="J90">
            <v>44502</v>
          </cell>
          <cell r="K90">
            <v>39767</v>
          </cell>
          <cell r="L90">
            <v>12.963888888888889</v>
          </cell>
        </row>
        <row r="91">
          <cell r="B91">
            <v>227</v>
          </cell>
          <cell r="C91" t="str">
            <v>round1</v>
          </cell>
          <cell r="D91">
            <v>2008</v>
          </cell>
          <cell r="E91" t="str">
            <v>girlsU14</v>
          </cell>
          <cell r="F91" t="str">
            <v>football</v>
          </cell>
          <cell r="G91" t="str">
            <v>girls</v>
          </cell>
          <cell r="H91">
            <v>11.864111389082646</v>
          </cell>
          <cell r="I91">
            <v>1.6942219442506874</v>
          </cell>
          <cell r="J91">
            <v>44502</v>
          </cell>
          <cell r="K91">
            <v>39549</v>
          </cell>
          <cell r="L91">
            <v>13.558333333333334</v>
          </cell>
        </row>
        <row r="92">
          <cell r="B92">
            <v>229</v>
          </cell>
          <cell r="C92" t="str">
            <v>round1</v>
          </cell>
          <cell r="D92">
            <v>2008</v>
          </cell>
          <cell r="E92" t="str">
            <v>girlsU14</v>
          </cell>
          <cell r="F92" t="str">
            <v>football</v>
          </cell>
          <cell r="G92" t="str">
            <v>girls</v>
          </cell>
          <cell r="H92">
            <v>13.340349698644603</v>
          </cell>
          <cell r="I92">
            <v>0.12909474579984237</v>
          </cell>
          <cell r="J92">
            <v>44502</v>
          </cell>
          <cell r="K92">
            <v>39581</v>
          </cell>
          <cell r="L92">
            <v>13.469444444444445</v>
          </cell>
        </row>
        <row r="93">
          <cell r="B93">
            <v>230</v>
          </cell>
          <cell r="C93" t="str">
            <v>round1</v>
          </cell>
          <cell r="D93">
            <v>2008</v>
          </cell>
          <cell r="E93" t="str">
            <v>girlsU14</v>
          </cell>
          <cell r="F93" t="str">
            <v>football</v>
          </cell>
          <cell r="G93" t="str">
            <v>girls</v>
          </cell>
          <cell r="H93">
            <v>12.15938225451448</v>
          </cell>
          <cell r="I93">
            <v>1.1767288565966298</v>
          </cell>
          <cell r="J93">
            <v>44502</v>
          </cell>
          <cell r="K93">
            <v>39630</v>
          </cell>
          <cell r="L93">
            <v>13.33611111111111</v>
          </cell>
        </row>
        <row r="94">
          <cell r="B94">
            <v>231</v>
          </cell>
          <cell r="C94" t="str">
            <v>round1</v>
          </cell>
          <cell r="D94">
            <v>2008</v>
          </cell>
          <cell r="E94" t="str">
            <v>girlsU14</v>
          </cell>
          <cell r="F94" t="str">
            <v>football</v>
          </cell>
          <cell r="G94" t="str">
            <v>girls</v>
          </cell>
          <cell r="H94">
            <v>11.788988991872332</v>
          </cell>
          <cell r="I94">
            <v>1.9693443414610008</v>
          </cell>
          <cell r="J94">
            <v>44502</v>
          </cell>
          <cell r="K94">
            <v>39476</v>
          </cell>
          <cell r="L94">
            <v>13.758333333333333</v>
          </cell>
        </row>
        <row r="95">
          <cell r="B95">
            <v>233</v>
          </cell>
          <cell r="C95" t="str">
            <v>round1</v>
          </cell>
          <cell r="D95">
            <v>2004</v>
          </cell>
          <cell r="E95" t="str">
            <v>girlsU18</v>
          </cell>
          <cell r="F95" t="str">
            <v>football</v>
          </cell>
          <cell r="G95" t="str">
            <v>girls</v>
          </cell>
          <cell r="H95">
            <v>13.569511786435868</v>
          </cell>
          <cell r="I95">
            <v>3.4221548802307993</v>
          </cell>
          <cell r="J95">
            <v>44505</v>
          </cell>
          <cell r="K95">
            <v>38299</v>
          </cell>
          <cell r="L95">
            <v>16.991666666666667</v>
          </cell>
        </row>
        <row r="96">
          <cell r="B96">
            <v>234</v>
          </cell>
          <cell r="C96" t="str">
            <v>round1</v>
          </cell>
          <cell r="D96">
            <v>2004</v>
          </cell>
          <cell r="E96" t="str">
            <v>girlsU18</v>
          </cell>
          <cell r="F96" t="str">
            <v>football</v>
          </cell>
          <cell r="G96" t="str">
            <v>girls</v>
          </cell>
          <cell r="H96">
            <v>13.372014490192907</v>
          </cell>
          <cell r="I96">
            <v>3.8863188431404265</v>
          </cell>
          <cell r="J96">
            <v>44505</v>
          </cell>
          <cell r="K96">
            <v>38201</v>
          </cell>
          <cell r="L96">
            <v>17.258333333333333</v>
          </cell>
        </row>
        <row r="97">
          <cell r="B97">
            <v>235</v>
          </cell>
          <cell r="C97" t="str">
            <v>round1</v>
          </cell>
          <cell r="D97">
            <v>2004</v>
          </cell>
          <cell r="E97" t="str">
            <v>girlsU18</v>
          </cell>
          <cell r="F97" t="str">
            <v>football</v>
          </cell>
          <cell r="G97" t="str">
            <v>girls</v>
          </cell>
          <cell r="H97">
            <v>13.015484444298389</v>
          </cell>
          <cell r="I97">
            <v>3.8595155557016114</v>
          </cell>
          <cell r="J97">
            <v>44505</v>
          </cell>
          <cell r="K97">
            <v>38341</v>
          </cell>
          <cell r="L97">
            <v>16.875</v>
          </cell>
        </row>
        <row r="98">
          <cell r="B98">
            <v>236</v>
          </cell>
          <cell r="C98" t="str">
            <v>round1</v>
          </cell>
          <cell r="D98">
            <v>2004</v>
          </cell>
          <cell r="E98" t="str">
            <v>girlsU18</v>
          </cell>
          <cell r="F98" t="str">
            <v>football</v>
          </cell>
          <cell r="G98" t="str">
            <v>girls</v>
          </cell>
          <cell r="H98">
            <v>13.993776882079121</v>
          </cell>
          <cell r="I98">
            <v>3.3451120068097668</v>
          </cell>
          <cell r="J98">
            <v>44505</v>
          </cell>
          <cell r="K98">
            <v>38171</v>
          </cell>
          <cell r="L98">
            <v>17.338888888888889</v>
          </cell>
        </row>
        <row r="99">
          <cell r="B99">
            <v>237</v>
          </cell>
          <cell r="C99" t="str">
            <v>round1</v>
          </cell>
          <cell r="D99">
            <v>2004</v>
          </cell>
          <cell r="E99" t="str">
            <v>girlsU18</v>
          </cell>
          <cell r="F99" t="str">
            <v>football</v>
          </cell>
          <cell r="G99" t="str">
            <v>girls</v>
          </cell>
          <cell r="H99">
            <v>13.848557869825065</v>
          </cell>
          <cell r="I99">
            <v>3.7986643523971568</v>
          </cell>
          <cell r="J99">
            <v>44505</v>
          </cell>
          <cell r="K99">
            <v>38058</v>
          </cell>
          <cell r="L99">
            <v>17.647222222222222</v>
          </cell>
        </row>
        <row r="100">
          <cell r="B100">
            <v>238</v>
          </cell>
          <cell r="C100" t="str">
            <v>round1</v>
          </cell>
          <cell r="D100">
            <v>2004</v>
          </cell>
          <cell r="E100" t="str">
            <v>girlsU18</v>
          </cell>
          <cell r="F100" t="str">
            <v>football</v>
          </cell>
          <cell r="G100" t="str">
            <v>girls</v>
          </cell>
          <cell r="H100">
            <v>14.014181278688667</v>
          </cell>
          <cell r="I100">
            <v>2.9358187213113323</v>
          </cell>
          <cell r="J100">
            <v>44505</v>
          </cell>
          <cell r="K100">
            <v>38314</v>
          </cell>
          <cell r="L100">
            <v>16.95</v>
          </cell>
        </row>
        <row r="101">
          <cell r="B101">
            <v>239</v>
          </cell>
          <cell r="C101" t="str">
            <v>round1</v>
          </cell>
          <cell r="D101">
            <v>2004</v>
          </cell>
          <cell r="E101" t="str">
            <v>girlsU18</v>
          </cell>
          <cell r="F101" t="str">
            <v>football</v>
          </cell>
          <cell r="G101" t="str">
            <v>girls</v>
          </cell>
          <cell r="H101">
            <v>12.858108108858405</v>
          </cell>
          <cell r="I101">
            <v>3.9891141133638164</v>
          </cell>
          <cell r="J101">
            <v>44505</v>
          </cell>
          <cell r="K101">
            <v>38352</v>
          </cell>
          <cell r="L101">
            <v>16.847222222222221</v>
          </cell>
        </row>
        <row r="102">
          <cell r="B102">
            <v>241</v>
          </cell>
          <cell r="C102" t="str">
            <v>round1</v>
          </cell>
          <cell r="D102">
            <v>2006</v>
          </cell>
          <cell r="E102" t="str">
            <v>girlsU16</v>
          </cell>
          <cell r="F102" t="str">
            <v>football</v>
          </cell>
          <cell r="G102" t="str">
            <v>girls</v>
          </cell>
          <cell r="H102">
            <v>12.6801346535057</v>
          </cell>
          <cell r="I102">
            <v>2.5143097909387437</v>
          </cell>
          <cell r="J102">
            <v>44505</v>
          </cell>
          <cell r="K102">
            <v>38954</v>
          </cell>
          <cell r="L102">
            <v>15.194444444444445</v>
          </cell>
        </row>
        <row r="103">
          <cell r="B103">
            <v>242</v>
          </cell>
          <cell r="C103" t="str">
            <v>round1</v>
          </cell>
          <cell r="D103">
            <v>2006</v>
          </cell>
          <cell r="E103" t="str">
            <v>girlsU16</v>
          </cell>
          <cell r="F103" t="str">
            <v>football</v>
          </cell>
          <cell r="G103" t="str">
            <v>girls</v>
          </cell>
          <cell r="H103">
            <v>12.179687449278022</v>
          </cell>
          <cell r="I103">
            <v>3.0980903284997567</v>
          </cell>
          <cell r="J103">
            <v>44505</v>
          </cell>
          <cell r="K103">
            <v>38923</v>
          </cell>
          <cell r="L103">
            <v>15.277777777777779</v>
          </cell>
        </row>
        <row r="104">
          <cell r="B104">
            <v>243</v>
          </cell>
          <cell r="C104" t="str">
            <v>round1</v>
          </cell>
          <cell r="D104">
            <v>2006</v>
          </cell>
          <cell r="E104" t="str">
            <v>girlsU16</v>
          </cell>
          <cell r="F104" t="str">
            <v>football</v>
          </cell>
          <cell r="G104" t="str">
            <v>girls</v>
          </cell>
          <cell r="H104">
            <v>12.311113034112058</v>
          </cell>
          <cell r="I104">
            <v>3.0638869658879422</v>
          </cell>
          <cell r="J104">
            <v>44505</v>
          </cell>
          <cell r="K104">
            <v>38888</v>
          </cell>
          <cell r="L104">
            <v>15.375</v>
          </cell>
        </row>
        <row r="105">
          <cell r="B105">
            <v>244</v>
          </cell>
          <cell r="C105" t="str">
            <v>round1</v>
          </cell>
          <cell r="D105">
            <v>2006</v>
          </cell>
          <cell r="E105" t="str">
            <v>girlsU16</v>
          </cell>
          <cell r="F105" t="str">
            <v>football</v>
          </cell>
          <cell r="G105" t="str">
            <v>girls</v>
          </cell>
          <cell r="H105">
            <v>12.513972737232155</v>
          </cell>
          <cell r="I105">
            <v>2.6665828183234006</v>
          </cell>
          <cell r="J105">
            <v>44505</v>
          </cell>
          <cell r="K105">
            <v>38959</v>
          </cell>
          <cell r="L105">
            <v>15.180555555555555</v>
          </cell>
        </row>
        <row r="106">
          <cell r="B106">
            <v>245</v>
          </cell>
          <cell r="C106" t="str">
            <v>round1</v>
          </cell>
          <cell r="D106">
            <v>2006</v>
          </cell>
          <cell r="E106" t="str">
            <v>girlsU16</v>
          </cell>
          <cell r="F106" t="str">
            <v>football</v>
          </cell>
          <cell r="G106" t="str">
            <v>girls</v>
          </cell>
          <cell r="H106">
            <v>12.382831132753831</v>
          </cell>
          <cell r="I106">
            <v>1.8560577561350589</v>
          </cell>
          <cell r="J106">
            <v>44505</v>
          </cell>
          <cell r="K106">
            <v>39303</v>
          </cell>
          <cell r="L106">
            <v>14.238888888888889</v>
          </cell>
        </row>
        <row r="107">
          <cell r="B107">
            <v>246</v>
          </cell>
          <cell r="C107" t="str">
            <v>round1</v>
          </cell>
          <cell r="D107">
            <v>2006</v>
          </cell>
          <cell r="E107" t="str">
            <v>girlsU16</v>
          </cell>
          <cell r="F107" t="str">
            <v>football</v>
          </cell>
          <cell r="G107" t="str">
            <v>girls</v>
          </cell>
          <cell r="H107">
            <v>12.544426991272186</v>
          </cell>
          <cell r="I107">
            <v>2.863906342061147</v>
          </cell>
          <cell r="J107">
            <v>44505</v>
          </cell>
          <cell r="K107">
            <v>38876</v>
          </cell>
          <cell r="L107">
            <v>15.408333333333333</v>
          </cell>
        </row>
        <row r="108">
          <cell r="B108">
            <v>252</v>
          </cell>
          <cell r="C108" t="str">
            <v>round1</v>
          </cell>
          <cell r="D108">
            <v>2006</v>
          </cell>
          <cell r="E108" t="str">
            <v>girlsU16</v>
          </cell>
          <cell r="F108" t="str">
            <v>football</v>
          </cell>
          <cell r="G108" t="str">
            <v>girls</v>
          </cell>
          <cell r="H108">
            <v>13.152027312492406</v>
          </cell>
          <cell r="I108">
            <v>2.5813060208409273</v>
          </cell>
          <cell r="J108">
            <v>44511</v>
          </cell>
          <cell r="K108">
            <v>38765</v>
          </cell>
          <cell r="L108">
            <v>15.733333333333333</v>
          </cell>
        </row>
        <row r="109">
          <cell r="B109">
            <v>253</v>
          </cell>
          <cell r="C109" t="str">
            <v>round1</v>
          </cell>
          <cell r="D109">
            <v>2006</v>
          </cell>
          <cell r="E109" t="str">
            <v>girlsU16</v>
          </cell>
          <cell r="F109" t="str">
            <v>football</v>
          </cell>
          <cell r="G109" t="str">
            <v>girls</v>
          </cell>
          <cell r="H109">
            <v>12.394644417285999</v>
          </cell>
          <cell r="I109">
            <v>2.6998000271584468</v>
          </cell>
          <cell r="J109">
            <v>44511</v>
          </cell>
          <cell r="K109">
            <v>38997</v>
          </cell>
          <cell r="L109">
            <v>15.094444444444445</v>
          </cell>
        </row>
        <row r="110">
          <cell r="B110">
            <v>254</v>
          </cell>
          <cell r="C110" t="str">
            <v>round1</v>
          </cell>
          <cell r="D110">
            <v>2006</v>
          </cell>
          <cell r="E110" t="str">
            <v>girlsU16</v>
          </cell>
          <cell r="F110" t="str">
            <v>football</v>
          </cell>
          <cell r="G110" t="str">
            <v>girls</v>
          </cell>
          <cell r="H110">
            <v>12.546829740751717</v>
          </cell>
          <cell r="I110">
            <v>3.0670591481371718</v>
          </cell>
          <cell r="J110">
            <v>44511</v>
          </cell>
          <cell r="K110">
            <v>38806</v>
          </cell>
          <cell r="L110">
            <v>15.613888888888889</v>
          </cell>
        </row>
        <row r="111">
          <cell r="B111">
            <v>255</v>
          </cell>
          <cell r="C111" t="str">
            <v>round1</v>
          </cell>
          <cell r="D111">
            <v>2006</v>
          </cell>
          <cell r="E111" t="str">
            <v>girlsU16</v>
          </cell>
          <cell r="F111" t="str">
            <v>football</v>
          </cell>
          <cell r="G111" t="str">
            <v>girls</v>
          </cell>
          <cell r="H111">
            <v>12.640611465643564</v>
          </cell>
          <cell r="I111">
            <v>2.3343885343564348</v>
          </cell>
          <cell r="J111">
            <v>44511</v>
          </cell>
          <cell r="K111">
            <v>39041</v>
          </cell>
          <cell r="L111">
            <v>14.975</v>
          </cell>
        </row>
        <row r="112">
          <cell r="B112">
            <v>256</v>
          </cell>
          <cell r="C112" t="str">
            <v>round1</v>
          </cell>
          <cell r="D112">
            <v>2006</v>
          </cell>
          <cell r="E112" t="str">
            <v>girlsU16</v>
          </cell>
          <cell r="F112" t="str">
            <v>football</v>
          </cell>
          <cell r="G112" t="str">
            <v>girls</v>
          </cell>
          <cell r="H112">
            <v>12.173399120018017</v>
          </cell>
          <cell r="I112">
            <v>2.6821564355375398</v>
          </cell>
          <cell r="J112">
            <v>44511</v>
          </cell>
          <cell r="K112">
            <v>39085</v>
          </cell>
          <cell r="L112">
            <v>14.855555555555556</v>
          </cell>
        </row>
        <row r="113">
          <cell r="B113">
            <v>257</v>
          </cell>
          <cell r="C113" t="str">
            <v>round1</v>
          </cell>
          <cell r="D113">
            <v>2006</v>
          </cell>
          <cell r="E113" t="str">
            <v>girlsU16</v>
          </cell>
          <cell r="F113" t="str">
            <v>football</v>
          </cell>
          <cell r="G113" t="str">
            <v>girls</v>
          </cell>
          <cell r="H113">
            <v>12.823814285549011</v>
          </cell>
          <cell r="I113">
            <v>2.2622968255620992</v>
          </cell>
          <cell r="J113">
            <v>44511</v>
          </cell>
          <cell r="K113">
            <v>39000</v>
          </cell>
          <cell r="L113">
            <v>15.08611111111111</v>
          </cell>
        </row>
        <row r="114">
          <cell r="B114">
            <v>258</v>
          </cell>
          <cell r="C114" t="str">
            <v>round1</v>
          </cell>
          <cell r="D114">
            <v>2006</v>
          </cell>
          <cell r="E114" t="str">
            <v>girlsU16</v>
          </cell>
          <cell r="F114" t="str">
            <v>football</v>
          </cell>
          <cell r="G114" t="str">
            <v>girls</v>
          </cell>
          <cell r="H114">
            <v>12.432686669290234</v>
          </cell>
          <cell r="I114">
            <v>2.9589799973764341</v>
          </cell>
          <cell r="J114">
            <v>44511</v>
          </cell>
          <cell r="K114">
            <v>38888</v>
          </cell>
          <cell r="L114">
            <v>15.391666666666667</v>
          </cell>
        </row>
        <row r="115">
          <cell r="B115">
            <v>259</v>
          </cell>
          <cell r="C115" t="str">
            <v>round1</v>
          </cell>
          <cell r="D115">
            <v>2006</v>
          </cell>
          <cell r="E115" t="str">
            <v>girlsU16</v>
          </cell>
          <cell r="F115" t="str">
            <v>football</v>
          </cell>
          <cell r="G115" t="str">
            <v>girls</v>
          </cell>
          <cell r="H115">
            <v>13.021004409028748</v>
          </cell>
          <cell r="I115">
            <v>2.334551146526807</v>
          </cell>
          <cell r="J115">
            <v>44511</v>
          </cell>
          <cell r="K115">
            <v>38901</v>
          </cell>
          <cell r="L115">
            <v>15.355555555555556</v>
          </cell>
        </row>
        <row r="116">
          <cell r="B116">
            <v>260</v>
          </cell>
          <cell r="C116" t="str">
            <v>round1</v>
          </cell>
          <cell r="D116">
            <v>2008</v>
          </cell>
          <cell r="E116" t="str">
            <v>girlsU14</v>
          </cell>
          <cell r="F116" t="str">
            <v>football</v>
          </cell>
          <cell r="G116" t="str">
            <v>girls</v>
          </cell>
          <cell r="H116">
            <v>12.031063211356352</v>
          </cell>
          <cell r="I116">
            <v>1.6717145664214255</v>
          </cell>
          <cell r="J116">
            <v>44511</v>
          </cell>
          <cell r="K116">
            <v>39506</v>
          </cell>
          <cell r="L116">
            <v>13.702777777777778</v>
          </cell>
        </row>
        <row r="117">
          <cell r="B117">
            <v>261</v>
          </cell>
          <cell r="C117" t="str">
            <v>round1</v>
          </cell>
          <cell r="D117">
            <v>2008</v>
          </cell>
          <cell r="E117" t="str">
            <v>girlsU14</v>
          </cell>
          <cell r="F117" t="str">
            <v>football</v>
          </cell>
          <cell r="G117" t="str">
            <v>girls</v>
          </cell>
          <cell r="H117">
            <v>11.960963534208243</v>
          </cell>
          <cell r="I117">
            <v>1.5390364657917566</v>
          </cell>
          <cell r="J117">
            <v>44511</v>
          </cell>
          <cell r="K117">
            <v>39579</v>
          </cell>
          <cell r="L117">
            <v>13.5</v>
          </cell>
        </row>
        <row r="118">
          <cell r="B118">
            <v>265</v>
          </cell>
          <cell r="C118" t="str">
            <v>round1</v>
          </cell>
          <cell r="D118">
            <v>2008</v>
          </cell>
          <cell r="E118" t="str">
            <v>girlsU14</v>
          </cell>
          <cell r="F118" t="str">
            <v>football</v>
          </cell>
          <cell r="G118" t="str">
            <v>girls</v>
          </cell>
          <cell r="H118">
            <v>12.721090832267691</v>
          </cell>
          <cell r="I118">
            <v>0.91224250106564209</v>
          </cell>
          <cell r="J118">
            <v>44511</v>
          </cell>
          <cell r="K118">
            <v>39530</v>
          </cell>
          <cell r="L118">
            <v>13.633333333333333</v>
          </cell>
        </row>
        <row r="119">
          <cell r="B119">
            <v>266</v>
          </cell>
          <cell r="C119" t="str">
            <v>round1</v>
          </cell>
          <cell r="D119">
            <v>2008</v>
          </cell>
          <cell r="E119" t="str">
            <v>girlsU14</v>
          </cell>
          <cell r="F119" t="str">
            <v>football</v>
          </cell>
          <cell r="G119" t="str">
            <v>girls</v>
          </cell>
          <cell r="H119">
            <v>13.381141614164571</v>
          </cell>
          <cell r="I119">
            <v>0.30496949694654107</v>
          </cell>
          <cell r="J119">
            <v>44511</v>
          </cell>
          <cell r="K119">
            <v>39511</v>
          </cell>
          <cell r="L119">
            <v>13.686111111111112</v>
          </cell>
        </row>
        <row r="120">
          <cell r="B120">
            <v>267</v>
          </cell>
          <cell r="C120" t="str">
            <v>round1</v>
          </cell>
          <cell r="D120">
            <v>2005</v>
          </cell>
          <cell r="E120" t="str">
            <v>boysU18</v>
          </cell>
          <cell r="F120" t="str">
            <v>football</v>
          </cell>
          <cell r="G120" t="str">
            <v>boys</v>
          </cell>
          <cell r="J120">
            <v>44935</v>
          </cell>
          <cell r="K120">
            <v>38458</v>
          </cell>
          <cell r="L120">
            <v>17.730555555555554</v>
          </cell>
        </row>
        <row r="121">
          <cell r="B121">
            <v>275</v>
          </cell>
          <cell r="C121" t="str">
            <v>round1</v>
          </cell>
          <cell r="D121">
            <v>2006</v>
          </cell>
          <cell r="E121" t="str">
            <v>boysU16</v>
          </cell>
          <cell r="F121" t="str">
            <v>football</v>
          </cell>
          <cell r="G121" t="str">
            <v>boys</v>
          </cell>
          <cell r="H121">
            <v>13.647995703616704</v>
          </cell>
          <cell r="I121">
            <v>1.9131154074944083</v>
          </cell>
          <cell r="J121">
            <v>44518</v>
          </cell>
          <cell r="K121">
            <v>38833</v>
          </cell>
          <cell r="L121">
            <v>15.561111111111112</v>
          </cell>
        </row>
        <row r="122">
          <cell r="B122">
            <v>276</v>
          </cell>
          <cell r="C122" t="str">
            <v>round1</v>
          </cell>
          <cell r="D122">
            <v>2005</v>
          </cell>
          <cell r="E122" t="str">
            <v>boysU18</v>
          </cell>
          <cell r="F122" t="str">
            <v>football</v>
          </cell>
          <cell r="G122" t="str">
            <v>boys</v>
          </cell>
          <cell r="H122">
            <v>14.629039951780909</v>
          </cell>
          <cell r="I122">
            <v>2.1154044926635347</v>
          </cell>
          <cell r="J122">
            <v>44518</v>
          </cell>
          <cell r="K122">
            <v>38403</v>
          </cell>
          <cell r="L122">
            <v>16.744444444444444</v>
          </cell>
        </row>
        <row r="123">
          <cell r="B123">
            <v>277</v>
          </cell>
          <cell r="C123" t="str">
            <v>round1</v>
          </cell>
          <cell r="D123">
            <v>2004</v>
          </cell>
          <cell r="E123" t="str">
            <v>boysU18</v>
          </cell>
          <cell r="F123" t="str">
            <v>football</v>
          </cell>
          <cell r="G123" t="str">
            <v>boys</v>
          </cell>
          <cell r="H123">
            <v>14.383281701639097</v>
          </cell>
          <cell r="I123">
            <v>2.8861627428053489</v>
          </cell>
          <cell r="J123">
            <v>44518</v>
          </cell>
          <cell r="K123">
            <v>38210</v>
          </cell>
          <cell r="L123">
            <v>17.269444444444446</v>
          </cell>
        </row>
        <row r="124">
          <cell r="B124">
            <v>279</v>
          </cell>
          <cell r="C124" t="str">
            <v>round1</v>
          </cell>
          <cell r="D124">
            <v>2005</v>
          </cell>
          <cell r="E124" t="str">
            <v>boysU18</v>
          </cell>
          <cell r="F124" t="str">
            <v>football</v>
          </cell>
          <cell r="G124" t="str">
            <v>boys</v>
          </cell>
          <cell r="H124">
            <v>13.376045311647513</v>
          </cell>
          <cell r="I124">
            <v>3.421176910574709</v>
          </cell>
          <cell r="J124">
            <v>44518</v>
          </cell>
          <cell r="K124">
            <v>38384</v>
          </cell>
          <cell r="L124">
            <v>16.797222222222221</v>
          </cell>
        </row>
        <row r="125">
          <cell r="B125">
            <v>280</v>
          </cell>
          <cell r="C125" t="str">
            <v>round1</v>
          </cell>
          <cell r="D125">
            <v>2004</v>
          </cell>
          <cell r="E125" t="str">
            <v>boysU18</v>
          </cell>
          <cell r="F125" t="str">
            <v>football</v>
          </cell>
          <cell r="G125" t="str">
            <v>boys</v>
          </cell>
          <cell r="J125">
            <v>44518</v>
          </cell>
          <cell r="K125">
            <v>0</v>
          </cell>
          <cell r="L125">
            <v>121.88333333333334</v>
          </cell>
        </row>
        <row r="126">
          <cell r="B126">
            <v>281</v>
          </cell>
          <cell r="C126" t="str">
            <v>round1</v>
          </cell>
          <cell r="D126">
            <v>2005</v>
          </cell>
          <cell r="E126" t="str">
            <v>boysU18</v>
          </cell>
          <cell r="F126" t="str">
            <v>football</v>
          </cell>
          <cell r="G126" t="str">
            <v>boys</v>
          </cell>
          <cell r="H126">
            <v>13.792151029132544</v>
          </cell>
          <cell r="I126">
            <v>2.7328489708674555</v>
          </cell>
          <cell r="J126">
            <v>44518</v>
          </cell>
          <cell r="K126">
            <v>38481</v>
          </cell>
          <cell r="L126">
            <v>16.524999999999999</v>
          </cell>
        </row>
        <row r="127">
          <cell r="B127">
            <v>282</v>
          </cell>
          <cell r="C127" t="str">
            <v>round1</v>
          </cell>
          <cell r="D127">
            <v>2005</v>
          </cell>
          <cell r="E127" t="str">
            <v>boysU18</v>
          </cell>
          <cell r="F127" t="str">
            <v>football</v>
          </cell>
          <cell r="G127" t="str">
            <v>boys</v>
          </cell>
          <cell r="H127">
            <v>14.804050674552782</v>
          </cell>
          <cell r="I127">
            <v>1.2265048810027737</v>
          </cell>
          <cell r="J127">
            <v>44518</v>
          </cell>
          <cell r="K127">
            <v>38663</v>
          </cell>
          <cell r="L127">
            <v>16.030555555555555</v>
          </cell>
        </row>
        <row r="128">
          <cell r="B128">
            <v>283</v>
          </cell>
          <cell r="C128" t="str">
            <v>round1</v>
          </cell>
          <cell r="D128">
            <v>2005</v>
          </cell>
          <cell r="E128" t="str">
            <v>boysU18</v>
          </cell>
          <cell r="F128" t="str">
            <v>football</v>
          </cell>
          <cell r="G128" t="str">
            <v>boys</v>
          </cell>
          <cell r="J128">
            <v>44935</v>
          </cell>
          <cell r="K128">
            <v>0</v>
          </cell>
          <cell r="L128">
            <v>123.02500000000001</v>
          </cell>
        </row>
        <row r="129">
          <cell r="B129">
            <v>284</v>
          </cell>
          <cell r="C129" t="str">
            <v>round1</v>
          </cell>
          <cell r="D129">
            <v>2005</v>
          </cell>
          <cell r="E129" t="str">
            <v>boysU18</v>
          </cell>
          <cell r="F129" t="str">
            <v>football</v>
          </cell>
          <cell r="G129" t="str">
            <v>boys</v>
          </cell>
          <cell r="H129">
            <v>13.571835441467103</v>
          </cell>
          <cell r="I129">
            <v>2.461497891866232</v>
          </cell>
          <cell r="J129">
            <v>44518</v>
          </cell>
          <cell r="K129">
            <v>38662</v>
          </cell>
          <cell r="L129">
            <v>16.033333333333335</v>
          </cell>
        </row>
        <row r="130">
          <cell r="B130">
            <v>286</v>
          </cell>
          <cell r="C130" t="str">
            <v>round1</v>
          </cell>
          <cell r="D130">
            <v>2004</v>
          </cell>
          <cell r="E130" t="str">
            <v>boysU18</v>
          </cell>
          <cell r="F130" t="str">
            <v>football</v>
          </cell>
          <cell r="G130" t="str">
            <v>boys</v>
          </cell>
          <cell r="J130">
            <v>44227</v>
          </cell>
          <cell r="K130">
            <v>37989</v>
          </cell>
          <cell r="L130">
            <v>17.077777777777779</v>
          </cell>
        </row>
        <row r="131">
          <cell r="B131">
            <v>287</v>
          </cell>
          <cell r="C131" t="str">
            <v>round1</v>
          </cell>
          <cell r="D131">
            <v>2005</v>
          </cell>
          <cell r="E131" t="str">
            <v>boysU18</v>
          </cell>
          <cell r="F131" t="str">
            <v>football</v>
          </cell>
          <cell r="G131" t="str">
            <v>boys</v>
          </cell>
          <cell r="J131">
            <v>44862</v>
          </cell>
          <cell r="K131">
            <v>0</v>
          </cell>
          <cell r="L131">
            <v>122.82777777777778</v>
          </cell>
        </row>
        <row r="132">
          <cell r="B132">
            <v>288</v>
          </cell>
          <cell r="C132" t="str">
            <v>round1</v>
          </cell>
          <cell r="D132">
            <v>2008</v>
          </cell>
          <cell r="E132" t="str">
            <v>girlsU14</v>
          </cell>
          <cell r="F132" t="str">
            <v>football</v>
          </cell>
          <cell r="G132" t="str">
            <v>girls</v>
          </cell>
          <cell r="H132">
            <v>12.036905393986538</v>
          </cell>
          <cell r="I132">
            <v>1.6353168282356836</v>
          </cell>
          <cell r="J132">
            <v>44524</v>
          </cell>
          <cell r="K132">
            <v>39529</v>
          </cell>
          <cell r="L132">
            <v>13.672222222222222</v>
          </cell>
        </row>
        <row r="133">
          <cell r="B133">
            <v>289</v>
          </cell>
          <cell r="C133" t="str">
            <v>round1</v>
          </cell>
          <cell r="D133">
            <v>2008</v>
          </cell>
          <cell r="E133" t="str">
            <v>girlsU14</v>
          </cell>
          <cell r="F133" t="str">
            <v>football</v>
          </cell>
          <cell r="G133" t="str">
            <v>girls</v>
          </cell>
          <cell r="H133">
            <v>12.760141434891027</v>
          </cell>
          <cell r="I133">
            <v>1.0815252317756403</v>
          </cell>
          <cell r="J133">
            <v>44524</v>
          </cell>
          <cell r="K133">
            <v>39468</v>
          </cell>
          <cell r="L133">
            <v>13.841666666666667</v>
          </cell>
        </row>
        <row r="134">
          <cell r="B134">
            <v>290</v>
          </cell>
          <cell r="C134" t="str">
            <v>round1</v>
          </cell>
          <cell r="D134">
            <v>2008</v>
          </cell>
          <cell r="E134" t="str">
            <v>girlsU14</v>
          </cell>
          <cell r="F134" t="str">
            <v>football</v>
          </cell>
          <cell r="G134" t="str">
            <v>girls</v>
          </cell>
          <cell r="H134">
            <v>11.548984723010754</v>
          </cell>
          <cell r="I134">
            <v>2.2593486103225802</v>
          </cell>
          <cell r="J134">
            <v>44524</v>
          </cell>
          <cell r="K134">
            <v>39481</v>
          </cell>
          <cell r="L134">
            <v>13.808333333333334</v>
          </cell>
        </row>
        <row r="135">
          <cell r="B135">
            <v>291</v>
          </cell>
          <cell r="C135" t="str">
            <v>round1</v>
          </cell>
          <cell r="D135">
            <v>2008</v>
          </cell>
          <cell r="E135" t="str">
            <v>girlsU14</v>
          </cell>
          <cell r="F135" t="str">
            <v>football</v>
          </cell>
          <cell r="G135" t="str">
            <v>girls</v>
          </cell>
          <cell r="H135">
            <v>12.128912747018521</v>
          </cell>
          <cell r="I135">
            <v>1.2738650307592569</v>
          </cell>
          <cell r="J135">
            <v>44524</v>
          </cell>
          <cell r="K135">
            <v>39628</v>
          </cell>
          <cell r="L135">
            <v>13.402777777777779</v>
          </cell>
        </row>
        <row r="136">
          <cell r="B136">
            <v>292</v>
          </cell>
          <cell r="C136" t="str">
            <v>round1</v>
          </cell>
          <cell r="D136">
            <v>2008</v>
          </cell>
          <cell r="E136" t="str">
            <v>girlsU14</v>
          </cell>
          <cell r="F136" t="str">
            <v>football</v>
          </cell>
          <cell r="G136" t="str">
            <v>girls</v>
          </cell>
          <cell r="H136">
            <v>11.90395471702435</v>
          </cell>
          <cell r="I136">
            <v>1.2849341718645388</v>
          </cell>
          <cell r="J136">
            <v>44524</v>
          </cell>
          <cell r="K136">
            <v>39707</v>
          </cell>
          <cell r="L136">
            <v>13.188888888888888</v>
          </cell>
        </row>
        <row r="137">
          <cell r="B137">
            <v>293</v>
          </cell>
          <cell r="C137" t="str">
            <v>round1</v>
          </cell>
          <cell r="D137">
            <v>2008</v>
          </cell>
          <cell r="E137" t="str">
            <v>girlsU14</v>
          </cell>
          <cell r="F137" t="str">
            <v>football</v>
          </cell>
          <cell r="G137" t="str">
            <v>girls</v>
          </cell>
          <cell r="J137">
            <v>44524</v>
          </cell>
          <cell r="K137">
            <v>0</v>
          </cell>
          <cell r="L137">
            <v>121.9</v>
          </cell>
        </row>
        <row r="138">
          <cell r="B138">
            <v>294</v>
          </cell>
          <cell r="C138" t="str">
            <v>round1</v>
          </cell>
          <cell r="D138">
            <v>2008</v>
          </cell>
          <cell r="E138" t="str">
            <v>girlsU14</v>
          </cell>
          <cell r="F138" t="str">
            <v>football</v>
          </cell>
          <cell r="G138" t="str">
            <v>girls</v>
          </cell>
          <cell r="H138">
            <v>11.469999477443096</v>
          </cell>
          <cell r="I138">
            <v>2.0661116336680148</v>
          </cell>
          <cell r="J138">
            <v>44524</v>
          </cell>
          <cell r="K138">
            <v>39579</v>
          </cell>
          <cell r="L138">
            <v>13.536111111111111</v>
          </cell>
        </row>
        <row r="139">
          <cell r="B139">
            <v>295</v>
          </cell>
          <cell r="C139" t="str">
            <v>round1</v>
          </cell>
          <cell r="D139">
            <v>2008</v>
          </cell>
          <cell r="E139" t="str">
            <v>girlsU14</v>
          </cell>
          <cell r="F139" t="str">
            <v>football</v>
          </cell>
          <cell r="G139" t="str">
            <v>girls</v>
          </cell>
          <cell r="H139">
            <v>11.848693138877808</v>
          </cell>
          <cell r="I139">
            <v>1.1290846388999707</v>
          </cell>
          <cell r="J139">
            <v>44524</v>
          </cell>
          <cell r="K139">
            <v>39784</v>
          </cell>
          <cell r="L139">
            <v>12.977777777777778</v>
          </cell>
        </row>
        <row r="140">
          <cell r="B140">
            <v>296</v>
          </cell>
          <cell r="C140" t="str">
            <v>round1</v>
          </cell>
          <cell r="D140">
            <v>2006</v>
          </cell>
          <cell r="E140" t="str">
            <v>girlsU16</v>
          </cell>
          <cell r="F140" t="str">
            <v>football</v>
          </cell>
          <cell r="G140" t="str">
            <v>girls</v>
          </cell>
          <cell r="J140">
            <v>44511</v>
          </cell>
          <cell r="K140">
            <v>38916</v>
          </cell>
          <cell r="L140">
            <v>15.313888888888888</v>
          </cell>
        </row>
        <row r="141">
          <cell r="B141">
            <v>297</v>
          </cell>
          <cell r="C141" t="str">
            <v>round1</v>
          </cell>
          <cell r="D141">
            <v>2005</v>
          </cell>
          <cell r="E141" t="str">
            <v>girlsU18</v>
          </cell>
          <cell r="F141" t="str">
            <v>football</v>
          </cell>
          <cell r="G141" t="str">
            <v>girls</v>
          </cell>
          <cell r="J141">
            <v>0</v>
          </cell>
          <cell r="K141">
            <v>38992</v>
          </cell>
          <cell r="L141">
            <v>106.75555555555556</v>
          </cell>
        </row>
        <row r="142">
          <cell r="B142">
            <v>299</v>
          </cell>
          <cell r="C142" t="str">
            <v>round1</v>
          </cell>
          <cell r="D142">
            <v>2004</v>
          </cell>
          <cell r="E142" t="str">
            <v>boysU18</v>
          </cell>
          <cell r="F142" t="str">
            <v>football</v>
          </cell>
          <cell r="G142" t="str">
            <v>boys</v>
          </cell>
          <cell r="J142">
            <v>44592</v>
          </cell>
          <cell r="K142">
            <v>38166</v>
          </cell>
          <cell r="L142">
            <v>17.591666666666665</v>
          </cell>
        </row>
        <row r="143">
          <cell r="B143">
            <v>300</v>
          </cell>
          <cell r="C143" t="str">
            <v>round1</v>
          </cell>
          <cell r="D143">
            <v>2004</v>
          </cell>
          <cell r="E143" t="str">
            <v>boysU18</v>
          </cell>
          <cell r="F143" t="str">
            <v>football</v>
          </cell>
          <cell r="G143" t="str">
            <v>boys</v>
          </cell>
          <cell r="J143">
            <v>44592</v>
          </cell>
          <cell r="K143">
            <v>0</v>
          </cell>
          <cell r="L143">
            <v>122.08611111111111</v>
          </cell>
        </row>
        <row r="144">
          <cell r="B144">
            <v>304</v>
          </cell>
          <cell r="C144" t="str">
            <v>round1</v>
          </cell>
          <cell r="D144">
            <v>2004</v>
          </cell>
          <cell r="E144" t="str">
            <v>boysU18</v>
          </cell>
          <cell r="F144" t="str">
            <v>football</v>
          </cell>
          <cell r="G144" t="str">
            <v>boys</v>
          </cell>
          <cell r="J144">
            <v>44592</v>
          </cell>
          <cell r="K144">
            <v>0</v>
          </cell>
          <cell r="L144">
            <v>122.08611111111111</v>
          </cell>
        </row>
        <row r="145">
          <cell r="B145">
            <v>330</v>
          </cell>
          <cell r="C145" t="str">
            <v>round1</v>
          </cell>
          <cell r="D145">
            <v>2005</v>
          </cell>
          <cell r="E145" t="str">
            <v>boysU18</v>
          </cell>
          <cell r="F145" t="str">
            <v>football</v>
          </cell>
          <cell r="G145" t="str">
            <v>boys</v>
          </cell>
          <cell r="H145" t="e">
            <v>#N/A</v>
          </cell>
          <cell r="I145">
            <v>0</v>
          </cell>
          <cell r="J145">
            <v>44862</v>
          </cell>
          <cell r="K145" t="e">
            <v>#N/A</v>
          </cell>
          <cell r="L145" t="e">
            <v>#N/A</v>
          </cell>
        </row>
        <row r="146">
          <cell r="B146">
            <v>331</v>
          </cell>
          <cell r="C146" t="str">
            <v>round1</v>
          </cell>
          <cell r="D146">
            <v>2007</v>
          </cell>
          <cell r="E146" t="str">
            <v>boysU16</v>
          </cell>
          <cell r="F146" t="str">
            <v>football</v>
          </cell>
          <cell r="G146" t="str">
            <v>boys</v>
          </cell>
          <cell r="H146" t="e">
            <v>#N/A</v>
          </cell>
          <cell r="I146">
            <v>0</v>
          </cell>
          <cell r="J146">
            <v>44862</v>
          </cell>
          <cell r="K146" t="e">
            <v>#N/A</v>
          </cell>
          <cell r="L146" t="e">
            <v>#N/A</v>
          </cell>
        </row>
        <row r="147">
          <cell r="B147">
            <v>333</v>
          </cell>
          <cell r="C147" t="str">
            <v>round1</v>
          </cell>
          <cell r="D147">
            <v>2005</v>
          </cell>
          <cell r="E147" t="str">
            <v>boysU18</v>
          </cell>
          <cell r="F147" t="str">
            <v>football</v>
          </cell>
          <cell r="G147" t="str">
            <v>boys</v>
          </cell>
          <cell r="H147" t="e">
            <v>#N/A</v>
          </cell>
          <cell r="I147">
            <v>0</v>
          </cell>
          <cell r="J147">
            <v>44862</v>
          </cell>
          <cell r="K147" t="e">
            <v>#N/A</v>
          </cell>
          <cell r="L147" t="e">
            <v>#N/A</v>
          </cell>
        </row>
        <row r="148">
          <cell r="B148">
            <v>400</v>
          </cell>
          <cell r="C148" t="str">
            <v>round1</v>
          </cell>
          <cell r="D148">
            <v>2007</v>
          </cell>
          <cell r="E148" t="str">
            <v>girlsU16</v>
          </cell>
          <cell r="F148" t="str">
            <v>handball</v>
          </cell>
          <cell r="G148" t="str">
            <v>girls</v>
          </cell>
          <cell r="H148">
            <v>11.966092677181599</v>
          </cell>
          <cell r="I148">
            <v>3.1783517672628441</v>
          </cell>
          <cell r="J148">
            <v>44620</v>
          </cell>
          <cell r="K148">
            <v>39088</v>
          </cell>
          <cell r="L148">
            <v>15.144444444444444</v>
          </cell>
        </row>
        <row r="149">
          <cell r="B149">
            <v>401</v>
          </cell>
          <cell r="C149" t="str">
            <v>round1</v>
          </cell>
          <cell r="D149">
            <v>2007</v>
          </cell>
          <cell r="E149" t="str">
            <v>girlsU16</v>
          </cell>
          <cell r="F149" t="str">
            <v>handball</v>
          </cell>
          <cell r="G149" t="str">
            <v>girls</v>
          </cell>
          <cell r="H149">
            <v>12.479391650481929</v>
          </cell>
          <cell r="I149">
            <v>2.3706083495180708</v>
          </cell>
          <cell r="J149">
            <v>44620</v>
          </cell>
          <cell r="K149">
            <v>39194</v>
          </cell>
          <cell r="L149">
            <v>14.85</v>
          </cell>
        </row>
        <row r="150">
          <cell r="B150">
            <v>402</v>
          </cell>
          <cell r="C150" t="str">
            <v>round1</v>
          </cell>
          <cell r="D150">
            <v>2007</v>
          </cell>
          <cell r="E150" t="str">
            <v>girlsU16</v>
          </cell>
          <cell r="F150" t="str">
            <v>handball</v>
          </cell>
          <cell r="G150" t="str">
            <v>girls</v>
          </cell>
          <cell r="H150">
            <v>12.602432138969586</v>
          </cell>
          <cell r="I150">
            <v>2.2309011943637471</v>
          </cell>
          <cell r="J150">
            <v>44620</v>
          </cell>
          <cell r="K150">
            <v>39200</v>
          </cell>
          <cell r="L150">
            <v>14.833333333333334</v>
          </cell>
        </row>
        <row r="151">
          <cell r="B151">
            <v>403</v>
          </cell>
          <cell r="C151" t="str">
            <v>round1</v>
          </cell>
          <cell r="D151">
            <v>2007</v>
          </cell>
          <cell r="E151" t="str">
            <v>girlsU16</v>
          </cell>
          <cell r="F151" t="str">
            <v>handball</v>
          </cell>
          <cell r="G151" t="str">
            <v>girls</v>
          </cell>
          <cell r="H151">
            <v>12.017581481108463</v>
          </cell>
          <cell r="I151">
            <v>2.5129740744470914</v>
          </cell>
          <cell r="J151">
            <v>44620</v>
          </cell>
          <cell r="K151">
            <v>39311</v>
          </cell>
          <cell r="L151">
            <v>14.530555555555555</v>
          </cell>
        </row>
        <row r="152">
          <cell r="B152">
            <v>404</v>
          </cell>
          <cell r="C152" t="str">
            <v>round1</v>
          </cell>
          <cell r="D152">
            <v>2007</v>
          </cell>
          <cell r="E152" t="str">
            <v>girlsU16</v>
          </cell>
          <cell r="F152" t="str">
            <v>handball</v>
          </cell>
          <cell r="G152" t="str">
            <v>girls</v>
          </cell>
          <cell r="H152">
            <v>12.156591093105201</v>
          </cell>
          <cell r="I152">
            <v>2.9878533513392433</v>
          </cell>
          <cell r="J152">
            <v>44620</v>
          </cell>
          <cell r="K152">
            <v>39088</v>
          </cell>
          <cell r="L152">
            <v>15.144444444444444</v>
          </cell>
        </row>
        <row r="153">
          <cell r="B153">
            <v>405</v>
          </cell>
          <cell r="C153" t="str">
            <v>round1</v>
          </cell>
          <cell r="D153">
            <v>2007</v>
          </cell>
          <cell r="E153" t="str">
            <v>girlsU16</v>
          </cell>
          <cell r="F153" t="str">
            <v>handball</v>
          </cell>
          <cell r="G153" t="str">
            <v>girls</v>
          </cell>
          <cell r="H153">
            <v>12.312961288812819</v>
          </cell>
          <cell r="I153">
            <v>2.3481498222982924</v>
          </cell>
          <cell r="J153">
            <v>44620</v>
          </cell>
          <cell r="K153">
            <v>39263</v>
          </cell>
          <cell r="L153">
            <v>14.661111111111111</v>
          </cell>
        </row>
        <row r="154">
          <cell r="B154">
            <v>408</v>
          </cell>
          <cell r="C154" t="str">
            <v>round1</v>
          </cell>
          <cell r="D154">
            <v>2007</v>
          </cell>
          <cell r="E154" t="str">
            <v>girlsU16</v>
          </cell>
          <cell r="F154" t="str">
            <v>handball</v>
          </cell>
          <cell r="G154" t="str">
            <v>girls</v>
          </cell>
          <cell r="H154">
            <v>12.277184811287446</v>
          </cell>
          <cell r="I154">
            <v>2.4033707442681091</v>
          </cell>
          <cell r="J154">
            <v>44627</v>
          </cell>
          <cell r="K154">
            <v>39265</v>
          </cell>
          <cell r="L154">
            <v>14.680555555555555</v>
          </cell>
        </row>
        <row r="155">
          <cell r="B155">
            <v>409</v>
          </cell>
          <cell r="C155" t="str">
            <v>round1</v>
          </cell>
          <cell r="D155">
            <v>2007</v>
          </cell>
          <cell r="E155" t="str">
            <v>girlsU16</v>
          </cell>
          <cell r="F155" t="str">
            <v>handball</v>
          </cell>
          <cell r="G155" t="str">
            <v>girls</v>
          </cell>
          <cell r="H155">
            <v>12.718141945477555</v>
          </cell>
          <cell r="I155">
            <v>2.2179691656335558</v>
          </cell>
          <cell r="J155">
            <v>44627</v>
          </cell>
          <cell r="K155">
            <v>39171</v>
          </cell>
          <cell r="L155">
            <v>14.936111111111112</v>
          </cell>
        </row>
        <row r="156">
          <cell r="B156">
            <v>410</v>
          </cell>
          <cell r="C156" t="str">
            <v>round1</v>
          </cell>
          <cell r="D156">
            <v>2007</v>
          </cell>
          <cell r="E156" t="str">
            <v>girlsU16</v>
          </cell>
          <cell r="F156" t="str">
            <v>handball</v>
          </cell>
          <cell r="G156" t="str">
            <v>girls</v>
          </cell>
          <cell r="H156">
            <v>11.56266926701308</v>
          </cell>
          <cell r="I156">
            <v>2.8039973996535879</v>
          </cell>
          <cell r="J156">
            <v>44627</v>
          </cell>
          <cell r="K156">
            <v>39380</v>
          </cell>
          <cell r="L156">
            <v>14.366666666666667</v>
          </cell>
        </row>
        <row r="157">
          <cell r="B157">
            <v>411</v>
          </cell>
          <cell r="C157" t="str">
            <v>round1</v>
          </cell>
          <cell r="D157">
            <v>2007</v>
          </cell>
          <cell r="E157" t="str">
            <v>girlsU16</v>
          </cell>
          <cell r="F157" t="str">
            <v>handball</v>
          </cell>
          <cell r="G157" t="str">
            <v>girls</v>
          </cell>
          <cell r="H157">
            <v>12.293411180601717</v>
          </cell>
          <cell r="I157">
            <v>2.6065888193982825</v>
          </cell>
          <cell r="J157">
            <v>44627</v>
          </cell>
          <cell r="K157">
            <v>39185</v>
          </cell>
          <cell r="L157">
            <v>14.9</v>
          </cell>
        </row>
        <row r="158">
          <cell r="B158">
            <v>412</v>
          </cell>
          <cell r="C158" t="str">
            <v>round1</v>
          </cell>
          <cell r="D158">
            <v>2007</v>
          </cell>
          <cell r="E158" t="str">
            <v>girlsU16</v>
          </cell>
          <cell r="F158" t="str">
            <v>handball</v>
          </cell>
          <cell r="G158" t="str">
            <v>girls</v>
          </cell>
          <cell r="H158">
            <v>12.348061295327973</v>
          </cell>
          <cell r="I158">
            <v>2.8352720380053604</v>
          </cell>
          <cell r="J158">
            <v>44627</v>
          </cell>
          <cell r="K158">
            <v>39083</v>
          </cell>
          <cell r="L158">
            <v>15.183333333333334</v>
          </cell>
        </row>
        <row r="159">
          <cell r="B159">
            <v>413</v>
          </cell>
          <cell r="C159" t="str">
            <v>round1</v>
          </cell>
          <cell r="D159">
            <v>2007</v>
          </cell>
          <cell r="E159" t="str">
            <v>girlsU16</v>
          </cell>
          <cell r="F159" t="str">
            <v>handball</v>
          </cell>
          <cell r="G159" t="str">
            <v>girls</v>
          </cell>
          <cell r="H159">
            <v>12.918275973980199</v>
          </cell>
          <cell r="I159">
            <v>1.8261684704642449</v>
          </cell>
          <cell r="J159">
            <v>44627</v>
          </cell>
          <cell r="K159">
            <v>39242</v>
          </cell>
          <cell r="L159">
            <v>14.744444444444444</v>
          </cell>
        </row>
        <row r="160">
          <cell r="B160">
            <v>414</v>
          </cell>
          <cell r="C160" t="str">
            <v>round1</v>
          </cell>
          <cell r="D160">
            <v>2007</v>
          </cell>
          <cell r="E160" t="str">
            <v>girlsU16</v>
          </cell>
          <cell r="F160" t="str">
            <v>handball</v>
          </cell>
          <cell r="G160" t="str">
            <v>girls</v>
          </cell>
          <cell r="H160">
            <v>12.225197097743447</v>
          </cell>
          <cell r="I160">
            <v>2.7303584578121081</v>
          </cell>
          <cell r="J160">
            <v>44627</v>
          </cell>
          <cell r="K160">
            <v>39164</v>
          </cell>
          <cell r="L160">
            <v>14.955555555555556</v>
          </cell>
        </row>
        <row r="161">
          <cell r="B161">
            <v>415</v>
          </cell>
          <cell r="C161" t="str">
            <v>round1</v>
          </cell>
          <cell r="D161">
            <v>2007</v>
          </cell>
          <cell r="E161" t="str">
            <v>girlsU16</v>
          </cell>
          <cell r="F161" t="str">
            <v>handball</v>
          </cell>
          <cell r="G161" t="str">
            <v>girls</v>
          </cell>
          <cell r="H161">
            <v>11.727719185812758</v>
          </cell>
          <cell r="I161">
            <v>2.6306141475205744</v>
          </cell>
          <cell r="J161">
            <v>44627</v>
          </cell>
          <cell r="K161">
            <v>39383</v>
          </cell>
          <cell r="L161">
            <v>14.358333333333333</v>
          </cell>
        </row>
        <row r="162">
          <cell r="B162">
            <v>417</v>
          </cell>
          <cell r="C162" t="str">
            <v>round1</v>
          </cell>
          <cell r="D162">
            <v>2007</v>
          </cell>
          <cell r="E162" t="str">
            <v>girlsU16</v>
          </cell>
          <cell r="F162" t="str">
            <v>handball</v>
          </cell>
          <cell r="G162" t="str">
            <v>girls</v>
          </cell>
          <cell r="H162">
            <v>12.388220237555025</v>
          </cell>
          <cell r="I162">
            <v>2.5312242068894188</v>
          </cell>
          <cell r="J162">
            <v>44627</v>
          </cell>
          <cell r="K162">
            <v>39178</v>
          </cell>
          <cell r="L162">
            <v>14.919444444444444</v>
          </cell>
        </row>
        <row r="163">
          <cell r="B163">
            <v>419</v>
          </cell>
          <cell r="C163" t="str">
            <v>round1</v>
          </cell>
          <cell r="D163">
            <v>2007</v>
          </cell>
          <cell r="E163" t="str">
            <v>girlsU16</v>
          </cell>
          <cell r="F163" t="str">
            <v>handball</v>
          </cell>
          <cell r="G163" t="str">
            <v>girls</v>
          </cell>
          <cell r="H163">
            <v>11.651501643023046</v>
          </cell>
          <cell r="I163">
            <v>2.9429428014213981</v>
          </cell>
          <cell r="J163">
            <v>44627</v>
          </cell>
          <cell r="K163">
            <v>39297</v>
          </cell>
          <cell r="L163">
            <v>14.594444444444445</v>
          </cell>
        </row>
        <row r="164">
          <cell r="B164">
            <v>420</v>
          </cell>
          <cell r="C164" t="str">
            <v>round1</v>
          </cell>
          <cell r="D164">
            <v>2009</v>
          </cell>
          <cell r="E164" t="str">
            <v>boysU14</v>
          </cell>
          <cell r="F164" t="str">
            <v>handball</v>
          </cell>
          <cell r="G164" t="str">
            <v>boys</v>
          </cell>
          <cell r="H164">
            <v>13.694544235713268</v>
          </cell>
          <cell r="I164">
            <v>-1.4084331246021562</v>
          </cell>
          <cell r="J164">
            <v>44629</v>
          </cell>
          <cell r="K164">
            <v>40143</v>
          </cell>
          <cell r="L164">
            <v>12.286111111111111</v>
          </cell>
        </row>
        <row r="165">
          <cell r="B165">
            <v>421</v>
          </cell>
          <cell r="C165" t="str">
            <v>round1</v>
          </cell>
          <cell r="D165">
            <v>2009</v>
          </cell>
          <cell r="E165" t="str">
            <v>boysU14</v>
          </cell>
          <cell r="F165" t="str">
            <v>handball</v>
          </cell>
          <cell r="G165" t="str">
            <v>boys</v>
          </cell>
          <cell r="H165">
            <v>13.572244224312461</v>
          </cell>
          <cell r="I165">
            <v>-0.60002200209024059</v>
          </cell>
          <cell r="J165">
            <v>44629</v>
          </cell>
          <cell r="K165">
            <v>39891</v>
          </cell>
          <cell r="L165">
            <v>12.972222222222221</v>
          </cell>
        </row>
        <row r="166">
          <cell r="B166">
            <v>422</v>
          </cell>
          <cell r="C166" t="str">
            <v>round1</v>
          </cell>
          <cell r="D166">
            <v>2009</v>
          </cell>
          <cell r="E166" t="str">
            <v>boysU14</v>
          </cell>
          <cell r="F166" t="str">
            <v>handball</v>
          </cell>
          <cell r="G166" t="str">
            <v>boys</v>
          </cell>
          <cell r="H166">
            <v>13.713466903107392</v>
          </cell>
          <cell r="I166">
            <v>-1.4801335697740599</v>
          </cell>
          <cell r="J166">
            <v>44629</v>
          </cell>
          <cell r="K166">
            <v>40162</v>
          </cell>
          <cell r="L166">
            <v>12.233333333333333</v>
          </cell>
        </row>
        <row r="167">
          <cell r="B167">
            <v>423</v>
          </cell>
          <cell r="C167" t="str">
            <v>round1</v>
          </cell>
          <cell r="D167">
            <v>2009</v>
          </cell>
          <cell r="E167" t="str">
            <v>boysU14</v>
          </cell>
          <cell r="F167" t="str">
            <v>handball</v>
          </cell>
          <cell r="G167" t="str">
            <v>boys</v>
          </cell>
          <cell r="H167">
            <v>13.427728701607712</v>
          </cell>
          <cell r="I167">
            <v>-0.49717314605215668</v>
          </cell>
          <cell r="J167">
            <v>44629</v>
          </cell>
          <cell r="K167">
            <v>39907</v>
          </cell>
          <cell r="L167">
            <v>12.930555555555555</v>
          </cell>
        </row>
        <row r="168">
          <cell r="B168">
            <v>424</v>
          </cell>
          <cell r="C168" t="str">
            <v>round1</v>
          </cell>
          <cell r="D168">
            <v>2009</v>
          </cell>
          <cell r="E168" t="str">
            <v>boysU14</v>
          </cell>
          <cell r="F168" t="str">
            <v>handball</v>
          </cell>
          <cell r="G168" t="str">
            <v>boys</v>
          </cell>
          <cell r="H168">
            <v>13.586237600318595</v>
          </cell>
          <cell r="I168">
            <v>-0.73345982254081676</v>
          </cell>
          <cell r="J168">
            <v>44629</v>
          </cell>
          <cell r="K168">
            <v>39935</v>
          </cell>
          <cell r="L168">
            <v>12.852777777777778</v>
          </cell>
        </row>
        <row r="169">
          <cell r="B169">
            <v>426</v>
          </cell>
          <cell r="C169" t="str">
            <v>round1</v>
          </cell>
          <cell r="D169">
            <v>2009</v>
          </cell>
          <cell r="E169" t="str">
            <v>boysU14</v>
          </cell>
          <cell r="F169" t="str">
            <v>handball</v>
          </cell>
          <cell r="G169" t="str">
            <v>boys</v>
          </cell>
          <cell r="H169">
            <v>13.799049255511637</v>
          </cell>
          <cell r="I169">
            <v>-1.3851603666227481</v>
          </cell>
          <cell r="J169">
            <v>44629</v>
          </cell>
          <cell r="K169">
            <v>40096</v>
          </cell>
          <cell r="L169">
            <v>12.41388888888889</v>
          </cell>
        </row>
        <row r="170">
          <cell r="B170">
            <v>427</v>
          </cell>
          <cell r="C170" t="str">
            <v>round1</v>
          </cell>
          <cell r="D170">
            <v>2009</v>
          </cell>
          <cell r="E170" t="str">
            <v>boysU14</v>
          </cell>
          <cell r="F170" t="str">
            <v>handball</v>
          </cell>
          <cell r="G170" t="str">
            <v>boys</v>
          </cell>
          <cell r="H170">
            <v>13.706050874619146</v>
          </cell>
          <cell r="I170">
            <v>-0.94771754128581298</v>
          </cell>
          <cell r="J170">
            <v>44629</v>
          </cell>
          <cell r="K170">
            <v>39970</v>
          </cell>
          <cell r="L170">
            <v>12.758333333333333</v>
          </cell>
        </row>
        <row r="171">
          <cell r="B171">
            <v>430</v>
          </cell>
          <cell r="C171" t="str">
            <v>round1</v>
          </cell>
          <cell r="D171">
            <v>2009</v>
          </cell>
          <cell r="E171" t="str">
            <v>boysU14</v>
          </cell>
          <cell r="F171" t="str">
            <v>handball</v>
          </cell>
          <cell r="G171" t="str">
            <v>boys</v>
          </cell>
          <cell r="H171">
            <v>14.179123281922308</v>
          </cell>
          <cell r="I171">
            <v>-1.9291232819223092</v>
          </cell>
          <cell r="J171">
            <v>44629</v>
          </cell>
          <cell r="K171">
            <v>40156</v>
          </cell>
          <cell r="L171">
            <v>12.25</v>
          </cell>
        </row>
        <row r="172">
          <cell r="B172">
            <v>431</v>
          </cell>
          <cell r="C172" t="str">
            <v>round1</v>
          </cell>
          <cell r="D172">
            <v>2009</v>
          </cell>
          <cell r="E172" t="str">
            <v>boysU14</v>
          </cell>
          <cell r="F172" t="str">
            <v>handball</v>
          </cell>
          <cell r="G172" t="str">
            <v>boys</v>
          </cell>
          <cell r="H172">
            <v>14.422316569258603</v>
          </cell>
          <cell r="I172">
            <v>-1.5028721248141597</v>
          </cell>
          <cell r="J172">
            <v>44629</v>
          </cell>
          <cell r="K172">
            <v>39911</v>
          </cell>
          <cell r="L172">
            <v>12.919444444444444</v>
          </cell>
        </row>
        <row r="173">
          <cell r="B173">
            <v>432</v>
          </cell>
          <cell r="C173" t="str">
            <v>round1</v>
          </cell>
          <cell r="D173">
            <v>2009</v>
          </cell>
          <cell r="E173" t="str">
            <v>boysU14</v>
          </cell>
          <cell r="F173" t="str">
            <v>handball</v>
          </cell>
          <cell r="G173" t="str">
            <v>boys</v>
          </cell>
          <cell r="H173">
            <v>13.402899724585183</v>
          </cell>
          <cell r="I173">
            <v>-1.0167886134740722</v>
          </cell>
          <cell r="J173">
            <v>44629</v>
          </cell>
          <cell r="K173">
            <v>40106</v>
          </cell>
          <cell r="L173">
            <v>12.386111111111111</v>
          </cell>
        </row>
        <row r="174">
          <cell r="B174">
            <v>433</v>
          </cell>
          <cell r="C174" t="str">
            <v>round1</v>
          </cell>
          <cell r="D174">
            <v>2007</v>
          </cell>
          <cell r="E174" t="str">
            <v>boysU16</v>
          </cell>
          <cell r="F174" t="str">
            <v>handball</v>
          </cell>
          <cell r="G174" t="str">
            <v>boys</v>
          </cell>
          <cell r="H174">
            <v>14.830455094231681</v>
          </cell>
          <cell r="I174">
            <v>-8.6010649787237603E-2</v>
          </cell>
          <cell r="J174">
            <v>44637</v>
          </cell>
          <cell r="K174">
            <v>39252</v>
          </cell>
          <cell r="L174">
            <v>14.744444444444444</v>
          </cell>
        </row>
        <row r="175">
          <cell r="B175">
            <v>434</v>
          </cell>
          <cell r="C175" t="str">
            <v>round1</v>
          </cell>
          <cell r="D175">
            <v>2007</v>
          </cell>
          <cell r="E175" t="str">
            <v>boysU16</v>
          </cell>
          <cell r="F175" t="str">
            <v>handball</v>
          </cell>
          <cell r="G175" t="str">
            <v>boys</v>
          </cell>
          <cell r="H175">
            <v>13.667817514313562</v>
          </cell>
          <cell r="I175">
            <v>1.1544047079086606</v>
          </cell>
          <cell r="J175">
            <v>44637</v>
          </cell>
          <cell r="K175">
            <v>39223</v>
          </cell>
          <cell r="L175">
            <v>14.822222222222223</v>
          </cell>
        </row>
        <row r="176">
          <cell r="B176">
            <v>435</v>
          </cell>
          <cell r="C176" t="str">
            <v>round1</v>
          </cell>
          <cell r="D176">
            <v>2007</v>
          </cell>
          <cell r="E176" t="str">
            <v>boysU16</v>
          </cell>
          <cell r="F176" t="str">
            <v>handball</v>
          </cell>
          <cell r="G176" t="str">
            <v>boys</v>
          </cell>
          <cell r="H176">
            <v>13.24609638138082</v>
          </cell>
          <cell r="I176">
            <v>1.2427925075080681</v>
          </cell>
          <cell r="J176">
            <v>44637</v>
          </cell>
          <cell r="K176">
            <v>39346</v>
          </cell>
          <cell r="L176">
            <v>14.488888888888889</v>
          </cell>
        </row>
        <row r="177">
          <cell r="B177">
            <v>436</v>
          </cell>
          <cell r="C177" t="str">
            <v>round1</v>
          </cell>
          <cell r="D177">
            <v>2007</v>
          </cell>
          <cell r="E177" t="str">
            <v>boysU16</v>
          </cell>
          <cell r="F177" t="str">
            <v>handball</v>
          </cell>
          <cell r="G177" t="str">
            <v>boys</v>
          </cell>
          <cell r="H177">
            <v>13.691163884863517</v>
          </cell>
          <cell r="I177">
            <v>1.2116138929142612</v>
          </cell>
          <cell r="J177">
            <v>44637</v>
          </cell>
          <cell r="K177">
            <v>39194</v>
          </cell>
          <cell r="L177">
            <v>14.902777777777779</v>
          </cell>
        </row>
        <row r="178">
          <cell r="B178">
            <v>437</v>
          </cell>
          <cell r="C178" t="str">
            <v>round1</v>
          </cell>
          <cell r="D178">
            <v>2007</v>
          </cell>
          <cell r="E178" t="str">
            <v>boysU16</v>
          </cell>
          <cell r="F178" t="str">
            <v>handball</v>
          </cell>
          <cell r="G178" t="str">
            <v>boys</v>
          </cell>
          <cell r="H178">
            <v>13.870987480507305</v>
          </cell>
          <cell r="I178">
            <v>1.3345680750482511</v>
          </cell>
          <cell r="J178">
            <v>44637</v>
          </cell>
          <cell r="K178">
            <v>39085</v>
          </cell>
          <cell r="L178">
            <v>15.205555555555556</v>
          </cell>
        </row>
        <row r="179">
          <cell r="B179">
            <v>438</v>
          </cell>
          <cell r="C179" t="str">
            <v>round1</v>
          </cell>
          <cell r="D179">
            <v>2007</v>
          </cell>
          <cell r="E179" t="str">
            <v>boysU16</v>
          </cell>
          <cell r="F179" t="str">
            <v>handball</v>
          </cell>
          <cell r="G179" t="str">
            <v>boys</v>
          </cell>
          <cell r="H179">
            <v>13.223302585809828</v>
          </cell>
          <cell r="I179">
            <v>1.4739196364123959</v>
          </cell>
          <cell r="J179">
            <v>44637</v>
          </cell>
          <cell r="K179">
            <v>39269</v>
          </cell>
          <cell r="L179">
            <v>14.697222222222223</v>
          </cell>
        </row>
        <row r="180">
          <cell r="B180">
            <v>439</v>
          </cell>
          <cell r="C180" t="str">
            <v>round1</v>
          </cell>
          <cell r="D180">
            <v>2007</v>
          </cell>
          <cell r="E180" t="str">
            <v>boysU16</v>
          </cell>
          <cell r="F180" t="str">
            <v>handball</v>
          </cell>
          <cell r="G180" t="str">
            <v>boys</v>
          </cell>
          <cell r="H180">
            <v>13.405527370332774</v>
          </cell>
          <cell r="I180">
            <v>0.95280596300055886</v>
          </cell>
          <cell r="J180">
            <v>44637</v>
          </cell>
          <cell r="K180">
            <v>39394</v>
          </cell>
          <cell r="L180">
            <v>14.358333333333333</v>
          </cell>
        </row>
        <row r="181">
          <cell r="B181">
            <v>440</v>
          </cell>
          <cell r="C181" t="str">
            <v>round1</v>
          </cell>
          <cell r="D181">
            <v>2007</v>
          </cell>
          <cell r="E181" t="str">
            <v>boysU16</v>
          </cell>
          <cell r="F181" t="str">
            <v>handball</v>
          </cell>
          <cell r="G181" t="str">
            <v>boys</v>
          </cell>
          <cell r="H181">
            <v>13.851386482704076</v>
          </cell>
          <cell r="I181">
            <v>0.63750240618481269</v>
          </cell>
          <cell r="J181">
            <v>44637</v>
          </cell>
          <cell r="K181">
            <v>39346</v>
          </cell>
          <cell r="L181">
            <v>14.488888888888889</v>
          </cell>
        </row>
        <row r="182">
          <cell r="B182">
            <v>441</v>
          </cell>
          <cell r="C182" t="str">
            <v>round1</v>
          </cell>
          <cell r="D182">
            <v>2007</v>
          </cell>
          <cell r="E182" t="str">
            <v>boysU16</v>
          </cell>
          <cell r="F182" t="str">
            <v>handball</v>
          </cell>
          <cell r="G182" t="str">
            <v>boys</v>
          </cell>
          <cell r="H182">
            <v>13.353110092030468</v>
          </cell>
          <cell r="I182">
            <v>1.5385565746361993</v>
          </cell>
          <cell r="J182">
            <v>44637</v>
          </cell>
          <cell r="K182">
            <v>39198</v>
          </cell>
          <cell r="L182">
            <v>14.891666666666667</v>
          </cell>
        </row>
        <row r="183">
          <cell r="B183">
            <v>442</v>
          </cell>
          <cell r="C183" t="str">
            <v>round1</v>
          </cell>
          <cell r="D183">
            <v>2007</v>
          </cell>
          <cell r="E183" t="str">
            <v>boysU16</v>
          </cell>
          <cell r="F183" t="str">
            <v>handball</v>
          </cell>
          <cell r="G183" t="str">
            <v>boys</v>
          </cell>
          <cell r="H183">
            <v>13.84261585975217</v>
          </cell>
          <cell r="I183">
            <v>0.53238414024782954</v>
          </cell>
          <cell r="J183">
            <v>44637</v>
          </cell>
          <cell r="K183">
            <v>39388</v>
          </cell>
          <cell r="L183">
            <v>14.375</v>
          </cell>
        </row>
        <row r="184">
          <cell r="B184">
            <v>443</v>
          </cell>
          <cell r="C184" t="str">
            <v>round1</v>
          </cell>
          <cell r="D184">
            <v>2007</v>
          </cell>
          <cell r="E184" t="str">
            <v>boysU16</v>
          </cell>
          <cell r="F184" t="str">
            <v>handball</v>
          </cell>
          <cell r="G184" t="str">
            <v>boys</v>
          </cell>
          <cell r="H184">
            <v>12.563996052898736</v>
          </cell>
          <cell r="I184">
            <v>2.0860039471012644</v>
          </cell>
          <cell r="J184">
            <v>44637</v>
          </cell>
          <cell r="K184">
            <v>39286</v>
          </cell>
          <cell r="L184">
            <v>14.65</v>
          </cell>
        </row>
        <row r="185">
          <cell r="B185">
            <v>444</v>
          </cell>
          <cell r="C185" t="str">
            <v>round1</v>
          </cell>
          <cell r="D185">
            <v>2007</v>
          </cell>
          <cell r="E185" t="str">
            <v>boysU16</v>
          </cell>
          <cell r="F185" t="str">
            <v>handball</v>
          </cell>
          <cell r="G185" t="str">
            <v>boys</v>
          </cell>
          <cell r="H185">
            <v>13.857548355900349</v>
          </cell>
          <cell r="I185">
            <v>0.73134053298854018</v>
          </cell>
          <cell r="J185">
            <v>44637</v>
          </cell>
          <cell r="K185">
            <v>39309</v>
          </cell>
          <cell r="L185">
            <v>14.588888888888889</v>
          </cell>
        </row>
        <row r="186">
          <cell r="B186">
            <v>445</v>
          </cell>
          <cell r="C186" t="str">
            <v>round1</v>
          </cell>
          <cell r="D186">
            <v>2007</v>
          </cell>
          <cell r="E186" t="str">
            <v>boysU16</v>
          </cell>
          <cell r="F186" t="str">
            <v>handball</v>
          </cell>
          <cell r="G186" t="str">
            <v>boys</v>
          </cell>
          <cell r="H186">
            <v>13.280760417281423</v>
          </cell>
          <cell r="I186">
            <v>1.0775729160519101</v>
          </cell>
          <cell r="J186">
            <v>44637</v>
          </cell>
          <cell r="K186">
            <v>39394</v>
          </cell>
          <cell r="L186">
            <v>14.358333333333333</v>
          </cell>
        </row>
        <row r="187">
          <cell r="B187">
            <v>447</v>
          </cell>
          <cell r="C187" t="str">
            <v>round1</v>
          </cell>
          <cell r="D187">
            <v>2009</v>
          </cell>
          <cell r="E187" t="str">
            <v>girlsU14</v>
          </cell>
          <cell r="F187" t="str">
            <v>handball</v>
          </cell>
          <cell r="G187" t="str">
            <v>girls</v>
          </cell>
          <cell r="H187">
            <v>11.992216270022729</v>
          </cell>
          <cell r="I187">
            <v>0.73278372997727148</v>
          </cell>
          <cell r="J187">
            <v>44641</v>
          </cell>
          <cell r="K187">
            <v>39994</v>
          </cell>
          <cell r="L187">
            <v>12.725</v>
          </cell>
        </row>
        <row r="188">
          <cell r="B188">
            <v>448</v>
          </cell>
          <cell r="C188" t="str">
            <v>round1</v>
          </cell>
          <cell r="D188">
            <v>2009</v>
          </cell>
          <cell r="E188" t="str">
            <v>girlsU14</v>
          </cell>
          <cell r="F188" t="str">
            <v>handball</v>
          </cell>
          <cell r="G188" t="str">
            <v>girls</v>
          </cell>
          <cell r="H188">
            <v>11.979192069894635</v>
          </cell>
          <cell r="I188">
            <v>1.190252374549809</v>
          </cell>
          <cell r="J188">
            <v>44641</v>
          </cell>
          <cell r="K188">
            <v>39833</v>
          </cell>
          <cell r="L188">
            <v>13.169444444444444</v>
          </cell>
        </row>
        <row r="189">
          <cell r="B189">
            <v>449</v>
          </cell>
          <cell r="C189" t="str">
            <v>round1</v>
          </cell>
          <cell r="D189">
            <v>2009</v>
          </cell>
          <cell r="E189" t="str">
            <v>girlsU14</v>
          </cell>
          <cell r="F189" t="str">
            <v>handball</v>
          </cell>
          <cell r="G189" t="str">
            <v>girls</v>
          </cell>
          <cell r="H189">
            <v>12.22579478033588</v>
          </cell>
          <cell r="I189">
            <v>0.43253855299745392</v>
          </cell>
          <cell r="J189">
            <v>44641</v>
          </cell>
          <cell r="K189">
            <v>40018</v>
          </cell>
          <cell r="L189">
            <v>12.658333333333333</v>
          </cell>
        </row>
        <row r="190">
          <cell r="B190">
            <v>450</v>
          </cell>
          <cell r="C190" t="str">
            <v>round1</v>
          </cell>
          <cell r="D190">
            <v>2009</v>
          </cell>
          <cell r="E190" t="str">
            <v>girlsU14</v>
          </cell>
          <cell r="F190" t="str">
            <v>handball</v>
          </cell>
          <cell r="G190" t="str">
            <v>girls</v>
          </cell>
          <cell r="H190">
            <v>11.8519423755474</v>
          </cell>
          <cell r="I190">
            <v>0.80639095778593273</v>
          </cell>
          <cell r="J190">
            <v>44641</v>
          </cell>
          <cell r="K190">
            <v>40018</v>
          </cell>
          <cell r="L190">
            <v>12.658333333333333</v>
          </cell>
        </row>
        <row r="191">
          <cell r="B191">
            <v>451</v>
          </cell>
          <cell r="C191" t="str">
            <v>round1</v>
          </cell>
          <cell r="D191">
            <v>2009</v>
          </cell>
          <cell r="E191" t="str">
            <v>girlsU14</v>
          </cell>
          <cell r="F191" t="str">
            <v>handball</v>
          </cell>
          <cell r="G191" t="str">
            <v>girls</v>
          </cell>
          <cell r="H191">
            <v>12.076645951055189</v>
          </cell>
          <cell r="I191">
            <v>0.59557627116703293</v>
          </cell>
          <cell r="J191">
            <v>44641</v>
          </cell>
          <cell r="K191">
            <v>40013</v>
          </cell>
          <cell r="L191">
            <v>12.672222222222222</v>
          </cell>
        </row>
        <row r="192">
          <cell r="B192">
            <v>452</v>
          </cell>
          <cell r="C192" t="str">
            <v>round1</v>
          </cell>
          <cell r="D192">
            <v>2009</v>
          </cell>
          <cell r="E192" t="str">
            <v>girlsU14</v>
          </cell>
          <cell r="F192" t="str">
            <v>handball</v>
          </cell>
          <cell r="G192" t="str">
            <v>girls</v>
          </cell>
          <cell r="H192">
            <v>12.045231654341737</v>
          </cell>
          <cell r="I192">
            <v>0.94087945676937346</v>
          </cell>
          <cell r="J192">
            <v>44641</v>
          </cell>
          <cell r="K192">
            <v>39898</v>
          </cell>
          <cell r="L192">
            <v>12.986111111111111</v>
          </cell>
        </row>
        <row r="193">
          <cell r="B193">
            <v>453</v>
          </cell>
          <cell r="C193" t="str">
            <v>round1</v>
          </cell>
          <cell r="D193">
            <v>2009</v>
          </cell>
          <cell r="E193" t="str">
            <v>girlsU14</v>
          </cell>
          <cell r="F193" t="str">
            <v>handball</v>
          </cell>
          <cell r="G193" t="str">
            <v>girls</v>
          </cell>
          <cell r="H193">
            <v>12.462390289097224</v>
          </cell>
          <cell r="I193">
            <v>0.55983193312499857</v>
          </cell>
          <cell r="J193">
            <v>44650</v>
          </cell>
          <cell r="K193">
            <v>39894</v>
          </cell>
          <cell r="L193">
            <v>13.022222222222222</v>
          </cell>
        </row>
        <row r="194">
          <cell r="B194">
            <v>454</v>
          </cell>
          <cell r="C194" t="str">
            <v>round1</v>
          </cell>
          <cell r="D194">
            <v>2009</v>
          </cell>
          <cell r="E194" t="str">
            <v>girlsU14</v>
          </cell>
          <cell r="F194" t="str">
            <v>handball</v>
          </cell>
          <cell r="G194" t="str">
            <v>girls</v>
          </cell>
          <cell r="H194">
            <v>12.359740695346556</v>
          </cell>
          <cell r="I194">
            <v>0.35137041576455363</v>
          </cell>
          <cell r="J194">
            <v>44650</v>
          </cell>
          <cell r="K194">
            <v>40008</v>
          </cell>
          <cell r="L194">
            <v>12.71111111111111</v>
          </cell>
        </row>
        <row r="195">
          <cell r="B195">
            <v>456</v>
          </cell>
          <cell r="C195" t="str">
            <v>round1</v>
          </cell>
          <cell r="D195">
            <v>2009</v>
          </cell>
          <cell r="E195" t="str">
            <v>girlsU14</v>
          </cell>
          <cell r="F195" t="str">
            <v>handball</v>
          </cell>
          <cell r="G195" t="str">
            <v>girls</v>
          </cell>
          <cell r="H195">
            <v>11.256276702887874</v>
          </cell>
          <cell r="I195">
            <v>1.4159455193343486</v>
          </cell>
          <cell r="J195">
            <v>44650</v>
          </cell>
          <cell r="K195">
            <v>40022</v>
          </cell>
          <cell r="L195">
            <v>12.672222222222222</v>
          </cell>
        </row>
        <row r="196">
          <cell r="B196">
            <v>458</v>
          </cell>
          <cell r="C196" t="str">
            <v>round1</v>
          </cell>
          <cell r="D196">
            <v>2009</v>
          </cell>
          <cell r="E196" t="str">
            <v>girlsU14</v>
          </cell>
          <cell r="F196" t="str">
            <v>handball</v>
          </cell>
          <cell r="G196" t="str">
            <v>girls</v>
          </cell>
          <cell r="H196">
            <v>11.34263077504356</v>
          </cell>
          <cell r="I196">
            <v>1.5545914471786628</v>
          </cell>
          <cell r="J196">
            <v>44650</v>
          </cell>
          <cell r="K196">
            <v>39940</v>
          </cell>
          <cell r="L196">
            <v>12.897222222222222</v>
          </cell>
        </row>
        <row r="197">
          <cell r="B197">
            <v>459</v>
          </cell>
          <cell r="C197" t="str">
            <v>round1</v>
          </cell>
          <cell r="D197">
            <v>2009</v>
          </cell>
          <cell r="E197" t="str">
            <v>girlsU14</v>
          </cell>
          <cell r="F197" t="str">
            <v>handball</v>
          </cell>
          <cell r="G197" t="str">
            <v>girls</v>
          </cell>
          <cell r="H197">
            <v>11.61066201825704</v>
          </cell>
          <cell r="I197">
            <v>1.3671157595207384</v>
          </cell>
          <cell r="J197">
            <v>44650</v>
          </cell>
          <cell r="K197">
            <v>39911</v>
          </cell>
          <cell r="L197">
            <v>12.977777777777778</v>
          </cell>
        </row>
        <row r="198">
          <cell r="B198">
            <v>461</v>
          </cell>
          <cell r="C198" t="str">
            <v>round1</v>
          </cell>
          <cell r="D198">
            <v>2009</v>
          </cell>
          <cell r="E198" t="str">
            <v>girlsU14</v>
          </cell>
          <cell r="F198" t="str">
            <v>handball</v>
          </cell>
          <cell r="G198" t="str">
            <v>girls</v>
          </cell>
          <cell r="H198">
            <v>12.492073783152742</v>
          </cell>
          <cell r="I198">
            <v>0.21348177240281396</v>
          </cell>
          <cell r="J198">
            <v>44650</v>
          </cell>
          <cell r="K198">
            <v>40010</v>
          </cell>
          <cell r="L198">
            <v>12.705555555555556</v>
          </cell>
        </row>
        <row r="199">
          <cell r="B199">
            <v>463</v>
          </cell>
          <cell r="C199" t="str">
            <v>round1</v>
          </cell>
          <cell r="D199">
            <v>2007</v>
          </cell>
          <cell r="E199" t="str">
            <v>girlsU16</v>
          </cell>
          <cell r="F199" t="str">
            <v>handball</v>
          </cell>
          <cell r="G199" t="str">
            <v>girls</v>
          </cell>
          <cell r="H199">
            <v>12.410089109742799</v>
          </cell>
          <cell r="I199">
            <v>2.6454664458127564</v>
          </cell>
          <cell r="J199">
            <v>44677</v>
          </cell>
          <cell r="K199">
            <v>39178</v>
          </cell>
          <cell r="L199">
            <v>15.055555555555555</v>
          </cell>
        </row>
        <row r="200">
          <cell r="B200">
            <v>464</v>
          </cell>
          <cell r="C200" t="str">
            <v>round1</v>
          </cell>
          <cell r="D200">
            <v>2007</v>
          </cell>
          <cell r="E200" t="str">
            <v>girlsU16</v>
          </cell>
          <cell r="F200" t="str">
            <v>handball</v>
          </cell>
          <cell r="G200" t="str">
            <v>girls</v>
          </cell>
          <cell r="H200">
            <v>12.402633160288595</v>
          </cell>
          <cell r="I200">
            <v>2.0557001730447388</v>
          </cell>
          <cell r="J200">
            <v>44677</v>
          </cell>
          <cell r="K200">
            <v>39397</v>
          </cell>
          <cell r="L200">
            <v>14.458333333333334</v>
          </cell>
        </row>
        <row r="201">
          <cell r="B201">
            <v>466</v>
          </cell>
          <cell r="C201" t="str">
            <v>round1</v>
          </cell>
          <cell r="D201">
            <v>2007</v>
          </cell>
          <cell r="E201" t="str">
            <v>girlsU16</v>
          </cell>
          <cell r="F201" t="str">
            <v>handball</v>
          </cell>
          <cell r="G201" t="str">
            <v>girls</v>
          </cell>
          <cell r="H201">
            <v>11.549697914564923</v>
          </cell>
          <cell r="I201">
            <v>2.8336354187684094</v>
          </cell>
          <cell r="J201">
            <v>44677</v>
          </cell>
          <cell r="K201">
            <v>39424</v>
          </cell>
          <cell r="L201">
            <v>14.383333333333333</v>
          </cell>
        </row>
        <row r="202">
          <cell r="B202">
            <v>467</v>
          </cell>
          <cell r="C202" t="str">
            <v>round1</v>
          </cell>
          <cell r="D202">
            <v>2007</v>
          </cell>
          <cell r="E202" t="str">
            <v>girlsU16</v>
          </cell>
          <cell r="F202" t="str">
            <v>handball</v>
          </cell>
          <cell r="G202" t="str">
            <v>girls</v>
          </cell>
          <cell r="H202">
            <v>13.584242580094081</v>
          </cell>
          <cell r="I202">
            <v>1.6963129754614736</v>
          </cell>
          <cell r="J202">
            <v>44677</v>
          </cell>
          <cell r="K202">
            <v>39097</v>
          </cell>
          <cell r="L202">
            <v>15.280555555555555</v>
          </cell>
        </row>
        <row r="203">
          <cell r="B203">
            <v>468</v>
          </cell>
          <cell r="C203" t="str">
            <v>round1</v>
          </cell>
          <cell r="D203">
            <v>2007</v>
          </cell>
          <cell r="E203" t="str">
            <v>girlsU16</v>
          </cell>
          <cell r="F203" t="str">
            <v>handball</v>
          </cell>
          <cell r="G203" t="str">
            <v>girls</v>
          </cell>
          <cell r="H203">
            <v>13.121561602175612</v>
          </cell>
          <cell r="I203">
            <v>2.0895495089354985</v>
          </cell>
          <cell r="J203">
            <v>44677</v>
          </cell>
          <cell r="K203">
            <v>39123</v>
          </cell>
          <cell r="L203">
            <v>15.21111111111111</v>
          </cell>
        </row>
        <row r="204">
          <cell r="B204">
            <v>469</v>
          </cell>
          <cell r="C204" t="str">
            <v>round1</v>
          </cell>
          <cell r="D204">
            <v>2007</v>
          </cell>
          <cell r="E204" t="str">
            <v>girlsU16</v>
          </cell>
          <cell r="F204" t="str">
            <v>handball</v>
          </cell>
          <cell r="G204" t="str">
            <v>girls</v>
          </cell>
          <cell r="H204">
            <v>12.520332531004296</v>
          </cell>
          <cell r="I204">
            <v>2.2380008023290374</v>
          </cell>
          <cell r="J204">
            <v>44677</v>
          </cell>
          <cell r="K204">
            <v>39286</v>
          </cell>
          <cell r="L204">
            <v>14.758333333333333</v>
          </cell>
        </row>
        <row r="205">
          <cell r="B205">
            <v>471</v>
          </cell>
          <cell r="C205" t="str">
            <v>round1</v>
          </cell>
          <cell r="D205">
            <v>2005</v>
          </cell>
          <cell r="E205" t="str">
            <v>girlsU18</v>
          </cell>
          <cell r="F205" t="str">
            <v>handball</v>
          </cell>
          <cell r="G205" t="str">
            <v>girls</v>
          </cell>
          <cell r="H205">
            <v>13.391135489724116</v>
          </cell>
          <cell r="I205">
            <v>3.06442006583144</v>
          </cell>
          <cell r="J205">
            <v>44679</v>
          </cell>
          <cell r="K205">
            <v>38670</v>
          </cell>
          <cell r="L205">
            <v>16.455555555555556</v>
          </cell>
        </row>
        <row r="206">
          <cell r="B206">
            <v>472</v>
          </cell>
          <cell r="C206" t="str">
            <v>round1</v>
          </cell>
          <cell r="D206">
            <v>2005</v>
          </cell>
          <cell r="E206" t="str">
            <v>girlsU18</v>
          </cell>
          <cell r="F206" t="str">
            <v>handball</v>
          </cell>
          <cell r="G206" t="str">
            <v>girls</v>
          </cell>
          <cell r="H206">
            <v>13.626349445797384</v>
          </cell>
          <cell r="I206">
            <v>3.3125394430915049</v>
          </cell>
          <cell r="J206">
            <v>44679</v>
          </cell>
          <cell r="K206">
            <v>38492</v>
          </cell>
          <cell r="L206">
            <v>16.93888888888889</v>
          </cell>
        </row>
        <row r="207">
          <cell r="B207">
            <v>473</v>
          </cell>
          <cell r="C207" t="str">
            <v>round1</v>
          </cell>
          <cell r="D207">
            <v>2005</v>
          </cell>
          <cell r="E207" t="str">
            <v>girlsU18</v>
          </cell>
          <cell r="F207" t="str">
            <v>handball</v>
          </cell>
          <cell r="G207" t="str">
            <v>girls</v>
          </cell>
          <cell r="H207">
            <v>12.735497266056612</v>
          </cell>
          <cell r="I207">
            <v>4.0145027339433872</v>
          </cell>
          <cell r="J207">
            <v>44679</v>
          </cell>
          <cell r="K207">
            <v>38561</v>
          </cell>
          <cell r="L207">
            <v>16.75</v>
          </cell>
        </row>
        <row r="208">
          <cell r="B208">
            <v>477</v>
          </cell>
          <cell r="C208" t="str">
            <v>round1</v>
          </cell>
          <cell r="D208">
            <v>2005</v>
          </cell>
          <cell r="E208" t="str">
            <v>girlsU18</v>
          </cell>
          <cell r="F208" t="str">
            <v>handball</v>
          </cell>
          <cell r="G208" t="str">
            <v>girls</v>
          </cell>
          <cell r="H208">
            <v>13.079528499267974</v>
          </cell>
          <cell r="I208">
            <v>3.5204715007320271</v>
          </cell>
          <cell r="J208">
            <v>44679</v>
          </cell>
          <cell r="K208">
            <v>38617</v>
          </cell>
          <cell r="L208">
            <v>16.600000000000001</v>
          </cell>
        </row>
        <row r="209">
          <cell r="B209">
            <v>478</v>
          </cell>
          <cell r="C209" t="str">
            <v>round1</v>
          </cell>
          <cell r="D209">
            <v>2005</v>
          </cell>
          <cell r="E209" t="str">
            <v>girlsU18</v>
          </cell>
          <cell r="F209" t="str">
            <v>handball</v>
          </cell>
          <cell r="G209" t="str">
            <v>girls</v>
          </cell>
          <cell r="H209">
            <v>12.226081145550722</v>
          </cell>
          <cell r="I209">
            <v>4.3572521877826089</v>
          </cell>
          <cell r="J209">
            <v>44679</v>
          </cell>
          <cell r="K209">
            <v>38623</v>
          </cell>
          <cell r="L209">
            <v>16.583333333333332</v>
          </cell>
        </row>
        <row r="210">
          <cell r="B210">
            <v>479</v>
          </cell>
          <cell r="C210" t="str">
            <v>round1</v>
          </cell>
          <cell r="D210">
            <v>2005</v>
          </cell>
          <cell r="E210" t="str">
            <v>girlsU18</v>
          </cell>
          <cell r="F210" t="str">
            <v>handball</v>
          </cell>
          <cell r="G210" t="str">
            <v>girls</v>
          </cell>
          <cell r="H210">
            <v>13.024326538790824</v>
          </cell>
          <cell r="I210">
            <v>3.9395623500980648</v>
          </cell>
          <cell r="J210">
            <v>44679</v>
          </cell>
          <cell r="K210">
            <v>38483</v>
          </cell>
          <cell r="L210">
            <v>16.963888888888889</v>
          </cell>
        </row>
        <row r="211">
          <cell r="B211">
            <v>480</v>
          </cell>
          <cell r="C211" t="str">
            <v>round1</v>
          </cell>
          <cell r="D211">
            <v>2007</v>
          </cell>
          <cell r="E211" t="str">
            <v>boysU16</v>
          </cell>
          <cell r="F211" t="str">
            <v>handball</v>
          </cell>
          <cell r="G211" t="str">
            <v>boys</v>
          </cell>
          <cell r="H211">
            <v>14.037009822146638</v>
          </cell>
          <cell r="I211">
            <v>0.49354573340891605</v>
          </cell>
          <cell r="J211">
            <v>44684</v>
          </cell>
          <cell r="K211">
            <v>39377</v>
          </cell>
          <cell r="L211">
            <v>14.530555555555555</v>
          </cell>
        </row>
        <row r="212">
          <cell r="B212">
            <v>482</v>
          </cell>
          <cell r="C212" t="str">
            <v>round1</v>
          </cell>
          <cell r="D212">
            <v>2007</v>
          </cell>
          <cell r="E212" t="str">
            <v>boysU16</v>
          </cell>
          <cell r="F212" t="str">
            <v>handball</v>
          </cell>
          <cell r="G212" t="str">
            <v>boys</v>
          </cell>
          <cell r="H212">
            <v>12.274079000513215</v>
          </cell>
          <cell r="I212">
            <v>3.8203654439312293</v>
          </cell>
          <cell r="J212">
            <v>45043</v>
          </cell>
          <cell r="K212">
            <v>39164</v>
          </cell>
          <cell r="L212">
            <v>16.094444444444445</v>
          </cell>
        </row>
        <row r="213">
          <cell r="B213">
            <v>482</v>
          </cell>
          <cell r="C213" t="str">
            <v>round1</v>
          </cell>
          <cell r="D213">
            <v>2007</v>
          </cell>
          <cell r="E213" t="str">
            <v>boysU16</v>
          </cell>
          <cell r="F213" t="str">
            <v>handball</v>
          </cell>
          <cell r="G213" t="str">
            <v>boys</v>
          </cell>
          <cell r="H213">
            <v>12.274079000513215</v>
          </cell>
          <cell r="I213">
            <v>3.8203654439312293</v>
          </cell>
          <cell r="J213">
            <v>45043</v>
          </cell>
          <cell r="K213">
            <v>39164</v>
          </cell>
          <cell r="L213">
            <v>16.094444444444445</v>
          </cell>
        </row>
        <row r="214">
          <cell r="B214">
            <v>483</v>
          </cell>
          <cell r="C214" t="str">
            <v>round1</v>
          </cell>
          <cell r="D214">
            <v>2007</v>
          </cell>
          <cell r="E214" t="str">
            <v>boysU16</v>
          </cell>
          <cell r="F214" t="str">
            <v>handball</v>
          </cell>
          <cell r="G214" t="str">
            <v>boys</v>
          </cell>
          <cell r="H214">
            <v>13.634635785420175</v>
          </cell>
          <cell r="I214">
            <v>1.6598086590242698</v>
          </cell>
          <cell r="J214">
            <v>44684</v>
          </cell>
          <cell r="K214">
            <v>39099</v>
          </cell>
          <cell r="L214">
            <v>15.294444444444444</v>
          </cell>
        </row>
        <row r="215">
          <cell r="B215">
            <v>484</v>
          </cell>
          <cell r="C215" t="str">
            <v>round1</v>
          </cell>
          <cell r="D215">
            <v>2007</v>
          </cell>
          <cell r="E215" t="str">
            <v>boysU16</v>
          </cell>
          <cell r="F215" t="str">
            <v>handball</v>
          </cell>
          <cell r="G215" t="str">
            <v>boys</v>
          </cell>
          <cell r="H215">
            <v>13.482946415392806</v>
          </cell>
          <cell r="I215">
            <v>1.4837202512738603</v>
          </cell>
          <cell r="J215">
            <v>44684</v>
          </cell>
          <cell r="K215">
            <v>39217</v>
          </cell>
          <cell r="L215">
            <v>14.966666666666667</v>
          </cell>
        </row>
        <row r="216">
          <cell r="B216">
            <v>485</v>
          </cell>
          <cell r="C216" t="str">
            <v>round1</v>
          </cell>
          <cell r="D216">
            <v>2007</v>
          </cell>
          <cell r="E216" t="str">
            <v>boysU16</v>
          </cell>
          <cell r="F216" t="str">
            <v>handball</v>
          </cell>
          <cell r="G216" t="str">
            <v>boys</v>
          </cell>
          <cell r="H216">
            <v>14.992243161431757</v>
          </cell>
          <cell r="I216">
            <v>0.2910901719015766</v>
          </cell>
          <cell r="J216">
            <v>44684</v>
          </cell>
          <cell r="K216">
            <v>39103</v>
          </cell>
          <cell r="L216">
            <v>15.283333333333333</v>
          </cell>
        </row>
        <row r="217">
          <cell r="B217">
            <v>486</v>
          </cell>
          <cell r="C217" t="str">
            <v>round1</v>
          </cell>
          <cell r="D217">
            <v>2007</v>
          </cell>
          <cell r="E217" t="str">
            <v>boysU16</v>
          </cell>
          <cell r="F217" t="str">
            <v>handball</v>
          </cell>
          <cell r="G217" t="str">
            <v>boys</v>
          </cell>
          <cell r="H217">
            <v>13.611445192447658</v>
          </cell>
          <cell r="I217">
            <v>1.2913325853301205</v>
          </cell>
          <cell r="J217">
            <v>44684</v>
          </cell>
          <cell r="K217">
            <v>39241</v>
          </cell>
          <cell r="L217">
            <v>14.902777777777779</v>
          </cell>
        </row>
        <row r="218">
          <cell r="B218">
            <v>487</v>
          </cell>
          <cell r="C218" t="str">
            <v>round1</v>
          </cell>
          <cell r="D218">
            <v>2007</v>
          </cell>
          <cell r="E218" t="str">
            <v>boysU16</v>
          </cell>
          <cell r="F218" t="str">
            <v>handball</v>
          </cell>
          <cell r="G218" t="str">
            <v>boys</v>
          </cell>
          <cell r="H218">
            <v>13.666536343367209</v>
          </cell>
          <cell r="I218">
            <v>1.0529081010772368</v>
          </cell>
          <cell r="J218">
            <v>44684</v>
          </cell>
          <cell r="K218">
            <v>39308</v>
          </cell>
          <cell r="L218">
            <v>14.719444444444445</v>
          </cell>
        </row>
        <row r="219">
          <cell r="B219">
            <v>488</v>
          </cell>
          <cell r="C219" t="str">
            <v>round1</v>
          </cell>
          <cell r="D219">
            <v>2009</v>
          </cell>
          <cell r="E219" t="str">
            <v>girlsU14</v>
          </cell>
          <cell r="F219" t="str">
            <v>handball</v>
          </cell>
          <cell r="G219" t="str">
            <v>girls</v>
          </cell>
          <cell r="H219">
            <v>11.538431234030595</v>
          </cell>
          <cell r="I219">
            <v>1.4226798770805149</v>
          </cell>
          <cell r="J219">
            <v>44685</v>
          </cell>
          <cell r="K219">
            <v>39951</v>
          </cell>
          <cell r="L219">
            <v>12.96111111111111</v>
          </cell>
        </row>
        <row r="220">
          <cell r="B220">
            <v>489</v>
          </cell>
          <cell r="C220" t="str">
            <v>round1</v>
          </cell>
          <cell r="D220">
            <v>2009</v>
          </cell>
          <cell r="E220" t="str">
            <v>girlsU14</v>
          </cell>
          <cell r="F220" t="str">
            <v>handball</v>
          </cell>
          <cell r="G220" t="str">
            <v>girls</v>
          </cell>
          <cell r="H220">
            <v>12.061679314723429</v>
          </cell>
          <cell r="I220">
            <v>0.29665401860990315</v>
          </cell>
          <cell r="J220">
            <v>44685</v>
          </cell>
          <cell r="K220">
            <v>40172</v>
          </cell>
          <cell r="L220">
            <v>12.358333333333333</v>
          </cell>
        </row>
        <row r="221">
          <cell r="B221">
            <v>490</v>
          </cell>
          <cell r="C221" t="str">
            <v>round1</v>
          </cell>
          <cell r="D221">
            <v>2009</v>
          </cell>
          <cell r="E221" t="str">
            <v>girlsU14</v>
          </cell>
          <cell r="F221" t="str">
            <v>handball</v>
          </cell>
          <cell r="G221" t="str">
            <v>girls</v>
          </cell>
          <cell r="H221">
            <v>11.717766224995495</v>
          </cell>
          <cell r="I221">
            <v>1.3961226638933939</v>
          </cell>
          <cell r="J221">
            <v>44685</v>
          </cell>
          <cell r="K221">
            <v>39895</v>
          </cell>
          <cell r="L221">
            <v>13.113888888888889</v>
          </cell>
        </row>
        <row r="222">
          <cell r="B222">
            <v>491</v>
          </cell>
          <cell r="C222" t="str">
            <v>round1</v>
          </cell>
          <cell r="D222">
            <v>2009</v>
          </cell>
          <cell r="E222" t="str">
            <v>girlsU14</v>
          </cell>
          <cell r="F222" t="str">
            <v>handball</v>
          </cell>
          <cell r="G222" t="str">
            <v>girls</v>
          </cell>
          <cell r="H222">
            <v>12.767530952688707</v>
          </cell>
          <cell r="I222">
            <v>0.12413571397796019</v>
          </cell>
          <cell r="J222">
            <v>44685</v>
          </cell>
          <cell r="K222">
            <v>39977</v>
          </cell>
          <cell r="L222">
            <v>12.891666666666667</v>
          </cell>
        </row>
        <row r="223">
          <cell r="B223">
            <v>492</v>
          </cell>
          <cell r="C223" t="str">
            <v>round1</v>
          </cell>
          <cell r="D223">
            <v>2009</v>
          </cell>
          <cell r="E223" t="str">
            <v>girlsU14</v>
          </cell>
          <cell r="F223" t="str">
            <v>handball</v>
          </cell>
          <cell r="G223" t="str">
            <v>girls</v>
          </cell>
          <cell r="H223">
            <v>12.059197918212428</v>
          </cell>
          <cell r="I223">
            <v>1.2019131928986826</v>
          </cell>
          <cell r="J223">
            <v>44685</v>
          </cell>
          <cell r="K223">
            <v>39843</v>
          </cell>
          <cell r="L223">
            <v>13.261111111111111</v>
          </cell>
        </row>
        <row r="224">
          <cell r="B224">
            <v>494</v>
          </cell>
          <cell r="C224" t="str">
            <v>round1</v>
          </cell>
          <cell r="D224">
            <v>2009</v>
          </cell>
          <cell r="E224" t="str">
            <v>girlsU14</v>
          </cell>
          <cell r="F224" t="str">
            <v>handball</v>
          </cell>
          <cell r="G224" t="str">
            <v>girls</v>
          </cell>
          <cell r="H224">
            <v>12.116712419895766</v>
          </cell>
          <cell r="I224">
            <v>0.51939869121534521</v>
          </cell>
          <cell r="J224">
            <v>44685</v>
          </cell>
          <cell r="K224">
            <v>40071</v>
          </cell>
          <cell r="L224">
            <v>12.636111111111111</v>
          </cell>
        </row>
        <row r="225">
          <cell r="B225">
            <v>495</v>
          </cell>
          <cell r="C225" t="str">
            <v>round1</v>
          </cell>
          <cell r="D225">
            <v>2009</v>
          </cell>
          <cell r="E225" t="str">
            <v>girlsU14</v>
          </cell>
          <cell r="F225" t="str">
            <v>handball</v>
          </cell>
          <cell r="G225" t="str">
            <v>girls</v>
          </cell>
          <cell r="H225">
            <v>11.556157297151895</v>
          </cell>
          <cell r="I225">
            <v>1.5466204806258821</v>
          </cell>
          <cell r="J225">
            <v>44685</v>
          </cell>
          <cell r="K225">
            <v>39899</v>
          </cell>
          <cell r="L225">
            <v>13.102777777777778</v>
          </cell>
        </row>
        <row r="226">
          <cell r="B226">
            <v>496</v>
          </cell>
          <cell r="C226" t="str">
            <v>round1</v>
          </cell>
          <cell r="D226">
            <v>2009</v>
          </cell>
          <cell r="E226" t="str">
            <v>girlsU14</v>
          </cell>
          <cell r="F226" t="str">
            <v>handball</v>
          </cell>
          <cell r="G226" t="str">
            <v>girls</v>
          </cell>
          <cell r="H226">
            <v>12.127247582735242</v>
          </cell>
          <cell r="I226">
            <v>0.97553019504253524</v>
          </cell>
          <cell r="J226">
            <v>44685</v>
          </cell>
          <cell r="K226">
            <v>39899</v>
          </cell>
          <cell r="L226">
            <v>13.102777777777778</v>
          </cell>
        </row>
        <row r="227">
          <cell r="B227">
            <v>497</v>
          </cell>
          <cell r="C227" t="str">
            <v>round1</v>
          </cell>
          <cell r="D227">
            <v>2009</v>
          </cell>
          <cell r="E227" t="str">
            <v>girlsU14</v>
          </cell>
          <cell r="F227" t="str">
            <v>handball</v>
          </cell>
          <cell r="G227" t="str">
            <v>girls</v>
          </cell>
          <cell r="H227">
            <v>12.536323870036959</v>
          </cell>
          <cell r="I227">
            <v>0.57200946329637303</v>
          </cell>
          <cell r="J227">
            <v>44685</v>
          </cell>
          <cell r="K227">
            <v>39897</v>
          </cell>
          <cell r="L227">
            <v>13.108333333333333</v>
          </cell>
        </row>
        <row r="228">
          <cell r="B228">
            <v>498</v>
          </cell>
          <cell r="C228" t="str">
            <v>round1</v>
          </cell>
          <cell r="D228">
            <v>2009</v>
          </cell>
          <cell r="E228" t="str">
            <v>girlsU14</v>
          </cell>
          <cell r="F228" t="str">
            <v>handball</v>
          </cell>
          <cell r="G228" t="str">
            <v>girls</v>
          </cell>
          <cell r="H228">
            <v>11.523644428534315</v>
          </cell>
          <cell r="I228">
            <v>1.1569111270212407</v>
          </cell>
          <cell r="J228">
            <v>44685</v>
          </cell>
          <cell r="K228">
            <v>40054</v>
          </cell>
          <cell r="L228">
            <v>12.680555555555555</v>
          </cell>
        </row>
        <row r="229">
          <cell r="B229">
            <v>499</v>
          </cell>
          <cell r="C229" t="str">
            <v>round1</v>
          </cell>
          <cell r="D229">
            <v>2009</v>
          </cell>
          <cell r="E229" t="str">
            <v>girlsU14</v>
          </cell>
          <cell r="F229" t="str">
            <v>handball</v>
          </cell>
          <cell r="G229" t="str">
            <v>girls</v>
          </cell>
          <cell r="H229">
            <v>11.707358468638686</v>
          </cell>
          <cell r="I229">
            <v>1.1398637535835352</v>
          </cell>
          <cell r="J229">
            <v>44685</v>
          </cell>
          <cell r="K229">
            <v>39993</v>
          </cell>
          <cell r="L229">
            <v>12.847222222222221</v>
          </cell>
        </row>
        <row r="230">
          <cell r="B230">
            <v>500</v>
          </cell>
          <cell r="C230" t="str">
            <v>round1</v>
          </cell>
          <cell r="D230">
            <v>2009</v>
          </cell>
          <cell r="E230" t="str">
            <v>girlsU14</v>
          </cell>
          <cell r="F230" t="str">
            <v>handball</v>
          </cell>
          <cell r="G230" t="str">
            <v>girls</v>
          </cell>
          <cell r="H230">
            <v>11.832237690972972</v>
          </cell>
          <cell r="I230">
            <v>1.417762309027027</v>
          </cell>
          <cell r="J230">
            <v>44685</v>
          </cell>
          <cell r="K230">
            <v>39848</v>
          </cell>
          <cell r="L230">
            <v>13.25</v>
          </cell>
        </row>
        <row r="231">
          <cell r="B231">
            <v>502</v>
          </cell>
          <cell r="C231" t="str">
            <v>round1</v>
          </cell>
          <cell r="D231">
            <v>2009</v>
          </cell>
          <cell r="E231" t="str">
            <v>girlsU14</v>
          </cell>
          <cell r="F231" t="str">
            <v>handball</v>
          </cell>
          <cell r="G231" t="str">
            <v>girls</v>
          </cell>
          <cell r="H231">
            <v>12.498087867202374</v>
          </cell>
          <cell r="I231">
            <v>2.413435501984873E-2</v>
          </cell>
          <cell r="J231">
            <v>44685</v>
          </cell>
          <cell r="K231">
            <v>40112</v>
          </cell>
          <cell r="L231">
            <v>12.522222222222222</v>
          </cell>
        </row>
        <row r="232">
          <cell r="B232">
            <v>503</v>
          </cell>
          <cell r="C232" t="str">
            <v>round1</v>
          </cell>
          <cell r="D232">
            <v>2009</v>
          </cell>
          <cell r="E232" t="str">
            <v>girlsU14</v>
          </cell>
          <cell r="F232" t="str">
            <v>handball</v>
          </cell>
          <cell r="G232" t="str">
            <v>girls</v>
          </cell>
          <cell r="H232">
            <v>11.759036677977054</v>
          </cell>
          <cell r="I232">
            <v>1.3715188775785017</v>
          </cell>
          <cell r="J232">
            <v>44685</v>
          </cell>
          <cell r="K232">
            <v>39889</v>
          </cell>
          <cell r="L232">
            <v>13.130555555555556</v>
          </cell>
        </row>
        <row r="233">
          <cell r="B233">
            <v>504</v>
          </cell>
          <cell r="C233" t="str">
            <v>round1</v>
          </cell>
          <cell r="D233">
            <v>2009</v>
          </cell>
          <cell r="E233" t="str">
            <v>girlsU14</v>
          </cell>
          <cell r="F233" t="str">
            <v>handball</v>
          </cell>
          <cell r="G233" t="str">
            <v>girls</v>
          </cell>
          <cell r="H233">
            <v>11.524900523468355</v>
          </cell>
          <cell r="I233">
            <v>1.4889883654205338</v>
          </cell>
          <cell r="J233">
            <v>44685</v>
          </cell>
          <cell r="K233">
            <v>39932</v>
          </cell>
          <cell r="L233">
            <v>13.013888888888889</v>
          </cell>
        </row>
        <row r="234">
          <cell r="B234">
            <v>505</v>
          </cell>
          <cell r="C234" t="str">
            <v>round1</v>
          </cell>
          <cell r="D234">
            <v>2009</v>
          </cell>
          <cell r="E234" t="str">
            <v>girlsU14</v>
          </cell>
          <cell r="F234" t="str">
            <v>handball</v>
          </cell>
          <cell r="G234" t="str">
            <v>girls</v>
          </cell>
          <cell r="H234">
            <v>11.976859279768277</v>
          </cell>
          <cell r="I234">
            <v>1.3259184980095005</v>
          </cell>
          <cell r="J234">
            <v>44685</v>
          </cell>
          <cell r="K234">
            <v>39828</v>
          </cell>
          <cell r="L234">
            <v>13.302777777777777</v>
          </cell>
        </row>
        <row r="235">
          <cell r="B235">
            <v>507</v>
          </cell>
          <cell r="C235" t="str">
            <v>round1</v>
          </cell>
          <cell r="D235">
            <v>2009</v>
          </cell>
          <cell r="E235" t="str">
            <v>girlsU14</v>
          </cell>
          <cell r="F235" t="str">
            <v>handball</v>
          </cell>
          <cell r="G235" t="str">
            <v>girls</v>
          </cell>
          <cell r="H235">
            <v>11.368823323565937</v>
          </cell>
          <cell r="I235">
            <v>1.3700655653229519</v>
          </cell>
          <cell r="J235">
            <v>44685</v>
          </cell>
          <cell r="K235">
            <v>40033</v>
          </cell>
          <cell r="L235">
            <v>12.738888888888889</v>
          </cell>
        </row>
        <row r="236">
          <cell r="B236">
            <v>508</v>
          </cell>
          <cell r="C236" t="str">
            <v>round1</v>
          </cell>
          <cell r="D236">
            <v>2009</v>
          </cell>
          <cell r="E236" t="str">
            <v>girlsU14</v>
          </cell>
          <cell r="F236" t="str">
            <v>handball</v>
          </cell>
          <cell r="G236" t="str">
            <v>girls</v>
          </cell>
          <cell r="H236">
            <v>12.131166449340222</v>
          </cell>
          <cell r="I236">
            <v>0.84383355065977717</v>
          </cell>
          <cell r="J236">
            <v>44685</v>
          </cell>
          <cell r="K236">
            <v>39946</v>
          </cell>
          <cell r="L236">
            <v>12.975</v>
          </cell>
        </row>
        <row r="237">
          <cell r="B237">
            <v>509</v>
          </cell>
          <cell r="C237" t="str">
            <v>round1</v>
          </cell>
          <cell r="D237">
            <v>2009</v>
          </cell>
          <cell r="E237" t="str">
            <v>girlsU14</v>
          </cell>
          <cell r="F237" t="str">
            <v>handball</v>
          </cell>
          <cell r="G237" t="str">
            <v>girls</v>
          </cell>
          <cell r="H237">
            <v>11.499711057107609</v>
          </cell>
          <cell r="I237">
            <v>1.1336222762257242</v>
          </cell>
          <cell r="J237">
            <v>44685</v>
          </cell>
          <cell r="K237">
            <v>40072</v>
          </cell>
          <cell r="L237">
            <v>12.633333333333333</v>
          </cell>
        </row>
        <row r="238">
          <cell r="B238">
            <v>510</v>
          </cell>
          <cell r="C238" t="str">
            <v>round1</v>
          </cell>
          <cell r="D238">
            <v>2009</v>
          </cell>
          <cell r="E238" t="str">
            <v>girlsU14</v>
          </cell>
          <cell r="F238" t="str">
            <v>handball</v>
          </cell>
          <cell r="G238" t="str">
            <v>girls</v>
          </cell>
          <cell r="H238">
            <v>12.110375147637578</v>
          </cell>
          <cell r="I238">
            <v>1.1507359634735335</v>
          </cell>
          <cell r="J238">
            <v>44685</v>
          </cell>
          <cell r="K238">
            <v>39843</v>
          </cell>
          <cell r="L238">
            <v>13.261111111111111</v>
          </cell>
        </row>
        <row r="239">
          <cell r="B239">
            <v>511</v>
          </cell>
          <cell r="C239" t="str">
            <v>round1</v>
          </cell>
          <cell r="D239">
            <v>2009</v>
          </cell>
          <cell r="E239" t="str">
            <v>boysU14</v>
          </cell>
          <cell r="F239" t="str">
            <v>handball</v>
          </cell>
          <cell r="G239" t="str">
            <v>boys</v>
          </cell>
          <cell r="H239">
            <v>14.253929417318153</v>
          </cell>
          <cell r="I239">
            <v>-1.195596083984819</v>
          </cell>
          <cell r="J239">
            <v>44720</v>
          </cell>
          <cell r="K239">
            <v>39950</v>
          </cell>
          <cell r="L239">
            <v>13.058333333333334</v>
          </cell>
        </row>
        <row r="240">
          <cell r="B240">
            <v>513</v>
          </cell>
          <cell r="C240" t="str">
            <v>round1</v>
          </cell>
          <cell r="D240">
            <v>2009</v>
          </cell>
          <cell r="E240" t="str">
            <v>boysU14</v>
          </cell>
          <cell r="F240" t="str">
            <v>handball</v>
          </cell>
          <cell r="G240" t="str">
            <v>boys</v>
          </cell>
          <cell r="H240">
            <v>13.697205323916668</v>
          </cell>
          <cell r="I240">
            <v>-0.64998310169444495</v>
          </cell>
          <cell r="J240">
            <v>44720</v>
          </cell>
          <cell r="K240">
            <v>39954</v>
          </cell>
          <cell r="L240">
            <v>13.047222222222222</v>
          </cell>
        </row>
        <row r="241">
          <cell r="B241">
            <v>515</v>
          </cell>
          <cell r="C241" t="str">
            <v>round1</v>
          </cell>
          <cell r="D241">
            <v>2009</v>
          </cell>
          <cell r="E241" t="str">
            <v>boysU14</v>
          </cell>
          <cell r="F241" t="str">
            <v>handball</v>
          </cell>
          <cell r="G241" t="str">
            <v>boys</v>
          </cell>
          <cell r="H241">
            <v>14.557913563032868</v>
          </cell>
          <cell r="I241">
            <v>-1.4051357852550885</v>
          </cell>
          <cell r="J241">
            <v>44720</v>
          </cell>
          <cell r="K241">
            <v>39916</v>
          </cell>
          <cell r="L241">
            <v>13.152777777777779</v>
          </cell>
        </row>
        <row r="242">
          <cell r="B242">
            <v>517</v>
          </cell>
          <cell r="C242" t="str">
            <v>round1</v>
          </cell>
          <cell r="D242">
            <v>2009</v>
          </cell>
          <cell r="E242" t="str">
            <v>boysU14</v>
          </cell>
          <cell r="F242" t="str">
            <v>handball</v>
          </cell>
          <cell r="G242" t="str">
            <v>boys</v>
          </cell>
          <cell r="H242">
            <v>12.719036576678524</v>
          </cell>
          <cell r="I242">
            <v>-0.22736991001185791</v>
          </cell>
          <cell r="J242">
            <v>44720</v>
          </cell>
          <cell r="K242">
            <v>40158</v>
          </cell>
          <cell r="L242">
            <v>12.491666666666667</v>
          </cell>
        </row>
        <row r="243">
          <cell r="B243">
            <v>518</v>
          </cell>
          <cell r="C243" t="str">
            <v>round1</v>
          </cell>
          <cell r="D243">
            <v>2009</v>
          </cell>
          <cell r="E243" t="str">
            <v>boysU14</v>
          </cell>
          <cell r="F243" t="str">
            <v>handball</v>
          </cell>
          <cell r="G243" t="str">
            <v>boys</v>
          </cell>
          <cell r="H243">
            <v>13.879820689164971</v>
          </cell>
          <cell r="I243">
            <v>-1.2492651336094152</v>
          </cell>
          <cell r="J243">
            <v>44720</v>
          </cell>
          <cell r="K243">
            <v>40107</v>
          </cell>
          <cell r="L243">
            <v>12.630555555555556</v>
          </cell>
        </row>
        <row r="244">
          <cell r="B244">
            <v>519</v>
          </cell>
          <cell r="C244" t="str">
            <v>round1</v>
          </cell>
          <cell r="D244">
            <v>2005</v>
          </cell>
          <cell r="E244" t="str">
            <v>boysU18</v>
          </cell>
          <cell r="F244" t="str">
            <v>handball</v>
          </cell>
          <cell r="G244" t="str">
            <v>boys</v>
          </cell>
          <cell r="H244">
            <v>12.817426984739793</v>
          </cell>
          <cell r="I244">
            <v>4.01590634859354</v>
          </cell>
          <cell r="J244">
            <v>44711</v>
          </cell>
          <cell r="K244">
            <v>38563</v>
          </cell>
          <cell r="L244">
            <v>16.833333333333332</v>
          </cell>
        </row>
        <row r="245">
          <cell r="B245">
            <v>520</v>
          </cell>
          <cell r="C245" t="str">
            <v>round1</v>
          </cell>
          <cell r="D245">
            <v>2005</v>
          </cell>
          <cell r="E245" t="str">
            <v>boysU18</v>
          </cell>
          <cell r="F245" t="str">
            <v>handball</v>
          </cell>
          <cell r="G245" t="str">
            <v>boys</v>
          </cell>
          <cell r="H245">
            <v>14.322396154149313</v>
          </cell>
          <cell r="I245">
            <v>2.3831594014062434</v>
          </cell>
          <cell r="J245">
            <v>44711</v>
          </cell>
          <cell r="K245">
            <v>38611</v>
          </cell>
          <cell r="L245">
            <v>16.705555555555556</v>
          </cell>
        </row>
        <row r="246">
          <cell r="B246">
            <v>521</v>
          </cell>
          <cell r="C246" t="str">
            <v>round1</v>
          </cell>
          <cell r="D246">
            <v>2005</v>
          </cell>
          <cell r="E246" t="str">
            <v>boysU18</v>
          </cell>
          <cell r="F246" t="str">
            <v>handball</v>
          </cell>
          <cell r="G246" t="str">
            <v>boys</v>
          </cell>
          <cell r="H246">
            <v>14.915939675574164</v>
          </cell>
          <cell r="I246">
            <v>2.1479492133147264</v>
          </cell>
          <cell r="J246">
            <v>44711</v>
          </cell>
          <cell r="K246">
            <v>38479</v>
          </cell>
          <cell r="L246">
            <v>17.06388888888889</v>
          </cell>
        </row>
        <row r="247">
          <cell r="B247">
            <v>522</v>
          </cell>
          <cell r="C247" t="str">
            <v>round1</v>
          </cell>
          <cell r="D247">
            <v>2005</v>
          </cell>
          <cell r="E247" t="str">
            <v>boysU18</v>
          </cell>
          <cell r="F247" t="str">
            <v>handball</v>
          </cell>
          <cell r="G247" t="str">
            <v>boys</v>
          </cell>
          <cell r="H247">
            <v>14.198290737904195</v>
          </cell>
          <cell r="I247">
            <v>2.3489314843180251</v>
          </cell>
          <cell r="J247">
            <v>44711</v>
          </cell>
          <cell r="K247">
            <v>38669</v>
          </cell>
          <cell r="L247">
            <v>16.547222222222221</v>
          </cell>
        </row>
        <row r="248">
          <cell r="B248">
            <v>523</v>
          </cell>
          <cell r="C248" t="str">
            <v>round1</v>
          </cell>
          <cell r="D248">
            <v>2005</v>
          </cell>
          <cell r="E248" t="str">
            <v>boysU18</v>
          </cell>
          <cell r="F248" t="str">
            <v>handball</v>
          </cell>
          <cell r="G248" t="str">
            <v>boys</v>
          </cell>
          <cell r="H248">
            <v>13.568207369347006</v>
          </cell>
          <cell r="I248">
            <v>3.6067926306529952</v>
          </cell>
          <cell r="J248">
            <v>44711</v>
          </cell>
          <cell r="K248">
            <v>38438</v>
          </cell>
          <cell r="L248">
            <v>17.175000000000001</v>
          </cell>
        </row>
        <row r="249">
          <cell r="B249">
            <v>524</v>
          </cell>
          <cell r="C249" t="str">
            <v>round1</v>
          </cell>
          <cell r="D249">
            <v>2005</v>
          </cell>
          <cell r="E249" t="str">
            <v>boysU18</v>
          </cell>
          <cell r="F249" t="str">
            <v>handball</v>
          </cell>
          <cell r="G249" t="str">
            <v>boys</v>
          </cell>
          <cell r="H249">
            <v>14.187396658097448</v>
          </cell>
          <cell r="I249">
            <v>2.2737144530136648</v>
          </cell>
          <cell r="J249">
            <v>44711</v>
          </cell>
          <cell r="K249">
            <v>38700</v>
          </cell>
          <cell r="L249">
            <v>16.461111111111112</v>
          </cell>
        </row>
        <row r="250">
          <cell r="B250">
            <v>525</v>
          </cell>
          <cell r="C250" t="str">
            <v>round1</v>
          </cell>
          <cell r="D250">
            <v>2005</v>
          </cell>
          <cell r="E250" t="str">
            <v>boysU18</v>
          </cell>
          <cell r="F250" t="str">
            <v>handball</v>
          </cell>
          <cell r="G250" t="str">
            <v>boys</v>
          </cell>
          <cell r="H250">
            <v>14.733177620532768</v>
          </cell>
          <cell r="I250">
            <v>2.6529334905783459</v>
          </cell>
          <cell r="J250">
            <v>44711</v>
          </cell>
          <cell r="K250">
            <v>38363</v>
          </cell>
          <cell r="L250">
            <v>17.386111111111113</v>
          </cell>
        </row>
        <row r="251">
          <cell r="B251">
            <v>526</v>
          </cell>
          <cell r="C251" t="str">
            <v>round1</v>
          </cell>
          <cell r="D251">
            <v>2005</v>
          </cell>
          <cell r="E251" t="str">
            <v>boysU18</v>
          </cell>
          <cell r="F251" t="str">
            <v>handball</v>
          </cell>
          <cell r="G251" t="str">
            <v>boys</v>
          </cell>
          <cell r="H251">
            <v>13.990745571381641</v>
          </cell>
          <cell r="I251">
            <v>2.531476650840581</v>
          </cell>
          <cell r="J251">
            <v>44711</v>
          </cell>
          <cell r="K251">
            <v>38678</v>
          </cell>
          <cell r="L251">
            <v>16.522222222222222</v>
          </cell>
        </row>
        <row r="252">
          <cell r="B252">
            <v>527</v>
          </cell>
          <cell r="C252" t="str">
            <v>round1</v>
          </cell>
          <cell r="D252">
            <v>2009</v>
          </cell>
          <cell r="E252" t="str">
            <v>boysU14</v>
          </cell>
          <cell r="F252" t="str">
            <v>handball</v>
          </cell>
          <cell r="G252" t="str">
            <v>boys</v>
          </cell>
          <cell r="H252">
            <v>13.518051777000002</v>
          </cell>
          <cell r="I252">
            <v>-0.33749622144444591</v>
          </cell>
          <cell r="J252">
            <v>44720</v>
          </cell>
          <cell r="K252">
            <v>39906</v>
          </cell>
          <cell r="L252">
            <v>13.180555555555555</v>
          </cell>
        </row>
        <row r="253">
          <cell r="B253">
            <v>530</v>
          </cell>
          <cell r="C253" t="str">
            <v>round1</v>
          </cell>
          <cell r="D253">
            <v>2006</v>
          </cell>
          <cell r="E253" t="str">
            <v>girlsU18</v>
          </cell>
          <cell r="F253" t="str">
            <v>handball</v>
          </cell>
          <cell r="G253" t="str">
            <v>girls</v>
          </cell>
          <cell r="H253">
            <v>12.261060508216778</v>
          </cell>
          <cell r="I253">
            <v>4.2722728251165574</v>
          </cell>
          <cell r="J253">
            <v>45015</v>
          </cell>
          <cell r="K253">
            <v>38978</v>
          </cell>
          <cell r="L253">
            <v>16.533333333333335</v>
          </cell>
        </row>
        <row r="254">
          <cell r="B254">
            <v>531</v>
          </cell>
          <cell r="C254" t="str">
            <v>round1</v>
          </cell>
          <cell r="D254">
            <v>2006</v>
          </cell>
          <cell r="E254" t="str">
            <v>girlsU18</v>
          </cell>
          <cell r="F254" t="str">
            <v>handball</v>
          </cell>
          <cell r="G254" t="str">
            <v>girls</v>
          </cell>
          <cell r="H254">
            <v>13.859035490246677</v>
          </cell>
          <cell r="I254">
            <v>3.0881867319755454</v>
          </cell>
          <cell r="J254">
            <v>45015</v>
          </cell>
          <cell r="K254">
            <v>38826</v>
          </cell>
          <cell r="L254">
            <v>16.947222222222223</v>
          </cell>
        </row>
        <row r="255">
          <cell r="B255">
            <v>532</v>
          </cell>
          <cell r="C255" t="str">
            <v>round1</v>
          </cell>
          <cell r="D255">
            <v>2006</v>
          </cell>
          <cell r="E255" t="str">
            <v>girlsU18</v>
          </cell>
          <cell r="F255" t="str">
            <v>handball</v>
          </cell>
          <cell r="G255" t="str">
            <v>girls</v>
          </cell>
          <cell r="H255">
            <v>13.124103196050179</v>
          </cell>
          <cell r="I255">
            <v>3.803674581727599</v>
          </cell>
          <cell r="J255">
            <v>45015</v>
          </cell>
          <cell r="K255">
            <v>38833</v>
          </cell>
          <cell r="L255">
            <v>16.927777777777777</v>
          </cell>
        </row>
        <row r="256">
          <cell r="B256">
            <v>533</v>
          </cell>
          <cell r="C256" t="str">
            <v>round1</v>
          </cell>
          <cell r="D256">
            <v>2006</v>
          </cell>
          <cell r="E256" t="str">
            <v>girlsU18</v>
          </cell>
          <cell r="F256" t="str">
            <v>handball</v>
          </cell>
          <cell r="G256" t="str">
            <v>girls</v>
          </cell>
          <cell r="H256">
            <v>12.906930460869038</v>
          </cell>
          <cell r="I256">
            <v>3.8708473169087414</v>
          </cell>
          <cell r="J256">
            <v>45028</v>
          </cell>
          <cell r="K256">
            <v>38900</v>
          </cell>
          <cell r="L256">
            <v>16.777777777777779</v>
          </cell>
        </row>
        <row r="257">
          <cell r="B257">
            <v>534</v>
          </cell>
          <cell r="C257" t="str">
            <v>round1</v>
          </cell>
          <cell r="D257">
            <v>2006</v>
          </cell>
          <cell r="E257" t="str">
            <v>girlsU18</v>
          </cell>
          <cell r="F257" t="str">
            <v>handball</v>
          </cell>
          <cell r="G257" t="str">
            <v>girls</v>
          </cell>
          <cell r="H257">
            <v>13.482528606687005</v>
          </cell>
          <cell r="I257">
            <v>3.7896936155352172</v>
          </cell>
          <cell r="J257">
            <v>45028</v>
          </cell>
          <cell r="K257">
            <v>38721</v>
          </cell>
          <cell r="L257">
            <v>17.272222222222222</v>
          </cell>
        </row>
        <row r="258">
          <cell r="B258">
            <v>535</v>
          </cell>
          <cell r="C258" t="str">
            <v>round1</v>
          </cell>
          <cell r="D258">
            <v>2006</v>
          </cell>
          <cell r="E258" t="str">
            <v>boysU16</v>
          </cell>
          <cell r="F258" t="str">
            <v>handball</v>
          </cell>
          <cell r="G258" t="str">
            <v>boys</v>
          </cell>
          <cell r="H258">
            <v>13.589910744304092</v>
          </cell>
          <cell r="I258">
            <v>3.0378670334736846</v>
          </cell>
          <cell r="J258">
            <v>45029</v>
          </cell>
          <cell r="K258">
            <v>38956</v>
          </cell>
          <cell r="L258">
            <v>16.627777777777776</v>
          </cell>
        </row>
        <row r="259">
          <cell r="B259">
            <v>536</v>
          </cell>
          <cell r="C259" t="str">
            <v>round1</v>
          </cell>
          <cell r="D259">
            <v>2006</v>
          </cell>
          <cell r="E259" t="str">
            <v>boysU16</v>
          </cell>
          <cell r="F259" t="str">
            <v>handball</v>
          </cell>
          <cell r="G259" t="str">
            <v>boys</v>
          </cell>
          <cell r="H259">
            <v>13.833211934839547</v>
          </cell>
          <cell r="I259">
            <v>3.2501213984937847</v>
          </cell>
          <cell r="J259">
            <v>45029</v>
          </cell>
          <cell r="K259">
            <v>38789</v>
          </cell>
          <cell r="L259">
            <v>17.083333333333332</v>
          </cell>
        </row>
        <row r="260">
          <cell r="B260">
            <v>537</v>
          </cell>
          <cell r="C260" t="str">
            <v>round1</v>
          </cell>
          <cell r="D260">
            <v>2006</v>
          </cell>
          <cell r="E260" t="str">
            <v>boysU16</v>
          </cell>
          <cell r="F260" t="str">
            <v>handball</v>
          </cell>
          <cell r="G260" t="str">
            <v>boys</v>
          </cell>
          <cell r="H260">
            <v>13.589847270840966</v>
          </cell>
          <cell r="I260">
            <v>2.7990416180479221</v>
          </cell>
          <cell r="J260">
            <v>45029</v>
          </cell>
          <cell r="K260">
            <v>39044</v>
          </cell>
          <cell r="L260">
            <v>16.388888888888889</v>
          </cell>
        </row>
        <row r="261">
          <cell r="B261">
            <v>538</v>
          </cell>
          <cell r="C261" t="str">
            <v>round1</v>
          </cell>
          <cell r="D261">
            <v>2006</v>
          </cell>
          <cell r="E261" t="str">
            <v>boysU16</v>
          </cell>
          <cell r="F261" t="str">
            <v>handball</v>
          </cell>
          <cell r="G261" t="str">
            <v>boys</v>
          </cell>
          <cell r="H261">
            <v>13.154978481927715</v>
          </cell>
          <cell r="I261">
            <v>3.4644659625167282</v>
          </cell>
          <cell r="J261">
            <v>45029</v>
          </cell>
          <cell r="K261">
            <v>38960</v>
          </cell>
          <cell r="L261">
            <v>16.619444444444444</v>
          </cell>
        </row>
        <row r="262">
          <cell r="B262">
            <v>539</v>
          </cell>
          <cell r="C262" t="str">
            <v>round1</v>
          </cell>
          <cell r="D262">
            <v>2006</v>
          </cell>
          <cell r="E262" t="str">
            <v>boysU16</v>
          </cell>
          <cell r="F262" t="str">
            <v>handball</v>
          </cell>
          <cell r="G262" t="str">
            <v>boys</v>
          </cell>
          <cell r="H262">
            <v>13.397808342681628</v>
          </cell>
          <cell r="I262">
            <v>3.0327472128739288</v>
          </cell>
          <cell r="J262">
            <v>45029</v>
          </cell>
          <cell r="K262">
            <v>39029</v>
          </cell>
          <cell r="L262">
            <v>16.430555555555557</v>
          </cell>
        </row>
        <row r="263">
          <cell r="B263">
            <v>540</v>
          </cell>
          <cell r="C263" t="str">
            <v>round1</v>
          </cell>
          <cell r="D263">
            <v>2007</v>
          </cell>
          <cell r="E263" t="str">
            <v>boysU16</v>
          </cell>
          <cell r="F263" t="str">
            <v>handball</v>
          </cell>
          <cell r="G263" t="str">
            <v>boys</v>
          </cell>
          <cell r="H263">
            <v>13.172887691128215</v>
          </cell>
          <cell r="I263">
            <v>2.663223419982895</v>
          </cell>
          <cell r="J263">
            <v>45043</v>
          </cell>
          <cell r="K263">
            <v>39259</v>
          </cell>
          <cell r="L263">
            <v>15.83611111111111</v>
          </cell>
        </row>
        <row r="264">
          <cell r="B264">
            <v>541</v>
          </cell>
          <cell r="C264" t="str">
            <v>round1</v>
          </cell>
          <cell r="D264">
            <v>2006</v>
          </cell>
          <cell r="E264" t="str">
            <v>boysU16</v>
          </cell>
          <cell r="F264" t="str">
            <v>handball</v>
          </cell>
          <cell r="G264" t="str">
            <v>boys</v>
          </cell>
          <cell r="H264">
            <v>14.086389022695883</v>
          </cell>
          <cell r="I264">
            <v>2.7747220884152286</v>
          </cell>
          <cell r="J264">
            <v>45049</v>
          </cell>
          <cell r="K264">
            <v>38891</v>
          </cell>
          <cell r="L264">
            <v>16.861111111111111</v>
          </cell>
        </row>
        <row r="265">
          <cell r="B265">
            <v>542</v>
          </cell>
          <cell r="C265" t="str">
            <v>round1</v>
          </cell>
          <cell r="D265">
            <v>2006</v>
          </cell>
          <cell r="E265" t="str">
            <v>boysU16</v>
          </cell>
          <cell r="F265" t="str">
            <v>handball</v>
          </cell>
          <cell r="G265" t="str">
            <v>boys</v>
          </cell>
          <cell r="H265">
            <v>14.470192389356987</v>
          </cell>
          <cell r="I265">
            <v>2.7798076106430134</v>
          </cell>
          <cell r="J265">
            <v>45049</v>
          </cell>
          <cell r="K265">
            <v>38751</v>
          </cell>
          <cell r="L265">
            <v>17.25</v>
          </cell>
        </row>
        <row r="266">
          <cell r="B266">
            <v>600</v>
          </cell>
          <cell r="C266" t="str">
            <v>round1</v>
          </cell>
          <cell r="D266">
            <v>2009</v>
          </cell>
          <cell r="E266" t="str">
            <v>girlsU14</v>
          </cell>
          <cell r="F266" t="str">
            <v>football</v>
          </cell>
          <cell r="G266" t="str">
            <v>girls</v>
          </cell>
          <cell r="H266">
            <v>12.740915821997957</v>
          </cell>
          <cell r="I266">
            <v>0.51463973355759984</v>
          </cell>
          <cell r="J266">
            <v>44831</v>
          </cell>
          <cell r="K266">
            <v>39989</v>
          </cell>
          <cell r="L266">
            <v>13.255555555555556</v>
          </cell>
        </row>
        <row r="267">
          <cell r="B267">
            <v>601</v>
          </cell>
          <cell r="C267" t="str">
            <v>round1</v>
          </cell>
          <cell r="D267">
            <v>2009</v>
          </cell>
          <cell r="E267" t="str">
            <v>girlsU14</v>
          </cell>
          <cell r="F267" t="str">
            <v>football</v>
          </cell>
          <cell r="G267" t="str">
            <v>girls</v>
          </cell>
          <cell r="H267">
            <v>11.206389200431925</v>
          </cell>
          <cell r="I267">
            <v>1.788055244012519</v>
          </cell>
          <cell r="J267">
            <v>44831</v>
          </cell>
          <cell r="K267">
            <v>40085</v>
          </cell>
          <cell r="L267">
            <v>12.994444444444444</v>
          </cell>
        </row>
        <row r="268">
          <cell r="B268">
            <v>602</v>
          </cell>
          <cell r="C268" t="str">
            <v>round1</v>
          </cell>
          <cell r="D268">
            <v>2009</v>
          </cell>
          <cell r="E268" t="str">
            <v>girlsU14</v>
          </cell>
          <cell r="F268" t="str">
            <v>football</v>
          </cell>
          <cell r="G268" t="str">
            <v>girls</v>
          </cell>
          <cell r="H268">
            <v>12.515434892584066</v>
          </cell>
          <cell r="I268">
            <v>0.53178732963815589</v>
          </cell>
          <cell r="J268">
            <v>44831</v>
          </cell>
          <cell r="K268">
            <v>40066</v>
          </cell>
          <cell r="L268">
            <v>13.047222222222222</v>
          </cell>
        </row>
        <row r="269">
          <cell r="B269">
            <v>603</v>
          </cell>
          <cell r="C269" t="str">
            <v>round1</v>
          </cell>
          <cell r="D269">
            <v>2009</v>
          </cell>
          <cell r="E269" t="str">
            <v>girlsU14</v>
          </cell>
          <cell r="F269" t="str">
            <v>football</v>
          </cell>
          <cell r="G269" t="str">
            <v>girls</v>
          </cell>
          <cell r="H269">
            <v>11.496591995413711</v>
          </cell>
          <cell r="I269">
            <v>1.3589635601418455</v>
          </cell>
          <cell r="J269">
            <v>44831</v>
          </cell>
          <cell r="K269">
            <v>40136</v>
          </cell>
          <cell r="L269">
            <v>12.855555555555556</v>
          </cell>
        </row>
        <row r="270">
          <cell r="B270">
            <v>604</v>
          </cell>
          <cell r="C270" t="str">
            <v>round1</v>
          </cell>
          <cell r="D270">
            <v>2009</v>
          </cell>
          <cell r="E270" t="str">
            <v>girlsU14</v>
          </cell>
          <cell r="F270" t="str">
            <v>football</v>
          </cell>
          <cell r="G270" t="str">
            <v>girls</v>
          </cell>
          <cell r="H270">
            <v>11.776704100106061</v>
          </cell>
          <cell r="I270">
            <v>1.8482958998939392</v>
          </cell>
          <cell r="J270">
            <v>44831</v>
          </cell>
          <cell r="K270">
            <v>39856</v>
          </cell>
          <cell r="L270">
            <v>13.625</v>
          </cell>
        </row>
        <row r="271">
          <cell r="B271">
            <v>605</v>
          </cell>
          <cell r="C271" t="str">
            <v>round1</v>
          </cell>
          <cell r="D271">
            <v>2009</v>
          </cell>
          <cell r="E271" t="str">
            <v>boysU14</v>
          </cell>
          <cell r="F271" t="str">
            <v>football</v>
          </cell>
          <cell r="G271" t="str">
            <v>boys</v>
          </cell>
          <cell r="H271">
            <v>13.891021271760165</v>
          </cell>
          <cell r="I271">
            <v>-0.28268793842683193</v>
          </cell>
          <cell r="J271">
            <v>44852</v>
          </cell>
          <cell r="K271">
            <v>39881</v>
          </cell>
          <cell r="L271">
            <v>13.608333333333333</v>
          </cell>
        </row>
        <row r="272">
          <cell r="B272">
            <v>606</v>
          </cell>
          <cell r="C272" t="str">
            <v>round1</v>
          </cell>
          <cell r="D272">
            <v>2009</v>
          </cell>
          <cell r="E272" t="str">
            <v>boysU14</v>
          </cell>
          <cell r="F272" t="str">
            <v>football</v>
          </cell>
          <cell r="G272" t="str">
            <v>boys</v>
          </cell>
          <cell r="H272">
            <v>13.802210452570094</v>
          </cell>
          <cell r="I272">
            <v>-0.57721045257009451</v>
          </cell>
          <cell r="J272">
            <v>44852</v>
          </cell>
          <cell r="K272">
            <v>40021</v>
          </cell>
          <cell r="L272">
            <v>13.225</v>
          </cell>
        </row>
        <row r="273">
          <cell r="B273">
            <v>607</v>
          </cell>
          <cell r="C273" t="str">
            <v>round1</v>
          </cell>
          <cell r="D273">
            <v>2009</v>
          </cell>
          <cell r="E273" t="str">
            <v>boysU14</v>
          </cell>
          <cell r="F273" t="str">
            <v>football</v>
          </cell>
          <cell r="G273" t="str">
            <v>boys</v>
          </cell>
          <cell r="H273">
            <v>14.324113006817733</v>
          </cell>
          <cell r="I273">
            <v>-0.62411300681773407</v>
          </cell>
          <cell r="J273">
            <v>44852</v>
          </cell>
          <cell r="K273">
            <v>39850</v>
          </cell>
          <cell r="L273">
            <v>13.7</v>
          </cell>
        </row>
        <row r="274">
          <cell r="B274">
            <v>608</v>
          </cell>
          <cell r="C274" t="str">
            <v>round1</v>
          </cell>
          <cell r="D274">
            <v>2009</v>
          </cell>
          <cell r="E274" t="str">
            <v>boysU14</v>
          </cell>
          <cell r="F274" t="str">
            <v>football</v>
          </cell>
          <cell r="G274" t="str">
            <v>boys</v>
          </cell>
          <cell r="H274">
            <v>14.844831774333333</v>
          </cell>
          <cell r="I274">
            <v>-1.0892762187777769</v>
          </cell>
          <cell r="J274">
            <v>44852</v>
          </cell>
          <cell r="K274">
            <v>39829</v>
          </cell>
          <cell r="L274">
            <v>13.755555555555556</v>
          </cell>
        </row>
        <row r="275">
          <cell r="B275">
            <v>609</v>
          </cell>
          <cell r="C275" t="str">
            <v>round1</v>
          </cell>
          <cell r="D275">
            <v>2009</v>
          </cell>
          <cell r="E275" t="str">
            <v>boysU14</v>
          </cell>
          <cell r="F275" t="str">
            <v>football</v>
          </cell>
          <cell r="G275" t="str">
            <v>boys</v>
          </cell>
          <cell r="H275">
            <v>14.108868395413303</v>
          </cell>
          <cell r="I275">
            <v>-0.93109061763552581</v>
          </cell>
          <cell r="J275">
            <v>44852</v>
          </cell>
          <cell r="K275">
            <v>40039</v>
          </cell>
          <cell r="L275">
            <v>13.177777777777777</v>
          </cell>
        </row>
        <row r="276">
          <cell r="B276">
            <v>610</v>
          </cell>
          <cell r="C276" t="str">
            <v>round1</v>
          </cell>
          <cell r="D276">
            <v>2009</v>
          </cell>
          <cell r="E276" t="str">
            <v>boysU14</v>
          </cell>
          <cell r="F276" t="str">
            <v>football</v>
          </cell>
          <cell r="G276" t="str">
            <v>boys</v>
          </cell>
          <cell r="H276">
            <v>14.274729874686992</v>
          </cell>
          <cell r="I276">
            <v>-0.56084098579810293</v>
          </cell>
          <cell r="J276">
            <v>44852</v>
          </cell>
          <cell r="K276">
            <v>39845</v>
          </cell>
          <cell r="L276">
            <v>13.713888888888889</v>
          </cell>
        </row>
        <row r="277">
          <cell r="B277">
            <v>611</v>
          </cell>
          <cell r="C277" t="str">
            <v>round1</v>
          </cell>
          <cell r="D277">
            <v>2009</v>
          </cell>
          <cell r="E277" t="str">
            <v>boysU14</v>
          </cell>
          <cell r="F277" t="str">
            <v>football</v>
          </cell>
          <cell r="G277" t="str">
            <v>boys</v>
          </cell>
          <cell r="H277">
            <v>13.526123055291414</v>
          </cell>
          <cell r="I277">
            <v>-0.11501194418030369</v>
          </cell>
          <cell r="J277">
            <v>44852</v>
          </cell>
          <cell r="K277">
            <v>39953</v>
          </cell>
          <cell r="L277">
            <v>13.411111111111111</v>
          </cell>
        </row>
        <row r="278">
          <cell r="B278">
            <v>612</v>
          </cell>
          <cell r="C278" t="str">
            <v>round1</v>
          </cell>
          <cell r="D278">
            <v>2009</v>
          </cell>
          <cell r="E278" t="str">
            <v>boysU14</v>
          </cell>
          <cell r="F278" t="str">
            <v>football</v>
          </cell>
          <cell r="G278" t="str">
            <v>boys</v>
          </cell>
          <cell r="H278">
            <v>13.243674711929103</v>
          </cell>
          <cell r="I278">
            <v>0.40354751029311942</v>
          </cell>
          <cell r="J278">
            <v>44852</v>
          </cell>
          <cell r="K278">
            <v>39869</v>
          </cell>
          <cell r="L278">
            <v>13.647222222222222</v>
          </cell>
        </row>
        <row r="279">
          <cell r="B279">
            <v>613</v>
          </cell>
          <cell r="C279" t="str">
            <v>round1</v>
          </cell>
          <cell r="D279">
            <v>2009</v>
          </cell>
          <cell r="E279" t="str">
            <v>boysU14</v>
          </cell>
          <cell r="F279" t="str">
            <v>football</v>
          </cell>
          <cell r="G279" t="str">
            <v>boys</v>
          </cell>
          <cell r="H279">
            <v>13.072493953213405</v>
          </cell>
          <cell r="I279">
            <v>-0.12804950876895971</v>
          </cell>
          <cell r="J279">
            <v>44852</v>
          </cell>
          <cell r="K279">
            <v>40125</v>
          </cell>
          <cell r="L279">
            <v>12.944444444444445</v>
          </cell>
        </row>
        <row r="280">
          <cell r="B280">
            <v>614</v>
          </cell>
          <cell r="C280" t="str">
            <v>round1</v>
          </cell>
          <cell r="D280">
            <v>2009</v>
          </cell>
          <cell r="E280" t="str">
            <v>boysU14</v>
          </cell>
          <cell r="F280" t="str">
            <v>football</v>
          </cell>
          <cell r="G280" t="str">
            <v>boys</v>
          </cell>
          <cell r="H280">
            <v>14.466143147383971</v>
          </cell>
          <cell r="I280">
            <v>-0.83836536960619157</v>
          </cell>
          <cell r="J280">
            <v>44852</v>
          </cell>
          <cell r="K280">
            <v>39874</v>
          </cell>
          <cell r="L280">
            <v>13.627777777777778</v>
          </cell>
        </row>
        <row r="281">
          <cell r="B281">
            <v>615</v>
          </cell>
          <cell r="C281" t="str">
            <v>round1</v>
          </cell>
          <cell r="D281">
            <v>2009</v>
          </cell>
          <cell r="E281" t="str">
            <v>boysU14</v>
          </cell>
          <cell r="F281" t="str">
            <v>football</v>
          </cell>
          <cell r="G281" t="str">
            <v>boys</v>
          </cell>
          <cell r="H281">
            <v>14.840521247647644</v>
          </cell>
          <cell r="I281">
            <v>-1.5182990254254212</v>
          </cell>
          <cell r="J281">
            <v>44852</v>
          </cell>
          <cell r="K281">
            <v>39986</v>
          </cell>
          <cell r="L281">
            <v>13.322222222222223</v>
          </cell>
        </row>
        <row r="282">
          <cell r="B282">
            <v>616</v>
          </cell>
          <cell r="C282" t="str">
            <v>round1</v>
          </cell>
          <cell r="D282">
            <v>2009</v>
          </cell>
          <cell r="E282" t="str">
            <v>boysU14</v>
          </cell>
          <cell r="F282" t="str">
            <v>football</v>
          </cell>
          <cell r="G282" t="str">
            <v>boys</v>
          </cell>
          <cell r="H282">
            <v>13.404088070015872</v>
          </cell>
          <cell r="I282">
            <v>-0.23464362557142804</v>
          </cell>
          <cell r="J282">
            <v>44852</v>
          </cell>
          <cell r="K282">
            <v>40042</v>
          </cell>
          <cell r="L282">
            <v>13.169444444444444</v>
          </cell>
        </row>
        <row r="283">
          <cell r="B283">
            <v>617</v>
          </cell>
          <cell r="C283" t="str">
            <v>round1</v>
          </cell>
          <cell r="D283">
            <v>2009</v>
          </cell>
          <cell r="E283" t="str">
            <v>boysU14</v>
          </cell>
          <cell r="F283" t="str">
            <v>football</v>
          </cell>
          <cell r="G283" t="str">
            <v>boys</v>
          </cell>
          <cell r="H283">
            <v>13.852848342588237</v>
          </cell>
          <cell r="I283">
            <v>-0.4528483425882357</v>
          </cell>
          <cell r="J283">
            <v>44852</v>
          </cell>
          <cell r="K283">
            <v>39957</v>
          </cell>
          <cell r="L283">
            <v>13.4</v>
          </cell>
        </row>
        <row r="284">
          <cell r="B284">
            <v>618</v>
          </cell>
          <cell r="C284" t="str">
            <v>round1</v>
          </cell>
          <cell r="D284">
            <v>2009</v>
          </cell>
          <cell r="E284" t="str">
            <v>boysU14</v>
          </cell>
          <cell r="F284" t="str">
            <v>football</v>
          </cell>
          <cell r="G284" t="str">
            <v>boys</v>
          </cell>
          <cell r="H284">
            <v>13.503843510500529</v>
          </cell>
          <cell r="I284">
            <v>-0.10662128827830619</v>
          </cell>
          <cell r="J284">
            <v>44852</v>
          </cell>
          <cell r="K284">
            <v>39958</v>
          </cell>
          <cell r="L284">
            <v>13.397222222222222</v>
          </cell>
        </row>
        <row r="285">
          <cell r="B285">
            <v>619</v>
          </cell>
          <cell r="C285" t="str">
            <v>round1</v>
          </cell>
          <cell r="D285">
            <v>2009</v>
          </cell>
          <cell r="E285" t="str">
            <v>boysU14</v>
          </cell>
          <cell r="F285" t="str">
            <v>football</v>
          </cell>
          <cell r="G285" t="str">
            <v>boys</v>
          </cell>
          <cell r="H285">
            <v>14.827760450421003</v>
          </cell>
          <cell r="I285">
            <v>-1.2305382281987818</v>
          </cell>
          <cell r="J285">
            <v>44852</v>
          </cell>
          <cell r="K285">
            <v>39885</v>
          </cell>
          <cell r="L285">
            <v>13.597222222222221</v>
          </cell>
        </row>
        <row r="286">
          <cell r="B286">
            <v>620</v>
          </cell>
          <cell r="C286" t="str">
            <v>round1</v>
          </cell>
          <cell r="D286">
            <v>2009</v>
          </cell>
          <cell r="E286" t="str">
            <v>boysU14</v>
          </cell>
          <cell r="F286" t="str">
            <v>football</v>
          </cell>
          <cell r="G286" t="str">
            <v>boys</v>
          </cell>
          <cell r="H286">
            <v>13.521437796042484</v>
          </cell>
          <cell r="I286">
            <v>-0.46866001826470682</v>
          </cell>
          <cell r="J286">
            <v>44852</v>
          </cell>
          <cell r="K286">
            <v>40085</v>
          </cell>
          <cell r="L286">
            <v>13.052777777777777</v>
          </cell>
        </row>
        <row r="287">
          <cell r="B287">
            <v>623</v>
          </cell>
          <cell r="C287" t="str">
            <v>round1</v>
          </cell>
          <cell r="D287">
            <v>2009</v>
          </cell>
          <cell r="E287" t="str">
            <v>boysU14</v>
          </cell>
          <cell r="F287" t="str">
            <v>football</v>
          </cell>
          <cell r="G287" t="str">
            <v>boys</v>
          </cell>
          <cell r="H287">
            <v>14.006469906928425</v>
          </cell>
          <cell r="I287">
            <v>-0.87313657359509267</v>
          </cell>
          <cell r="J287">
            <v>44853</v>
          </cell>
          <cell r="K287">
            <v>40057</v>
          </cell>
          <cell r="L287">
            <v>13.133333333333333</v>
          </cell>
        </row>
        <row r="288">
          <cell r="B288">
            <v>624</v>
          </cell>
          <cell r="C288" t="str">
            <v>round1</v>
          </cell>
          <cell r="D288">
            <v>2009</v>
          </cell>
          <cell r="E288" t="str">
            <v>boysU14</v>
          </cell>
          <cell r="F288" t="str">
            <v>football</v>
          </cell>
          <cell r="G288" t="str">
            <v>boys</v>
          </cell>
          <cell r="H288">
            <v>13.49670541182906</v>
          </cell>
          <cell r="I288">
            <v>-0.45226096738461663</v>
          </cell>
          <cell r="J288">
            <v>44853</v>
          </cell>
          <cell r="K288">
            <v>40089</v>
          </cell>
          <cell r="L288">
            <v>13.044444444444444</v>
          </cell>
        </row>
        <row r="289">
          <cell r="B289">
            <v>625</v>
          </cell>
          <cell r="C289" t="str">
            <v>round1</v>
          </cell>
          <cell r="D289">
            <v>2009</v>
          </cell>
          <cell r="E289" t="str">
            <v>boysU14</v>
          </cell>
          <cell r="F289" t="str">
            <v>football</v>
          </cell>
          <cell r="G289" t="str">
            <v>boys</v>
          </cell>
          <cell r="H289">
            <v>13.616730577955909</v>
          </cell>
          <cell r="I289">
            <v>4.4380533155202961E-2</v>
          </cell>
          <cell r="J289">
            <v>44853</v>
          </cell>
          <cell r="K289">
            <v>39865</v>
          </cell>
          <cell r="L289">
            <v>13.661111111111111</v>
          </cell>
        </row>
        <row r="290">
          <cell r="B290">
            <v>626</v>
          </cell>
          <cell r="C290" t="str">
            <v>round1</v>
          </cell>
          <cell r="D290">
            <v>2009</v>
          </cell>
          <cell r="E290" t="str">
            <v>boysU14</v>
          </cell>
          <cell r="F290" t="str">
            <v>football</v>
          </cell>
          <cell r="G290" t="str">
            <v>boys</v>
          </cell>
          <cell r="H290">
            <v>13.283896381306329</v>
          </cell>
          <cell r="I290">
            <v>-8.6674159084105806E-2</v>
          </cell>
          <cell r="J290">
            <v>44853</v>
          </cell>
          <cell r="K290">
            <v>40033</v>
          </cell>
          <cell r="L290">
            <v>13.197222222222223</v>
          </cell>
        </row>
        <row r="291">
          <cell r="B291">
            <v>629</v>
          </cell>
          <cell r="C291" t="str">
            <v>round1</v>
          </cell>
          <cell r="D291">
            <v>2009</v>
          </cell>
          <cell r="E291" t="str">
            <v>boysU14</v>
          </cell>
          <cell r="F291" t="str">
            <v>football</v>
          </cell>
          <cell r="G291" t="str">
            <v>boys</v>
          </cell>
          <cell r="H291">
            <v>14.727568839111111</v>
          </cell>
          <cell r="I291">
            <v>-1.2386799502222217</v>
          </cell>
          <cell r="J291">
            <v>44853</v>
          </cell>
          <cell r="K291">
            <v>39926</v>
          </cell>
          <cell r="L291">
            <v>13.488888888888889</v>
          </cell>
        </row>
        <row r="292">
          <cell r="B292">
            <v>630</v>
          </cell>
          <cell r="C292" t="str">
            <v>round1</v>
          </cell>
          <cell r="D292">
            <v>2009</v>
          </cell>
          <cell r="E292" t="str">
            <v>boysU14</v>
          </cell>
          <cell r="F292" t="str">
            <v>football</v>
          </cell>
          <cell r="G292" t="str">
            <v>boys</v>
          </cell>
          <cell r="H292">
            <v>14.315709795065674</v>
          </cell>
          <cell r="I292">
            <v>-0.86848757284345135</v>
          </cell>
          <cell r="J292">
            <v>44853</v>
          </cell>
          <cell r="K292">
            <v>39941</v>
          </cell>
          <cell r="L292">
            <v>13.447222222222223</v>
          </cell>
        </row>
        <row r="293">
          <cell r="B293">
            <v>631</v>
          </cell>
          <cell r="C293" t="str">
            <v>round1</v>
          </cell>
          <cell r="D293">
            <v>2009</v>
          </cell>
          <cell r="E293" t="str">
            <v>boysU14</v>
          </cell>
          <cell r="F293" t="str">
            <v>football</v>
          </cell>
          <cell r="G293" t="str">
            <v>boys</v>
          </cell>
          <cell r="H293">
            <v>14.189397576396587</v>
          </cell>
          <cell r="I293">
            <v>-1.1505086875076969</v>
          </cell>
          <cell r="J293">
            <v>44853</v>
          </cell>
          <cell r="K293">
            <v>40091</v>
          </cell>
          <cell r="L293">
            <v>13.03888888888889</v>
          </cell>
        </row>
        <row r="294">
          <cell r="B294">
            <v>632</v>
          </cell>
          <cell r="C294" t="str">
            <v>round1</v>
          </cell>
          <cell r="D294">
            <v>2009</v>
          </cell>
          <cell r="E294" t="str">
            <v>boysU14</v>
          </cell>
          <cell r="F294" t="str">
            <v>football</v>
          </cell>
          <cell r="G294" t="str">
            <v>boys</v>
          </cell>
          <cell r="H294">
            <v>14.176566779188468</v>
          </cell>
          <cell r="I294">
            <v>-0.72934455696624467</v>
          </cell>
          <cell r="J294">
            <v>44853</v>
          </cell>
          <cell r="K294">
            <v>39941</v>
          </cell>
          <cell r="L294">
            <v>13.447222222222223</v>
          </cell>
        </row>
        <row r="295">
          <cell r="B295">
            <v>633</v>
          </cell>
          <cell r="C295" t="str">
            <v>round1</v>
          </cell>
          <cell r="D295">
            <v>2009</v>
          </cell>
          <cell r="E295" t="str">
            <v>boysU14</v>
          </cell>
          <cell r="F295" t="str">
            <v>football</v>
          </cell>
          <cell r="G295" t="str">
            <v>boys</v>
          </cell>
          <cell r="H295">
            <v>14.605147243846696</v>
          </cell>
          <cell r="I295">
            <v>-0.82459168829114049</v>
          </cell>
          <cell r="J295">
            <v>44859</v>
          </cell>
          <cell r="K295">
            <v>39827</v>
          </cell>
          <cell r="L295">
            <v>13.780555555555555</v>
          </cell>
        </row>
        <row r="296">
          <cell r="B296">
            <v>634</v>
          </cell>
          <cell r="C296" t="str">
            <v>round1</v>
          </cell>
          <cell r="D296">
            <v>2009</v>
          </cell>
          <cell r="E296" t="str">
            <v>boysU14</v>
          </cell>
          <cell r="F296" t="str">
            <v>football</v>
          </cell>
          <cell r="G296" t="str">
            <v>boys</v>
          </cell>
          <cell r="H296">
            <v>12.919485736651161</v>
          </cell>
          <cell r="I296">
            <v>0.18051426334883758</v>
          </cell>
          <cell r="J296">
            <v>44859</v>
          </cell>
          <cell r="K296">
            <v>40075</v>
          </cell>
          <cell r="L296">
            <v>13.1</v>
          </cell>
        </row>
        <row r="297">
          <cell r="B297">
            <v>635</v>
          </cell>
          <cell r="C297" t="str">
            <v>round1</v>
          </cell>
          <cell r="D297">
            <v>2009</v>
          </cell>
          <cell r="E297" t="str">
            <v>boysU14</v>
          </cell>
          <cell r="F297" t="str">
            <v>football</v>
          </cell>
          <cell r="G297" t="str">
            <v>boys</v>
          </cell>
          <cell r="H297">
            <v>13.257989225771929</v>
          </cell>
          <cell r="I297">
            <v>9.2010774228070802E-2</v>
          </cell>
          <cell r="J297">
            <v>44859</v>
          </cell>
          <cell r="K297">
            <v>39983</v>
          </cell>
          <cell r="L297">
            <v>13.35</v>
          </cell>
        </row>
        <row r="298">
          <cell r="B298">
            <v>636</v>
          </cell>
          <cell r="C298" t="str">
            <v>round1</v>
          </cell>
          <cell r="D298">
            <v>2009</v>
          </cell>
          <cell r="E298" t="str">
            <v>boysU14</v>
          </cell>
          <cell r="F298" t="str">
            <v>football</v>
          </cell>
          <cell r="G298" t="str">
            <v>boys</v>
          </cell>
          <cell r="H298">
            <v>12.888782784486487</v>
          </cell>
          <cell r="I298">
            <v>0.37510610440240266</v>
          </cell>
          <cell r="J298">
            <v>44859</v>
          </cell>
          <cell r="K298">
            <v>40014</v>
          </cell>
          <cell r="L298">
            <v>13.263888888888889</v>
          </cell>
        </row>
        <row r="299">
          <cell r="B299">
            <v>637</v>
          </cell>
          <cell r="C299" t="str">
            <v>round1</v>
          </cell>
          <cell r="D299">
            <v>2009</v>
          </cell>
          <cell r="E299" t="str">
            <v>boysU14</v>
          </cell>
          <cell r="F299" t="str">
            <v>football</v>
          </cell>
          <cell r="G299" t="str">
            <v>boys</v>
          </cell>
          <cell r="H299">
            <v>14.145924109534333</v>
          </cell>
          <cell r="I299">
            <v>-0.55981299842322241</v>
          </cell>
          <cell r="J299">
            <v>44859</v>
          </cell>
          <cell r="K299">
            <v>39896</v>
          </cell>
          <cell r="L299">
            <v>13.58611111111111</v>
          </cell>
        </row>
        <row r="300">
          <cell r="B300">
            <v>638</v>
          </cell>
          <cell r="C300" t="str">
            <v>round1</v>
          </cell>
          <cell r="D300">
            <v>2009</v>
          </cell>
          <cell r="E300" t="str">
            <v>boysU14</v>
          </cell>
          <cell r="F300" t="str">
            <v>football</v>
          </cell>
          <cell r="G300" t="str">
            <v>boys</v>
          </cell>
          <cell r="H300">
            <v>14.474474252847267</v>
          </cell>
          <cell r="I300">
            <v>-1.5244742528472686</v>
          </cell>
          <cell r="J300">
            <v>44859</v>
          </cell>
          <cell r="K300">
            <v>40130</v>
          </cell>
          <cell r="L300">
            <v>12.95</v>
          </cell>
        </row>
        <row r="301">
          <cell r="B301">
            <v>639</v>
          </cell>
          <cell r="C301" t="str">
            <v>round1</v>
          </cell>
          <cell r="D301">
            <v>2009</v>
          </cell>
          <cell r="E301" t="str">
            <v>boysU14</v>
          </cell>
          <cell r="F301" t="str">
            <v>football</v>
          </cell>
          <cell r="G301" t="str">
            <v>boys</v>
          </cell>
          <cell r="H301">
            <v>13.373549097865014</v>
          </cell>
          <cell r="I301">
            <v>-0.30966020897612656</v>
          </cell>
          <cell r="J301">
            <v>44859</v>
          </cell>
          <cell r="K301">
            <v>40088</v>
          </cell>
          <cell r="L301">
            <v>13.063888888888888</v>
          </cell>
        </row>
        <row r="302">
          <cell r="B302">
            <v>640</v>
          </cell>
          <cell r="C302" t="str">
            <v>round1</v>
          </cell>
          <cell r="D302">
            <v>2009</v>
          </cell>
          <cell r="E302" t="str">
            <v>boysU14</v>
          </cell>
          <cell r="F302" t="str">
            <v>football</v>
          </cell>
          <cell r="G302" t="str">
            <v>boys</v>
          </cell>
          <cell r="H302">
            <v>13.364906116305114</v>
          </cell>
          <cell r="I302">
            <v>-0.10379500519400342</v>
          </cell>
          <cell r="J302">
            <v>44859</v>
          </cell>
          <cell r="K302">
            <v>40015</v>
          </cell>
          <cell r="L302">
            <v>13.261111111111111</v>
          </cell>
        </row>
        <row r="303">
          <cell r="B303">
            <v>641</v>
          </cell>
          <cell r="C303" t="str">
            <v>round1</v>
          </cell>
          <cell r="D303">
            <v>2009</v>
          </cell>
          <cell r="E303" t="str">
            <v>boysU14</v>
          </cell>
          <cell r="F303" t="str">
            <v>football</v>
          </cell>
          <cell r="G303" t="str">
            <v>boys</v>
          </cell>
          <cell r="H303">
            <v>14.338570368366094</v>
          </cell>
          <cell r="I303">
            <v>-0.85523703503276183</v>
          </cell>
          <cell r="J303">
            <v>44859</v>
          </cell>
          <cell r="K303">
            <v>39934</v>
          </cell>
          <cell r="L303">
            <v>13.483333333333333</v>
          </cell>
        </row>
        <row r="304">
          <cell r="B304">
            <v>642</v>
          </cell>
          <cell r="C304" t="str">
            <v>round1</v>
          </cell>
          <cell r="D304">
            <v>2009</v>
          </cell>
          <cell r="E304" t="str">
            <v>boysU14</v>
          </cell>
          <cell r="F304" t="str">
            <v>football</v>
          </cell>
          <cell r="G304" t="str">
            <v>boys</v>
          </cell>
          <cell r="H304" t="e">
            <v>#N/A</v>
          </cell>
          <cell r="I304">
            <v>0</v>
          </cell>
          <cell r="J304">
            <v>44859</v>
          </cell>
          <cell r="K304" t="e">
            <v>#N/A</v>
          </cell>
          <cell r="L304" t="e">
            <v>#N/A</v>
          </cell>
        </row>
        <row r="305">
          <cell r="B305">
            <v>643</v>
          </cell>
          <cell r="C305" t="str">
            <v>round1</v>
          </cell>
          <cell r="D305">
            <v>2005</v>
          </cell>
          <cell r="E305" t="str">
            <v>boysU18</v>
          </cell>
          <cell r="F305" t="str">
            <v>football</v>
          </cell>
          <cell r="G305" t="str">
            <v>boys</v>
          </cell>
          <cell r="H305">
            <v>13.059473291410853</v>
          </cell>
          <cell r="I305">
            <v>4.4738600419224817</v>
          </cell>
          <cell r="J305">
            <v>44868</v>
          </cell>
          <cell r="K305">
            <v>38463</v>
          </cell>
          <cell r="L305">
            <v>17.533333333333335</v>
          </cell>
        </row>
        <row r="306">
          <cell r="B306">
            <v>644</v>
          </cell>
          <cell r="C306" t="str">
            <v>round1</v>
          </cell>
          <cell r="D306">
            <v>2005</v>
          </cell>
          <cell r="E306" t="str">
            <v>boysU18</v>
          </cell>
          <cell r="F306" t="str">
            <v>football</v>
          </cell>
          <cell r="G306" t="str">
            <v>boys</v>
          </cell>
          <cell r="H306">
            <v>14.981695191769159</v>
          </cell>
          <cell r="I306">
            <v>2.7544159193419526</v>
          </cell>
          <cell r="J306">
            <v>44868</v>
          </cell>
          <cell r="K306">
            <v>38391</v>
          </cell>
          <cell r="L306">
            <v>17.736111111111111</v>
          </cell>
        </row>
        <row r="307">
          <cell r="B307">
            <v>645</v>
          </cell>
          <cell r="C307" t="str">
            <v>round1</v>
          </cell>
          <cell r="D307">
            <v>2005</v>
          </cell>
          <cell r="E307" t="str">
            <v>boysU18</v>
          </cell>
          <cell r="F307" t="str">
            <v>football</v>
          </cell>
          <cell r="G307" t="str">
            <v>boys</v>
          </cell>
          <cell r="H307">
            <v>13.813585137019468</v>
          </cell>
          <cell r="I307">
            <v>3.8558593074249767</v>
          </cell>
          <cell r="J307">
            <v>44868</v>
          </cell>
          <cell r="K307">
            <v>38413</v>
          </cell>
          <cell r="L307">
            <v>17.669444444444444</v>
          </cell>
        </row>
        <row r="308">
          <cell r="B308">
            <v>646</v>
          </cell>
          <cell r="C308" t="str">
            <v>round1</v>
          </cell>
          <cell r="D308">
            <v>2005</v>
          </cell>
          <cell r="E308" t="str">
            <v>boysU18</v>
          </cell>
          <cell r="F308" t="str">
            <v>football</v>
          </cell>
          <cell r="G308" t="str">
            <v>boys</v>
          </cell>
          <cell r="H308">
            <v>13.654401154121707</v>
          </cell>
          <cell r="I308">
            <v>3.5344877347671817</v>
          </cell>
          <cell r="J308">
            <v>44868</v>
          </cell>
          <cell r="K308">
            <v>38589</v>
          </cell>
          <cell r="L308">
            <v>17.18888888888889</v>
          </cell>
        </row>
        <row r="309">
          <cell r="B309">
            <v>647</v>
          </cell>
          <cell r="C309" t="str">
            <v>round1</v>
          </cell>
          <cell r="D309">
            <v>2005</v>
          </cell>
          <cell r="E309" t="str">
            <v>boysU18</v>
          </cell>
          <cell r="F309" t="str">
            <v>football</v>
          </cell>
          <cell r="G309" t="str">
            <v>boys</v>
          </cell>
          <cell r="H309">
            <v>13.429360498155928</v>
          </cell>
          <cell r="I309">
            <v>3.878972835177406</v>
          </cell>
          <cell r="J309">
            <v>44868</v>
          </cell>
          <cell r="K309">
            <v>38545</v>
          </cell>
          <cell r="L309">
            <v>17.308333333333334</v>
          </cell>
        </row>
        <row r="310">
          <cell r="B310">
            <v>651</v>
          </cell>
          <cell r="C310" t="str">
            <v>round1</v>
          </cell>
          <cell r="D310">
            <v>2009</v>
          </cell>
          <cell r="E310" t="str">
            <v>boysU14</v>
          </cell>
          <cell r="F310" t="str">
            <v>football</v>
          </cell>
          <cell r="G310" t="str">
            <v>boys</v>
          </cell>
          <cell r="H310">
            <v>14.233649516601513</v>
          </cell>
          <cell r="I310">
            <v>-1.0725384054904012</v>
          </cell>
          <cell r="J310">
            <v>44868</v>
          </cell>
          <cell r="K310">
            <v>40061</v>
          </cell>
          <cell r="L310">
            <v>13.161111111111111</v>
          </cell>
        </row>
        <row r="311">
          <cell r="B311">
            <v>652</v>
          </cell>
          <cell r="C311" t="str">
            <v>round1</v>
          </cell>
          <cell r="D311">
            <v>2009</v>
          </cell>
          <cell r="E311" t="str">
            <v>boysU14</v>
          </cell>
          <cell r="F311" t="str">
            <v>football</v>
          </cell>
          <cell r="G311" t="str">
            <v>boys</v>
          </cell>
          <cell r="H311">
            <v>14.595601539516309</v>
          </cell>
          <cell r="I311">
            <v>-1.3372682061829773</v>
          </cell>
          <cell r="J311">
            <v>44868</v>
          </cell>
          <cell r="K311">
            <v>40025</v>
          </cell>
          <cell r="L311">
            <v>13.258333333333333</v>
          </cell>
        </row>
        <row r="312">
          <cell r="B312">
            <v>653</v>
          </cell>
          <cell r="C312" t="str">
            <v>round1</v>
          </cell>
          <cell r="D312">
            <v>2009</v>
          </cell>
          <cell r="E312" t="str">
            <v>boysU14</v>
          </cell>
          <cell r="F312" t="str">
            <v>football</v>
          </cell>
          <cell r="G312" t="str">
            <v>boys</v>
          </cell>
          <cell r="H312">
            <v>13.916741315293033</v>
          </cell>
          <cell r="I312">
            <v>-0.552852426404143</v>
          </cell>
          <cell r="J312">
            <v>44868</v>
          </cell>
          <cell r="K312">
            <v>39986</v>
          </cell>
          <cell r="L312">
            <v>13.363888888888889</v>
          </cell>
        </row>
        <row r="313">
          <cell r="B313">
            <v>655</v>
          </cell>
          <cell r="C313" t="str">
            <v>round1</v>
          </cell>
          <cell r="D313">
            <v>2009</v>
          </cell>
          <cell r="E313" t="str">
            <v>boysU14</v>
          </cell>
          <cell r="F313" t="str">
            <v>football</v>
          </cell>
          <cell r="G313" t="str">
            <v>boys</v>
          </cell>
          <cell r="H313">
            <v>13.780415697922967</v>
          </cell>
          <cell r="I313">
            <v>-0.13319347570074436</v>
          </cell>
          <cell r="J313">
            <v>44868</v>
          </cell>
          <cell r="K313">
            <v>39882</v>
          </cell>
          <cell r="L313">
            <v>13.647222222222222</v>
          </cell>
        </row>
        <row r="314">
          <cell r="B314">
            <v>656</v>
          </cell>
          <cell r="C314" t="str">
            <v>round1</v>
          </cell>
          <cell r="D314">
            <v>2009</v>
          </cell>
          <cell r="E314" t="str">
            <v>boysU14</v>
          </cell>
          <cell r="F314" t="str">
            <v>football</v>
          </cell>
          <cell r="G314" t="str">
            <v>boys</v>
          </cell>
          <cell r="H314">
            <v>13.771094144766705</v>
          </cell>
          <cell r="I314">
            <v>-0.5210941447667049</v>
          </cell>
          <cell r="J314">
            <v>44868</v>
          </cell>
          <cell r="K314">
            <v>40028</v>
          </cell>
          <cell r="L314">
            <v>13.25</v>
          </cell>
        </row>
        <row r="315">
          <cell r="B315">
            <v>657</v>
          </cell>
          <cell r="C315" t="str">
            <v>round1</v>
          </cell>
          <cell r="D315">
            <v>2009</v>
          </cell>
          <cell r="E315" t="str">
            <v>boysU14</v>
          </cell>
          <cell r="F315" t="str">
            <v>football</v>
          </cell>
          <cell r="G315" t="str">
            <v>boys</v>
          </cell>
          <cell r="H315">
            <v>13.845704752344499</v>
          </cell>
          <cell r="I315">
            <v>-0.66514919678894335</v>
          </cell>
          <cell r="J315">
            <v>44868</v>
          </cell>
          <cell r="K315">
            <v>40053</v>
          </cell>
          <cell r="L315">
            <v>13.180555555555555</v>
          </cell>
        </row>
        <row r="316">
          <cell r="B316">
            <v>658</v>
          </cell>
          <cell r="C316" t="str">
            <v>round1</v>
          </cell>
          <cell r="D316">
            <v>2009</v>
          </cell>
          <cell r="E316" t="str">
            <v>boysU14</v>
          </cell>
          <cell r="F316" t="str">
            <v>football</v>
          </cell>
          <cell r="G316" t="str">
            <v>boys</v>
          </cell>
          <cell r="H316">
            <v>14.32709571649219</v>
          </cell>
          <cell r="I316">
            <v>-0.89098460538107838</v>
          </cell>
          <cell r="J316">
            <v>44868</v>
          </cell>
          <cell r="K316">
            <v>39959</v>
          </cell>
          <cell r="L316">
            <v>13.436111111111112</v>
          </cell>
        </row>
        <row r="317">
          <cell r="B317">
            <v>659</v>
          </cell>
          <cell r="C317" t="str">
            <v>round1</v>
          </cell>
          <cell r="D317">
            <v>2009</v>
          </cell>
          <cell r="E317" t="str">
            <v>boysU14</v>
          </cell>
          <cell r="F317" t="str">
            <v>football</v>
          </cell>
          <cell r="G317" t="str">
            <v>boys</v>
          </cell>
          <cell r="H317">
            <v>14.877036783089537</v>
          </cell>
          <cell r="I317">
            <v>-1.1325923386450927</v>
          </cell>
          <cell r="J317">
            <v>44868</v>
          </cell>
          <cell r="K317">
            <v>39849</v>
          </cell>
          <cell r="L317">
            <v>13.744444444444444</v>
          </cell>
        </row>
        <row r="318">
          <cell r="B318">
            <v>660</v>
          </cell>
          <cell r="C318" t="str">
            <v>round1</v>
          </cell>
          <cell r="D318">
            <v>2009</v>
          </cell>
          <cell r="E318" t="str">
            <v>boysU14</v>
          </cell>
          <cell r="F318" t="str">
            <v>football</v>
          </cell>
          <cell r="G318" t="str">
            <v>boys</v>
          </cell>
          <cell r="H318">
            <v>13.058894077423048</v>
          </cell>
          <cell r="I318">
            <v>0.72721703368806345</v>
          </cell>
          <cell r="J318">
            <v>44868</v>
          </cell>
          <cell r="K318">
            <v>39833</v>
          </cell>
          <cell r="L318">
            <v>13.786111111111111</v>
          </cell>
        </row>
        <row r="319">
          <cell r="B319">
            <v>661</v>
          </cell>
          <cell r="C319" t="str">
            <v>round1</v>
          </cell>
          <cell r="D319">
            <v>2009</v>
          </cell>
          <cell r="E319" t="str">
            <v>boysU14</v>
          </cell>
          <cell r="F319" t="str">
            <v>football</v>
          </cell>
          <cell r="G319" t="str">
            <v>boys</v>
          </cell>
          <cell r="H319">
            <v>14.351839013833334</v>
          </cell>
          <cell r="I319">
            <v>-1.1685056805000005</v>
          </cell>
          <cell r="J319">
            <v>44868</v>
          </cell>
          <cell r="K319">
            <v>40052</v>
          </cell>
          <cell r="L319">
            <v>13.183333333333334</v>
          </cell>
        </row>
        <row r="320">
          <cell r="B320">
            <v>662</v>
          </cell>
          <cell r="C320" t="str">
            <v>round1</v>
          </cell>
          <cell r="D320">
            <v>2009</v>
          </cell>
          <cell r="E320" t="str">
            <v>boysU14</v>
          </cell>
          <cell r="F320" t="str">
            <v>football</v>
          </cell>
          <cell r="G320" t="str">
            <v>boys</v>
          </cell>
          <cell r="H320">
            <v>14.188531844014658</v>
          </cell>
          <cell r="I320">
            <v>-0.79686517734799134</v>
          </cell>
          <cell r="J320">
            <v>44868</v>
          </cell>
          <cell r="K320">
            <v>39976</v>
          </cell>
          <cell r="L320">
            <v>13.391666666666667</v>
          </cell>
        </row>
        <row r="321">
          <cell r="B321">
            <v>663</v>
          </cell>
          <cell r="C321" t="str">
            <v>round1</v>
          </cell>
          <cell r="D321">
            <v>2009</v>
          </cell>
          <cell r="E321" t="str">
            <v>boysU14</v>
          </cell>
          <cell r="F321" t="str">
            <v>football</v>
          </cell>
          <cell r="G321" t="str">
            <v>boys</v>
          </cell>
          <cell r="H321">
            <v>13.384604523020684</v>
          </cell>
          <cell r="I321">
            <v>-6.7937856354016946E-2</v>
          </cell>
          <cell r="J321">
            <v>44868</v>
          </cell>
          <cell r="K321">
            <v>40003</v>
          </cell>
          <cell r="L321">
            <v>13.316666666666666</v>
          </cell>
        </row>
        <row r="322">
          <cell r="B322">
            <v>664</v>
          </cell>
          <cell r="C322" t="str">
            <v>round1</v>
          </cell>
          <cell r="D322">
            <v>2009</v>
          </cell>
          <cell r="E322" t="str">
            <v>boysU14</v>
          </cell>
          <cell r="F322" t="str">
            <v>football</v>
          </cell>
          <cell r="G322" t="str">
            <v>boys</v>
          </cell>
          <cell r="H322">
            <v>13.389317016472669</v>
          </cell>
          <cell r="I322">
            <v>-0.30876146091711332</v>
          </cell>
          <cell r="J322">
            <v>44868</v>
          </cell>
          <cell r="K322">
            <v>40090</v>
          </cell>
          <cell r="L322">
            <v>13.080555555555556</v>
          </cell>
        </row>
        <row r="323">
          <cell r="B323">
            <v>665</v>
          </cell>
          <cell r="C323" t="str">
            <v>round1</v>
          </cell>
          <cell r="D323">
            <v>2009</v>
          </cell>
          <cell r="E323" t="str">
            <v>boysU14</v>
          </cell>
          <cell r="F323" t="str">
            <v>football</v>
          </cell>
          <cell r="G323" t="str">
            <v>boys</v>
          </cell>
          <cell r="H323">
            <v>12.776615191611111</v>
          </cell>
          <cell r="I323">
            <v>0.85949591949999971</v>
          </cell>
          <cell r="J323">
            <v>44868</v>
          </cell>
          <cell r="K323">
            <v>39886</v>
          </cell>
          <cell r="L323">
            <v>13.636111111111111</v>
          </cell>
        </row>
        <row r="324">
          <cell r="B324">
            <v>666</v>
          </cell>
          <cell r="C324" t="str">
            <v>round1</v>
          </cell>
          <cell r="D324">
            <v>2009</v>
          </cell>
          <cell r="E324" t="str">
            <v>boysU14</v>
          </cell>
          <cell r="F324" t="str">
            <v>football</v>
          </cell>
          <cell r="G324" t="str">
            <v>boys</v>
          </cell>
          <cell r="H324">
            <v>15.409771903101687</v>
          </cell>
          <cell r="I324">
            <v>-1.7931052364350204</v>
          </cell>
          <cell r="J324">
            <v>44868</v>
          </cell>
          <cell r="K324">
            <v>39893</v>
          </cell>
          <cell r="L324">
            <v>13.616666666666667</v>
          </cell>
        </row>
        <row r="325">
          <cell r="B325">
            <v>667</v>
          </cell>
          <cell r="C325" t="str">
            <v>round1</v>
          </cell>
          <cell r="D325">
            <v>2009</v>
          </cell>
          <cell r="E325" t="str">
            <v>boysU14</v>
          </cell>
          <cell r="F325" t="str">
            <v>football</v>
          </cell>
          <cell r="G325" t="str">
            <v>boys</v>
          </cell>
          <cell r="H325">
            <v>14.174825809619177</v>
          </cell>
          <cell r="I325">
            <v>-0.43871469850806721</v>
          </cell>
          <cell r="J325">
            <v>44868</v>
          </cell>
          <cell r="K325">
            <v>39852</v>
          </cell>
          <cell r="L325">
            <v>13.736111111111111</v>
          </cell>
        </row>
        <row r="326">
          <cell r="B326">
            <v>668</v>
          </cell>
          <cell r="C326" t="str">
            <v>round1</v>
          </cell>
          <cell r="D326">
            <v>2007</v>
          </cell>
          <cell r="E326" t="str">
            <v>boysU16</v>
          </cell>
          <cell r="F326" t="str">
            <v>football</v>
          </cell>
          <cell r="G326" t="str">
            <v>boys</v>
          </cell>
          <cell r="H326">
            <v>14.381314166903373</v>
          </cell>
          <cell r="I326">
            <v>0.85201916642996056</v>
          </cell>
          <cell r="J326">
            <v>44874</v>
          </cell>
          <cell r="K326">
            <v>39309</v>
          </cell>
          <cell r="L326">
            <v>15.233333333333333</v>
          </cell>
        </row>
        <row r="327">
          <cell r="B327">
            <v>669</v>
          </cell>
          <cell r="C327" t="str">
            <v>round1</v>
          </cell>
          <cell r="D327">
            <v>2007</v>
          </cell>
          <cell r="E327" t="str">
            <v>boysU16</v>
          </cell>
          <cell r="F327" t="str">
            <v>football</v>
          </cell>
          <cell r="G327" t="str">
            <v>boys</v>
          </cell>
          <cell r="H327">
            <v>13.405338828556644</v>
          </cell>
          <cell r="I327">
            <v>1.641883393665579</v>
          </cell>
          <cell r="J327">
            <v>44874</v>
          </cell>
          <cell r="K327">
            <v>39377</v>
          </cell>
          <cell r="L327">
            <v>15.047222222222222</v>
          </cell>
        </row>
        <row r="328">
          <cell r="B328">
            <v>670</v>
          </cell>
          <cell r="C328" t="str">
            <v>round1</v>
          </cell>
          <cell r="D328">
            <v>2007</v>
          </cell>
          <cell r="E328" t="str">
            <v>boysU16</v>
          </cell>
          <cell r="F328" t="str">
            <v>football</v>
          </cell>
          <cell r="G328" t="str">
            <v>boys</v>
          </cell>
          <cell r="H328">
            <v>14.365105016061303</v>
          </cell>
          <cell r="I328">
            <v>0.59045053949425264</v>
          </cell>
          <cell r="J328">
            <v>44874</v>
          </cell>
          <cell r="K328">
            <v>39411</v>
          </cell>
          <cell r="L328">
            <v>14.955555555555556</v>
          </cell>
        </row>
        <row r="329">
          <cell r="B329">
            <v>671</v>
          </cell>
          <cell r="C329" t="str">
            <v>round1</v>
          </cell>
          <cell r="D329">
            <v>2007</v>
          </cell>
          <cell r="E329" t="str">
            <v>boysU16</v>
          </cell>
          <cell r="F329" t="str">
            <v>football</v>
          </cell>
          <cell r="G329" t="str">
            <v>boys</v>
          </cell>
          <cell r="H329">
            <v>14.031211062997599</v>
          </cell>
          <cell r="I329">
            <v>1.4715667147801788</v>
          </cell>
          <cell r="J329">
            <v>44874</v>
          </cell>
          <cell r="K329">
            <v>39210</v>
          </cell>
          <cell r="L329">
            <v>15.502777777777778</v>
          </cell>
        </row>
        <row r="330">
          <cell r="B330">
            <v>672</v>
          </cell>
          <cell r="C330" t="str">
            <v>round1</v>
          </cell>
          <cell r="D330">
            <v>2007</v>
          </cell>
          <cell r="E330" t="str">
            <v>boysU16</v>
          </cell>
          <cell r="F330" t="str">
            <v>football</v>
          </cell>
          <cell r="G330" t="str">
            <v>boys</v>
          </cell>
          <cell r="H330">
            <v>13.876975759293371</v>
          </cell>
          <cell r="I330">
            <v>1.1924686851510735</v>
          </cell>
          <cell r="J330">
            <v>44874</v>
          </cell>
          <cell r="K330">
            <v>39369</v>
          </cell>
          <cell r="L330">
            <v>15.069444444444445</v>
          </cell>
        </row>
        <row r="331">
          <cell r="B331">
            <v>673</v>
          </cell>
          <cell r="C331" t="str">
            <v>round1</v>
          </cell>
          <cell r="D331">
            <v>2007</v>
          </cell>
          <cell r="E331" t="str">
            <v>boysU16</v>
          </cell>
          <cell r="F331" t="str">
            <v>football</v>
          </cell>
          <cell r="G331" t="str">
            <v>boys</v>
          </cell>
          <cell r="H331">
            <v>13.854102142489799</v>
          </cell>
          <cell r="I331">
            <v>1.2542311908435342</v>
          </cell>
          <cell r="J331">
            <v>44874</v>
          </cell>
          <cell r="K331">
            <v>39355</v>
          </cell>
          <cell r="L331">
            <v>15.108333333333333</v>
          </cell>
        </row>
        <row r="332">
          <cell r="B332">
            <v>674</v>
          </cell>
          <cell r="C332" t="str">
            <v>round1</v>
          </cell>
          <cell r="D332">
            <v>2007</v>
          </cell>
          <cell r="E332" t="str">
            <v>boysU16</v>
          </cell>
          <cell r="F332" t="str">
            <v>football</v>
          </cell>
          <cell r="G332" t="str">
            <v>boys</v>
          </cell>
          <cell r="H332">
            <v>13.502203277205819</v>
          </cell>
          <cell r="I332">
            <v>2.2616856116830695</v>
          </cell>
          <cell r="J332">
            <v>44874</v>
          </cell>
          <cell r="K332">
            <v>39117</v>
          </cell>
          <cell r="L332">
            <v>15.763888888888889</v>
          </cell>
        </row>
        <row r="333">
          <cell r="B333">
            <v>675</v>
          </cell>
          <cell r="C333" t="str">
            <v>round1</v>
          </cell>
          <cell r="D333">
            <v>2007</v>
          </cell>
          <cell r="E333" t="str">
            <v>boysU16</v>
          </cell>
          <cell r="F333" t="str">
            <v>football</v>
          </cell>
          <cell r="G333" t="str">
            <v>boys</v>
          </cell>
          <cell r="H333">
            <v>13.732122011242177</v>
          </cell>
          <cell r="I333">
            <v>1.3567668776467114</v>
          </cell>
          <cell r="J333">
            <v>44874</v>
          </cell>
          <cell r="K333">
            <v>39362</v>
          </cell>
          <cell r="L333">
            <v>15.088888888888889</v>
          </cell>
        </row>
        <row r="334">
          <cell r="B334">
            <v>673</v>
          </cell>
          <cell r="C334" t="str">
            <v>round2</v>
          </cell>
          <cell r="D334">
            <v>2007</v>
          </cell>
          <cell r="E334" t="str">
            <v>boysU16</v>
          </cell>
          <cell r="F334" t="str">
            <v>football</v>
          </cell>
          <cell r="G334" t="str">
            <v>boys</v>
          </cell>
          <cell r="J334">
            <v>45250</v>
          </cell>
          <cell r="K334">
            <v>39355</v>
          </cell>
          <cell r="L334">
            <v>16.138888888888889</v>
          </cell>
        </row>
        <row r="335">
          <cell r="B335">
            <v>681</v>
          </cell>
          <cell r="C335" t="str">
            <v>round1</v>
          </cell>
          <cell r="D335">
            <v>2005</v>
          </cell>
          <cell r="E335" t="str">
            <v>boysU18</v>
          </cell>
          <cell r="F335" t="str">
            <v>football</v>
          </cell>
          <cell r="G335" t="str">
            <v>boys</v>
          </cell>
          <cell r="H335">
            <v>14.658161727856564</v>
          </cell>
          <cell r="I335">
            <v>3.019616049921213</v>
          </cell>
          <cell r="J335">
            <v>44899</v>
          </cell>
          <cell r="K335">
            <v>38442</v>
          </cell>
          <cell r="L335">
            <v>17.677777777777777</v>
          </cell>
        </row>
        <row r="336">
          <cell r="B336">
            <v>682</v>
          </cell>
          <cell r="C336" t="str">
            <v>round1</v>
          </cell>
          <cell r="D336">
            <v>2005</v>
          </cell>
          <cell r="E336" t="str">
            <v>boysU18</v>
          </cell>
          <cell r="F336" t="str">
            <v>football</v>
          </cell>
          <cell r="G336" t="str">
            <v>boys</v>
          </cell>
          <cell r="H336">
            <v>13.494412605376674</v>
          </cell>
          <cell r="I336">
            <v>3.9444762835122171</v>
          </cell>
          <cell r="J336">
            <v>44899</v>
          </cell>
          <cell r="K336">
            <v>38529</v>
          </cell>
          <cell r="L336">
            <v>17.43888888888889</v>
          </cell>
        </row>
        <row r="337">
          <cell r="B337">
            <v>683</v>
          </cell>
          <cell r="C337" t="str">
            <v>round1</v>
          </cell>
          <cell r="D337">
            <v>2007</v>
          </cell>
          <cell r="E337" t="str">
            <v>boysU16</v>
          </cell>
          <cell r="F337" t="str">
            <v>football</v>
          </cell>
          <cell r="G337" t="str">
            <v>boys</v>
          </cell>
          <cell r="H337">
            <v>12.706877369195071</v>
          </cell>
          <cell r="I337">
            <v>2.4209004085827068</v>
          </cell>
          <cell r="J337">
            <v>44899</v>
          </cell>
          <cell r="K337">
            <v>39373</v>
          </cell>
          <cell r="L337">
            <v>15.127777777777778</v>
          </cell>
        </row>
        <row r="338">
          <cell r="B338">
            <v>684</v>
          </cell>
          <cell r="C338" t="str">
            <v>round1</v>
          </cell>
          <cell r="D338">
            <v>2007</v>
          </cell>
          <cell r="E338" t="str">
            <v>boysU16</v>
          </cell>
          <cell r="F338" t="str">
            <v>football</v>
          </cell>
          <cell r="G338" t="str">
            <v>boys</v>
          </cell>
          <cell r="H338">
            <v>13.421737921972454</v>
          </cell>
          <cell r="I338">
            <v>2.4338176335831028</v>
          </cell>
          <cell r="J338">
            <v>44899</v>
          </cell>
          <cell r="K338">
            <v>39108</v>
          </cell>
          <cell r="L338">
            <v>15.855555555555556</v>
          </cell>
        </row>
        <row r="339">
          <cell r="B339">
            <v>685</v>
          </cell>
          <cell r="C339" t="str">
            <v>round1</v>
          </cell>
          <cell r="D339">
            <v>2007</v>
          </cell>
          <cell r="E339" t="str">
            <v>boysU16</v>
          </cell>
          <cell r="F339" t="str">
            <v>football</v>
          </cell>
          <cell r="G339" t="str">
            <v>boys</v>
          </cell>
          <cell r="H339">
            <v>13.606387384446652</v>
          </cell>
          <cell r="I339">
            <v>2.2186126155533477</v>
          </cell>
          <cell r="J339">
            <v>44899</v>
          </cell>
          <cell r="K339">
            <v>39120</v>
          </cell>
          <cell r="L339">
            <v>15.824999999999999</v>
          </cell>
        </row>
        <row r="340">
          <cell r="B340">
            <v>686</v>
          </cell>
          <cell r="C340" t="str">
            <v>round1</v>
          </cell>
          <cell r="D340">
            <v>2007</v>
          </cell>
          <cell r="E340" t="str">
            <v>boysU16</v>
          </cell>
          <cell r="F340" t="str">
            <v>football</v>
          </cell>
          <cell r="G340" t="str">
            <v>boys</v>
          </cell>
          <cell r="H340">
            <v>14.040348324938273</v>
          </cell>
          <cell r="I340">
            <v>1.7874294528395043</v>
          </cell>
          <cell r="J340">
            <v>44899</v>
          </cell>
          <cell r="K340">
            <v>39119</v>
          </cell>
          <cell r="L340">
            <v>15.827777777777778</v>
          </cell>
        </row>
        <row r="341">
          <cell r="B341">
            <v>687</v>
          </cell>
          <cell r="C341" t="str">
            <v>round1</v>
          </cell>
          <cell r="D341">
            <v>2007</v>
          </cell>
          <cell r="E341" t="str">
            <v>boysU16</v>
          </cell>
          <cell r="F341" t="str">
            <v>football</v>
          </cell>
          <cell r="G341" t="str">
            <v>boys</v>
          </cell>
          <cell r="H341">
            <v>13.893651317625979</v>
          </cell>
          <cell r="I341">
            <v>1.2785709045962435</v>
          </cell>
          <cell r="J341">
            <v>44903</v>
          </cell>
          <cell r="K341">
            <v>39361</v>
          </cell>
          <cell r="L341">
            <v>15.172222222222222</v>
          </cell>
        </row>
        <row r="342">
          <cell r="B342">
            <v>688</v>
          </cell>
          <cell r="C342" t="str">
            <v>round1</v>
          </cell>
          <cell r="D342">
            <v>2007</v>
          </cell>
          <cell r="E342" t="str">
            <v>boysU16</v>
          </cell>
          <cell r="F342" t="str">
            <v>football</v>
          </cell>
          <cell r="G342" t="str">
            <v>boys</v>
          </cell>
          <cell r="H342">
            <v>14.498024020221415</v>
          </cell>
          <cell r="I342">
            <v>0.57697597977858428</v>
          </cell>
          <cell r="J342">
            <v>44903</v>
          </cell>
          <cell r="K342">
            <v>39397</v>
          </cell>
          <cell r="L342">
            <v>15.074999999999999</v>
          </cell>
        </row>
        <row r="343">
          <cell r="B343">
            <v>689</v>
          </cell>
          <cell r="C343" t="str">
            <v>round1</v>
          </cell>
          <cell r="D343">
            <v>2007</v>
          </cell>
          <cell r="E343" t="str">
            <v>boysU16</v>
          </cell>
          <cell r="F343" t="str">
            <v>football</v>
          </cell>
          <cell r="G343" t="str">
            <v>boys</v>
          </cell>
          <cell r="H343">
            <v>13.144108112679913</v>
          </cell>
          <cell r="I343">
            <v>2.3531141095423083</v>
          </cell>
          <cell r="J343">
            <v>44903</v>
          </cell>
          <cell r="K343">
            <v>39242</v>
          </cell>
          <cell r="L343">
            <v>15.497222222222222</v>
          </cell>
        </row>
        <row r="344">
          <cell r="B344">
            <v>690</v>
          </cell>
          <cell r="C344" t="str">
            <v>round1</v>
          </cell>
          <cell r="D344">
            <v>2007</v>
          </cell>
          <cell r="E344" t="str">
            <v>boysU16</v>
          </cell>
          <cell r="F344" t="str">
            <v>football</v>
          </cell>
          <cell r="G344" t="str">
            <v>boys</v>
          </cell>
          <cell r="H344">
            <v>14.458127025405799</v>
          </cell>
          <cell r="I344">
            <v>0.92242853014975768</v>
          </cell>
          <cell r="J344">
            <v>44903</v>
          </cell>
          <cell r="K344">
            <v>39284</v>
          </cell>
          <cell r="L344">
            <v>15.380555555555556</v>
          </cell>
        </row>
        <row r="345">
          <cell r="B345">
            <v>691</v>
          </cell>
          <cell r="C345" t="str">
            <v>round1</v>
          </cell>
          <cell r="D345">
            <v>2007</v>
          </cell>
          <cell r="E345" t="str">
            <v>boysU16</v>
          </cell>
          <cell r="F345" t="str">
            <v>football</v>
          </cell>
          <cell r="G345" t="str">
            <v>boys</v>
          </cell>
          <cell r="H345">
            <v>14.162311155281031</v>
          </cell>
          <cell r="I345">
            <v>1.0654666224967468</v>
          </cell>
          <cell r="J345">
            <v>44903</v>
          </cell>
          <cell r="K345">
            <v>39341</v>
          </cell>
          <cell r="L345">
            <v>15.227777777777778</v>
          </cell>
        </row>
        <row r="346">
          <cell r="B346">
            <v>693</v>
          </cell>
          <cell r="C346" t="str">
            <v>round1</v>
          </cell>
          <cell r="D346">
            <v>2007</v>
          </cell>
          <cell r="E346" t="str">
            <v>boysU16</v>
          </cell>
          <cell r="F346" t="str">
            <v>football</v>
          </cell>
          <cell r="G346" t="str">
            <v>boys</v>
          </cell>
          <cell r="H346">
            <v>13.592508268020541</v>
          </cell>
          <cell r="I346">
            <v>1.8838082458683436</v>
          </cell>
          <cell r="J346">
            <v>44913</v>
          </cell>
          <cell r="K346">
            <v>39261</v>
          </cell>
          <cell r="L346">
            <v>15.472222222222221</v>
          </cell>
        </row>
        <row r="347">
          <cell r="B347">
            <v>694</v>
          </cell>
          <cell r="C347" t="str">
            <v>round1</v>
          </cell>
          <cell r="D347">
            <v>2007</v>
          </cell>
          <cell r="E347" t="str">
            <v>boysU16</v>
          </cell>
          <cell r="F347" t="str">
            <v>football</v>
          </cell>
          <cell r="G347" t="str">
            <v>boys</v>
          </cell>
          <cell r="H347">
            <v>14.685410467806687</v>
          </cell>
          <cell r="I347">
            <v>1.1007006433044255</v>
          </cell>
          <cell r="J347">
            <v>44913</v>
          </cell>
          <cell r="K347">
            <v>39146</v>
          </cell>
          <cell r="L347">
            <v>15.786111111111111</v>
          </cell>
        </row>
        <row r="348">
          <cell r="B348">
            <v>695</v>
          </cell>
          <cell r="C348" t="str">
            <v>round1</v>
          </cell>
          <cell r="D348">
            <v>2007</v>
          </cell>
          <cell r="E348" t="str">
            <v>boysU16</v>
          </cell>
          <cell r="F348" t="str">
            <v>football</v>
          </cell>
          <cell r="G348" t="str">
            <v>boys</v>
          </cell>
          <cell r="H348">
            <v>14.534044136904765</v>
          </cell>
          <cell r="I348">
            <v>1.2187336408730141</v>
          </cell>
          <cell r="J348">
            <v>44913</v>
          </cell>
          <cell r="K348">
            <v>39158</v>
          </cell>
          <cell r="L348">
            <v>15.752777777777778</v>
          </cell>
        </row>
        <row r="349">
          <cell r="B349">
            <v>801</v>
          </cell>
          <cell r="C349" t="str">
            <v>round1</v>
          </cell>
          <cell r="D349">
            <v>2008</v>
          </cell>
          <cell r="E349" t="str">
            <v>girlsU16</v>
          </cell>
          <cell r="F349" t="str">
            <v>handball</v>
          </cell>
          <cell r="G349" t="str">
            <v>girls</v>
          </cell>
          <cell r="H349">
            <v>12.246947063609102</v>
          </cell>
          <cell r="I349">
            <v>2.2752751586131188</v>
          </cell>
          <cell r="J349">
            <v>45062</v>
          </cell>
          <cell r="K349">
            <v>39760</v>
          </cell>
          <cell r="L349">
            <v>14.522222222222222</v>
          </cell>
        </row>
        <row r="350">
          <cell r="B350">
            <v>802</v>
          </cell>
          <cell r="C350" t="str">
            <v>round1</v>
          </cell>
          <cell r="D350">
            <v>2008</v>
          </cell>
          <cell r="E350" t="str">
            <v>girlsU16</v>
          </cell>
          <cell r="F350" t="str">
            <v>handball</v>
          </cell>
          <cell r="G350" t="str">
            <v>girls</v>
          </cell>
          <cell r="J350">
            <v>45062</v>
          </cell>
          <cell r="K350">
            <v>39455</v>
          </cell>
          <cell r="L350">
            <v>15.355555555555556</v>
          </cell>
        </row>
        <row r="351">
          <cell r="B351">
            <v>803</v>
          </cell>
          <cell r="C351" t="str">
            <v>round1</v>
          </cell>
          <cell r="D351">
            <v>2008</v>
          </cell>
          <cell r="E351" t="str">
            <v>girlsU16</v>
          </cell>
          <cell r="F351" t="str">
            <v>handball</v>
          </cell>
          <cell r="G351" t="str">
            <v>girls</v>
          </cell>
          <cell r="J351">
            <v>45062</v>
          </cell>
          <cell r="K351">
            <v>39643</v>
          </cell>
          <cell r="L351">
            <v>14.838888888888889</v>
          </cell>
        </row>
        <row r="352">
          <cell r="B352">
            <v>805</v>
          </cell>
          <cell r="C352" t="str">
            <v>round1</v>
          </cell>
          <cell r="D352">
            <v>2008</v>
          </cell>
          <cell r="E352" t="str">
            <v>girlsU16</v>
          </cell>
          <cell r="F352" t="str">
            <v>handball</v>
          </cell>
          <cell r="G352" t="str">
            <v>girls</v>
          </cell>
          <cell r="J352">
            <v>45062</v>
          </cell>
          <cell r="K352">
            <v>39785</v>
          </cell>
          <cell r="L352">
            <v>14.452777777777778</v>
          </cell>
        </row>
        <row r="353">
          <cell r="B353">
            <v>808</v>
          </cell>
          <cell r="C353" t="str">
            <v>round1</v>
          </cell>
          <cell r="D353">
            <v>2008</v>
          </cell>
          <cell r="E353" t="str">
            <v>girlsU16</v>
          </cell>
          <cell r="F353" t="str">
            <v>handball</v>
          </cell>
          <cell r="G353" t="str">
            <v>girls</v>
          </cell>
          <cell r="J353">
            <v>45062</v>
          </cell>
          <cell r="K353">
            <v>39535</v>
          </cell>
          <cell r="L353">
            <v>15.133333333333333</v>
          </cell>
        </row>
        <row r="354">
          <cell r="B354">
            <v>810</v>
          </cell>
          <cell r="C354" t="str">
            <v>round1</v>
          </cell>
          <cell r="D354">
            <v>2008</v>
          </cell>
          <cell r="E354" t="str">
            <v>girlsU16</v>
          </cell>
          <cell r="F354" t="str">
            <v>handball</v>
          </cell>
          <cell r="G354" t="str">
            <v>girls</v>
          </cell>
          <cell r="H354">
            <v>12.634667308783404</v>
          </cell>
          <cell r="I354">
            <v>2.4486660245499294</v>
          </cell>
          <cell r="J354">
            <v>45062</v>
          </cell>
          <cell r="K354">
            <v>39554</v>
          </cell>
          <cell r="L354">
            <v>15.083333333333334</v>
          </cell>
        </row>
        <row r="355">
          <cell r="B355">
            <v>811</v>
          </cell>
          <cell r="C355" t="str">
            <v>round1</v>
          </cell>
          <cell r="D355">
            <v>2008</v>
          </cell>
          <cell r="E355" t="str">
            <v>girlsU16</v>
          </cell>
          <cell r="F355" t="str">
            <v>handball</v>
          </cell>
          <cell r="G355" t="str">
            <v>girls</v>
          </cell>
          <cell r="H355">
            <v>11.59684119391919</v>
          </cell>
          <cell r="I355">
            <v>2.8642699171919199</v>
          </cell>
          <cell r="J355">
            <v>45062</v>
          </cell>
          <cell r="K355">
            <v>39782</v>
          </cell>
          <cell r="L355">
            <v>14.46111111111111</v>
          </cell>
        </row>
        <row r="356">
          <cell r="B356">
            <v>812</v>
          </cell>
          <cell r="C356" t="str">
            <v>round1</v>
          </cell>
          <cell r="D356">
            <v>2008</v>
          </cell>
          <cell r="E356" t="str">
            <v>girlsU16</v>
          </cell>
          <cell r="F356" t="str">
            <v>handball</v>
          </cell>
          <cell r="G356" t="str">
            <v>girls</v>
          </cell>
          <cell r="H356">
            <v>12.145594964421189</v>
          </cell>
          <cell r="I356">
            <v>2.8488494800232549</v>
          </cell>
          <cell r="J356">
            <v>45062</v>
          </cell>
          <cell r="K356">
            <v>39586</v>
          </cell>
          <cell r="L356">
            <v>14.994444444444444</v>
          </cell>
        </row>
        <row r="357">
          <cell r="B357">
            <v>813</v>
          </cell>
          <cell r="C357" t="str">
            <v>round1</v>
          </cell>
          <cell r="D357">
            <v>2008</v>
          </cell>
          <cell r="E357" t="str">
            <v>girlsU16</v>
          </cell>
          <cell r="F357" t="str">
            <v>handball</v>
          </cell>
          <cell r="G357" t="str">
            <v>girls</v>
          </cell>
          <cell r="H357">
            <v>12.128981361509274</v>
          </cell>
          <cell r="I357">
            <v>2.2543519718240597</v>
          </cell>
          <cell r="J357">
            <v>45062</v>
          </cell>
          <cell r="K357">
            <v>39810</v>
          </cell>
          <cell r="L357">
            <v>14.383333333333333</v>
          </cell>
        </row>
        <row r="358">
          <cell r="B358">
            <v>814</v>
          </cell>
          <cell r="C358" t="str">
            <v>round1</v>
          </cell>
          <cell r="D358">
            <v>2008</v>
          </cell>
          <cell r="E358" t="str">
            <v>girlsU16</v>
          </cell>
          <cell r="F358" t="str">
            <v>handball</v>
          </cell>
          <cell r="G358" t="str">
            <v>girls</v>
          </cell>
          <cell r="H358">
            <v>12.117391633441763</v>
          </cell>
          <cell r="I358">
            <v>3.1326083665582378</v>
          </cell>
          <cell r="J358">
            <v>45062</v>
          </cell>
          <cell r="K358">
            <v>39494</v>
          </cell>
          <cell r="L358">
            <v>15.25</v>
          </cell>
        </row>
        <row r="359">
          <cell r="B359">
            <v>816</v>
          </cell>
          <cell r="C359" t="str">
            <v>round1</v>
          </cell>
          <cell r="D359">
            <v>2008</v>
          </cell>
          <cell r="E359" t="str">
            <v>girlsU16</v>
          </cell>
          <cell r="F359" t="str">
            <v>handball</v>
          </cell>
          <cell r="G359" t="str">
            <v>girls</v>
          </cell>
          <cell r="J359">
            <v>45062</v>
          </cell>
          <cell r="K359">
            <v>39453</v>
          </cell>
          <cell r="L359">
            <v>15.361111111111111</v>
          </cell>
        </row>
        <row r="360">
          <cell r="B360">
            <v>817</v>
          </cell>
          <cell r="C360" t="str">
            <v>round1</v>
          </cell>
          <cell r="D360">
            <v>2008</v>
          </cell>
          <cell r="E360" t="str">
            <v>girlsU16</v>
          </cell>
          <cell r="F360" t="str">
            <v>handball</v>
          </cell>
          <cell r="G360" t="str">
            <v>girls</v>
          </cell>
          <cell r="H360">
            <v>12.440111409298328</v>
          </cell>
          <cell r="I360">
            <v>2.665444146257228</v>
          </cell>
          <cell r="J360">
            <v>45062</v>
          </cell>
          <cell r="K360">
            <v>39546</v>
          </cell>
          <cell r="L360">
            <v>15.105555555555556</v>
          </cell>
        </row>
        <row r="361">
          <cell r="B361">
            <v>818</v>
          </cell>
          <cell r="C361" t="str">
            <v>round1</v>
          </cell>
          <cell r="D361">
            <v>2008</v>
          </cell>
          <cell r="E361" t="str">
            <v>girlsU16</v>
          </cell>
          <cell r="F361" t="str">
            <v>handball</v>
          </cell>
          <cell r="G361" t="str">
            <v>girls</v>
          </cell>
          <cell r="H361">
            <v>12.172319385130802</v>
          </cell>
          <cell r="I361">
            <v>2.7221250593136421</v>
          </cell>
          <cell r="J361">
            <v>45062</v>
          </cell>
          <cell r="K361">
            <v>39623</v>
          </cell>
          <cell r="L361">
            <v>14.894444444444444</v>
          </cell>
        </row>
        <row r="362">
          <cell r="B362">
            <v>819</v>
          </cell>
          <cell r="C362" t="str">
            <v>round1</v>
          </cell>
          <cell r="D362">
            <v>2008</v>
          </cell>
          <cell r="E362" t="str">
            <v>girlsU16</v>
          </cell>
          <cell r="F362" t="str">
            <v>handball</v>
          </cell>
          <cell r="G362" t="str">
            <v>girls</v>
          </cell>
          <cell r="H362">
            <v>12.350846742308944</v>
          </cell>
          <cell r="I362">
            <v>2.3324865910243902</v>
          </cell>
          <cell r="J362">
            <v>45062</v>
          </cell>
          <cell r="K362">
            <v>39701</v>
          </cell>
          <cell r="L362">
            <v>14.683333333333334</v>
          </cell>
        </row>
        <row r="363">
          <cell r="B363">
            <v>820</v>
          </cell>
          <cell r="C363" t="str">
            <v>round1</v>
          </cell>
          <cell r="D363">
            <v>2008</v>
          </cell>
          <cell r="E363" t="str">
            <v>girlsU16</v>
          </cell>
          <cell r="F363" t="str">
            <v>handball</v>
          </cell>
          <cell r="G363" t="str">
            <v>girls</v>
          </cell>
          <cell r="H363">
            <v>12.035031961229764</v>
          </cell>
          <cell r="I363">
            <v>2.7121902609924571</v>
          </cell>
          <cell r="J363">
            <v>45062</v>
          </cell>
          <cell r="K363">
            <v>39677</v>
          </cell>
          <cell r="L363">
            <v>14.747222222222222</v>
          </cell>
        </row>
        <row r="364">
          <cell r="B364">
            <v>821</v>
          </cell>
          <cell r="C364" t="str">
            <v>round1</v>
          </cell>
          <cell r="D364">
            <v>2008</v>
          </cell>
          <cell r="E364" t="str">
            <v>girlsU16</v>
          </cell>
          <cell r="F364" t="str">
            <v>handball</v>
          </cell>
          <cell r="G364" t="str">
            <v>girls</v>
          </cell>
          <cell r="H364">
            <v>12.203523740941176</v>
          </cell>
          <cell r="I364">
            <v>2.9020318146143795</v>
          </cell>
          <cell r="J364">
            <v>45062</v>
          </cell>
          <cell r="K364">
            <v>39546</v>
          </cell>
          <cell r="L364">
            <v>15.105555555555556</v>
          </cell>
        </row>
        <row r="365">
          <cell r="B365">
            <v>823</v>
          </cell>
          <cell r="C365" t="str">
            <v>round1</v>
          </cell>
          <cell r="D365">
            <v>2008</v>
          </cell>
          <cell r="E365" t="str">
            <v>girlsU16</v>
          </cell>
          <cell r="F365" t="str">
            <v>handball</v>
          </cell>
          <cell r="G365" t="str">
            <v>girls</v>
          </cell>
          <cell r="H365">
            <v>12.079332386442026</v>
          </cell>
          <cell r="I365">
            <v>3.1901120580024172</v>
          </cell>
          <cell r="J365">
            <v>45062</v>
          </cell>
          <cell r="K365">
            <v>39487</v>
          </cell>
          <cell r="L365">
            <v>15.269444444444444</v>
          </cell>
        </row>
        <row r="366">
          <cell r="B366">
            <v>824</v>
          </cell>
          <cell r="C366" t="str">
            <v>round1</v>
          </cell>
          <cell r="D366">
            <v>2008</v>
          </cell>
          <cell r="E366" t="str">
            <v>girlsU16</v>
          </cell>
          <cell r="F366" t="str">
            <v>handball</v>
          </cell>
          <cell r="G366" t="str">
            <v>girls</v>
          </cell>
          <cell r="H366" t="e">
            <v>#VALUE!</v>
          </cell>
          <cell r="J366">
            <v>45062</v>
          </cell>
          <cell r="K366" t="str">
            <v>sluttet</v>
          </cell>
          <cell r="L366" t="e">
            <v>#VALUE!</v>
          </cell>
        </row>
        <row r="367">
          <cell r="B367">
            <v>825</v>
          </cell>
          <cell r="C367" t="str">
            <v>round1</v>
          </cell>
          <cell r="D367">
            <v>2008</v>
          </cell>
          <cell r="E367" t="str">
            <v>girlsU16</v>
          </cell>
          <cell r="F367" t="str">
            <v>handball</v>
          </cell>
          <cell r="G367" t="str">
            <v>girls</v>
          </cell>
          <cell r="H367">
            <v>12.159026310046352</v>
          </cell>
          <cell r="I367">
            <v>2.8215292455092036</v>
          </cell>
          <cell r="J367">
            <v>45062</v>
          </cell>
          <cell r="K367">
            <v>39591</v>
          </cell>
          <cell r="L367">
            <v>14.980555555555556</v>
          </cell>
        </row>
        <row r="368">
          <cell r="B368">
            <v>827</v>
          </cell>
          <cell r="C368" t="str">
            <v>round1</v>
          </cell>
          <cell r="D368">
            <v>2008</v>
          </cell>
          <cell r="E368" t="str">
            <v>girlsU16</v>
          </cell>
          <cell r="F368" t="str">
            <v>handball</v>
          </cell>
          <cell r="G368" t="str">
            <v>girls</v>
          </cell>
          <cell r="H368">
            <v>12.343297716357807</v>
          </cell>
          <cell r="I368">
            <v>2.9705911725310816</v>
          </cell>
          <cell r="J368">
            <v>45062</v>
          </cell>
          <cell r="K368">
            <v>39470</v>
          </cell>
          <cell r="L368">
            <v>15.313888888888888</v>
          </cell>
        </row>
        <row r="369">
          <cell r="B369">
            <v>828</v>
          </cell>
          <cell r="C369" t="str">
            <v>round1</v>
          </cell>
          <cell r="D369">
            <v>2008</v>
          </cell>
          <cell r="E369" t="str">
            <v>girlsU16</v>
          </cell>
          <cell r="F369" t="str">
            <v>handball</v>
          </cell>
          <cell r="G369" t="str">
            <v>girls</v>
          </cell>
          <cell r="J369">
            <v>45062</v>
          </cell>
          <cell r="K369">
            <v>39534</v>
          </cell>
          <cell r="L369">
            <v>15.136111111111111</v>
          </cell>
        </row>
        <row r="370">
          <cell r="B370">
            <v>829</v>
          </cell>
          <cell r="C370" t="str">
            <v>round1</v>
          </cell>
          <cell r="D370">
            <v>2008</v>
          </cell>
          <cell r="E370" t="str">
            <v>girlsU16</v>
          </cell>
          <cell r="F370" t="str">
            <v>handball</v>
          </cell>
          <cell r="G370" t="str">
            <v>girls</v>
          </cell>
          <cell r="H370">
            <v>11.33924690497331</v>
          </cell>
          <cell r="I370">
            <v>3.2496419839155792</v>
          </cell>
          <cell r="J370">
            <v>45062</v>
          </cell>
          <cell r="K370">
            <v>39735</v>
          </cell>
          <cell r="L370">
            <v>14.588888888888889</v>
          </cell>
        </row>
        <row r="371">
          <cell r="B371">
            <v>830</v>
          </cell>
          <cell r="C371" t="str">
            <v>round1</v>
          </cell>
          <cell r="D371">
            <v>2008</v>
          </cell>
          <cell r="E371" t="str">
            <v>girlsU16</v>
          </cell>
          <cell r="F371" t="str">
            <v>handball</v>
          </cell>
          <cell r="G371" t="str">
            <v>girls</v>
          </cell>
          <cell r="H371">
            <v>12.815687194121264</v>
          </cell>
          <cell r="I371">
            <v>2.539868361434293</v>
          </cell>
          <cell r="J371">
            <v>45062</v>
          </cell>
          <cell r="K371">
            <v>39455</v>
          </cell>
          <cell r="L371">
            <v>15.355555555555556</v>
          </cell>
        </row>
        <row r="372">
          <cell r="B372">
            <v>835</v>
          </cell>
          <cell r="C372" t="str">
            <v>round1</v>
          </cell>
          <cell r="D372">
            <v>2010</v>
          </cell>
          <cell r="E372" t="str">
            <v>girlsU14</v>
          </cell>
          <cell r="F372" t="str">
            <v>handball</v>
          </cell>
          <cell r="G372" t="str">
            <v>girls</v>
          </cell>
          <cell r="H372">
            <v>11.794288768471013</v>
          </cell>
          <cell r="I372">
            <v>1.1251556759734307</v>
          </cell>
          <cell r="J372">
            <v>45076</v>
          </cell>
          <cell r="K372">
            <v>40358</v>
          </cell>
          <cell r="L372">
            <v>12.919444444444444</v>
          </cell>
        </row>
        <row r="373">
          <cell r="B373">
            <v>836</v>
          </cell>
          <cell r="C373" t="str">
            <v>round1</v>
          </cell>
          <cell r="D373">
            <v>2010</v>
          </cell>
          <cell r="E373" t="str">
            <v>girlsU14</v>
          </cell>
          <cell r="F373" t="str">
            <v>handball</v>
          </cell>
          <cell r="G373" t="str">
            <v>girls</v>
          </cell>
          <cell r="H373">
            <v>12.706079398144619</v>
          </cell>
          <cell r="I373">
            <v>0.49114282407760412</v>
          </cell>
          <cell r="J373">
            <v>45076</v>
          </cell>
          <cell r="K373">
            <v>40256</v>
          </cell>
          <cell r="L373">
            <v>13.197222222222223</v>
          </cell>
        </row>
        <row r="374">
          <cell r="B374">
            <v>837</v>
          </cell>
          <cell r="C374" t="str">
            <v>round1</v>
          </cell>
          <cell r="D374">
            <v>2010</v>
          </cell>
          <cell r="E374" t="str">
            <v>girlsU14</v>
          </cell>
          <cell r="F374" t="str">
            <v>handball</v>
          </cell>
          <cell r="G374" t="str">
            <v>girls</v>
          </cell>
          <cell r="H374">
            <v>12.295356344444444</v>
          </cell>
          <cell r="I374">
            <v>0.35742143333333387</v>
          </cell>
          <cell r="J374">
            <v>45076</v>
          </cell>
          <cell r="K374">
            <v>40456</v>
          </cell>
          <cell r="L374">
            <v>12.652777777777779</v>
          </cell>
        </row>
        <row r="375">
          <cell r="B375">
            <v>838</v>
          </cell>
          <cell r="C375" t="str">
            <v>round1</v>
          </cell>
          <cell r="D375">
            <v>2010</v>
          </cell>
          <cell r="E375" t="str">
            <v>girlsU14</v>
          </cell>
          <cell r="F375" t="str">
            <v>handball</v>
          </cell>
          <cell r="G375" t="str">
            <v>girls</v>
          </cell>
          <cell r="H375">
            <v>11.898352467588913</v>
          </cell>
          <cell r="I375">
            <v>0.75442531018886605</v>
          </cell>
          <cell r="J375">
            <v>45076</v>
          </cell>
          <cell r="K375">
            <v>40456</v>
          </cell>
          <cell r="L375">
            <v>12.652777777777779</v>
          </cell>
        </row>
        <row r="376">
          <cell r="B376">
            <v>839</v>
          </cell>
          <cell r="C376" t="str">
            <v>round1</v>
          </cell>
          <cell r="D376">
            <v>2010</v>
          </cell>
          <cell r="E376" t="str">
            <v>girlsU14</v>
          </cell>
          <cell r="F376" t="str">
            <v>handball</v>
          </cell>
          <cell r="G376" t="str">
            <v>girls</v>
          </cell>
          <cell r="J376">
            <v>45076</v>
          </cell>
          <cell r="K376">
            <v>40440</v>
          </cell>
          <cell r="L376">
            <v>12.697222222222223</v>
          </cell>
        </row>
        <row r="377">
          <cell r="B377">
            <v>840</v>
          </cell>
          <cell r="C377" t="str">
            <v>round1</v>
          </cell>
          <cell r="D377">
            <v>2010</v>
          </cell>
          <cell r="E377" t="str">
            <v>girlsU14</v>
          </cell>
          <cell r="F377" t="str">
            <v>handball</v>
          </cell>
          <cell r="G377" t="str">
            <v>girls</v>
          </cell>
          <cell r="H377">
            <v>11.151758506813007</v>
          </cell>
          <cell r="I377">
            <v>1.4315748265203265</v>
          </cell>
          <cell r="J377">
            <v>45076</v>
          </cell>
          <cell r="K377">
            <v>40481</v>
          </cell>
          <cell r="L377">
            <v>12.583333333333334</v>
          </cell>
        </row>
        <row r="378">
          <cell r="B378">
            <v>841</v>
          </cell>
          <cell r="C378" t="str">
            <v>round1</v>
          </cell>
          <cell r="D378">
            <v>2010</v>
          </cell>
          <cell r="E378" t="str">
            <v>girlsU14</v>
          </cell>
          <cell r="F378" t="str">
            <v>handball</v>
          </cell>
          <cell r="G378" t="str">
            <v>girls</v>
          </cell>
          <cell r="H378">
            <v>12.748890212108975</v>
          </cell>
          <cell r="I378">
            <v>0.32055423233547042</v>
          </cell>
          <cell r="J378">
            <v>45076</v>
          </cell>
          <cell r="K378">
            <v>40303</v>
          </cell>
          <cell r="L378">
            <v>13.069444444444445</v>
          </cell>
        </row>
        <row r="379">
          <cell r="B379">
            <v>842</v>
          </cell>
          <cell r="C379" t="str">
            <v>round1</v>
          </cell>
          <cell r="D379">
            <v>2010</v>
          </cell>
          <cell r="E379" t="str">
            <v>girlsU14</v>
          </cell>
          <cell r="F379" t="str">
            <v>handball</v>
          </cell>
          <cell r="G379" t="str">
            <v>girls</v>
          </cell>
          <cell r="H379">
            <v>11.092495368264169</v>
          </cell>
          <cell r="I379">
            <v>1.8019490761802754</v>
          </cell>
          <cell r="J379">
            <v>45076</v>
          </cell>
          <cell r="K379">
            <v>40367</v>
          </cell>
          <cell r="L379">
            <v>12.894444444444444</v>
          </cell>
        </row>
        <row r="380">
          <cell r="B380">
            <v>843</v>
          </cell>
          <cell r="C380" t="str">
            <v>round1</v>
          </cell>
          <cell r="D380">
            <v>2010</v>
          </cell>
          <cell r="E380" t="str">
            <v>girlsU14</v>
          </cell>
          <cell r="F380" t="str">
            <v>handball</v>
          </cell>
          <cell r="G380" t="str">
            <v>girls</v>
          </cell>
          <cell r="H380">
            <v>11.554356834023391</v>
          </cell>
          <cell r="I380">
            <v>1.820643165976608</v>
          </cell>
          <cell r="J380">
            <v>45076</v>
          </cell>
          <cell r="K380">
            <v>40193</v>
          </cell>
          <cell r="L380">
            <v>13.375</v>
          </cell>
        </row>
        <row r="381">
          <cell r="B381">
            <v>844</v>
          </cell>
          <cell r="C381" t="str">
            <v>round1</v>
          </cell>
          <cell r="D381">
            <v>2010</v>
          </cell>
          <cell r="E381" t="str">
            <v>girlsU14</v>
          </cell>
          <cell r="F381" t="str">
            <v>handball</v>
          </cell>
          <cell r="G381" t="str">
            <v>girls</v>
          </cell>
          <cell r="H381">
            <v>12.005585648</v>
          </cell>
          <cell r="I381">
            <v>1.394414352000001</v>
          </cell>
          <cell r="J381">
            <v>45076</v>
          </cell>
          <cell r="K381">
            <v>40184</v>
          </cell>
          <cell r="L381">
            <v>13.4</v>
          </cell>
        </row>
        <row r="382">
          <cell r="B382">
            <v>845</v>
          </cell>
          <cell r="C382" t="str">
            <v>round1</v>
          </cell>
          <cell r="D382">
            <v>2010</v>
          </cell>
          <cell r="E382" t="str">
            <v>girlsU14</v>
          </cell>
          <cell r="F382" t="str">
            <v>handball</v>
          </cell>
          <cell r="G382" t="str">
            <v>girls</v>
          </cell>
          <cell r="J382">
            <v>45076</v>
          </cell>
          <cell r="K382">
            <v>40400</v>
          </cell>
          <cell r="L382">
            <v>12.805555555555555</v>
          </cell>
        </row>
        <row r="383">
          <cell r="B383">
            <v>846</v>
          </cell>
          <cell r="C383" t="str">
            <v>round1</v>
          </cell>
          <cell r="D383">
            <v>2010</v>
          </cell>
          <cell r="E383" t="str">
            <v>girlsU14</v>
          </cell>
          <cell r="F383" t="str">
            <v>handball</v>
          </cell>
          <cell r="G383" t="str">
            <v>girls</v>
          </cell>
          <cell r="H383">
            <v>12.786328530956931</v>
          </cell>
          <cell r="I383">
            <v>0.51922702459862369</v>
          </cell>
          <cell r="J383">
            <v>45076</v>
          </cell>
          <cell r="K383">
            <v>40219</v>
          </cell>
          <cell r="L383">
            <v>13.305555555555555</v>
          </cell>
        </row>
        <row r="384">
          <cell r="B384">
            <v>847</v>
          </cell>
          <cell r="C384" t="str">
            <v>round1</v>
          </cell>
          <cell r="D384">
            <v>2010</v>
          </cell>
          <cell r="E384" t="str">
            <v>girlsU14</v>
          </cell>
          <cell r="F384" t="str">
            <v>handball</v>
          </cell>
          <cell r="G384" t="str">
            <v>girls</v>
          </cell>
          <cell r="H384">
            <v>12.479601296311758</v>
          </cell>
          <cell r="I384">
            <v>0.71762092591046467</v>
          </cell>
          <cell r="J384">
            <v>45076</v>
          </cell>
          <cell r="K384">
            <v>40256</v>
          </cell>
          <cell r="L384">
            <v>13.197222222222223</v>
          </cell>
        </row>
        <row r="385">
          <cell r="B385">
            <v>848</v>
          </cell>
          <cell r="C385" t="str">
            <v>round1</v>
          </cell>
          <cell r="D385">
            <v>2010</v>
          </cell>
          <cell r="E385" t="str">
            <v>girlsU14</v>
          </cell>
          <cell r="F385" t="str">
            <v>handball</v>
          </cell>
          <cell r="G385" t="str">
            <v>girls</v>
          </cell>
          <cell r="H385">
            <v>11.867773143278402</v>
          </cell>
          <cell r="I385">
            <v>0.88222685672159695</v>
          </cell>
          <cell r="J385">
            <v>45076</v>
          </cell>
          <cell r="K385">
            <v>40421</v>
          </cell>
          <cell r="L385">
            <v>12.75</v>
          </cell>
        </row>
        <row r="386">
          <cell r="B386">
            <v>849</v>
          </cell>
          <cell r="C386" t="str">
            <v>round1</v>
          </cell>
          <cell r="D386">
            <v>2010</v>
          </cell>
          <cell r="E386" t="str">
            <v>girlsU14</v>
          </cell>
          <cell r="F386" t="str">
            <v>handball</v>
          </cell>
          <cell r="G386" t="str">
            <v>girls</v>
          </cell>
          <cell r="J386">
            <v>45076</v>
          </cell>
          <cell r="K386">
            <v>40284</v>
          </cell>
          <cell r="L386">
            <v>13.122222222222222</v>
          </cell>
        </row>
        <row r="387">
          <cell r="B387">
            <v>850</v>
          </cell>
          <cell r="C387" t="str">
            <v>round1</v>
          </cell>
          <cell r="D387">
            <v>2010</v>
          </cell>
          <cell r="E387" t="str">
            <v>girlsU14</v>
          </cell>
          <cell r="F387" t="str">
            <v>handball</v>
          </cell>
          <cell r="G387" t="str">
            <v>girls</v>
          </cell>
          <cell r="H387">
            <v>12.101007301059658</v>
          </cell>
          <cell r="I387">
            <v>0.71843714338478648</v>
          </cell>
          <cell r="J387">
            <v>45076</v>
          </cell>
          <cell r="K387">
            <v>40395</v>
          </cell>
          <cell r="L387">
            <v>12.819444444444445</v>
          </cell>
        </row>
        <row r="388">
          <cell r="B388">
            <v>851</v>
          </cell>
          <cell r="C388" t="str">
            <v>round1</v>
          </cell>
          <cell r="D388">
            <v>2010</v>
          </cell>
          <cell r="E388" t="str">
            <v>girlsU14</v>
          </cell>
          <cell r="F388" t="str">
            <v>handball</v>
          </cell>
          <cell r="G388" t="str">
            <v>girls</v>
          </cell>
          <cell r="H388">
            <v>12.623753093000001</v>
          </cell>
          <cell r="I388">
            <v>0.1512469069999991</v>
          </cell>
          <cell r="J388">
            <v>45076</v>
          </cell>
          <cell r="K388">
            <v>40411</v>
          </cell>
          <cell r="L388">
            <v>12.775</v>
          </cell>
        </row>
        <row r="389">
          <cell r="B389">
            <v>852</v>
          </cell>
          <cell r="C389" t="str">
            <v>round1</v>
          </cell>
          <cell r="D389">
            <v>2010</v>
          </cell>
          <cell r="E389" t="str">
            <v>girlsU14</v>
          </cell>
          <cell r="F389" t="str">
            <v>handball</v>
          </cell>
          <cell r="G389" t="str">
            <v>girls</v>
          </cell>
          <cell r="H389">
            <v>11.648564595400419</v>
          </cell>
          <cell r="I389">
            <v>0.84032429348846893</v>
          </cell>
          <cell r="J389">
            <v>45076</v>
          </cell>
          <cell r="K389">
            <v>40516</v>
          </cell>
          <cell r="L389">
            <v>12.488888888888889</v>
          </cell>
        </row>
        <row r="390">
          <cell r="B390">
            <v>853</v>
          </cell>
          <cell r="C390" t="str">
            <v>round1</v>
          </cell>
          <cell r="D390">
            <v>2010</v>
          </cell>
          <cell r="E390" t="str">
            <v>girlsU14</v>
          </cell>
          <cell r="F390" t="str">
            <v>handball</v>
          </cell>
          <cell r="G390" t="str">
            <v>girls</v>
          </cell>
          <cell r="J390">
            <v>45076</v>
          </cell>
          <cell r="K390">
            <v>40293</v>
          </cell>
          <cell r="L390">
            <v>13.097222222222221</v>
          </cell>
        </row>
        <row r="391">
          <cell r="B391">
            <v>854</v>
          </cell>
          <cell r="C391" t="str">
            <v>round1</v>
          </cell>
          <cell r="D391">
            <v>2010</v>
          </cell>
          <cell r="E391" t="str">
            <v>girlsU14</v>
          </cell>
          <cell r="F391" t="str">
            <v>handball</v>
          </cell>
          <cell r="G391" t="str">
            <v>girls</v>
          </cell>
          <cell r="H391">
            <v>11.630781057979798</v>
          </cell>
          <cell r="I391">
            <v>0.99977449757575809</v>
          </cell>
          <cell r="J391">
            <v>45076</v>
          </cell>
          <cell r="K391">
            <v>40464</v>
          </cell>
          <cell r="L391">
            <v>12.630555555555556</v>
          </cell>
        </row>
        <row r="392">
          <cell r="B392">
            <v>855</v>
          </cell>
          <cell r="C392" t="str">
            <v>round1</v>
          </cell>
          <cell r="D392">
            <v>2010</v>
          </cell>
          <cell r="E392" t="str">
            <v>girlsU14</v>
          </cell>
          <cell r="F392" t="str">
            <v>handball</v>
          </cell>
          <cell r="G392" t="str">
            <v>girls</v>
          </cell>
          <cell r="H392">
            <v>11.306621724489675</v>
          </cell>
          <cell r="I392">
            <v>1.7044893866214355</v>
          </cell>
          <cell r="J392">
            <v>45076</v>
          </cell>
          <cell r="K392">
            <v>40324</v>
          </cell>
          <cell r="L392">
            <v>13.011111111111111</v>
          </cell>
        </row>
        <row r="393">
          <cell r="B393">
            <v>856</v>
          </cell>
          <cell r="C393" t="str">
            <v>round1</v>
          </cell>
          <cell r="D393">
            <v>2010</v>
          </cell>
          <cell r="E393" t="str">
            <v>girlsU14</v>
          </cell>
          <cell r="F393" t="str">
            <v>handball</v>
          </cell>
          <cell r="G393" t="str">
            <v>girls</v>
          </cell>
          <cell r="H393">
            <v>11.663605256641231</v>
          </cell>
          <cell r="I393">
            <v>1.6169502989143241</v>
          </cell>
          <cell r="J393">
            <v>45076</v>
          </cell>
          <cell r="K393">
            <v>40228</v>
          </cell>
          <cell r="L393">
            <v>13.280555555555555</v>
          </cell>
        </row>
        <row r="394">
          <cell r="B394">
            <v>857</v>
          </cell>
          <cell r="C394" t="str">
            <v>round1</v>
          </cell>
          <cell r="D394">
            <v>2010</v>
          </cell>
          <cell r="E394" t="str">
            <v>girlsU14</v>
          </cell>
          <cell r="F394" t="str">
            <v>handball</v>
          </cell>
          <cell r="G394" t="str">
            <v>girls</v>
          </cell>
          <cell r="H394">
            <v>11.119937226591386</v>
          </cell>
          <cell r="I394">
            <v>1.5106183289641697</v>
          </cell>
          <cell r="J394">
            <v>45076</v>
          </cell>
          <cell r="K394">
            <v>40464</v>
          </cell>
          <cell r="L394">
            <v>12.630555555555556</v>
          </cell>
        </row>
        <row r="395">
          <cell r="B395">
            <v>858</v>
          </cell>
          <cell r="C395" t="str">
            <v>round1</v>
          </cell>
          <cell r="D395">
            <v>2010</v>
          </cell>
          <cell r="E395" t="str">
            <v>girlsU14</v>
          </cell>
          <cell r="F395" t="str">
            <v>handball</v>
          </cell>
          <cell r="G395" t="str">
            <v>girls</v>
          </cell>
          <cell r="H395">
            <v>11.981660968750564</v>
          </cell>
          <cell r="I395">
            <v>0.97111680902721398</v>
          </cell>
          <cell r="J395">
            <v>45076</v>
          </cell>
          <cell r="K395">
            <v>40346</v>
          </cell>
          <cell r="L395">
            <v>12.952777777777778</v>
          </cell>
        </row>
        <row r="396">
          <cell r="B396">
            <v>859</v>
          </cell>
          <cell r="C396" t="str">
            <v>round1</v>
          </cell>
          <cell r="D396">
            <v>2010</v>
          </cell>
          <cell r="E396" t="str">
            <v>girlsU14</v>
          </cell>
          <cell r="F396" t="str">
            <v>handball</v>
          </cell>
          <cell r="G396" t="str">
            <v>girls</v>
          </cell>
          <cell r="H396">
            <v>11.859022196205668</v>
          </cell>
          <cell r="I396">
            <v>1.365977803794332</v>
          </cell>
          <cell r="J396">
            <v>45076</v>
          </cell>
          <cell r="K396">
            <v>40246</v>
          </cell>
          <cell r="L396">
            <v>13.225</v>
          </cell>
        </row>
        <row r="397">
          <cell r="B397">
            <v>860</v>
          </cell>
          <cell r="C397" t="str">
            <v>round1</v>
          </cell>
          <cell r="D397">
            <v>2010</v>
          </cell>
          <cell r="E397" t="str">
            <v>girlsU14</v>
          </cell>
          <cell r="F397" t="str">
            <v>handball</v>
          </cell>
          <cell r="G397" t="str">
            <v>girls</v>
          </cell>
          <cell r="H397">
            <v>11.992056103164558</v>
          </cell>
          <cell r="I397">
            <v>0.52461056350210922</v>
          </cell>
          <cell r="J397">
            <v>45076</v>
          </cell>
          <cell r="K397">
            <v>40506</v>
          </cell>
          <cell r="L397">
            <v>12.516666666666667</v>
          </cell>
        </row>
        <row r="398">
          <cell r="B398">
            <v>861</v>
          </cell>
          <cell r="C398" t="str">
            <v>round1</v>
          </cell>
          <cell r="D398">
            <v>2010</v>
          </cell>
          <cell r="E398" t="str">
            <v>girlsU14</v>
          </cell>
          <cell r="F398" t="str">
            <v>handball</v>
          </cell>
          <cell r="G398" t="str">
            <v>girls</v>
          </cell>
          <cell r="H398">
            <v>12.300622289453216</v>
          </cell>
          <cell r="I398">
            <v>0.31882215499122823</v>
          </cell>
          <cell r="J398">
            <v>45076</v>
          </cell>
          <cell r="K398">
            <v>40468</v>
          </cell>
          <cell r="L398">
            <v>12.619444444444444</v>
          </cell>
        </row>
        <row r="399">
          <cell r="B399">
            <v>862</v>
          </cell>
          <cell r="C399" t="str">
            <v>round1</v>
          </cell>
          <cell r="D399">
            <v>2010</v>
          </cell>
          <cell r="E399" t="str">
            <v>girlsU14</v>
          </cell>
          <cell r="F399" t="str">
            <v>handball</v>
          </cell>
          <cell r="G399" t="str">
            <v>girls</v>
          </cell>
          <cell r="H399">
            <v>12.090628422444444</v>
          </cell>
          <cell r="I399">
            <v>1.3232604664444445</v>
          </cell>
          <cell r="J399">
            <v>45076</v>
          </cell>
          <cell r="K399">
            <v>40179</v>
          </cell>
          <cell r="L399">
            <v>13.41388888888889</v>
          </cell>
        </row>
        <row r="400">
          <cell r="B400">
            <v>865</v>
          </cell>
          <cell r="C400" t="str">
            <v>round1</v>
          </cell>
          <cell r="D400">
            <v>2008</v>
          </cell>
          <cell r="E400" t="str">
            <v>girlsU16</v>
          </cell>
          <cell r="F400" t="str">
            <v>handball</v>
          </cell>
          <cell r="G400" t="str">
            <v>girls</v>
          </cell>
          <cell r="H400">
            <v>12.10200760580117</v>
          </cell>
          <cell r="I400">
            <v>2.5646590608654973</v>
          </cell>
          <cell r="J400">
            <v>45077</v>
          </cell>
          <cell r="K400" t="str">
            <v>30.09.2008</v>
          </cell>
          <cell r="L400">
            <v>14.666666666666666</v>
          </cell>
        </row>
        <row r="401">
          <cell r="B401">
            <v>866</v>
          </cell>
          <cell r="C401" t="str">
            <v>round1</v>
          </cell>
          <cell r="D401">
            <v>2008</v>
          </cell>
          <cell r="E401" t="str">
            <v>girlsU16</v>
          </cell>
          <cell r="F401" t="str">
            <v>handball</v>
          </cell>
          <cell r="G401" t="str">
            <v>girls</v>
          </cell>
          <cell r="J401">
            <v>45077</v>
          </cell>
          <cell r="K401">
            <v>39691</v>
          </cell>
          <cell r="L401">
            <v>14.75</v>
          </cell>
        </row>
        <row r="402">
          <cell r="B402">
            <v>867</v>
          </cell>
          <cell r="C402" t="str">
            <v>round1</v>
          </cell>
          <cell r="D402">
            <v>2008</v>
          </cell>
          <cell r="E402" t="str">
            <v>girlsU16</v>
          </cell>
          <cell r="F402" t="str">
            <v>handball</v>
          </cell>
          <cell r="G402" t="str">
            <v>girls</v>
          </cell>
          <cell r="H402" t="e">
            <v>#VALUE!</v>
          </cell>
          <cell r="J402">
            <v>45077</v>
          </cell>
          <cell r="K402" t="str">
            <v>sluttet</v>
          </cell>
          <cell r="L402" t="e">
            <v>#VALUE!</v>
          </cell>
        </row>
        <row r="403">
          <cell r="B403">
            <v>868</v>
          </cell>
          <cell r="C403" t="str">
            <v>round1</v>
          </cell>
          <cell r="D403">
            <v>2008</v>
          </cell>
          <cell r="E403" t="str">
            <v>girlsU16</v>
          </cell>
          <cell r="F403" t="str">
            <v>handball</v>
          </cell>
          <cell r="G403" t="str">
            <v>girls</v>
          </cell>
          <cell r="J403">
            <v>45077</v>
          </cell>
          <cell r="K403">
            <v>39767</v>
          </cell>
          <cell r="L403">
            <v>14.544444444444444</v>
          </cell>
        </row>
        <row r="404">
          <cell r="B404">
            <v>869</v>
          </cell>
          <cell r="C404" t="str">
            <v>round1</v>
          </cell>
          <cell r="D404">
            <v>2008</v>
          </cell>
          <cell r="E404" t="str">
            <v>girlsU16</v>
          </cell>
          <cell r="F404" t="str">
            <v>handball</v>
          </cell>
          <cell r="G404" t="str">
            <v>girls</v>
          </cell>
          <cell r="J404">
            <v>45077</v>
          </cell>
          <cell r="K404">
            <v>39664</v>
          </cell>
          <cell r="L404">
            <v>14.824999999999999</v>
          </cell>
        </row>
        <row r="405">
          <cell r="B405">
            <v>870</v>
          </cell>
          <cell r="C405" t="str">
            <v>round1</v>
          </cell>
          <cell r="D405">
            <v>2008</v>
          </cell>
          <cell r="E405" t="str">
            <v>girlsU16</v>
          </cell>
          <cell r="F405" t="str">
            <v>handball</v>
          </cell>
          <cell r="G405" t="str">
            <v>girls</v>
          </cell>
          <cell r="H405">
            <v>11.856794273343137</v>
          </cell>
          <cell r="I405">
            <v>3.0959835044346407</v>
          </cell>
          <cell r="J405">
            <v>45077</v>
          </cell>
          <cell r="K405" t="str">
            <v>18.06.2008</v>
          </cell>
          <cell r="L405">
            <v>14.952777777777778</v>
          </cell>
        </row>
        <row r="406">
          <cell r="B406">
            <v>871</v>
          </cell>
          <cell r="C406" t="str">
            <v>round1</v>
          </cell>
          <cell r="D406">
            <v>2008</v>
          </cell>
          <cell r="E406" t="str">
            <v>girlsU16</v>
          </cell>
          <cell r="F406" t="str">
            <v>handball</v>
          </cell>
          <cell r="G406" t="str">
            <v>girls</v>
          </cell>
          <cell r="H406">
            <v>11.990281317222223</v>
          </cell>
          <cell r="I406">
            <v>2.6708297938888879</v>
          </cell>
          <cell r="J406">
            <v>45077</v>
          </cell>
          <cell r="K406" t="str">
            <v>03.10.2008</v>
          </cell>
          <cell r="L406">
            <v>14.661111111111111</v>
          </cell>
        </row>
        <row r="407">
          <cell r="B407">
            <v>872</v>
          </cell>
          <cell r="C407" t="str">
            <v>round1</v>
          </cell>
          <cell r="D407">
            <v>2008</v>
          </cell>
          <cell r="E407" t="str">
            <v>girlsU16</v>
          </cell>
          <cell r="F407" t="str">
            <v>handball</v>
          </cell>
          <cell r="G407" t="str">
            <v>girls</v>
          </cell>
          <cell r="H407">
            <v>12.512265206932135</v>
          </cell>
          <cell r="I407">
            <v>2.557179237512309</v>
          </cell>
          <cell r="J407">
            <v>45077</v>
          </cell>
          <cell r="K407" t="str">
            <v>06.05.2008</v>
          </cell>
          <cell r="L407">
            <v>15.069444444444445</v>
          </cell>
        </row>
        <row r="408">
          <cell r="B408">
            <v>873</v>
          </cell>
          <cell r="C408" t="str">
            <v>round1</v>
          </cell>
          <cell r="D408">
            <v>2008</v>
          </cell>
          <cell r="E408" t="str">
            <v>girlsU16</v>
          </cell>
          <cell r="F408" t="str">
            <v>handball</v>
          </cell>
          <cell r="G408" t="str">
            <v>girls</v>
          </cell>
          <cell r="H408">
            <v>12.54602433687932</v>
          </cell>
          <cell r="I408">
            <v>2.6761978853429005</v>
          </cell>
          <cell r="J408">
            <v>45077</v>
          </cell>
          <cell r="K408" t="str">
            <v>11.03.2008</v>
          </cell>
          <cell r="L408">
            <v>15.222222222222221</v>
          </cell>
        </row>
        <row r="409">
          <cell r="B409">
            <v>874</v>
          </cell>
          <cell r="C409" t="str">
            <v>round1</v>
          </cell>
          <cell r="D409">
            <v>2008</v>
          </cell>
          <cell r="E409" t="str">
            <v>girlsU16</v>
          </cell>
          <cell r="F409" t="str">
            <v>handball</v>
          </cell>
          <cell r="G409" t="str">
            <v>girls</v>
          </cell>
          <cell r="J409">
            <v>45077</v>
          </cell>
          <cell r="K409">
            <v>39694</v>
          </cell>
          <cell r="L409">
            <v>14.744444444444444</v>
          </cell>
        </row>
        <row r="410">
          <cell r="B410">
            <v>875</v>
          </cell>
          <cell r="C410" t="str">
            <v>round1</v>
          </cell>
          <cell r="D410">
            <v>2008</v>
          </cell>
          <cell r="E410" t="str">
            <v>girlsU16</v>
          </cell>
          <cell r="F410" t="str">
            <v>handball</v>
          </cell>
          <cell r="G410" t="str">
            <v>girls</v>
          </cell>
          <cell r="H410">
            <v>12.567027795058824</v>
          </cell>
          <cell r="I410">
            <v>2.8413055382745092</v>
          </cell>
          <cell r="J410">
            <v>45077</v>
          </cell>
          <cell r="K410" t="str">
            <v>04.01.2008</v>
          </cell>
          <cell r="L410">
            <v>15.408333333333333</v>
          </cell>
        </row>
        <row r="411">
          <cell r="B411">
            <v>876</v>
          </cell>
          <cell r="C411" t="str">
            <v>round1</v>
          </cell>
          <cell r="D411">
            <v>2008</v>
          </cell>
          <cell r="E411" t="str">
            <v>girlsU16</v>
          </cell>
          <cell r="F411" t="str">
            <v>handball</v>
          </cell>
          <cell r="G411" t="str">
            <v>girls</v>
          </cell>
          <cell r="H411">
            <v>12.795186949858635</v>
          </cell>
          <cell r="I411">
            <v>2.2048130501413645</v>
          </cell>
          <cell r="J411">
            <v>45077</v>
          </cell>
          <cell r="K411" t="str">
            <v>30.05.2008</v>
          </cell>
          <cell r="L411">
            <v>15</v>
          </cell>
        </row>
        <row r="412">
          <cell r="B412">
            <v>877</v>
          </cell>
          <cell r="C412" t="str">
            <v>round1</v>
          </cell>
          <cell r="D412">
            <v>2008</v>
          </cell>
          <cell r="E412" t="str">
            <v>girlsU16</v>
          </cell>
          <cell r="F412" t="str">
            <v>handball</v>
          </cell>
          <cell r="G412" t="str">
            <v>girls</v>
          </cell>
          <cell r="H412">
            <v>12.477996594726608</v>
          </cell>
          <cell r="I412">
            <v>2.6303367386067249</v>
          </cell>
          <cell r="J412">
            <v>45077</v>
          </cell>
          <cell r="K412" t="str">
            <v>22.04.2008</v>
          </cell>
          <cell r="L412">
            <v>15.108333333333333</v>
          </cell>
        </row>
        <row r="413">
          <cell r="B413">
            <v>878</v>
          </cell>
          <cell r="C413" t="str">
            <v>round1</v>
          </cell>
          <cell r="D413">
            <v>2008</v>
          </cell>
          <cell r="E413" t="str">
            <v>girlsU16</v>
          </cell>
          <cell r="F413" t="str">
            <v>handball</v>
          </cell>
          <cell r="G413" t="str">
            <v>girls</v>
          </cell>
          <cell r="H413">
            <v>11.72538533146848</v>
          </cell>
          <cell r="I413">
            <v>3.2857257796426311</v>
          </cell>
          <cell r="J413">
            <v>45077</v>
          </cell>
          <cell r="K413" t="str">
            <v>27.05.2008</v>
          </cell>
          <cell r="L413">
            <v>15.011111111111111</v>
          </cell>
        </row>
        <row r="414">
          <cell r="B414">
            <v>879</v>
          </cell>
          <cell r="C414" t="str">
            <v>round1</v>
          </cell>
          <cell r="D414">
            <v>2008</v>
          </cell>
          <cell r="E414" t="str">
            <v>girlsU16</v>
          </cell>
          <cell r="F414" t="str">
            <v>handball</v>
          </cell>
          <cell r="G414" t="str">
            <v>girls</v>
          </cell>
          <cell r="H414">
            <v>12.088590110242055</v>
          </cell>
          <cell r="I414">
            <v>3.2614098897579451</v>
          </cell>
          <cell r="J414">
            <v>45077</v>
          </cell>
          <cell r="K414" t="str">
            <v>25.01.2008</v>
          </cell>
          <cell r="L414">
            <v>15.35</v>
          </cell>
        </row>
        <row r="415">
          <cell r="B415">
            <v>880</v>
          </cell>
          <cell r="C415" t="str">
            <v>round1</v>
          </cell>
          <cell r="D415">
            <v>2008</v>
          </cell>
          <cell r="E415" t="str">
            <v>girlsU16</v>
          </cell>
          <cell r="F415" t="str">
            <v>handball</v>
          </cell>
          <cell r="G415" t="str">
            <v>girls</v>
          </cell>
          <cell r="H415">
            <v>12.173650757463214</v>
          </cell>
          <cell r="I415">
            <v>2.668015909203453</v>
          </cell>
          <cell r="J415">
            <v>45077</v>
          </cell>
          <cell r="K415" t="str">
            <v>28.07.2008</v>
          </cell>
          <cell r="L415">
            <v>14.841666666666667</v>
          </cell>
        </row>
        <row r="416">
          <cell r="B416">
            <v>881</v>
          </cell>
          <cell r="C416" t="str">
            <v>round1</v>
          </cell>
          <cell r="D416">
            <v>2008</v>
          </cell>
          <cell r="E416" t="str">
            <v>girlsU16</v>
          </cell>
          <cell r="F416" t="str">
            <v>handball</v>
          </cell>
          <cell r="G416" t="str">
            <v>girls</v>
          </cell>
          <cell r="H416">
            <v>12.424458103132075</v>
          </cell>
          <cell r="I416">
            <v>2.8255418968679247</v>
          </cell>
          <cell r="J416">
            <v>45077</v>
          </cell>
          <cell r="K416" t="str">
            <v>01.03.2008</v>
          </cell>
          <cell r="L416">
            <v>15.25</v>
          </cell>
        </row>
        <row r="417">
          <cell r="B417">
            <v>882</v>
          </cell>
          <cell r="C417" t="str">
            <v>round1</v>
          </cell>
          <cell r="D417">
            <v>2008</v>
          </cell>
          <cell r="E417" t="str">
            <v>girlsU16</v>
          </cell>
          <cell r="F417" t="str">
            <v>handball</v>
          </cell>
          <cell r="G417" t="str">
            <v>girls</v>
          </cell>
          <cell r="H417">
            <v>11.972786389193317</v>
          </cell>
          <cell r="I417">
            <v>2.8549913885844611</v>
          </cell>
          <cell r="J417">
            <v>45077</v>
          </cell>
          <cell r="K417" t="str">
            <v>03.08.2008</v>
          </cell>
          <cell r="L417">
            <v>14.827777777777778</v>
          </cell>
        </row>
        <row r="418">
          <cell r="B418">
            <v>885</v>
          </cell>
          <cell r="C418" t="str">
            <v>round1</v>
          </cell>
          <cell r="D418">
            <v>2010</v>
          </cell>
          <cell r="E418" t="str">
            <v>girlsU14</v>
          </cell>
          <cell r="F418" t="str">
            <v>handball</v>
          </cell>
          <cell r="G418" t="str">
            <v>girls</v>
          </cell>
          <cell r="H418">
            <v>12.173925820499532</v>
          </cell>
          <cell r="I418">
            <v>0.45385195727824668</v>
          </cell>
          <cell r="J418">
            <v>45103</v>
          </cell>
          <cell r="K418" t="str">
            <v>10.11.2010</v>
          </cell>
          <cell r="L418">
            <v>12.627777777777778</v>
          </cell>
        </row>
        <row r="419">
          <cell r="B419">
            <v>886</v>
          </cell>
          <cell r="C419" t="str">
            <v>round1</v>
          </cell>
          <cell r="D419">
            <v>2010</v>
          </cell>
          <cell r="E419" t="str">
            <v>girlsU14</v>
          </cell>
          <cell r="F419" t="str">
            <v>handball</v>
          </cell>
          <cell r="G419" t="str">
            <v>girls</v>
          </cell>
          <cell r="H419">
            <v>11.785672070948719</v>
          </cell>
          <cell r="I419">
            <v>1.3309945957179483</v>
          </cell>
          <cell r="J419">
            <v>45103</v>
          </cell>
          <cell r="K419" t="str">
            <v>14.05.2010</v>
          </cell>
          <cell r="L419">
            <v>13.116666666666667</v>
          </cell>
        </row>
        <row r="420">
          <cell r="B420">
            <v>887</v>
          </cell>
          <cell r="C420" t="str">
            <v>round1</v>
          </cell>
          <cell r="D420">
            <v>2010</v>
          </cell>
          <cell r="E420" t="str">
            <v>girlsU14</v>
          </cell>
          <cell r="F420" t="str">
            <v>handball</v>
          </cell>
          <cell r="G420" t="str">
            <v>girls</v>
          </cell>
          <cell r="J420">
            <v>45103</v>
          </cell>
          <cell r="K420">
            <v>40394</v>
          </cell>
          <cell r="L420">
            <v>12.894444444444444</v>
          </cell>
        </row>
        <row r="421">
          <cell r="B421">
            <v>888</v>
          </cell>
          <cell r="C421" t="str">
            <v>round1</v>
          </cell>
          <cell r="D421">
            <v>2010</v>
          </cell>
          <cell r="E421" t="str">
            <v>girlsU14</v>
          </cell>
          <cell r="F421" t="str">
            <v>handball</v>
          </cell>
          <cell r="G421" t="str">
            <v>girls</v>
          </cell>
          <cell r="H421">
            <v>12.282771130640613</v>
          </cell>
          <cell r="I421">
            <v>1.1505622026927209</v>
          </cell>
          <cell r="J421">
            <v>45103</v>
          </cell>
          <cell r="K421" t="str">
            <v>20.01.2010</v>
          </cell>
          <cell r="L421">
            <v>13.433333333333334</v>
          </cell>
        </row>
        <row r="422">
          <cell r="B422">
            <v>889</v>
          </cell>
          <cell r="C422" t="str">
            <v>round1</v>
          </cell>
          <cell r="D422">
            <v>2010</v>
          </cell>
          <cell r="E422" t="str">
            <v>girlsU14</v>
          </cell>
          <cell r="F422" t="str">
            <v>handball</v>
          </cell>
          <cell r="G422" t="str">
            <v>girls</v>
          </cell>
          <cell r="H422">
            <v>12.241047881202212</v>
          </cell>
          <cell r="I422">
            <v>1.0811743410200108</v>
          </cell>
          <cell r="J422">
            <v>45103</v>
          </cell>
          <cell r="K422" t="str">
            <v>28.02.2010</v>
          </cell>
          <cell r="L422">
            <v>13.322222222222223</v>
          </cell>
        </row>
        <row r="423">
          <cell r="B423">
            <v>890</v>
          </cell>
          <cell r="C423" t="str">
            <v>round1</v>
          </cell>
          <cell r="D423">
            <v>2010</v>
          </cell>
          <cell r="E423" t="str">
            <v>girlsU14</v>
          </cell>
          <cell r="F423" t="str">
            <v>handball</v>
          </cell>
          <cell r="G423" t="str">
            <v>girls</v>
          </cell>
          <cell r="H423">
            <v>12.017621765388888</v>
          </cell>
          <cell r="I423">
            <v>1.3601560123888894</v>
          </cell>
          <cell r="J423">
            <v>45103</v>
          </cell>
          <cell r="K423" t="str">
            <v>10.02.2010</v>
          </cell>
          <cell r="L423">
            <v>13.377777777777778</v>
          </cell>
        </row>
        <row r="424">
          <cell r="B424">
            <v>891</v>
          </cell>
          <cell r="C424" t="str">
            <v>round1</v>
          </cell>
          <cell r="D424">
            <v>2010</v>
          </cell>
          <cell r="E424" t="str">
            <v>girlsU14</v>
          </cell>
          <cell r="F424" t="str">
            <v>handball</v>
          </cell>
          <cell r="G424" t="str">
            <v>girls</v>
          </cell>
          <cell r="H424">
            <v>11.419133532028347</v>
          </cell>
          <cell r="I424">
            <v>1.5447553568605417</v>
          </cell>
          <cell r="J424">
            <v>45103</v>
          </cell>
          <cell r="K424" t="str">
            <v>09.07.2010</v>
          </cell>
          <cell r="L424">
            <v>12.963888888888889</v>
          </cell>
        </row>
        <row r="425">
          <cell r="B425">
            <v>892</v>
          </cell>
          <cell r="C425" t="str">
            <v>round1</v>
          </cell>
          <cell r="D425">
            <v>2010</v>
          </cell>
          <cell r="E425" t="str">
            <v>girlsU14</v>
          </cell>
          <cell r="F425" t="str">
            <v>handball</v>
          </cell>
          <cell r="G425" t="str">
            <v>girls</v>
          </cell>
          <cell r="H425">
            <v>11.549078276215131</v>
          </cell>
          <cell r="I425">
            <v>1.0981439460070921</v>
          </cell>
          <cell r="J425">
            <v>45103</v>
          </cell>
          <cell r="K425" t="str">
            <v>03.11.2010</v>
          </cell>
          <cell r="L425">
            <v>12.647222222222222</v>
          </cell>
        </row>
        <row r="426">
          <cell r="B426">
            <v>893</v>
          </cell>
          <cell r="C426" t="str">
            <v>round1</v>
          </cell>
          <cell r="D426">
            <v>2010</v>
          </cell>
          <cell r="E426" t="str">
            <v>girlsU14</v>
          </cell>
          <cell r="F426" t="str">
            <v>handball</v>
          </cell>
          <cell r="G426" t="str">
            <v>girls</v>
          </cell>
          <cell r="H426">
            <v>11.919366291542369</v>
          </cell>
          <cell r="I426">
            <v>0.7473003751242977</v>
          </cell>
          <cell r="J426">
            <v>45103</v>
          </cell>
          <cell r="K426" t="str">
            <v>26.10.2010</v>
          </cell>
          <cell r="L426">
            <v>12.666666666666666</v>
          </cell>
        </row>
        <row r="427">
          <cell r="B427">
            <v>894</v>
          </cell>
          <cell r="C427" t="str">
            <v>round1</v>
          </cell>
          <cell r="D427">
            <v>2010</v>
          </cell>
          <cell r="E427" t="str">
            <v>girlsU14</v>
          </cell>
          <cell r="F427" t="str">
            <v>handball</v>
          </cell>
          <cell r="G427" t="str">
            <v>girls</v>
          </cell>
          <cell r="H427">
            <v>11.850541445658537</v>
          </cell>
          <cell r="I427">
            <v>1.2161252210081297</v>
          </cell>
          <cell r="J427">
            <v>45103</v>
          </cell>
          <cell r="K427" t="str">
            <v>02.06.2010</v>
          </cell>
          <cell r="L427">
            <v>13.066666666666666</v>
          </cell>
        </row>
        <row r="428">
          <cell r="B428">
            <v>895</v>
          </cell>
          <cell r="C428" t="str">
            <v>round1</v>
          </cell>
          <cell r="D428">
            <v>2010</v>
          </cell>
          <cell r="E428" t="str">
            <v>girlsU14</v>
          </cell>
          <cell r="F428" t="str">
            <v>handball</v>
          </cell>
          <cell r="G428" t="str">
            <v>girls</v>
          </cell>
          <cell r="J428">
            <v>45103</v>
          </cell>
          <cell r="K428">
            <v>40394</v>
          </cell>
          <cell r="L428">
            <v>12.894444444444444</v>
          </cell>
        </row>
        <row r="429">
          <cell r="B429">
            <v>896</v>
          </cell>
          <cell r="C429" t="str">
            <v>round1</v>
          </cell>
          <cell r="D429">
            <v>2010</v>
          </cell>
          <cell r="E429" t="str">
            <v>girlsU14</v>
          </cell>
          <cell r="F429" t="str">
            <v>handball</v>
          </cell>
          <cell r="G429" t="str">
            <v>girls</v>
          </cell>
          <cell r="J429">
            <v>45103</v>
          </cell>
          <cell r="K429">
            <v>40363</v>
          </cell>
          <cell r="L429">
            <v>12.977777777777778</v>
          </cell>
        </row>
        <row r="430">
          <cell r="B430">
            <v>897</v>
          </cell>
          <cell r="C430" t="str">
            <v>round1</v>
          </cell>
          <cell r="D430">
            <v>2010</v>
          </cell>
          <cell r="E430" t="str">
            <v>girlsU14</v>
          </cell>
          <cell r="F430" t="str">
            <v>handball</v>
          </cell>
          <cell r="G430" t="str">
            <v>girls</v>
          </cell>
          <cell r="J430">
            <v>45103</v>
          </cell>
          <cell r="K430">
            <v>40403</v>
          </cell>
          <cell r="L430">
            <v>12.869444444444444</v>
          </cell>
        </row>
        <row r="431">
          <cell r="B431">
            <v>898</v>
          </cell>
          <cell r="C431" t="str">
            <v>round1</v>
          </cell>
          <cell r="D431">
            <v>2010</v>
          </cell>
          <cell r="E431" t="str">
            <v>girlsU14</v>
          </cell>
          <cell r="F431" t="str">
            <v>handball</v>
          </cell>
          <cell r="G431" t="str">
            <v>girls</v>
          </cell>
          <cell r="H431">
            <v>12.292790385283354</v>
          </cell>
          <cell r="I431">
            <v>1.0405429480499795</v>
          </cell>
          <cell r="J431">
            <v>45103</v>
          </cell>
          <cell r="K431" t="str">
            <v>26.02.2010</v>
          </cell>
          <cell r="L431">
            <v>13.333333333333334</v>
          </cell>
        </row>
        <row r="432">
          <cell r="B432">
            <v>899</v>
          </cell>
          <cell r="C432" t="str">
            <v>round1</v>
          </cell>
          <cell r="D432">
            <v>2010</v>
          </cell>
          <cell r="E432" t="str">
            <v>girlsU14</v>
          </cell>
          <cell r="F432" t="str">
            <v>handball</v>
          </cell>
          <cell r="G432" t="str">
            <v>girls</v>
          </cell>
          <cell r="J432">
            <v>45103</v>
          </cell>
          <cell r="K432">
            <v>0</v>
          </cell>
        </row>
        <row r="433">
          <cell r="B433">
            <v>900</v>
          </cell>
          <cell r="C433" t="str">
            <v>round1</v>
          </cell>
          <cell r="D433">
            <v>2010</v>
          </cell>
          <cell r="E433" t="str">
            <v>girlsU14</v>
          </cell>
          <cell r="F433" t="str">
            <v>handball</v>
          </cell>
          <cell r="G433" t="str">
            <v>girls</v>
          </cell>
          <cell r="H433">
            <v>11.963633567302391</v>
          </cell>
          <cell r="I433">
            <v>0.69747754380872062</v>
          </cell>
          <cell r="J433">
            <v>45103</v>
          </cell>
          <cell r="K433" t="str">
            <v>28.10.2010</v>
          </cell>
          <cell r="L433">
            <v>12.661111111111111</v>
          </cell>
        </row>
        <row r="434">
          <cell r="B434">
            <v>901</v>
          </cell>
          <cell r="C434" t="str">
            <v>round1</v>
          </cell>
          <cell r="D434">
            <v>2010</v>
          </cell>
          <cell r="E434" t="str">
            <v>girlsU14</v>
          </cell>
          <cell r="F434" t="str">
            <v>handball</v>
          </cell>
          <cell r="G434" t="str">
            <v>girls</v>
          </cell>
          <cell r="H434">
            <v>11.913982981792504</v>
          </cell>
          <cell r="I434">
            <v>1.424905907096385</v>
          </cell>
          <cell r="J434">
            <v>45103</v>
          </cell>
          <cell r="K434" t="str">
            <v>24.02.2010</v>
          </cell>
          <cell r="L434">
            <v>13.338888888888889</v>
          </cell>
        </row>
        <row r="435">
          <cell r="B435">
            <v>902</v>
          </cell>
          <cell r="C435" t="str">
            <v>round1</v>
          </cell>
          <cell r="D435">
            <v>2010</v>
          </cell>
          <cell r="E435" t="str">
            <v>girlsU14</v>
          </cell>
          <cell r="F435" t="str">
            <v>handball</v>
          </cell>
          <cell r="G435" t="str">
            <v>girls</v>
          </cell>
          <cell r="J435">
            <v>45103</v>
          </cell>
          <cell r="K435">
            <v>40217</v>
          </cell>
          <cell r="L435">
            <v>13.383333333333333</v>
          </cell>
        </row>
        <row r="436">
          <cell r="B436">
            <v>903</v>
          </cell>
          <cell r="C436" t="str">
            <v>round1</v>
          </cell>
          <cell r="D436">
            <v>2010</v>
          </cell>
          <cell r="E436" t="str">
            <v>girlsU14</v>
          </cell>
          <cell r="F436" t="str">
            <v>handball</v>
          </cell>
          <cell r="G436" t="str">
            <v>girls</v>
          </cell>
          <cell r="J436">
            <v>45103</v>
          </cell>
          <cell r="K436">
            <v>40232</v>
          </cell>
          <cell r="L436">
            <v>13.341666666666667</v>
          </cell>
        </row>
        <row r="437">
          <cell r="B437">
            <v>904</v>
          </cell>
          <cell r="C437" t="str">
            <v>round1</v>
          </cell>
          <cell r="D437">
            <v>2010</v>
          </cell>
          <cell r="E437" t="str">
            <v>girlsU14</v>
          </cell>
          <cell r="F437" t="str">
            <v>handball</v>
          </cell>
          <cell r="G437" t="str">
            <v>girls</v>
          </cell>
          <cell r="H437">
            <v>11.949422413551737</v>
          </cell>
          <cell r="I437">
            <v>0.54224425311493052</v>
          </cell>
          <cell r="J437">
            <v>45103</v>
          </cell>
          <cell r="K437" t="str">
            <v>29.12.2010</v>
          </cell>
          <cell r="L437">
            <v>12.491666666666667</v>
          </cell>
        </row>
        <row r="438">
          <cell r="B438">
            <v>905</v>
          </cell>
          <cell r="C438" t="str">
            <v>round1</v>
          </cell>
          <cell r="D438">
            <v>2010</v>
          </cell>
          <cell r="E438" t="str">
            <v>girlsU14</v>
          </cell>
          <cell r="F438" t="str">
            <v>handball</v>
          </cell>
          <cell r="G438" t="str">
            <v>girls</v>
          </cell>
          <cell r="H438">
            <v>11.725149834324405</v>
          </cell>
          <cell r="I438">
            <v>1.2248501656755935</v>
          </cell>
          <cell r="J438">
            <v>45103</v>
          </cell>
          <cell r="K438" t="str">
            <v>14.07.2010</v>
          </cell>
          <cell r="L438">
            <v>12.95</v>
          </cell>
        </row>
        <row r="439">
          <cell r="B439">
            <v>906</v>
          </cell>
          <cell r="C439" t="str">
            <v>round1</v>
          </cell>
          <cell r="D439">
            <v>2010</v>
          </cell>
          <cell r="E439" t="str">
            <v>girlsU14</v>
          </cell>
          <cell r="F439" t="str">
            <v>handball</v>
          </cell>
          <cell r="G439" t="str">
            <v>girls</v>
          </cell>
          <cell r="J439">
            <v>45103</v>
          </cell>
          <cell r="K439">
            <v>40197</v>
          </cell>
          <cell r="L439">
            <v>13.436111111111112</v>
          </cell>
        </row>
        <row r="440">
          <cell r="B440">
            <v>907</v>
          </cell>
          <cell r="C440" t="str">
            <v>round1</v>
          </cell>
          <cell r="D440">
            <v>2010</v>
          </cell>
          <cell r="E440" t="str">
            <v>girlsU14</v>
          </cell>
          <cell r="F440" t="str">
            <v>handball</v>
          </cell>
          <cell r="G440" t="str">
            <v>girls</v>
          </cell>
          <cell r="J440">
            <v>45103</v>
          </cell>
          <cell r="K440">
            <v>40509</v>
          </cell>
          <cell r="L440">
            <v>12.580555555555556</v>
          </cell>
        </row>
        <row r="441">
          <cell r="B441">
            <v>908</v>
          </cell>
          <cell r="C441" t="str">
            <v>round1</v>
          </cell>
          <cell r="D441">
            <v>2010</v>
          </cell>
          <cell r="E441" t="str">
            <v>girlsU14</v>
          </cell>
          <cell r="F441" t="str">
            <v>handball</v>
          </cell>
          <cell r="G441" t="str">
            <v>girls</v>
          </cell>
          <cell r="J441">
            <v>45103</v>
          </cell>
          <cell r="K441">
            <v>40303</v>
          </cell>
          <cell r="L441">
            <v>13.141666666666667</v>
          </cell>
        </row>
        <row r="442">
          <cell r="B442">
            <v>909</v>
          </cell>
          <cell r="C442" t="str">
            <v>round1</v>
          </cell>
          <cell r="D442">
            <v>2010</v>
          </cell>
          <cell r="E442" t="str">
            <v>girlsU14</v>
          </cell>
          <cell r="F442" t="str">
            <v>handball</v>
          </cell>
          <cell r="G442" t="str">
            <v>girls</v>
          </cell>
          <cell r="H442">
            <v>12.341553153981291</v>
          </cell>
          <cell r="I442">
            <v>0.32789129046315391</v>
          </cell>
          <cell r="J442">
            <v>45103</v>
          </cell>
          <cell r="K442" t="str">
            <v>25.10.2010</v>
          </cell>
          <cell r="L442">
            <v>12.669444444444444</v>
          </cell>
        </row>
        <row r="443">
          <cell r="B443">
            <v>910</v>
          </cell>
          <cell r="C443" t="str">
            <v>round1</v>
          </cell>
          <cell r="D443">
            <v>2010</v>
          </cell>
          <cell r="E443" t="str">
            <v>girlsU14</v>
          </cell>
          <cell r="F443" t="str">
            <v>handball</v>
          </cell>
          <cell r="G443" t="str">
            <v>girls</v>
          </cell>
          <cell r="H443">
            <v>11.568441253114345</v>
          </cell>
          <cell r="I443">
            <v>1.3454476357745446</v>
          </cell>
          <cell r="J443">
            <v>45103</v>
          </cell>
          <cell r="K443" t="str">
            <v>27.07.2010</v>
          </cell>
          <cell r="L443">
            <v>12.91388888888889</v>
          </cell>
        </row>
        <row r="444">
          <cell r="B444">
            <v>911</v>
          </cell>
          <cell r="C444" t="str">
            <v>round1</v>
          </cell>
          <cell r="D444">
            <v>2010</v>
          </cell>
          <cell r="E444" t="str">
            <v>girlsU14</v>
          </cell>
          <cell r="F444" t="str">
            <v>handball</v>
          </cell>
          <cell r="G444" t="str">
            <v>girls</v>
          </cell>
          <cell r="H444">
            <v>11.322584004059124</v>
          </cell>
          <cell r="I444">
            <v>1.1996382181630985</v>
          </cell>
          <cell r="J444">
            <v>45103</v>
          </cell>
          <cell r="K444" t="str">
            <v>18.12.2010</v>
          </cell>
          <cell r="L444">
            <v>12.522222222222222</v>
          </cell>
        </row>
        <row r="445">
          <cell r="B445">
            <v>912</v>
          </cell>
          <cell r="C445" t="str">
            <v>round1</v>
          </cell>
          <cell r="D445">
            <v>2010</v>
          </cell>
          <cell r="E445" t="str">
            <v>girlsU14</v>
          </cell>
          <cell r="F445" t="str">
            <v>handball</v>
          </cell>
          <cell r="G445" t="str">
            <v>girls</v>
          </cell>
          <cell r="J445">
            <v>45103</v>
          </cell>
          <cell r="K445">
            <v>40308</v>
          </cell>
          <cell r="L445">
            <v>13.127777777777778</v>
          </cell>
        </row>
        <row r="446">
          <cell r="B446">
            <v>913</v>
          </cell>
          <cell r="C446" t="str">
            <v>round1</v>
          </cell>
          <cell r="D446">
            <v>2010</v>
          </cell>
          <cell r="E446" t="str">
            <v>girlsU14</v>
          </cell>
          <cell r="F446" t="str">
            <v>handball</v>
          </cell>
          <cell r="G446" t="str">
            <v>girls</v>
          </cell>
          <cell r="H446">
            <v>11.370956720650442</v>
          </cell>
          <cell r="I446">
            <v>1.8707099460162246</v>
          </cell>
          <cell r="J446">
            <v>45103</v>
          </cell>
          <cell r="K446" t="str">
            <v>29.03.2010</v>
          </cell>
          <cell r="L446">
            <v>13.241666666666667</v>
          </cell>
        </row>
        <row r="447">
          <cell r="B447">
            <v>914</v>
          </cell>
          <cell r="C447" t="str">
            <v>round1</v>
          </cell>
          <cell r="D447">
            <v>2010</v>
          </cell>
          <cell r="E447" t="str">
            <v>girlsU14</v>
          </cell>
          <cell r="F447" t="str">
            <v>handball</v>
          </cell>
          <cell r="G447" t="str">
            <v>girls</v>
          </cell>
          <cell r="H447">
            <v>11.452416309578838</v>
          </cell>
          <cell r="I447">
            <v>1.1225836904211604</v>
          </cell>
          <cell r="J447">
            <v>45103</v>
          </cell>
          <cell r="K447" t="str">
            <v>29.11.2010</v>
          </cell>
          <cell r="L447">
            <v>12.574999999999999</v>
          </cell>
        </row>
        <row r="448">
          <cell r="B448">
            <v>915</v>
          </cell>
          <cell r="C448" t="str">
            <v>round1</v>
          </cell>
          <cell r="D448">
            <v>2010</v>
          </cell>
          <cell r="E448" t="str">
            <v>girlsU14</v>
          </cell>
          <cell r="F448" t="str">
            <v>handball</v>
          </cell>
          <cell r="G448" t="str">
            <v>girls</v>
          </cell>
          <cell r="H448">
            <v>11.896863492439085</v>
          </cell>
          <cell r="I448">
            <v>0.65035872978313725</v>
          </cell>
          <cell r="J448">
            <v>45103</v>
          </cell>
          <cell r="K448">
            <v>40521</v>
          </cell>
          <cell r="L448">
            <v>12.547222222222222</v>
          </cell>
        </row>
        <row r="449">
          <cell r="B449">
            <v>916</v>
          </cell>
          <cell r="C449" t="str">
            <v>round1</v>
          </cell>
          <cell r="D449">
            <v>2010</v>
          </cell>
          <cell r="E449" t="str">
            <v>girlsU14</v>
          </cell>
          <cell r="F449" t="str">
            <v>handball</v>
          </cell>
          <cell r="G449" t="str">
            <v>girls</v>
          </cell>
          <cell r="H449">
            <v>12.160177396662441</v>
          </cell>
          <cell r="I449">
            <v>0.78426704778200418</v>
          </cell>
          <cell r="J449">
            <v>45103</v>
          </cell>
          <cell r="K449">
            <v>40375</v>
          </cell>
          <cell r="L449">
            <v>12.944444444444445</v>
          </cell>
        </row>
        <row r="450">
          <cell r="B450">
            <v>919</v>
          </cell>
          <cell r="C450" t="str">
            <v>round1</v>
          </cell>
          <cell r="D450">
            <v>2006</v>
          </cell>
          <cell r="E450" t="str">
            <v>girlsU18</v>
          </cell>
          <cell r="F450" t="str">
            <v>handball</v>
          </cell>
          <cell r="G450" t="str">
            <v>girls</v>
          </cell>
          <cell r="H450">
            <v>13.226728738200391</v>
          </cell>
          <cell r="I450">
            <v>4.0649379284662768</v>
          </cell>
          <cell r="J450">
            <v>45086</v>
          </cell>
          <cell r="K450">
            <v>38772</v>
          </cell>
          <cell r="L450">
            <v>17.291666666666668</v>
          </cell>
        </row>
        <row r="451">
          <cell r="B451">
            <v>920</v>
          </cell>
          <cell r="C451" t="str">
            <v>round1</v>
          </cell>
          <cell r="D451">
            <v>2006</v>
          </cell>
          <cell r="E451" t="str">
            <v>girlsU18</v>
          </cell>
          <cell r="F451" t="str">
            <v>handball</v>
          </cell>
          <cell r="G451" t="str">
            <v>girls</v>
          </cell>
          <cell r="H451">
            <v>13.399090993077351</v>
          </cell>
          <cell r="I451">
            <v>3.6981312291448694</v>
          </cell>
          <cell r="J451">
            <v>45086</v>
          </cell>
          <cell r="K451">
            <v>38841</v>
          </cell>
          <cell r="L451">
            <v>17.097222222222221</v>
          </cell>
        </row>
        <row r="452">
          <cell r="B452">
            <v>921</v>
          </cell>
          <cell r="C452" t="str">
            <v>round1</v>
          </cell>
          <cell r="D452">
            <v>2006</v>
          </cell>
          <cell r="E452" t="str">
            <v>girlsU18</v>
          </cell>
          <cell r="F452" t="str">
            <v>handball</v>
          </cell>
          <cell r="G452" t="str">
            <v>girls</v>
          </cell>
          <cell r="H452">
            <v>12.980626507678712</v>
          </cell>
          <cell r="I452">
            <v>3.6027068256546197</v>
          </cell>
          <cell r="J452">
            <v>45086</v>
          </cell>
          <cell r="K452">
            <v>39030</v>
          </cell>
          <cell r="L452">
            <v>16.583333333333332</v>
          </cell>
        </row>
        <row r="453">
          <cell r="B453">
            <v>922</v>
          </cell>
          <cell r="C453" t="str">
            <v>round1</v>
          </cell>
          <cell r="D453">
            <v>2006</v>
          </cell>
          <cell r="E453" t="str">
            <v>girlsU18</v>
          </cell>
          <cell r="F453" t="str">
            <v>handball</v>
          </cell>
          <cell r="G453" t="str">
            <v>girls</v>
          </cell>
          <cell r="H453">
            <v>13.033623010071706</v>
          </cell>
          <cell r="I453">
            <v>3.7969325454838501</v>
          </cell>
          <cell r="J453">
            <v>45086</v>
          </cell>
          <cell r="K453">
            <v>38939</v>
          </cell>
          <cell r="L453">
            <v>16.830555555555556</v>
          </cell>
        </row>
        <row r="454">
          <cell r="B454">
            <v>923</v>
          </cell>
          <cell r="C454" t="str">
            <v>round1</v>
          </cell>
          <cell r="D454">
            <v>2006</v>
          </cell>
          <cell r="E454" t="str">
            <v>girlsU18</v>
          </cell>
          <cell r="F454" t="str">
            <v>handball</v>
          </cell>
          <cell r="G454" t="str">
            <v>girls</v>
          </cell>
          <cell r="H454">
            <v>13.806002338397443</v>
          </cell>
          <cell r="I454">
            <v>3.546775439380335</v>
          </cell>
          <cell r="J454">
            <v>45086</v>
          </cell>
          <cell r="K454">
            <v>38750</v>
          </cell>
          <cell r="L454">
            <v>17.352777777777778</v>
          </cell>
        </row>
        <row r="455">
          <cell r="B455">
            <v>924</v>
          </cell>
          <cell r="C455" t="str">
            <v>round1</v>
          </cell>
          <cell r="D455">
            <v>2006</v>
          </cell>
          <cell r="E455" t="str">
            <v>girlsU18</v>
          </cell>
          <cell r="F455" t="str">
            <v>handball</v>
          </cell>
          <cell r="G455" t="str">
            <v>girls</v>
          </cell>
          <cell r="H455">
            <v>12.934691275626168</v>
          </cell>
          <cell r="I455">
            <v>4.0653087243738311</v>
          </cell>
          <cell r="J455">
            <v>45086</v>
          </cell>
          <cell r="K455">
            <v>38877</v>
          </cell>
          <cell r="L455">
            <v>17</v>
          </cell>
        </row>
        <row r="456">
          <cell r="B456">
            <v>925</v>
          </cell>
          <cell r="C456" t="str">
            <v>round1</v>
          </cell>
          <cell r="D456">
            <v>2006</v>
          </cell>
          <cell r="E456" t="str">
            <v>girlsU18</v>
          </cell>
          <cell r="F456" t="str">
            <v>handball</v>
          </cell>
          <cell r="G456" t="str">
            <v>girls</v>
          </cell>
          <cell r="H456">
            <v>13.107266232154007</v>
          </cell>
          <cell r="I456">
            <v>3.6677337678459914</v>
          </cell>
          <cell r="J456">
            <v>45086</v>
          </cell>
          <cell r="K456">
            <v>38960</v>
          </cell>
          <cell r="L456">
            <v>16.774999999999999</v>
          </cell>
        </row>
        <row r="457">
          <cell r="B457">
            <v>926</v>
          </cell>
          <cell r="C457" t="str">
            <v>round1</v>
          </cell>
          <cell r="D457">
            <v>2006</v>
          </cell>
          <cell r="E457" t="str">
            <v>girlsU18</v>
          </cell>
          <cell r="F457" t="str">
            <v>handball</v>
          </cell>
          <cell r="G457" t="str">
            <v>girls</v>
          </cell>
          <cell r="H457">
            <v>13.367038733305717</v>
          </cell>
          <cell r="I457">
            <v>3.9662946000276151</v>
          </cell>
          <cell r="J457">
            <v>45086</v>
          </cell>
          <cell r="K457">
            <v>38757</v>
          </cell>
          <cell r="L457">
            <v>17.333333333333332</v>
          </cell>
        </row>
        <row r="458">
          <cell r="B458">
            <v>927</v>
          </cell>
          <cell r="C458" t="str">
            <v>round1</v>
          </cell>
          <cell r="D458">
            <v>2006</v>
          </cell>
          <cell r="E458" t="str">
            <v>girlsU18</v>
          </cell>
          <cell r="F458" t="str">
            <v>handball</v>
          </cell>
          <cell r="G458" t="str">
            <v>girls</v>
          </cell>
          <cell r="H458">
            <v>13.767115221458887</v>
          </cell>
          <cell r="I458">
            <v>3.5773292229855573</v>
          </cell>
          <cell r="J458">
            <v>45086</v>
          </cell>
          <cell r="K458">
            <v>38753</v>
          </cell>
          <cell r="L458">
            <v>17.344444444444445</v>
          </cell>
        </row>
        <row r="459">
          <cell r="B459">
            <v>928</v>
          </cell>
          <cell r="C459" t="str">
            <v>round1</v>
          </cell>
          <cell r="D459">
            <v>2006</v>
          </cell>
          <cell r="E459" t="str">
            <v>girlsU18</v>
          </cell>
          <cell r="F459" t="str">
            <v>handball</v>
          </cell>
          <cell r="G459" t="str">
            <v>girls</v>
          </cell>
          <cell r="H459">
            <v>11.845462793567732</v>
          </cell>
          <cell r="I459">
            <v>4.6100927619878238</v>
          </cell>
          <cell r="J459">
            <v>45086</v>
          </cell>
          <cell r="K459">
            <v>39076</v>
          </cell>
          <cell r="L459">
            <v>16.455555555555556</v>
          </cell>
        </row>
        <row r="460">
          <cell r="B460">
            <v>929</v>
          </cell>
          <cell r="C460" t="str">
            <v>round1</v>
          </cell>
          <cell r="D460">
            <v>2006</v>
          </cell>
          <cell r="E460" t="str">
            <v>girlsU18</v>
          </cell>
          <cell r="F460" t="str">
            <v>handball</v>
          </cell>
          <cell r="G460" t="str">
            <v>girls</v>
          </cell>
          <cell r="H460">
            <v>13.94580821633847</v>
          </cell>
          <cell r="I460">
            <v>3.3236362281059764</v>
          </cell>
          <cell r="J460">
            <v>45086</v>
          </cell>
          <cell r="K460">
            <v>38778</v>
          </cell>
          <cell r="L460">
            <v>17.269444444444446</v>
          </cell>
        </row>
        <row r="461">
          <cell r="B461">
            <v>930</v>
          </cell>
          <cell r="C461" t="str">
            <v>round1</v>
          </cell>
          <cell r="D461">
            <v>2006</v>
          </cell>
          <cell r="E461" t="str">
            <v>girlsU18</v>
          </cell>
          <cell r="F461" t="str">
            <v>handball</v>
          </cell>
          <cell r="G461" t="str">
            <v>girls</v>
          </cell>
          <cell r="H461">
            <v>13.12019792675272</v>
          </cell>
          <cell r="I461">
            <v>4.1381354065806129</v>
          </cell>
          <cell r="J461">
            <v>45086</v>
          </cell>
          <cell r="K461">
            <v>38782</v>
          </cell>
          <cell r="L461">
            <v>17.258333333333333</v>
          </cell>
        </row>
        <row r="462">
          <cell r="B462">
            <v>931</v>
          </cell>
          <cell r="C462" t="str">
            <v>round1</v>
          </cell>
          <cell r="D462">
            <v>2006</v>
          </cell>
          <cell r="E462" t="str">
            <v>boysU18</v>
          </cell>
          <cell r="F462" t="str">
            <v>handball</v>
          </cell>
          <cell r="G462" t="str">
            <v>boys</v>
          </cell>
          <cell r="H462">
            <v>14.152952151625387</v>
          </cell>
          <cell r="I462">
            <v>2.3637145150412788</v>
          </cell>
          <cell r="J462">
            <v>45086</v>
          </cell>
          <cell r="K462">
            <v>39054</v>
          </cell>
          <cell r="L462">
            <v>16.516666666666666</v>
          </cell>
        </row>
        <row r="463">
          <cell r="B463">
            <v>932</v>
          </cell>
          <cell r="C463" t="str">
            <v>round1</v>
          </cell>
          <cell r="D463">
            <v>2006</v>
          </cell>
          <cell r="E463" t="str">
            <v>boysU18</v>
          </cell>
          <cell r="F463" t="str">
            <v>handball</v>
          </cell>
          <cell r="G463" t="str">
            <v>boys</v>
          </cell>
          <cell r="H463">
            <v>14.2024284038018</v>
          </cell>
          <cell r="I463">
            <v>3.2336827073093088</v>
          </cell>
          <cell r="J463">
            <v>45086</v>
          </cell>
          <cell r="K463">
            <v>38719</v>
          </cell>
          <cell r="L463">
            <v>17.43611111111111</v>
          </cell>
        </row>
        <row r="464">
          <cell r="B464">
            <v>933</v>
          </cell>
          <cell r="C464" t="str">
            <v>round1</v>
          </cell>
          <cell r="D464">
            <v>2006</v>
          </cell>
          <cell r="E464" t="str">
            <v>boysU18</v>
          </cell>
          <cell r="F464" t="str">
            <v>handball</v>
          </cell>
          <cell r="G464" t="str">
            <v>boys</v>
          </cell>
          <cell r="H464">
            <v>13.60141810980808</v>
          </cell>
          <cell r="I464">
            <v>3.5708041124141419</v>
          </cell>
          <cell r="J464">
            <v>45086</v>
          </cell>
          <cell r="K464">
            <v>38814</v>
          </cell>
          <cell r="L464">
            <v>17.172222222222221</v>
          </cell>
        </row>
        <row r="465">
          <cell r="B465">
            <v>934</v>
          </cell>
          <cell r="C465" t="str">
            <v>round1</v>
          </cell>
          <cell r="D465">
            <v>2005</v>
          </cell>
          <cell r="E465">
            <v>0</v>
          </cell>
          <cell r="F465" t="str">
            <v>handball</v>
          </cell>
          <cell r="G465" t="str">
            <v>boys</v>
          </cell>
          <cell r="H465">
            <v>14.001384412551591</v>
          </cell>
          <cell r="I465">
            <v>4.4097266985595205</v>
          </cell>
          <cell r="J465">
            <v>45086</v>
          </cell>
          <cell r="K465">
            <v>38363</v>
          </cell>
          <cell r="L465">
            <v>18.411111111111111</v>
          </cell>
        </row>
        <row r="466">
          <cell r="B466">
            <v>935</v>
          </cell>
          <cell r="C466" t="str">
            <v>round1</v>
          </cell>
          <cell r="D466">
            <v>2006</v>
          </cell>
          <cell r="E466" t="str">
            <v>boysU18</v>
          </cell>
          <cell r="F466" t="str">
            <v>handball</v>
          </cell>
          <cell r="G466" t="str">
            <v>boys</v>
          </cell>
          <cell r="H466">
            <v>15.320524920803681</v>
          </cell>
          <cell r="I466">
            <v>1.6961417458629839</v>
          </cell>
          <cell r="J466">
            <v>45086</v>
          </cell>
          <cell r="K466">
            <v>38871</v>
          </cell>
          <cell r="L466">
            <v>17.016666666666666</v>
          </cell>
        </row>
        <row r="467">
          <cell r="B467">
            <v>936</v>
          </cell>
          <cell r="C467" t="str">
            <v>round1</v>
          </cell>
          <cell r="D467">
            <v>2006</v>
          </cell>
          <cell r="E467" t="str">
            <v>boysU18</v>
          </cell>
          <cell r="F467" t="str">
            <v>handball</v>
          </cell>
          <cell r="G467" t="str">
            <v>boys</v>
          </cell>
          <cell r="H467">
            <v>12.881003024788498</v>
          </cell>
          <cell r="I467">
            <v>4.4467747529892812</v>
          </cell>
          <cell r="J467">
            <v>45086</v>
          </cell>
          <cell r="K467">
            <v>38759</v>
          </cell>
          <cell r="L467">
            <v>17.327777777777779</v>
          </cell>
        </row>
        <row r="468">
          <cell r="B468">
            <v>937</v>
          </cell>
          <cell r="C468" t="str">
            <v>round1</v>
          </cell>
          <cell r="D468">
            <v>2006</v>
          </cell>
          <cell r="E468" t="str">
            <v>boysU18</v>
          </cell>
          <cell r="F468" t="str">
            <v>handball</v>
          </cell>
          <cell r="G468" t="str">
            <v>boys</v>
          </cell>
          <cell r="H468">
            <v>13.024574837160166</v>
          </cell>
          <cell r="I468">
            <v>3.7226473850620572</v>
          </cell>
          <cell r="J468">
            <v>45086</v>
          </cell>
          <cell r="K468">
            <v>38970</v>
          </cell>
          <cell r="L468">
            <v>16.747222222222224</v>
          </cell>
        </row>
        <row r="469">
          <cell r="B469">
            <v>938</v>
          </cell>
          <cell r="C469" t="str">
            <v>round1</v>
          </cell>
          <cell r="D469">
            <v>2006</v>
          </cell>
          <cell r="E469" t="str">
            <v>boysU18</v>
          </cell>
          <cell r="F469" t="str">
            <v>handball</v>
          </cell>
          <cell r="G469" t="str">
            <v>boys</v>
          </cell>
          <cell r="H469">
            <v>13.863406827730024</v>
          </cell>
          <cell r="I469">
            <v>2.7449265056033103</v>
          </cell>
          <cell r="J469">
            <v>45086</v>
          </cell>
          <cell r="K469">
            <v>39021</v>
          </cell>
          <cell r="L469">
            <v>16.608333333333334</v>
          </cell>
        </row>
        <row r="470">
          <cell r="B470">
            <v>939</v>
          </cell>
          <cell r="C470" t="str">
            <v>round1</v>
          </cell>
          <cell r="D470">
            <v>2006</v>
          </cell>
          <cell r="E470" t="str">
            <v>boysU18</v>
          </cell>
          <cell r="F470" t="str">
            <v>handball</v>
          </cell>
          <cell r="G470" t="str">
            <v>boys</v>
          </cell>
          <cell r="H470">
            <v>13.544126640190413</v>
          </cell>
          <cell r="I470">
            <v>3.3142066931429208</v>
          </cell>
          <cell r="J470">
            <v>45086</v>
          </cell>
          <cell r="K470">
            <v>38929</v>
          </cell>
          <cell r="L470">
            <v>16.858333333333334</v>
          </cell>
        </row>
        <row r="471">
          <cell r="B471">
            <v>940</v>
          </cell>
          <cell r="C471" t="str">
            <v>round1</v>
          </cell>
          <cell r="D471">
            <v>2005</v>
          </cell>
          <cell r="E471">
            <v>0</v>
          </cell>
          <cell r="F471" t="str">
            <v>handball</v>
          </cell>
          <cell r="G471" t="str">
            <v>boys</v>
          </cell>
          <cell r="H471">
            <v>13.465169550000002</v>
          </cell>
          <cell r="I471">
            <v>4.5014971166666626</v>
          </cell>
          <cell r="J471">
            <v>45086</v>
          </cell>
          <cell r="K471">
            <v>38524</v>
          </cell>
          <cell r="L471">
            <v>17.966666666666665</v>
          </cell>
        </row>
        <row r="472">
          <cell r="B472">
            <v>941</v>
          </cell>
          <cell r="C472" t="str">
            <v>round1</v>
          </cell>
          <cell r="D472">
            <v>2006</v>
          </cell>
          <cell r="E472" t="str">
            <v>boysU18</v>
          </cell>
          <cell r="F472" t="str">
            <v>handball</v>
          </cell>
          <cell r="G472" t="str">
            <v>boys</v>
          </cell>
          <cell r="J472">
            <v>45086</v>
          </cell>
          <cell r="K472">
            <v>38742</v>
          </cell>
          <cell r="L472">
            <v>17.372222222222224</v>
          </cell>
        </row>
        <row r="473">
          <cell r="B473">
            <v>950</v>
          </cell>
          <cell r="C473" t="str">
            <v>round1</v>
          </cell>
          <cell r="D473">
            <v>2008</v>
          </cell>
          <cell r="E473" t="str">
            <v>boysU16</v>
          </cell>
          <cell r="F473" t="str">
            <v>handball</v>
          </cell>
          <cell r="G473" t="str">
            <v>boys</v>
          </cell>
          <cell r="J473">
            <v>45098</v>
          </cell>
          <cell r="K473">
            <v>39570</v>
          </cell>
          <cell r="L473">
            <v>15.136111111111111</v>
          </cell>
        </row>
        <row r="474">
          <cell r="B474">
            <v>951</v>
          </cell>
          <cell r="C474" t="str">
            <v>round1</v>
          </cell>
          <cell r="D474">
            <v>2008</v>
          </cell>
          <cell r="E474" t="str">
            <v>boysU16</v>
          </cell>
          <cell r="F474" t="str">
            <v>handball</v>
          </cell>
          <cell r="G474" t="str">
            <v>boys</v>
          </cell>
          <cell r="H474">
            <v>14.151626008010242</v>
          </cell>
          <cell r="I474">
            <v>0.82892954754531445</v>
          </cell>
          <cell r="J474">
            <v>45098</v>
          </cell>
          <cell r="K474" t="str">
            <v>28.06.2008</v>
          </cell>
          <cell r="L474">
            <v>14.980555555555556</v>
          </cell>
        </row>
        <row r="475">
          <cell r="B475">
            <v>952</v>
          </cell>
          <cell r="C475" t="str">
            <v>round1</v>
          </cell>
          <cell r="D475">
            <v>2008</v>
          </cell>
          <cell r="E475" t="str">
            <v>boysU16</v>
          </cell>
          <cell r="F475" t="str">
            <v>handball</v>
          </cell>
          <cell r="G475" t="str">
            <v>boys</v>
          </cell>
          <cell r="H475">
            <v>13.3803062900152</v>
          </cell>
          <cell r="I475">
            <v>1.8308048210959096</v>
          </cell>
          <cell r="J475">
            <v>45098</v>
          </cell>
          <cell r="K475" t="str">
            <v>05.04.2008</v>
          </cell>
          <cell r="L475">
            <v>15.21111111111111</v>
          </cell>
        </row>
        <row r="476">
          <cell r="B476">
            <v>953</v>
          </cell>
          <cell r="C476" t="str">
            <v>round1</v>
          </cell>
          <cell r="D476">
            <v>2008</v>
          </cell>
          <cell r="E476" t="str">
            <v>boysU16</v>
          </cell>
          <cell r="F476" t="str">
            <v>handball</v>
          </cell>
          <cell r="G476" t="str">
            <v>boys</v>
          </cell>
          <cell r="H476">
            <v>12.861989413719009</v>
          </cell>
          <cell r="I476">
            <v>2.3935661418365477</v>
          </cell>
          <cell r="J476">
            <v>45098</v>
          </cell>
          <cell r="K476" t="str">
            <v>19.03.2008</v>
          </cell>
          <cell r="L476">
            <v>15.255555555555556</v>
          </cell>
        </row>
        <row r="477">
          <cell r="B477">
            <v>954</v>
          </cell>
          <cell r="C477" t="str">
            <v>round1</v>
          </cell>
          <cell r="D477">
            <v>2008</v>
          </cell>
          <cell r="E477" t="str">
            <v>boysU16</v>
          </cell>
          <cell r="F477" t="str">
            <v>handball</v>
          </cell>
          <cell r="G477" t="str">
            <v>boys</v>
          </cell>
          <cell r="J477">
            <v>45098</v>
          </cell>
          <cell r="K477">
            <v>39637</v>
          </cell>
          <cell r="L477">
            <v>14.952777777777778</v>
          </cell>
        </row>
        <row r="478">
          <cell r="B478">
            <v>955</v>
          </cell>
          <cell r="C478" t="str">
            <v>round1</v>
          </cell>
          <cell r="D478">
            <v>2008</v>
          </cell>
          <cell r="E478" t="str">
            <v>boysU16</v>
          </cell>
          <cell r="F478" t="str">
            <v>handball</v>
          </cell>
          <cell r="G478" t="str">
            <v>boys</v>
          </cell>
          <cell r="H478">
            <v>13.548872413759003</v>
          </cell>
          <cell r="I478">
            <v>1.5344609195743306</v>
          </cell>
          <cell r="J478">
            <v>45098</v>
          </cell>
          <cell r="K478" t="str">
            <v>21.05.2008</v>
          </cell>
          <cell r="L478">
            <v>15.083333333333334</v>
          </cell>
        </row>
        <row r="479">
          <cell r="B479">
            <v>956</v>
          </cell>
          <cell r="C479" t="str">
            <v>round1</v>
          </cell>
          <cell r="D479">
            <v>2008</v>
          </cell>
          <cell r="E479" t="str">
            <v>boysU16</v>
          </cell>
          <cell r="F479" t="str">
            <v>handball</v>
          </cell>
          <cell r="G479" t="str">
            <v>boys</v>
          </cell>
          <cell r="H479">
            <v>13.969228655919283</v>
          </cell>
          <cell r="I479">
            <v>0.65021578852516138</v>
          </cell>
          <cell r="J479">
            <v>45098</v>
          </cell>
          <cell r="K479" t="str">
            <v>08.11.2008</v>
          </cell>
          <cell r="L479">
            <v>14.619444444444444</v>
          </cell>
        </row>
        <row r="480">
          <cell r="B480">
            <v>957</v>
          </cell>
          <cell r="C480" t="str">
            <v>round1</v>
          </cell>
          <cell r="D480">
            <v>2008</v>
          </cell>
          <cell r="E480" t="str">
            <v>boysU16</v>
          </cell>
          <cell r="F480" t="str">
            <v>handball</v>
          </cell>
          <cell r="G480" t="str">
            <v>boys</v>
          </cell>
          <cell r="H480">
            <v>12.517265664136568</v>
          </cell>
          <cell r="I480">
            <v>2.3716232247523217</v>
          </cell>
          <cell r="J480">
            <v>45098</v>
          </cell>
          <cell r="K480" t="str">
            <v>01.08.2008</v>
          </cell>
          <cell r="L480">
            <v>14.888888888888889</v>
          </cell>
        </row>
        <row r="481">
          <cell r="B481">
            <v>958</v>
          </cell>
          <cell r="C481" t="str">
            <v>round1</v>
          </cell>
          <cell r="D481">
            <v>2008</v>
          </cell>
          <cell r="E481" t="str">
            <v>boysU16</v>
          </cell>
          <cell r="F481" t="str">
            <v>handball</v>
          </cell>
          <cell r="G481" t="str">
            <v>boys</v>
          </cell>
          <cell r="H481">
            <v>14.465185940750608</v>
          </cell>
          <cell r="I481">
            <v>0.94870294813828082</v>
          </cell>
          <cell r="J481">
            <v>45098</v>
          </cell>
          <cell r="K481" t="str">
            <v>22.01.2008</v>
          </cell>
          <cell r="L481">
            <v>15.41388888888889</v>
          </cell>
        </row>
        <row r="482">
          <cell r="B482">
            <v>959</v>
          </cell>
          <cell r="C482" t="str">
            <v>round1</v>
          </cell>
          <cell r="D482">
            <v>2008</v>
          </cell>
          <cell r="E482" t="str">
            <v>boysU16</v>
          </cell>
          <cell r="F482" t="str">
            <v>handball</v>
          </cell>
          <cell r="G482" t="str">
            <v>boys</v>
          </cell>
          <cell r="H482">
            <v>13.565895112363574</v>
          </cell>
          <cell r="I482">
            <v>1.7285493320808709</v>
          </cell>
          <cell r="J482">
            <v>45098</v>
          </cell>
          <cell r="K482" t="str">
            <v>05.03.2008</v>
          </cell>
          <cell r="L482">
            <v>15.294444444444444</v>
          </cell>
        </row>
        <row r="483">
          <cell r="B483">
            <v>960</v>
          </cell>
          <cell r="C483" t="str">
            <v>round1</v>
          </cell>
          <cell r="D483">
            <v>2008</v>
          </cell>
          <cell r="E483" t="str">
            <v>boysU16</v>
          </cell>
          <cell r="F483" t="str">
            <v>handball</v>
          </cell>
          <cell r="G483" t="str">
            <v>boys</v>
          </cell>
          <cell r="H483">
            <v>13.473422216956768</v>
          </cell>
          <cell r="I483">
            <v>1.5904666719321197</v>
          </cell>
          <cell r="J483">
            <v>45098</v>
          </cell>
          <cell r="K483" t="str">
            <v>28.05.2008</v>
          </cell>
          <cell r="L483">
            <v>15.063888888888888</v>
          </cell>
        </row>
        <row r="484">
          <cell r="B484">
            <v>961</v>
          </cell>
          <cell r="C484" t="str">
            <v>round1</v>
          </cell>
          <cell r="D484">
            <v>2008</v>
          </cell>
          <cell r="E484" t="str">
            <v>boysU16</v>
          </cell>
          <cell r="F484" t="str">
            <v>handball</v>
          </cell>
          <cell r="G484" t="str">
            <v>boys</v>
          </cell>
          <cell r="H484">
            <v>14.002170751412697</v>
          </cell>
          <cell r="I484">
            <v>0.59227369303174748</v>
          </cell>
          <cell r="J484">
            <v>45098</v>
          </cell>
          <cell r="K484" t="str">
            <v>17.11.2008</v>
          </cell>
          <cell r="L484">
            <v>14.594444444444445</v>
          </cell>
        </row>
        <row r="485">
          <cell r="B485">
            <v>962</v>
          </cell>
          <cell r="C485" t="str">
            <v>round1</v>
          </cell>
          <cell r="D485">
            <v>2008</v>
          </cell>
          <cell r="E485" t="str">
            <v>boysU16</v>
          </cell>
          <cell r="F485" t="str">
            <v>handball</v>
          </cell>
          <cell r="G485" t="str">
            <v>boys</v>
          </cell>
          <cell r="H485">
            <v>13.100462840724141</v>
          </cell>
          <cell r="I485">
            <v>1.7745371592758594</v>
          </cell>
          <cell r="J485">
            <v>45098</v>
          </cell>
          <cell r="K485" t="str">
            <v>06.08.2008</v>
          </cell>
          <cell r="L485">
            <v>14.875</v>
          </cell>
        </row>
        <row r="486">
          <cell r="B486">
            <v>963</v>
          </cell>
          <cell r="C486" t="str">
            <v>round1</v>
          </cell>
          <cell r="D486">
            <v>2008</v>
          </cell>
          <cell r="E486" t="str">
            <v>boysU16</v>
          </cell>
          <cell r="F486" t="str">
            <v>handball</v>
          </cell>
          <cell r="G486" t="str">
            <v>boys</v>
          </cell>
          <cell r="H486">
            <v>14.025665216113865</v>
          </cell>
          <cell r="I486">
            <v>0.5326681172194685</v>
          </cell>
          <cell r="J486">
            <v>45098</v>
          </cell>
          <cell r="K486" t="str">
            <v>30.11.2008</v>
          </cell>
          <cell r="L486">
            <v>14.558333333333334</v>
          </cell>
        </row>
        <row r="487">
          <cell r="B487">
            <v>964</v>
          </cell>
          <cell r="C487" t="str">
            <v>round1</v>
          </cell>
          <cell r="D487">
            <v>2008</v>
          </cell>
          <cell r="E487" t="str">
            <v>boysU16</v>
          </cell>
          <cell r="F487" t="str">
            <v>handball</v>
          </cell>
          <cell r="G487" t="str">
            <v>boys</v>
          </cell>
          <cell r="H487">
            <v>13.292220741324419</v>
          </cell>
          <cell r="I487">
            <v>1.7633348142311358</v>
          </cell>
          <cell r="J487">
            <v>45098</v>
          </cell>
          <cell r="K487" t="str">
            <v>01.06.2008</v>
          </cell>
          <cell r="L487">
            <v>15.055555555555555</v>
          </cell>
        </row>
        <row r="488">
          <cell r="B488">
            <v>965</v>
          </cell>
          <cell r="C488" t="str">
            <v>round1</v>
          </cell>
          <cell r="D488">
            <v>2008</v>
          </cell>
          <cell r="E488" t="str">
            <v>boysU16</v>
          </cell>
          <cell r="F488" t="str">
            <v>handball</v>
          </cell>
          <cell r="G488" t="str">
            <v>boys</v>
          </cell>
          <cell r="H488">
            <v>12.575098100162354</v>
          </cell>
          <cell r="I488">
            <v>2.4776796776154226</v>
          </cell>
          <cell r="J488">
            <v>45098</v>
          </cell>
          <cell r="K488" t="str">
            <v>02.06.2008</v>
          </cell>
          <cell r="L488">
            <v>15.052777777777777</v>
          </cell>
        </row>
        <row r="489">
          <cell r="B489">
            <v>966</v>
          </cell>
          <cell r="C489" t="str">
            <v>round1</v>
          </cell>
          <cell r="D489">
            <v>2008</v>
          </cell>
          <cell r="E489" t="str">
            <v>boysU16</v>
          </cell>
          <cell r="F489" t="str">
            <v>handball</v>
          </cell>
          <cell r="G489" t="str">
            <v>boys</v>
          </cell>
          <cell r="J489">
            <v>45098</v>
          </cell>
          <cell r="K489">
            <v>39717</v>
          </cell>
          <cell r="L489">
            <v>14.736111111111111</v>
          </cell>
        </row>
        <row r="490">
          <cell r="B490">
            <v>967</v>
          </cell>
          <cell r="C490" t="str">
            <v>round1</v>
          </cell>
          <cell r="D490">
            <v>2008</v>
          </cell>
          <cell r="E490" t="str">
            <v>boysU16</v>
          </cell>
          <cell r="F490" t="str">
            <v>handball</v>
          </cell>
          <cell r="G490" t="str">
            <v>boys</v>
          </cell>
          <cell r="H490">
            <v>12.849424885279133</v>
          </cell>
          <cell r="I490">
            <v>2.2061306702764227</v>
          </cell>
          <cell r="J490">
            <v>45098</v>
          </cell>
          <cell r="K490" t="str">
            <v>01.06.2008</v>
          </cell>
          <cell r="L490">
            <v>15.055555555555555</v>
          </cell>
        </row>
        <row r="491">
          <cell r="B491">
            <v>968</v>
          </cell>
          <cell r="C491" t="str">
            <v>round1</v>
          </cell>
          <cell r="D491">
            <v>2008</v>
          </cell>
          <cell r="E491" t="str">
            <v>boysU16</v>
          </cell>
          <cell r="F491" t="str">
            <v>handball</v>
          </cell>
          <cell r="G491" t="str">
            <v>boys</v>
          </cell>
          <cell r="H491">
            <v>12.91855469092553</v>
          </cell>
          <cell r="I491">
            <v>1.9897786424078026</v>
          </cell>
          <cell r="J491">
            <v>45098</v>
          </cell>
          <cell r="K491" t="str">
            <v>24.07.2008</v>
          </cell>
          <cell r="L491">
            <v>14.908333333333333</v>
          </cell>
        </row>
        <row r="492">
          <cell r="B492">
            <v>969</v>
          </cell>
          <cell r="C492" t="str">
            <v>round1</v>
          </cell>
          <cell r="D492">
            <v>2008</v>
          </cell>
          <cell r="E492" t="str">
            <v>boysU16</v>
          </cell>
          <cell r="F492" t="str">
            <v>handball</v>
          </cell>
          <cell r="G492" t="str">
            <v>boys</v>
          </cell>
          <cell r="H492">
            <v>13.088772475995272</v>
          </cell>
          <cell r="I492">
            <v>2.2501164128936169</v>
          </cell>
          <cell r="J492">
            <v>45098</v>
          </cell>
          <cell r="K492" t="str">
            <v>19.02.2008</v>
          </cell>
          <cell r="L492">
            <v>15.338888888888889</v>
          </cell>
        </row>
        <row r="493">
          <cell r="B493">
            <v>970</v>
          </cell>
          <cell r="C493" t="str">
            <v>round1</v>
          </cell>
          <cell r="D493">
            <v>2008</v>
          </cell>
          <cell r="E493" t="str">
            <v>boysU16</v>
          </cell>
          <cell r="F493" t="str">
            <v>handball</v>
          </cell>
          <cell r="G493" t="str">
            <v>boys</v>
          </cell>
          <cell r="H493">
            <v>14.009809567555816</v>
          </cell>
          <cell r="I493">
            <v>1.2707459879997389</v>
          </cell>
          <cell r="J493">
            <v>45098</v>
          </cell>
          <cell r="K493" t="str">
            <v>10.03.2008</v>
          </cell>
          <cell r="L493">
            <v>15.280555555555555</v>
          </cell>
        </row>
        <row r="494">
          <cell r="B494">
            <v>104</v>
          </cell>
          <cell r="C494" t="str">
            <v>round2</v>
          </cell>
          <cell r="D494">
            <v>2008</v>
          </cell>
          <cell r="E494" t="str">
            <v>girlsU14</v>
          </cell>
          <cell r="F494" t="str">
            <v>football</v>
          </cell>
          <cell r="G494" t="str">
            <v>girls</v>
          </cell>
          <cell r="H494">
            <v>12.449829008149123</v>
          </cell>
          <cell r="I494">
            <v>1.9085043251842091</v>
          </cell>
          <cell r="J494">
            <v>44860</v>
          </cell>
          <cell r="K494">
            <v>39616</v>
          </cell>
          <cell r="L494">
            <v>14.358333333333333</v>
          </cell>
        </row>
        <row r="495">
          <cell r="B495">
            <v>106</v>
          </cell>
          <cell r="C495" t="str">
            <v>round2</v>
          </cell>
          <cell r="D495">
            <v>2008</v>
          </cell>
          <cell r="E495" t="str">
            <v>girlsU14</v>
          </cell>
          <cell r="F495" t="str">
            <v>football</v>
          </cell>
          <cell r="G495" t="str">
            <v>girls</v>
          </cell>
          <cell r="J495">
            <v>44860</v>
          </cell>
          <cell r="K495">
            <v>39792</v>
          </cell>
          <cell r="L495">
            <v>13.877777777777778</v>
          </cell>
        </row>
        <row r="496">
          <cell r="B496">
            <v>109</v>
          </cell>
          <cell r="C496" t="str">
            <v>round2</v>
          </cell>
          <cell r="D496">
            <v>2008</v>
          </cell>
          <cell r="E496" t="str">
            <v>girlsU14</v>
          </cell>
          <cell r="F496" t="str">
            <v>football</v>
          </cell>
          <cell r="G496" t="str">
            <v>girls</v>
          </cell>
          <cell r="J496">
            <v>44860</v>
          </cell>
          <cell r="K496">
            <v>39455</v>
          </cell>
          <cell r="L496">
            <v>14.8</v>
          </cell>
        </row>
        <row r="497">
          <cell r="B497">
            <v>134</v>
          </cell>
          <cell r="C497" t="str">
            <v>round2</v>
          </cell>
          <cell r="D497">
            <v>2008</v>
          </cell>
          <cell r="E497" t="str">
            <v>boysU14</v>
          </cell>
          <cell r="F497" t="str">
            <v>football</v>
          </cell>
          <cell r="G497" t="str">
            <v>boys</v>
          </cell>
          <cell r="H497">
            <v>13.790812944317462</v>
          </cell>
          <cell r="I497">
            <v>0.68696483346031634</v>
          </cell>
          <cell r="J497">
            <v>44826</v>
          </cell>
          <cell r="K497" t="str">
            <v>31.03.2008</v>
          </cell>
          <cell r="L497">
            <v>14.477777777777778</v>
          </cell>
        </row>
        <row r="498">
          <cell r="B498">
            <v>135</v>
          </cell>
          <cell r="C498" t="str">
            <v>round2</v>
          </cell>
          <cell r="D498">
            <v>2008</v>
          </cell>
          <cell r="E498" t="str">
            <v>boysU14</v>
          </cell>
          <cell r="F498" t="str">
            <v>football</v>
          </cell>
          <cell r="G498" t="str">
            <v>boys</v>
          </cell>
          <cell r="H498">
            <v>14.245356043315695</v>
          </cell>
          <cell r="I498">
            <v>0.37686617890652663</v>
          </cell>
          <cell r="J498">
            <v>44826</v>
          </cell>
          <cell r="K498" t="str">
            <v>08.02.2008</v>
          </cell>
          <cell r="L498">
            <v>14.622222222222222</v>
          </cell>
        </row>
        <row r="499">
          <cell r="B499">
            <v>136</v>
          </cell>
          <cell r="C499" t="str">
            <v>round2</v>
          </cell>
          <cell r="D499">
            <v>2008</v>
          </cell>
          <cell r="E499" t="str">
            <v>boysU14</v>
          </cell>
          <cell r="F499" t="str">
            <v>football</v>
          </cell>
          <cell r="G499" t="str">
            <v>boys</v>
          </cell>
          <cell r="H499">
            <v>16.104291441940546</v>
          </cell>
          <cell r="I499">
            <v>-1.4765136641627672</v>
          </cell>
          <cell r="J499">
            <v>44826</v>
          </cell>
          <cell r="K499" t="str">
            <v>06.02.2008</v>
          </cell>
          <cell r="L499">
            <v>14.627777777777778</v>
          </cell>
        </row>
        <row r="500">
          <cell r="B500">
            <v>137</v>
          </cell>
          <cell r="C500" t="str">
            <v>round2</v>
          </cell>
          <cell r="D500">
            <v>2008</v>
          </cell>
          <cell r="E500" t="str">
            <v>boysU14</v>
          </cell>
          <cell r="F500" t="str">
            <v>football</v>
          </cell>
          <cell r="G500" t="str">
            <v>boys</v>
          </cell>
          <cell r="H500">
            <v>14.166474344367519</v>
          </cell>
          <cell r="I500">
            <v>0.14463676674359349</v>
          </cell>
          <cell r="J500">
            <v>44826</v>
          </cell>
          <cell r="K500" t="str">
            <v>30.05.2008</v>
          </cell>
          <cell r="L500">
            <v>14.311111111111112</v>
          </cell>
        </row>
        <row r="501">
          <cell r="B501">
            <v>138</v>
          </cell>
          <cell r="C501" t="str">
            <v>round2</v>
          </cell>
          <cell r="D501">
            <v>2008</v>
          </cell>
          <cell r="E501" t="str">
            <v>boysU14</v>
          </cell>
          <cell r="F501" t="str">
            <v>football</v>
          </cell>
          <cell r="G501" t="str">
            <v>boys</v>
          </cell>
          <cell r="H501">
            <v>15.386838121896051</v>
          </cell>
          <cell r="I501">
            <v>-1.3479492330071612</v>
          </cell>
          <cell r="J501">
            <v>44826</v>
          </cell>
          <cell r="K501" t="str">
            <v>08.09.2008</v>
          </cell>
          <cell r="L501">
            <v>14.03888888888889</v>
          </cell>
        </row>
        <row r="502">
          <cell r="B502">
            <v>139</v>
          </cell>
          <cell r="C502" t="str">
            <v>round2</v>
          </cell>
          <cell r="D502">
            <v>2008</v>
          </cell>
          <cell r="E502" t="str">
            <v>boysU14</v>
          </cell>
          <cell r="F502" t="str">
            <v>football</v>
          </cell>
          <cell r="G502" t="str">
            <v>boys</v>
          </cell>
          <cell r="H502">
            <v>13.801371209580115</v>
          </cell>
          <cell r="I502">
            <v>0.88196212375321825</v>
          </cell>
          <cell r="J502">
            <v>44826</v>
          </cell>
          <cell r="K502" t="str">
            <v>16.01.2008</v>
          </cell>
          <cell r="L502">
            <v>14.683333333333334</v>
          </cell>
        </row>
        <row r="503">
          <cell r="B503">
            <v>141</v>
          </cell>
          <cell r="C503" t="str">
            <v>round2</v>
          </cell>
          <cell r="D503">
            <v>2008</v>
          </cell>
          <cell r="E503" t="str">
            <v>boysU14</v>
          </cell>
          <cell r="F503" t="str">
            <v>football</v>
          </cell>
          <cell r="G503" t="str">
            <v>boys</v>
          </cell>
          <cell r="J503">
            <v>44826</v>
          </cell>
          <cell r="K503" t="str">
            <v>07.06.2008</v>
          </cell>
          <cell r="L503">
            <v>14.291666666666666</v>
          </cell>
        </row>
        <row r="504">
          <cell r="B504">
            <v>143</v>
          </cell>
          <cell r="C504" t="str">
            <v>round2</v>
          </cell>
          <cell r="D504">
            <v>2008</v>
          </cell>
          <cell r="E504" t="str">
            <v>boysU14</v>
          </cell>
          <cell r="F504" t="str">
            <v>football</v>
          </cell>
          <cell r="G504" t="str">
            <v>boys</v>
          </cell>
          <cell r="H504">
            <v>14.080022816698754</v>
          </cell>
          <cell r="I504">
            <v>-0.10780059447653245</v>
          </cell>
          <cell r="J504">
            <v>44826</v>
          </cell>
          <cell r="K504" t="str">
            <v>02.10.2008</v>
          </cell>
          <cell r="L504">
            <v>13.972222222222221</v>
          </cell>
        </row>
        <row r="505">
          <cell r="B505">
            <v>145</v>
          </cell>
          <cell r="C505" t="str">
            <v>round2</v>
          </cell>
          <cell r="D505">
            <v>2008</v>
          </cell>
          <cell r="E505" t="str">
            <v>boysU14</v>
          </cell>
          <cell r="F505" t="str">
            <v>football</v>
          </cell>
          <cell r="G505" t="str">
            <v>boys</v>
          </cell>
          <cell r="H505">
            <v>14.39185279042605</v>
          </cell>
          <cell r="I505">
            <v>-0.36129723487049548</v>
          </cell>
          <cell r="J505">
            <v>44826</v>
          </cell>
          <cell r="K505" t="str">
            <v>11.09.2008</v>
          </cell>
          <cell r="L505">
            <v>14.030555555555555</v>
          </cell>
        </row>
        <row r="506">
          <cell r="B506">
            <v>146</v>
          </cell>
          <cell r="C506" t="str">
            <v>round2</v>
          </cell>
          <cell r="D506">
            <v>2008</v>
          </cell>
          <cell r="E506" t="str">
            <v>boysU14</v>
          </cell>
          <cell r="F506" t="str">
            <v>football</v>
          </cell>
          <cell r="G506" t="str">
            <v>boys</v>
          </cell>
          <cell r="H506">
            <v>14.657545339561244</v>
          </cell>
          <cell r="I506">
            <v>-0.51587867289457712</v>
          </cell>
          <cell r="J506">
            <v>44826</v>
          </cell>
          <cell r="K506" t="str">
            <v>01.08.2008</v>
          </cell>
          <cell r="L506">
            <v>14.141666666666667</v>
          </cell>
        </row>
        <row r="507">
          <cell r="B507">
            <v>147</v>
          </cell>
          <cell r="C507" t="str">
            <v>round2</v>
          </cell>
          <cell r="D507">
            <v>2008</v>
          </cell>
          <cell r="E507" t="str">
            <v>boysU14</v>
          </cell>
          <cell r="F507" t="str">
            <v>football</v>
          </cell>
          <cell r="G507" t="str">
            <v>boys</v>
          </cell>
          <cell r="H507">
            <v>14.544299505323051</v>
          </cell>
          <cell r="I507">
            <v>-4.7077283100829148E-2</v>
          </cell>
          <cell r="J507">
            <v>44826</v>
          </cell>
          <cell r="K507" t="str">
            <v>23.03.2008</v>
          </cell>
          <cell r="L507">
            <v>14.497222222222222</v>
          </cell>
        </row>
        <row r="508">
          <cell r="B508">
            <v>149</v>
          </cell>
          <cell r="C508" t="str">
            <v>round2</v>
          </cell>
          <cell r="D508">
            <v>2008</v>
          </cell>
          <cell r="E508" t="str">
            <v>boysU14</v>
          </cell>
          <cell r="F508" t="str">
            <v>football</v>
          </cell>
          <cell r="G508" t="str">
            <v>boys</v>
          </cell>
          <cell r="H508">
            <v>12.761618863266948</v>
          </cell>
          <cell r="I508">
            <v>1.6606033589552749</v>
          </cell>
          <cell r="J508">
            <v>44826</v>
          </cell>
          <cell r="K508">
            <v>39558</v>
          </cell>
          <cell r="L508">
            <v>14.422222222222222</v>
          </cell>
        </row>
        <row r="509">
          <cell r="B509">
            <v>152</v>
          </cell>
          <cell r="C509" t="str">
            <v>round2</v>
          </cell>
          <cell r="D509">
            <v>2008</v>
          </cell>
          <cell r="E509" t="str">
            <v>boysU14</v>
          </cell>
          <cell r="F509" t="str">
            <v>football</v>
          </cell>
          <cell r="G509" t="str">
            <v>boys</v>
          </cell>
          <cell r="H509">
            <v>13.350610799302894</v>
          </cell>
          <cell r="I509">
            <v>0.58827808958599437</v>
          </cell>
          <cell r="J509">
            <v>44820</v>
          </cell>
          <cell r="K509">
            <v>39729</v>
          </cell>
          <cell r="L509">
            <v>13.938888888888888</v>
          </cell>
        </row>
        <row r="510">
          <cell r="B510">
            <v>154</v>
          </cell>
          <cell r="C510" t="str">
            <v>round2</v>
          </cell>
          <cell r="D510">
            <v>2008</v>
          </cell>
          <cell r="E510" t="str">
            <v>boysU14</v>
          </cell>
          <cell r="F510" t="str">
            <v>football</v>
          </cell>
          <cell r="G510" t="str">
            <v>boys</v>
          </cell>
          <cell r="H510">
            <v>14.085062271092131</v>
          </cell>
          <cell r="I510">
            <v>-4.5067155365752232E-3</v>
          </cell>
          <cell r="J510">
            <v>44820</v>
          </cell>
          <cell r="K510">
            <v>39677</v>
          </cell>
          <cell r="L510">
            <v>14.080555555555556</v>
          </cell>
        </row>
        <row r="511">
          <cell r="B511">
            <v>155</v>
          </cell>
          <cell r="C511" t="str">
            <v>round2</v>
          </cell>
          <cell r="D511">
            <v>2008</v>
          </cell>
          <cell r="E511" t="str">
            <v>boysU14</v>
          </cell>
          <cell r="F511" t="str">
            <v>football</v>
          </cell>
          <cell r="G511" t="str">
            <v>boys</v>
          </cell>
          <cell r="H511">
            <v>13.89828041174893</v>
          </cell>
          <cell r="I511">
            <v>0.17671958825106993</v>
          </cell>
          <cell r="J511">
            <v>44820</v>
          </cell>
          <cell r="K511">
            <v>39679</v>
          </cell>
          <cell r="L511">
            <v>14.074999999999999</v>
          </cell>
        </row>
        <row r="512">
          <cell r="B512">
            <v>158</v>
          </cell>
          <cell r="C512" t="str">
            <v>round2</v>
          </cell>
          <cell r="D512">
            <v>2008</v>
          </cell>
          <cell r="E512" t="str">
            <v>boysU14</v>
          </cell>
          <cell r="F512" t="str">
            <v>football</v>
          </cell>
          <cell r="G512" t="str">
            <v>boys</v>
          </cell>
          <cell r="H512">
            <v>14.227253536536853</v>
          </cell>
          <cell r="I512">
            <v>-0.46614242542574291</v>
          </cell>
          <cell r="J512">
            <v>44820</v>
          </cell>
          <cell r="K512">
            <v>39794</v>
          </cell>
          <cell r="L512">
            <v>13.761111111111111</v>
          </cell>
        </row>
        <row r="513">
          <cell r="B513">
            <v>160</v>
          </cell>
          <cell r="C513" t="str">
            <v>round2</v>
          </cell>
          <cell r="D513">
            <v>2008</v>
          </cell>
          <cell r="E513" t="str">
            <v>boysU14</v>
          </cell>
          <cell r="F513" t="str">
            <v>football</v>
          </cell>
          <cell r="G513" t="str">
            <v>boys</v>
          </cell>
          <cell r="H513">
            <v>14.620094249743545</v>
          </cell>
          <cell r="I513">
            <v>-0.65620536085465575</v>
          </cell>
          <cell r="J513">
            <v>44880</v>
          </cell>
          <cell r="K513">
            <v>39780</v>
          </cell>
          <cell r="L513">
            <v>13.963888888888889</v>
          </cell>
        </row>
        <row r="514">
          <cell r="B514">
            <v>161</v>
          </cell>
          <cell r="C514" t="str">
            <v>round2</v>
          </cell>
          <cell r="D514">
            <v>2008</v>
          </cell>
          <cell r="E514" t="str">
            <v>boysU14</v>
          </cell>
          <cell r="F514" t="str">
            <v>football</v>
          </cell>
          <cell r="G514" t="str">
            <v>boys</v>
          </cell>
          <cell r="H514">
            <v>14.284918185082006</v>
          </cell>
          <cell r="I514">
            <v>-0.15991818508200617</v>
          </cell>
          <cell r="J514">
            <v>44820</v>
          </cell>
          <cell r="K514">
            <v>39661</v>
          </cell>
          <cell r="L514">
            <v>14.125</v>
          </cell>
        </row>
        <row r="515">
          <cell r="B515">
            <v>162</v>
          </cell>
          <cell r="C515" t="str">
            <v>round2</v>
          </cell>
          <cell r="D515">
            <v>2008</v>
          </cell>
          <cell r="E515" t="str">
            <v>boysU14</v>
          </cell>
          <cell r="F515" t="str">
            <v>football</v>
          </cell>
          <cell r="G515" t="str">
            <v>boys</v>
          </cell>
          <cell r="H515">
            <v>14.406046363746267</v>
          </cell>
          <cell r="I515">
            <v>-7.8268585968489068E-2</v>
          </cell>
          <cell r="J515">
            <v>44880</v>
          </cell>
          <cell r="K515">
            <v>39646</v>
          </cell>
          <cell r="L515">
            <v>14.327777777777778</v>
          </cell>
        </row>
        <row r="516">
          <cell r="B516">
            <v>162</v>
          </cell>
          <cell r="C516" t="str">
            <v>round2</v>
          </cell>
          <cell r="D516">
            <v>2008</v>
          </cell>
          <cell r="E516" t="str">
            <v>boysU14</v>
          </cell>
          <cell r="F516" t="str">
            <v>football</v>
          </cell>
          <cell r="G516" t="str">
            <v>boys</v>
          </cell>
          <cell r="H516">
            <v>14.406046363746267</v>
          </cell>
          <cell r="I516">
            <v>-7.8268585968489068E-2</v>
          </cell>
          <cell r="J516">
            <v>44880</v>
          </cell>
          <cell r="K516">
            <v>39646</v>
          </cell>
          <cell r="L516">
            <v>14.327777777777778</v>
          </cell>
        </row>
        <row r="517">
          <cell r="B517">
            <v>163</v>
          </cell>
          <cell r="C517" t="str">
            <v>round2</v>
          </cell>
          <cell r="D517">
            <v>2008</v>
          </cell>
          <cell r="E517" t="str">
            <v>boysU14</v>
          </cell>
          <cell r="F517" t="str">
            <v>football</v>
          </cell>
          <cell r="G517" t="str">
            <v>boys</v>
          </cell>
          <cell r="H517">
            <v>13.706319366931204</v>
          </cell>
          <cell r="I517">
            <v>1.0909028552910176</v>
          </cell>
          <cell r="J517">
            <v>44880</v>
          </cell>
          <cell r="K517">
            <v>39475</v>
          </cell>
          <cell r="L517">
            <v>14.797222222222222</v>
          </cell>
        </row>
        <row r="518">
          <cell r="B518">
            <v>163</v>
          </cell>
          <cell r="C518" t="str">
            <v>round2</v>
          </cell>
          <cell r="D518">
            <v>2008</v>
          </cell>
          <cell r="E518" t="str">
            <v>boysU14</v>
          </cell>
          <cell r="F518" t="str">
            <v>football</v>
          </cell>
          <cell r="G518" t="str">
            <v>boys</v>
          </cell>
          <cell r="H518">
            <v>13.706319366931204</v>
          </cell>
          <cell r="I518">
            <v>1.0909028552910176</v>
          </cell>
          <cell r="J518">
            <v>44880</v>
          </cell>
          <cell r="K518">
            <v>39475</v>
          </cell>
          <cell r="L518">
            <v>14.797222222222222</v>
          </cell>
        </row>
        <row r="519">
          <cell r="B519">
            <v>164</v>
          </cell>
          <cell r="C519" t="str">
            <v>round2</v>
          </cell>
          <cell r="D519">
            <v>2008</v>
          </cell>
          <cell r="E519" t="str">
            <v>boysU14</v>
          </cell>
          <cell r="F519" t="str">
            <v>football</v>
          </cell>
          <cell r="G519" t="str">
            <v>boys</v>
          </cell>
          <cell r="H519">
            <v>14.671071519228821</v>
          </cell>
          <cell r="I519">
            <v>-0.50996040811770971</v>
          </cell>
          <cell r="J519">
            <v>44820</v>
          </cell>
          <cell r="K519">
            <v>39647</v>
          </cell>
          <cell r="L519">
            <v>14.161111111111111</v>
          </cell>
        </row>
        <row r="520">
          <cell r="B520">
            <v>165</v>
          </cell>
          <cell r="C520" t="str">
            <v>round2</v>
          </cell>
          <cell r="D520">
            <v>2008</v>
          </cell>
          <cell r="E520" t="str">
            <v>boysU14</v>
          </cell>
          <cell r="F520" t="str">
            <v>football</v>
          </cell>
          <cell r="G520" t="str">
            <v>boys</v>
          </cell>
          <cell r="H520">
            <v>13.5641278911289</v>
          </cell>
          <cell r="I520">
            <v>0.72476099775999037</v>
          </cell>
          <cell r="J520">
            <v>44820</v>
          </cell>
          <cell r="K520">
            <v>39601</v>
          </cell>
          <cell r="L520">
            <v>14.28888888888889</v>
          </cell>
        </row>
        <row r="521">
          <cell r="B521">
            <v>166</v>
          </cell>
          <cell r="C521" t="str">
            <v>round2</v>
          </cell>
          <cell r="D521">
            <v>2008</v>
          </cell>
          <cell r="E521" t="str">
            <v>boysU14</v>
          </cell>
          <cell r="F521" t="str">
            <v>football</v>
          </cell>
          <cell r="G521" t="str">
            <v>boys</v>
          </cell>
          <cell r="H521">
            <v>14.69449510308859</v>
          </cell>
          <cell r="I521">
            <v>9.1616008022521234E-2</v>
          </cell>
          <cell r="J521">
            <v>44880</v>
          </cell>
          <cell r="K521">
            <v>39480</v>
          </cell>
          <cell r="L521">
            <v>14.786111111111111</v>
          </cell>
        </row>
        <row r="522">
          <cell r="B522">
            <v>166</v>
          </cell>
          <cell r="C522" t="str">
            <v>round2</v>
          </cell>
          <cell r="D522">
            <v>2008</v>
          </cell>
          <cell r="E522" t="str">
            <v>boysU14</v>
          </cell>
          <cell r="F522" t="str">
            <v>football</v>
          </cell>
          <cell r="G522" t="str">
            <v>boys</v>
          </cell>
          <cell r="H522">
            <v>14.69449510308859</v>
          </cell>
          <cell r="I522">
            <v>9.1616008022521234E-2</v>
          </cell>
          <cell r="J522">
            <v>44880</v>
          </cell>
          <cell r="K522">
            <v>39480</v>
          </cell>
          <cell r="L522">
            <v>14.786111111111111</v>
          </cell>
        </row>
        <row r="523">
          <cell r="B523">
            <v>168</v>
          </cell>
          <cell r="C523" t="str">
            <v>round2</v>
          </cell>
          <cell r="D523">
            <v>2008</v>
          </cell>
          <cell r="E523" t="str">
            <v>boysU14</v>
          </cell>
          <cell r="F523" t="str">
            <v>football</v>
          </cell>
          <cell r="G523" t="str">
            <v>boys</v>
          </cell>
          <cell r="H523">
            <v>13.849935805595123</v>
          </cell>
          <cell r="I523">
            <v>0.53895308329376512</v>
          </cell>
          <cell r="J523">
            <v>44820</v>
          </cell>
          <cell r="K523">
            <v>39564</v>
          </cell>
          <cell r="L523">
            <v>14.388888888888889</v>
          </cell>
        </row>
        <row r="524">
          <cell r="B524">
            <v>171</v>
          </cell>
          <cell r="C524" t="str">
            <v>round1</v>
          </cell>
          <cell r="D524">
            <v>2006</v>
          </cell>
          <cell r="E524" t="str">
            <v>boysU16</v>
          </cell>
          <cell r="F524" t="str">
            <v>football</v>
          </cell>
          <cell r="G524" t="str">
            <v>boys</v>
          </cell>
          <cell r="H524">
            <v>13.978432676188332</v>
          </cell>
          <cell r="I524">
            <v>1.7993451015894473</v>
          </cell>
          <cell r="J524">
            <v>44482</v>
          </cell>
          <cell r="K524">
            <v>38720</v>
          </cell>
          <cell r="L524">
            <v>15.777777777777779</v>
          </cell>
        </row>
        <row r="525">
          <cell r="B525">
            <v>171</v>
          </cell>
          <cell r="C525" t="str">
            <v>round2</v>
          </cell>
          <cell r="D525">
            <v>2006</v>
          </cell>
          <cell r="E525" t="str">
            <v>boysU16</v>
          </cell>
          <cell r="F525" t="str">
            <v>football</v>
          </cell>
          <cell r="G525" t="str">
            <v>boys</v>
          </cell>
          <cell r="H525">
            <v>13.987947520844397</v>
          </cell>
          <cell r="I525">
            <v>2.878719145822271</v>
          </cell>
          <cell r="J525">
            <v>44880</v>
          </cell>
          <cell r="K525">
            <v>38720</v>
          </cell>
          <cell r="L525">
            <v>16.866666666666667</v>
          </cell>
        </row>
        <row r="526">
          <cell r="B526">
            <v>171</v>
          </cell>
          <cell r="C526" t="str">
            <v>round3</v>
          </cell>
          <cell r="D526">
            <v>2006</v>
          </cell>
          <cell r="E526" t="str">
            <v>boysU16</v>
          </cell>
          <cell r="F526" t="str">
            <v>football</v>
          </cell>
          <cell r="G526" t="str">
            <v>boys</v>
          </cell>
          <cell r="H526">
            <v>14.317166806942339</v>
          </cell>
          <cell r="I526">
            <v>3.5078331930576612</v>
          </cell>
          <cell r="J526">
            <v>45229</v>
          </cell>
          <cell r="K526">
            <v>38720</v>
          </cell>
          <cell r="L526">
            <v>17.824999999999999</v>
          </cell>
        </row>
        <row r="527">
          <cell r="B527">
            <v>174</v>
          </cell>
          <cell r="C527" t="str">
            <v>round2</v>
          </cell>
          <cell r="D527">
            <v>2006</v>
          </cell>
          <cell r="E527" t="str">
            <v>boysU16</v>
          </cell>
          <cell r="F527" t="str">
            <v>football</v>
          </cell>
          <cell r="G527" t="str">
            <v>boys</v>
          </cell>
          <cell r="H527">
            <v>14.070655860011021</v>
          </cell>
          <cell r="I527">
            <v>2.618233028877869</v>
          </cell>
          <cell r="J527">
            <v>44880</v>
          </cell>
          <cell r="K527">
            <v>38783</v>
          </cell>
          <cell r="L527">
            <v>16.68888888888889</v>
          </cell>
        </row>
        <row r="528">
          <cell r="B528">
            <v>175</v>
          </cell>
          <cell r="C528" t="str">
            <v>round2</v>
          </cell>
          <cell r="D528">
            <v>2006</v>
          </cell>
          <cell r="E528" t="str">
            <v>boysU16</v>
          </cell>
          <cell r="F528" t="str">
            <v>football</v>
          </cell>
          <cell r="G528" t="str">
            <v>boys</v>
          </cell>
          <cell r="H528">
            <v>13.969575165598416</v>
          </cell>
          <cell r="I528">
            <v>2.2832026121793603</v>
          </cell>
          <cell r="J528">
            <v>44861</v>
          </cell>
          <cell r="K528">
            <v>38924</v>
          </cell>
          <cell r="L528">
            <v>16.252777777777776</v>
          </cell>
        </row>
        <row r="529">
          <cell r="B529">
            <v>177</v>
          </cell>
          <cell r="C529" t="str">
            <v>round2</v>
          </cell>
          <cell r="D529">
            <v>2006</v>
          </cell>
          <cell r="E529" t="str">
            <v>boysU16</v>
          </cell>
          <cell r="F529" t="str">
            <v>football</v>
          </cell>
          <cell r="G529" t="str">
            <v>boys</v>
          </cell>
          <cell r="H529">
            <v>14.836453717028272</v>
          </cell>
          <cell r="I529">
            <v>1.0302129496383952</v>
          </cell>
          <cell r="J529">
            <v>44861</v>
          </cell>
          <cell r="K529">
            <v>39066</v>
          </cell>
          <cell r="L529">
            <v>15.866666666666667</v>
          </cell>
        </row>
        <row r="530">
          <cell r="B530">
            <v>179</v>
          </cell>
          <cell r="C530" t="str">
            <v>round2</v>
          </cell>
          <cell r="D530">
            <v>2006</v>
          </cell>
          <cell r="E530" t="str">
            <v>boysU16</v>
          </cell>
          <cell r="F530" t="str">
            <v>football</v>
          </cell>
          <cell r="G530" t="str">
            <v>boys</v>
          </cell>
          <cell r="H530">
            <v>14.980547822790969</v>
          </cell>
          <cell r="I530">
            <v>1.5000077327645855</v>
          </cell>
          <cell r="J530">
            <v>44861</v>
          </cell>
          <cell r="K530">
            <v>38841</v>
          </cell>
          <cell r="L530">
            <v>16.480555555555554</v>
          </cell>
        </row>
        <row r="531">
          <cell r="B531">
            <v>181</v>
          </cell>
          <cell r="C531" t="str">
            <v>round2</v>
          </cell>
          <cell r="D531">
            <v>2006</v>
          </cell>
          <cell r="E531" t="str">
            <v>boysU16</v>
          </cell>
          <cell r="F531" t="str">
            <v>football</v>
          </cell>
          <cell r="G531" t="str">
            <v>boys</v>
          </cell>
          <cell r="H531">
            <v>14.336277214324667</v>
          </cell>
          <cell r="I531">
            <v>1.8220561190086679</v>
          </cell>
          <cell r="J531">
            <v>44861</v>
          </cell>
          <cell r="K531">
            <v>38959</v>
          </cell>
          <cell r="L531">
            <v>16.158333333333335</v>
          </cell>
        </row>
        <row r="532">
          <cell r="B532">
            <v>183</v>
          </cell>
          <cell r="C532" t="str">
            <v>round2</v>
          </cell>
          <cell r="D532">
            <v>2006</v>
          </cell>
          <cell r="E532" t="str">
            <v>boysU16</v>
          </cell>
          <cell r="F532" t="str">
            <v>football</v>
          </cell>
          <cell r="G532" t="str">
            <v>boys</v>
          </cell>
          <cell r="H532">
            <v>14.423885532900881</v>
          </cell>
          <cell r="I532">
            <v>2.2205589115435647</v>
          </cell>
          <cell r="J532">
            <v>44861</v>
          </cell>
          <cell r="K532">
            <v>38781</v>
          </cell>
          <cell r="L532">
            <v>16.644444444444446</v>
          </cell>
        </row>
        <row r="533">
          <cell r="B533">
            <v>192</v>
          </cell>
          <cell r="C533" t="str">
            <v>round2</v>
          </cell>
          <cell r="D533">
            <v>2006</v>
          </cell>
          <cell r="E533" t="str">
            <v>boysU16</v>
          </cell>
          <cell r="F533" t="str">
            <v>football</v>
          </cell>
          <cell r="G533" t="str">
            <v>boys</v>
          </cell>
          <cell r="H533">
            <v>13.468088498069054</v>
          </cell>
          <cell r="I533">
            <v>2.5596892797087252</v>
          </cell>
          <cell r="J533">
            <v>44861</v>
          </cell>
          <cell r="K533">
            <v>39007</v>
          </cell>
          <cell r="L533">
            <v>16.027777777777779</v>
          </cell>
        </row>
        <row r="534">
          <cell r="B534">
            <v>193</v>
          </cell>
          <cell r="C534" t="str">
            <v>round2</v>
          </cell>
          <cell r="D534">
            <v>2006</v>
          </cell>
          <cell r="E534" t="str">
            <v>boysU16</v>
          </cell>
          <cell r="F534" t="str">
            <v>football</v>
          </cell>
          <cell r="G534" t="str">
            <v>boys</v>
          </cell>
          <cell r="J534">
            <v>44861</v>
          </cell>
          <cell r="K534">
            <v>38773</v>
          </cell>
          <cell r="L534">
            <v>16.672222222222221</v>
          </cell>
        </row>
        <row r="535">
          <cell r="B535">
            <v>199</v>
          </cell>
          <cell r="C535" t="str">
            <v>round2</v>
          </cell>
          <cell r="D535">
            <v>2006</v>
          </cell>
          <cell r="E535" t="str">
            <v>boysU16</v>
          </cell>
          <cell r="F535" t="str">
            <v>football</v>
          </cell>
          <cell r="G535" t="str">
            <v>boys</v>
          </cell>
          <cell r="J535">
            <v>44935</v>
          </cell>
          <cell r="K535">
            <v>38952</v>
          </cell>
          <cell r="L535">
            <v>16.377777777777776</v>
          </cell>
        </row>
        <row r="536">
          <cell r="B536">
            <v>201</v>
          </cell>
          <cell r="C536" t="str">
            <v>round2</v>
          </cell>
          <cell r="D536">
            <v>2006</v>
          </cell>
          <cell r="E536" t="str">
            <v>boysU16</v>
          </cell>
          <cell r="F536" t="str">
            <v>football</v>
          </cell>
          <cell r="G536" t="str">
            <v>boys</v>
          </cell>
          <cell r="H536">
            <v>14.258316423725148</v>
          </cell>
          <cell r="I536">
            <v>1.5583502429415192</v>
          </cell>
          <cell r="J536">
            <v>44819</v>
          </cell>
          <cell r="K536">
            <v>39042</v>
          </cell>
          <cell r="L536">
            <v>15.816666666666666</v>
          </cell>
        </row>
        <row r="537">
          <cell r="B537">
            <v>205</v>
          </cell>
          <cell r="C537" t="str">
            <v>round2</v>
          </cell>
          <cell r="D537">
            <v>2006</v>
          </cell>
          <cell r="E537" t="str">
            <v>boysU16</v>
          </cell>
          <cell r="F537" t="str">
            <v>football</v>
          </cell>
          <cell r="G537" t="str">
            <v>boys</v>
          </cell>
          <cell r="H537">
            <v>14.005250383283444</v>
          </cell>
          <cell r="I537">
            <v>2.2503051722721121</v>
          </cell>
          <cell r="J537">
            <v>44819</v>
          </cell>
          <cell r="K537">
            <v>38881</v>
          </cell>
          <cell r="L537">
            <v>16.255555555555556</v>
          </cell>
        </row>
        <row r="538">
          <cell r="B538">
            <v>213</v>
          </cell>
          <cell r="C538" t="str">
            <v>round2</v>
          </cell>
          <cell r="D538">
            <v>2006</v>
          </cell>
          <cell r="E538" t="str">
            <v>boysU16</v>
          </cell>
          <cell r="F538" t="str">
            <v>football</v>
          </cell>
          <cell r="G538" t="str">
            <v>boys</v>
          </cell>
          <cell r="H538">
            <v>14.296207650804879</v>
          </cell>
          <cell r="I538">
            <v>2.3454590158617861</v>
          </cell>
          <cell r="J538">
            <v>44819</v>
          </cell>
          <cell r="K538">
            <v>38741</v>
          </cell>
          <cell r="L538">
            <v>16.641666666666666</v>
          </cell>
        </row>
        <row r="539">
          <cell r="B539">
            <v>214</v>
          </cell>
          <cell r="C539" t="str">
            <v>round2</v>
          </cell>
          <cell r="D539">
            <v>2006</v>
          </cell>
          <cell r="E539" t="str">
            <v>boysU16</v>
          </cell>
          <cell r="F539" t="str">
            <v>football</v>
          </cell>
          <cell r="G539" t="str">
            <v>boys</v>
          </cell>
          <cell r="J539">
            <v>44819</v>
          </cell>
          <cell r="K539">
            <v>38947</v>
          </cell>
          <cell r="L539">
            <v>16.074999999999999</v>
          </cell>
        </row>
        <row r="540">
          <cell r="B540">
            <v>215</v>
          </cell>
          <cell r="C540" t="str">
            <v>round2</v>
          </cell>
          <cell r="D540">
            <v>2006</v>
          </cell>
          <cell r="E540" t="str">
            <v>boysU16</v>
          </cell>
          <cell r="F540" t="str">
            <v>football</v>
          </cell>
          <cell r="G540" t="str">
            <v>boys</v>
          </cell>
          <cell r="H540">
            <v>14.779145277869755</v>
          </cell>
          <cell r="I540">
            <v>1.3541880554635775</v>
          </cell>
          <cell r="J540">
            <v>44819</v>
          </cell>
          <cell r="K540">
            <v>38925</v>
          </cell>
          <cell r="L540">
            <v>16.133333333333333</v>
          </cell>
        </row>
        <row r="541">
          <cell r="B541">
            <v>217</v>
          </cell>
          <cell r="C541" t="str">
            <v>round2</v>
          </cell>
          <cell r="D541">
            <v>2006</v>
          </cell>
          <cell r="E541" t="str">
            <v>boysU16</v>
          </cell>
          <cell r="F541" t="str">
            <v>football</v>
          </cell>
          <cell r="G541" t="str">
            <v>boys</v>
          </cell>
          <cell r="H541">
            <v>14.299720556045825</v>
          </cell>
          <cell r="I541">
            <v>1.691946110620842</v>
          </cell>
          <cell r="J541">
            <v>44819</v>
          </cell>
          <cell r="K541">
            <v>38978</v>
          </cell>
          <cell r="L541">
            <v>15.991666666666667</v>
          </cell>
        </row>
        <row r="542">
          <cell r="B542">
            <v>221</v>
          </cell>
          <cell r="C542" t="str">
            <v>round2</v>
          </cell>
          <cell r="D542">
            <v>2008</v>
          </cell>
          <cell r="E542" t="str">
            <v>boysU14</v>
          </cell>
          <cell r="F542" t="str">
            <v>football</v>
          </cell>
          <cell r="G542" t="str">
            <v>boys</v>
          </cell>
          <cell r="H542">
            <v>15.01756926823669</v>
          </cell>
          <cell r="I542">
            <v>-0.35645815712557771</v>
          </cell>
          <cell r="J542">
            <v>44826</v>
          </cell>
          <cell r="K542">
            <v>39471</v>
          </cell>
          <cell r="L542">
            <v>14.661111111111111</v>
          </cell>
        </row>
        <row r="543">
          <cell r="B543">
            <v>225</v>
          </cell>
          <cell r="C543" t="str">
            <v>round2</v>
          </cell>
          <cell r="D543">
            <v>2008</v>
          </cell>
          <cell r="E543" t="str">
            <v>girlsU14</v>
          </cell>
          <cell r="F543" t="str">
            <v>football</v>
          </cell>
          <cell r="G543" t="str">
            <v>girls</v>
          </cell>
          <cell r="H543">
            <v>13.010087024493423</v>
          </cell>
          <cell r="I543">
            <v>1.5843574199510231</v>
          </cell>
          <cell r="J543">
            <v>44833</v>
          </cell>
          <cell r="K543">
            <v>39503</v>
          </cell>
          <cell r="L543">
            <v>14.594444444444445</v>
          </cell>
        </row>
        <row r="544">
          <cell r="B544">
            <v>226</v>
          </cell>
          <cell r="C544" t="str">
            <v>round2</v>
          </cell>
          <cell r="D544">
            <v>2008</v>
          </cell>
          <cell r="E544" t="str">
            <v>girlsU14</v>
          </cell>
          <cell r="F544" t="str">
            <v>football</v>
          </cell>
          <cell r="G544" t="str">
            <v>girls</v>
          </cell>
          <cell r="H544">
            <v>12.118836878799733</v>
          </cell>
          <cell r="I544">
            <v>1.7533853434224893</v>
          </cell>
          <cell r="J544">
            <v>44833</v>
          </cell>
          <cell r="K544">
            <v>39767</v>
          </cell>
          <cell r="L544">
            <v>13.872222222222222</v>
          </cell>
        </row>
        <row r="545">
          <cell r="B545">
            <v>227</v>
          </cell>
          <cell r="C545" t="str">
            <v>round2</v>
          </cell>
          <cell r="D545">
            <v>2008</v>
          </cell>
          <cell r="E545" t="str">
            <v>girlsU14</v>
          </cell>
          <cell r="F545" t="str">
            <v>football</v>
          </cell>
          <cell r="G545" t="str">
            <v>girls</v>
          </cell>
          <cell r="H545">
            <v>11.960820107576108</v>
          </cell>
          <cell r="I545">
            <v>2.5058465590905596</v>
          </cell>
          <cell r="J545">
            <v>44833</v>
          </cell>
          <cell r="K545">
            <v>39549</v>
          </cell>
          <cell r="L545">
            <v>14.466666666666667</v>
          </cell>
        </row>
        <row r="546">
          <cell r="B546">
            <v>229</v>
          </cell>
          <cell r="C546" t="str">
            <v>round2</v>
          </cell>
          <cell r="D546">
            <v>2008</v>
          </cell>
          <cell r="E546" t="str">
            <v>girlsU14</v>
          </cell>
          <cell r="F546" t="str">
            <v>football</v>
          </cell>
          <cell r="G546" t="str">
            <v>girls</v>
          </cell>
          <cell r="J546">
            <v>44833</v>
          </cell>
          <cell r="K546">
            <v>39581</v>
          </cell>
          <cell r="L546">
            <v>14.377777777777778</v>
          </cell>
        </row>
        <row r="547">
          <cell r="B547">
            <v>230</v>
          </cell>
          <cell r="C547" t="str">
            <v>round2</v>
          </cell>
          <cell r="D547">
            <v>2008</v>
          </cell>
          <cell r="E547" t="str">
            <v>girlsU14</v>
          </cell>
          <cell r="F547" t="str">
            <v>football</v>
          </cell>
          <cell r="G547" t="str">
            <v>girls</v>
          </cell>
          <cell r="J547">
            <v>44833</v>
          </cell>
          <cell r="K547">
            <v>39630</v>
          </cell>
          <cell r="L547">
            <v>14.244444444444444</v>
          </cell>
        </row>
        <row r="548">
          <cell r="B548">
            <v>231</v>
          </cell>
          <cell r="C548" t="str">
            <v>round2</v>
          </cell>
          <cell r="D548">
            <v>2008</v>
          </cell>
          <cell r="E548" t="str">
            <v>girlsU14</v>
          </cell>
          <cell r="F548" t="str">
            <v>football</v>
          </cell>
          <cell r="G548" t="str">
            <v>girls</v>
          </cell>
          <cell r="H548">
            <v>11.88836654959082</v>
          </cell>
          <cell r="I548">
            <v>2.7783001170758466</v>
          </cell>
          <cell r="J548">
            <v>44833</v>
          </cell>
          <cell r="K548">
            <v>39476</v>
          </cell>
          <cell r="L548">
            <v>14.666666666666666</v>
          </cell>
        </row>
        <row r="549">
          <cell r="B549">
            <v>241</v>
          </cell>
          <cell r="C549" t="str">
            <v>round2</v>
          </cell>
          <cell r="D549">
            <v>2006</v>
          </cell>
          <cell r="E549" t="str">
            <v>girlsU16</v>
          </cell>
          <cell r="F549" t="str">
            <v>football</v>
          </cell>
          <cell r="G549" t="str">
            <v>girls</v>
          </cell>
          <cell r="H549">
            <v>13.09881820637704</v>
          </cell>
          <cell r="I549">
            <v>3.1095151269562931</v>
          </cell>
          <cell r="J549">
            <v>44875</v>
          </cell>
          <cell r="K549">
            <v>38954</v>
          </cell>
          <cell r="L549">
            <v>16.208333333333332</v>
          </cell>
        </row>
        <row r="550">
          <cell r="B550">
            <v>243</v>
          </cell>
          <cell r="C550" t="str">
            <v>round2</v>
          </cell>
          <cell r="D550">
            <v>2006</v>
          </cell>
          <cell r="E550" t="str">
            <v>girlsU16</v>
          </cell>
          <cell r="F550" t="str">
            <v>football</v>
          </cell>
          <cell r="G550" t="str">
            <v>girls</v>
          </cell>
          <cell r="H550">
            <v>12.630914333695442</v>
          </cell>
          <cell r="I550">
            <v>3.757974555193448</v>
          </cell>
          <cell r="J550">
            <v>44875</v>
          </cell>
          <cell r="K550">
            <v>38888</v>
          </cell>
          <cell r="L550">
            <v>16.388888888888889</v>
          </cell>
        </row>
        <row r="551">
          <cell r="B551">
            <v>244</v>
          </cell>
          <cell r="C551" t="str">
            <v>round2</v>
          </cell>
          <cell r="D551">
            <v>2006</v>
          </cell>
          <cell r="E551" t="str">
            <v>girlsU16</v>
          </cell>
          <cell r="F551" t="str">
            <v>football</v>
          </cell>
          <cell r="G551" t="str">
            <v>girls</v>
          </cell>
          <cell r="H551">
            <v>12.872958235333332</v>
          </cell>
          <cell r="I551">
            <v>3.3214862091111104</v>
          </cell>
          <cell r="J551">
            <v>44875</v>
          </cell>
          <cell r="K551">
            <v>38959</v>
          </cell>
          <cell r="L551">
            <v>16.194444444444443</v>
          </cell>
        </row>
        <row r="552">
          <cell r="B552">
            <v>246</v>
          </cell>
          <cell r="C552" t="str">
            <v>round2</v>
          </cell>
          <cell r="D552">
            <v>2006</v>
          </cell>
          <cell r="E552" t="str">
            <v>girlsU16</v>
          </cell>
          <cell r="F552" t="str">
            <v>football</v>
          </cell>
          <cell r="G552" t="str">
            <v>girls</v>
          </cell>
          <cell r="H552">
            <v>12.981613067036328</v>
          </cell>
          <cell r="I552">
            <v>3.4406091551858928</v>
          </cell>
          <cell r="J552">
            <v>44875</v>
          </cell>
          <cell r="K552">
            <v>38876</v>
          </cell>
          <cell r="L552">
            <v>16.422222222222221</v>
          </cell>
        </row>
        <row r="553">
          <cell r="B553">
            <v>250</v>
          </cell>
          <cell r="C553" t="str">
            <v>round2</v>
          </cell>
          <cell r="D553">
            <v>2006</v>
          </cell>
          <cell r="E553" t="str">
            <v>boysU16</v>
          </cell>
          <cell r="F553" t="str">
            <v>football</v>
          </cell>
          <cell r="G553" t="str">
            <v>boys</v>
          </cell>
          <cell r="J553">
            <v>44819</v>
          </cell>
          <cell r="K553">
            <v>0</v>
          </cell>
          <cell r="L553">
            <v>122.70833333333333</v>
          </cell>
        </row>
        <row r="554">
          <cell r="B554">
            <v>251</v>
          </cell>
          <cell r="C554" t="str">
            <v>round2</v>
          </cell>
          <cell r="D554">
            <v>2006</v>
          </cell>
          <cell r="E554" t="str">
            <v>boysU16</v>
          </cell>
          <cell r="F554" t="str">
            <v>football</v>
          </cell>
          <cell r="G554" t="str">
            <v>boys</v>
          </cell>
          <cell r="H554">
            <v>13.29240189936219</v>
          </cell>
          <cell r="I554">
            <v>3.2464869895266979</v>
          </cell>
          <cell r="J554">
            <v>44819</v>
          </cell>
          <cell r="K554">
            <v>38777</v>
          </cell>
          <cell r="L554">
            <v>16.538888888888888</v>
          </cell>
        </row>
        <row r="555">
          <cell r="B555">
            <v>252</v>
          </cell>
          <cell r="C555" t="str">
            <v>round2</v>
          </cell>
          <cell r="D555">
            <v>2006</v>
          </cell>
          <cell r="E555" t="str">
            <v>girlsU16</v>
          </cell>
          <cell r="F555" t="str">
            <v>football</v>
          </cell>
          <cell r="G555" t="str">
            <v>girls</v>
          </cell>
          <cell r="H555">
            <v>13.4728266678375</v>
          </cell>
          <cell r="I555">
            <v>3.2577288877180539</v>
          </cell>
          <cell r="J555">
            <v>44875</v>
          </cell>
          <cell r="K555">
            <v>38765</v>
          </cell>
          <cell r="L555">
            <v>16.730555555555554</v>
          </cell>
        </row>
        <row r="556">
          <cell r="B556">
            <v>253</v>
          </cell>
          <cell r="C556" t="str">
            <v>round2</v>
          </cell>
          <cell r="D556">
            <v>2006</v>
          </cell>
          <cell r="E556" t="str">
            <v>girlsU16</v>
          </cell>
          <cell r="F556" t="str">
            <v>football</v>
          </cell>
          <cell r="G556" t="str">
            <v>girls</v>
          </cell>
          <cell r="H556">
            <v>12.607060591213768</v>
          </cell>
          <cell r="I556">
            <v>3.4846060754528971</v>
          </cell>
          <cell r="J556">
            <v>44875</v>
          </cell>
          <cell r="K556">
            <v>38997</v>
          </cell>
          <cell r="L556">
            <v>16.091666666666665</v>
          </cell>
        </row>
        <row r="557">
          <cell r="B557">
            <v>254</v>
          </cell>
          <cell r="C557" t="str">
            <v>round2</v>
          </cell>
          <cell r="D557">
            <v>2006</v>
          </cell>
          <cell r="E557" t="str">
            <v>girlsU16</v>
          </cell>
          <cell r="F557" t="str">
            <v>football</v>
          </cell>
          <cell r="G557" t="str">
            <v>girls</v>
          </cell>
          <cell r="H557">
            <v>12.950489254841434</v>
          </cell>
          <cell r="I557">
            <v>3.6606218562696764</v>
          </cell>
          <cell r="J557">
            <v>44875</v>
          </cell>
          <cell r="K557">
            <v>38806</v>
          </cell>
          <cell r="L557">
            <v>16.611111111111111</v>
          </cell>
        </row>
        <row r="558">
          <cell r="B558">
            <v>255</v>
          </cell>
          <cell r="C558" t="str">
            <v>round2</v>
          </cell>
          <cell r="D558">
            <v>2006</v>
          </cell>
          <cell r="E558" t="str">
            <v>girlsU16</v>
          </cell>
          <cell r="F558" t="str">
            <v>football</v>
          </cell>
          <cell r="G558" t="str">
            <v>girls</v>
          </cell>
          <cell r="H558">
            <v>13.107413508121212</v>
          </cell>
          <cell r="I558">
            <v>2.8648087141010086</v>
          </cell>
          <cell r="J558">
            <v>44875</v>
          </cell>
          <cell r="K558">
            <v>39041</v>
          </cell>
          <cell r="L558">
            <v>15.972222222222221</v>
          </cell>
        </row>
        <row r="559">
          <cell r="B559">
            <v>257</v>
          </cell>
          <cell r="C559" t="str">
            <v>round2</v>
          </cell>
          <cell r="D559">
            <v>2006</v>
          </cell>
          <cell r="E559" t="str">
            <v>girlsU16</v>
          </cell>
          <cell r="F559" t="str">
            <v>football</v>
          </cell>
          <cell r="G559" t="str">
            <v>girls</v>
          </cell>
          <cell r="H559">
            <v>13.23288275</v>
          </cell>
          <cell r="I559">
            <v>2.8504505833333327</v>
          </cell>
          <cell r="J559">
            <v>44875</v>
          </cell>
          <cell r="K559">
            <v>39000</v>
          </cell>
          <cell r="L559">
            <v>16.083333333333332</v>
          </cell>
        </row>
        <row r="560">
          <cell r="B560">
            <v>258</v>
          </cell>
          <cell r="C560" t="str">
            <v>round2</v>
          </cell>
          <cell r="D560">
            <v>2006</v>
          </cell>
          <cell r="E560" t="str">
            <v>girlsU16</v>
          </cell>
          <cell r="F560" t="str">
            <v>football</v>
          </cell>
          <cell r="G560" t="str">
            <v>girls</v>
          </cell>
          <cell r="H560">
            <v>12.844911385325711</v>
          </cell>
          <cell r="I560">
            <v>3.5439775035631782</v>
          </cell>
          <cell r="J560">
            <v>44875</v>
          </cell>
          <cell r="K560">
            <v>38888</v>
          </cell>
          <cell r="L560">
            <v>16.388888888888889</v>
          </cell>
        </row>
        <row r="561">
          <cell r="B561">
            <v>259</v>
          </cell>
          <cell r="C561" t="str">
            <v>round2</v>
          </cell>
          <cell r="D561">
            <v>2006</v>
          </cell>
          <cell r="E561" t="str">
            <v>girlsU16</v>
          </cell>
          <cell r="F561" t="str">
            <v>football</v>
          </cell>
          <cell r="G561" t="str">
            <v>girls</v>
          </cell>
          <cell r="H561">
            <v>13.35033041763392</v>
          </cell>
          <cell r="I561">
            <v>3.002447360143857</v>
          </cell>
          <cell r="J561">
            <v>44875</v>
          </cell>
          <cell r="K561">
            <v>38901</v>
          </cell>
          <cell r="L561">
            <v>16.352777777777778</v>
          </cell>
        </row>
        <row r="562">
          <cell r="B562">
            <v>260</v>
          </cell>
          <cell r="C562" t="str">
            <v>round2</v>
          </cell>
          <cell r="D562">
            <v>2008</v>
          </cell>
          <cell r="E562" t="str">
            <v>girlsU14</v>
          </cell>
          <cell r="F562" t="str">
            <v>football</v>
          </cell>
          <cell r="G562" t="str">
            <v>girls</v>
          </cell>
          <cell r="H562">
            <v>12.381806983794871</v>
          </cell>
          <cell r="I562">
            <v>2.4126374606495737</v>
          </cell>
          <cell r="J562">
            <v>44909</v>
          </cell>
          <cell r="K562">
            <v>39506</v>
          </cell>
          <cell r="L562">
            <v>14.794444444444444</v>
          </cell>
        </row>
        <row r="563">
          <cell r="B563">
            <v>261</v>
          </cell>
          <cell r="C563" t="str">
            <v>round2</v>
          </cell>
          <cell r="D563">
            <v>2008</v>
          </cell>
          <cell r="E563" t="str">
            <v>girlsU14</v>
          </cell>
          <cell r="F563" t="str">
            <v>football</v>
          </cell>
          <cell r="G563" t="str">
            <v>girls</v>
          </cell>
          <cell r="H563">
            <v>12.25114655509565</v>
          </cell>
          <cell r="I563">
            <v>2.3405201115710175</v>
          </cell>
          <cell r="J563">
            <v>44909</v>
          </cell>
          <cell r="K563">
            <v>39579</v>
          </cell>
          <cell r="L563">
            <v>14.591666666666667</v>
          </cell>
        </row>
        <row r="564">
          <cell r="B564">
            <v>265</v>
          </cell>
          <cell r="C564" t="str">
            <v>round2</v>
          </cell>
          <cell r="D564">
            <v>2008</v>
          </cell>
          <cell r="E564" t="str">
            <v>girlsU14</v>
          </cell>
          <cell r="F564" t="str">
            <v>football</v>
          </cell>
          <cell r="G564" t="str">
            <v>girls</v>
          </cell>
          <cell r="H564">
            <v>12.828587812348486</v>
          </cell>
          <cell r="I564">
            <v>1.8964121876515141</v>
          </cell>
          <cell r="J564">
            <v>44909</v>
          </cell>
          <cell r="K564">
            <v>39530</v>
          </cell>
          <cell r="L564">
            <v>14.725</v>
          </cell>
        </row>
        <row r="565">
          <cell r="B565">
            <v>266</v>
          </cell>
          <cell r="C565" t="str">
            <v>round2</v>
          </cell>
          <cell r="D565">
            <v>2008</v>
          </cell>
          <cell r="E565" t="str">
            <v>girlsU14</v>
          </cell>
          <cell r="F565" t="str">
            <v>football</v>
          </cell>
          <cell r="G565" t="str">
            <v>girls</v>
          </cell>
          <cell r="H565">
            <v>13.420338049933635</v>
          </cell>
          <cell r="I565">
            <v>1.4491063945108087</v>
          </cell>
          <cell r="J565">
            <v>44943</v>
          </cell>
          <cell r="K565">
            <v>39511</v>
          </cell>
          <cell r="L565">
            <v>14.869444444444444</v>
          </cell>
        </row>
        <row r="566">
          <cell r="B566">
            <v>271</v>
          </cell>
          <cell r="C566" t="str">
            <v>round2</v>
          </cell>
          <cell r="D566">
            <v>2004</v>
          </cell>
          <cell r="E566" t="str">
            <v>boysU18</v>
          </cell>
          <cell r="F566" t="str">
            <v>football</v>
          </cell>
          <cell r="G566" t="str">
            <v>boys</v>
          </cell>
          <cell r="H566">
            <v>15.413680920098194</v>
          </cell>
          <cell r="I566">
            <v>2.725207968790694</v>
          </cell>
          <cell r="J566">
            <v>44862</v>
          </cell>
          <cell r="K566">
            <v>38238</v>
          </cell>
          <cell r="L566">
            <v>18.138888888888889</v>
          </cell>
        </row>
        <row r="567">
          <cell r="B567">
            <v>272</v>
          </cell>
          <cell r="C567" t="str">
            <v>round2</v>
          </cell>
          <cell r="D567">
            <v>2004</v>
          </cell>
          <cell r="E567" t="str">
            <v>boysU18</v>
          </cell>
          <cell r="F567" t="str">
            <v>football</v>
          </cell>
          <cell r="G567" t="str">
            <v>boys</v>
          </cell>
          <cell r="J567">
            <v>44862</v>
          </cell>
          <cell r="K567">
            <v>0</v>
          </cell>
          <cell r="L567">
            <v>122.82777777777778</v>
          </cell>
        </row>
        <row r="568">
          <cell r="B568">
            <v>275</v>
          </cell>
          <cell r="C568" t="str">
            <v>round2</v>
          </cell>
          <cell r="D568">
            <v>2006</v>
          </cell>
          <cell r="E568" t="str">
            <v>boysU16</v>
          </cell>
          <cell r="F568" t="str">
            <v>football</v>
          </cell>
          <cell r="G568" t="str">
            <v>boys</v>
          </cell>
          <cell r="H568">
            <v>13.754112691194646</v>
          </cell>
          <cell r="I568">
            <v>2.7514428643609099</v>
          </cell>
          <cell r="J568">
            <v>44862</v>
          </cell>
          <cell r="K568">
            <v>38833</v>
          </cell>
          <cell r="L568">
            <v>16.505555555555556</v>
          </cell>
        </row>
        <row r="569">
          <cell r="B569">
            <v>276</v>
          </cell>
          <cell r="C569" t="str">
            <v>round2</v>
          </cell>
          <cell r="D569">
            <v>2005</v>
          </cell>
          <cell r="E569" t="str">
            <v>boysU18</v>
          </cell>
          <cell r="F569" t="str">
            <v>football</v>
          </cell>
          <cell r="G569" t="str">
            <v>boys</v>
          </cell>
          <cell r="J569">
            <v>44935</v>
          </cell>
          <cell r="K569">
            <v>38403</v>
          </cell>
          <cell r="L569">
            <v>17.886111111111113</v>
          </cell>
        </row>
        <row r="570">
          <cell r="B570">
            <v>277</v>
          </cell>
          <cell r="C570" t="str">
            <v>round2</v>
          </cell>
          <cell r="D570">
            <v>2004</v>
          </cell>
          <cell r="E570" t="str">
            <v>boysU18</v>
          </cell>
          <cell r="F570" t="str">
            <v>football</v>
          </cell>
          <cell r="G570" t="str">
            <v>boys</v>
          </cell>
          <cell r="H570">
            <v>14.705048752947874</v>
          </cell>
          <cell r="I570">
            <v>3.5088401359410151</v>
          </cell>
          <cell r="J570">
            <v>44862</v>
          </cell>
          <cell r="K570">
            <v>38210</v>
          </cell>
          <cell r="L570">
            <v>18.213888888888889</v>
          </cell>
        </row>
        <row r="571">
          <cell r="B571">
            <v>286</v>
          </cell>
          <cell r="C571" t="str">
            <v>round2</v>
          </cell>
          <cell r="D571">
            <v>0</v>
          </cell>
          <cell r="E571" t="str">
            <v>boysU18</v>
          </cell>
          <cell r="F571" t="str">
            <v>football</v>
          </cell>
          <cell r="G571" t="str">
            <v>boys</v>
          </cell>
          <cell r="J571">
            <v>44935</v>
          </cell>
          <cell r="K571">
            <v>37989</v>
          </cell>
          <cell r="L571">
            <v>19.016666666666666</v>
          </cell>
        </row>
        <row r="572">
          <cell r="B572">
            <v>288</v>
          </cell>
          <cell r="C572" t="str">
            <v>round2</v>
          </cell>
          <cell r="D572">
            <v>2008</v>
          </cell>
          <cell r="E572" t="str">
            <v>girlsU14</v>
          </cell>
          <cell r="F572" t="str">
            <v>football</v>
          </cell>
          <cell r="G572" t="str">
            <v>girls</v>
          </cell>
          <cell r="H572">
            <v>12.220007421866615</v>
          </cell>
          <cell r="I572">
            <v>2.507770355911163</v>
          </cell>
          <cell r="J572">
            <v>44909</v>
          </cell>
          <cell r="K572">
            <v>39529</v>
          </cell>
          <cell r="L572">
            <v>14.727777777777778</v>
          </cell>
        </row>
        <row r="573">
          <cell r="B573">
            <v>289</v>
          </cell>
          <cell r="C573" t="str">
            <v>round2</v>
          </cell>
          <cell r="D573">
            <v>2008</v>
          </cell>
          <cell r="E573" t="str">
            <v>girlsU14</v>
          </cell>
          <cell r="F573" t="str">
            <v>football</v>
          </cell>
          <cell r="G573" t="str">
            <v>girls</v>
          </cell>
          <cell r="H573">
            <v>12.767068267058352</v>
          </cell>
          <cell r="I573">
            <v>2.2218206218305365</v>
          </cell>
          <cell r="J573">
            <v>44943</v>
          </cell>
          <cell r="K573">
            <v>39468</v>
          </cell>
          <cell r="L573">
            <v>14.988888888888889</v>
          </cell>
        </row>
        <row r="574">
          <cell r="B574">
            <v>290</v>
          </cell>
          <cell r="C574" t="str">
            <v>round2</v>
          </cell>
          <cell r="D574">
            <v>2008</v>
          </cell>
          <cell r="E574" t="str">
            <v>girlsU14</v>
          </cell>
          <cell r="F574" t="str">
            <v>football</v>
          </cell>
          <cell r="G574" t="str">
            <v>girls</v>
          </cell>
          <cell r="H574">
            <v>11.85648175524431</v>
          </cell>
          <cell r="I574">
            <v>3.0074071336445787</v>
          </cell>
          <cell r="J574">
            <v>44909</v>
          </cell>
          <cell r="K574">
            <v>39481</v>
          </cell>
          <cell r="L574">
            <v>14.863888888888889</v>
          </cell>
        </row>
        <row r="575">
          <cell r="B575">
            <v>292</v>
          </cell>
          <cell r="C575" t="str">
            <v>round2</v>
          </cell>
          <cell r="D575">
            <v>2008</v>
          </cell>
          <cell r="E575" t="str">
            <v>girlsU14</v>
          </cell>
          <cell r="F575" t="str">
            <v>football</v>
          </cell>
          <cell r="G575" t="str">
            <v>girls</v>
          </cell>
          <cell r="H575">
            <v>12.202302403945065</v>
          </cell>
          <cell r="I575">
            <v>2.1338087071660441</v>
          </cell>
          <cell r="J575">
            <v>44943</v>
          </cell>
          <cell r="K575">
            <v>39707</v>
          </cell>
          <cell r="L575">
            <v>14.33611111111111</v>
          </cell>
        </row>
        <row r="576">
          <cell r="B576">
            <v>298</v>
          </cell>
          <cell r="C576" t="str">
            <v>round2</v>
          </cell>
          <cell r="D576">
            <v>2006</v>
          </cell>
          <cell r="E576" t="str">
            <v>boysU16</v>
          </cell>
          <cell r="F576" t="str">
            <v>football</v>
          </cell>
          <cell r="G576" t="str">
            <v>boys</v>
          </cell>
          <cell r="J576">
            <v>44819</v>
          </cell>
          <cell r="K576">
            <v>0</v>
          </cell>
          <cell r="L576">
            <v>122.70833333333333</v>
          </cell>
        </row>
        <row r="577">
          <cell r="B577">
            <v>323</v>
          </cell>
          <cell r="C577" t="str">
            <v>round2</v>
          </cell>
          <cell r="D577">
            <v>2008</v>
          </cell>
          <cell r="E577" t="str">
            <v>boysU14</v>
          </cell>
          <cell r="F577" t="str">
            <v>football</v>
          </cell>
          <cell r="G577" t="str">
            <v>boys</v>
          </cell>
          <cell r="H577">
            <v>13.83067901934602</v>
          </cell>
          <cell r="I577">
            <v>0.74709875843175721</v>
          </cell>
          <cell r="J577">
            <v>44826</v>
          </cell>
          <cell r="K577">
            <v>39502</v>
          </cell>
          <cell r="L577">
            <v>14.577777777777778</v>
          </cell>
        </row>
        <row r="578">
          <cell r="B578">
            <v>325</v>
          </cell>
          <cell r="C578" t="str">
            <v>round2</v>
          </cell>
          <cell r="D578">
            <v>2008</v>
          </cell>
          <cell r="E578" t="str">
            <v>boysU14</v>
          </cell>
          <cell r="F578" t="str">
            <v>football</v>
          </cell>
          <cell r="G578" t="str">
            <v>boys</v>
          </cell>
          <cell r="H578">
            <v>12.812380397314765</v>
          </cell>
          <cell r="I578">
            <v>1.4820640471296793</v>
          </cell>
          <cell r="J578">
            <v>44826</v>
          </cell>
          <cell r="K578">
            <v>39605</v>
          </cell>
          <cell r="L578">
            <v>14.294444444444444</v>
          </cell>
        </row>
        <row r="579">
          <cell r="B579">
            <v>326</v>
          </cell>
          <cell r="C579" t="str">
            <v>round2</v>
          </cell>
          <cell r="D579">
            <v>2008</v>
          </cell>
          <cell r="E579" t="str">
            <v>boysU14</v>
          </cell>
          <cell r="F579" t="str">
            <v>football</v>
          </cell>
          <cell r="G579" t="str">
            <v>boys</v>
          </cell>
          <cell r="H579">
            <v>13.537250218819729</v>
          </cell>
          <cell r="I579">
            <v>0.9127497811802705</v>
          </cell>
          <cell r="J579">
            <v>44826</v>
          </cell>
          <cell r="K579">
            <v>39548</v>
          </cell>
          <cell r="L579">
            <v>14.45</v>
          </cell>
        </row>
        <row r="580">
          <cell r="B580">
            <v>327</v>
          </cell>
          <cell r="C580" t="str">
            <v>round2</v>
          </cell>
          <cell r="D580">
            <v>2008</v>
          </cell>
          <cell r="E580" t="str">
            <v>boysU14</v>
          </cell>
          <cell r="F580" t="str">
            <v>football</v>
          </cell>
          <cell r="G580" t="str">
            <v>boys</v>
          </cell>
          <cell r="H580">
            <v>12.449804024337418</v>
          </cell>
          <cell r="I580">
            <v>0.60019597566258354</v>
          </cell>
          <cell r="J580">
            <v>44826</v>
          </cell>
          <cell r="K580">
            <v>40060</v>
          </cell>
          <cell r="L580">
            <v>13.05</v>
          </cell>
        </row>
        <row r="581">
          <cell r="B581">
            <v>328</v>
          </cell>
          <cell r="C581" t="str">
            <v>round2</v>
          </cell>
          <cell r="D581">
            <v>0</v>
          </cell>
          <cell r="E581">
            <v>0</v>
          </cell>
          <cell r="F581" t="str">
            <v>football</v>
          </cell>
          <cell r="G581">
            <v>0</v>
          </cell>
          <cell r="H581" t="e">
            <v>#N/A</v>
          </cell>
          <cell r="I581">
            <v>0</v>
          </cell>
          <cell r="J581">
            <v>44819</v>
          </cell>
          <cell r="K581" t="e">
            <v>#N/A</v>
          </cell>
          <cell r="L581" t="e">
            <v>#N/A</v>
          </cell>
        </row>
        <row r="582">
          <cell r="B582">
            <v>332</v>
          </cell>
          <cell r="C582" t="str">
            <v>round2</v>
          </cell>
          <cell r="D582">
            <v>2004</v>
          </cell>
          <cell r="E582" t="str">
            <v>boysU18</v>
          </cell>
          <cell r="F582" t="str">
            <v>football</v>
          </cell>
          <cell r="G582" t="str">
            <v>boys</v>
          </cell>
          <cell r="H582" t="e">
            <v>#N/A</v>
          </cell>
          <cell r="I582">
            <v>0</v>
          </cell>
          <cell r="J582">
            <v>44862</v>
          </cell>
          <cell r="K582" t="e">
            <v>#N/A</v>
          </cell>
          <cell r="L582" t="e">
            <v>#N/A</v>
          </cell>
        </row>
        <row r="583">
          <cell r="B583">
            <v>336</v>
          </cell>
          <cell r="C583" t="str">
            <v>round2</v>
          </cell>
          <cell r="D583">
            <v>2002</v>
          </cell>
          <cell r="E583">
            <v>0</v>
          </cell>
          <cell r="F583" t="str">
            <v>football</v>
          </cell>
          <cell r="G583" t="str">
            <v>boys</v>
          </cell>
          <cell r="H583" t="e">
            <v>#N/A</v>
          </cell>
          <cell r="I583">
            <v>0</v>
          </cell>
          <cell r="J583">
            <v>44862</v>
          </cell>
          <cell r="K583" t="e">
            <v>#N/A</v>
          </cell>
          <cell r="L583" t="e">
            <v>#N/A</v>
          </cell>
        </row>
        <row r="584">
          <cell r="B584">
            <v>403</v>
          </cell>
          <cell r="C584" t="str">
            <v>round2</v>
          </cell>
          <cell r="D584">
            <v>2007</v>
          </cell>
          <cell r="E584" t="str">
            <v>girlsU16</v>
          </cell>
          <cell r="F584" t="str">
            <v>handball</v>
          </cell>
          <cell r="G584" t="str">
            <v>girls</v>
          </cell>
          <cell r="H584">
            <v>12.319765784470274</v>
          </cell>
          <cell r="I584">
            <v>3.2413453266408374</v>
          </cell>
          <cell r="J584">
            <v>44994</v>
          </cell>
          <cell r="K584">
            <v>39311</v>
          </cell>
          <cell r="L584">
            <v>15.561111111111112</v>
          </cell>
        </row>
        <row r="585">
          <cell r="B585">
            <v>404</v>
          </cell>
          <cell r="C585" t="str">
            <v>round2</v>
          </cell>
          <cell r="D585">
            <v>2007</v>
          </cell>
          <cell r="E585" t="str">
            <v>girlsU16</v>
          </cell>
          <cell r="F585" t="str">
            <v>handball</v>
          </cell>
          <cell r="G585" t="str">
            <v>girls</v>
          </cell>
          <cell r="H585">
            <v>12.54671855925795</v>
          </cell>
          <cell r="I585">
            <v>3.6282814407420498</v>
          </cell>
          <cell r="J585">
            <v>44994</v>
          </cell>
          <cell r="K585">
            <v>39088</v>
          </cell>
          <cell r="L585">
            <v>16.175000000000001</v>
          </cell>
        </row>
        <row r="586">
          <cell r="B586">
            <v>405</v>
          </cell>
          <cell r="C586" t="str">
            <v>round2</v>
          </cell>
          <cell r="D586">
            <v>2007</v>
          </cell>
          <cell r="E586" t="str">
            <v>girlsU16</v>
          </cell>
          <cell r="F586" t="str">
            <v>handball</v>
          </cell>
          <cell r="G586" t="str">
            <v>girls</v>
          </cell>
          <cell r="H586">
            <v>12.610181601182495</v>
          </cell>
          <cell r="I586">
            <v>3.0814850654841712</v>
          </cell>
          <cell r="J586">
            <v>44994</v>
          </cell>
          <cell r="K586">
            <v>39263</v>
          </cell>
          <cell r="L586">
            <v>15.691666666666666</v>
          </cell>
        </row>
        <row r="587">
          <cell r="B587">
            <v>408</v>
          </cell>
          <cell r="C587" t="str">
            <v>round2</v>
          </cell>
          <cell r="D587">
            <v>2007</v>
          </cell>
          <cell r="E587" t="str">
            <v>girlsU16</v>
          </cell>
          <cell r="F587" t="str">
            <v>handball</v>
          </cell>
          <cell r="G587" t="str">
            <v>girls</v>
          </cell>
          <cell r="H587">
            <v>12.72516799546635</v>
          </cell>
          <cell r="I587">
            <v>2.9776097823114265</v>
          </cell>
          <cell r="J587">
            <v>45000</v>
          </cell>
          <cell r="K587">
            <v>39265</v>
          </cell>
          <cell r="L587">
            <v>15.702777777777778</v>
          </cell>
        </row>
        <row r="588">
          <cell r="B588">
            <v>409</v>
          </cell>
          <cell r="C588" t="str">
            <v>round2</v>
          </cell>
          <cell r="D588">
            <v>2007</v>
          </cell>
          <cell r="E588" t="str">
            <v>girlsU16</v>
          </cell>
          <cell r="F588" t="str">
            <v>handball</v>
          </cell>
          <cell r="G588" t="str">
            <v>girls</v>
          </cell>
          <cell r="H588">
            <v>13.09852533680756</v>
          </cell>
          <cell r="I588">
            <v>2.8598079965257739</v>
          </cell>
          <cell r="J588">
            <v>45000</v>
          </cell>
          <cell r="K588">
            <v>39171</v>
          </cell>
          <cell r="L588">
            <v>15.958333333333334</v>
          </cell>
        </row>
        <row r="589">
          <cell r="B589">
            <v>410</v>
          </cell>
          <cell r="C589" t="str">
            <v>round2</v>
          </cell>
          <cell r="D589">
            <v>2007</v>
          </cell>
          <cell r="E589" t="str">
            <v>girlsU16</v>
          </cell>
          <cell r="F589" t="str">
            <v>handball</v>
          </cell>
          <cell r="G589" t="str">
            <v>girls</v>
          </cell>
          <cell r="H589">
            <v>11.787175414240405</v>
          </cell>
          <cell r="I589">
            <v>3.6017134746484851</v>
          </cell>
          <cell r="J589">
            <v>45000</v>
          </cell>
          <cell r="K589">
            <v>39380</v>
          </cell>
          <cell r="L589">
            <v>15.388888888888889</v>
          </cell>
        </row>
        <row r="590">
          <cell r="B590">
            <v>411</v>
          </cell>
          <cell r="C590" t="str">
            <v>round2</v>
          </cell>
          <cell r="D590">
            <v>2007</v>
          </cell>
          <cell r="E590" t="str">
            <v>girlsU16</v>
          </cell>
          <cell r="F590" t="str">
            <v>handball</v>
          </cell>
          <cell r="G590" t="str">
            <v>girls</v>
          </cell>
          <cell r="H590">
            <v>12.586154959053209</v>
          </cell>
          <cell r="I590">
            <v>3.3360672631690136</v>
          </cell>
          <cell r="J590">
            <v>45000</v>
          </cell>
          <cell r="K590">
            <v>39185</v>
          </cell>
          <cell r="L590">
            <v>15.922222222222222</v>
          </cell>
        </row>
        <row r="591">
          <cell r="B591">
            <v>412</v>
          </cell>
          <cell r="C591" t="str">
            <v>round2</v>
          </cell>
          <cell r="D591">
            <v>2007</v>
          </cell>
          <cell r="E591" t="str">
            <v>girlsU16</v>
          </cell>
          <cell r="F591" t="str">
            <v>handball</v>
          </cell>
          <cell r="G591" t="str">
            <v>girls</v>
          </cell>
          <cell r="H591">
            <v>12.646429634478739</v>
          </cell>
          <cell r="I591">
            <v>3.5591259210768156</v>
          </cell>
          <cell r="J591">
            <v>45000</v>
          </cell>
          <cell r="K591">
            <v>39083</v>
          </cell>
          <cell r="L591">
            <v>16.205555555555556</v>
          </cell>
        </row>
        <row r="592">
          <cell r="B592">
            <v>413</v>
          </cell>
          <cell r="C592" t="str">
            <v>round2</v>
          </cell>
          <cell r="D592">
            <v>2007</v>
          </cell>
          <cell r="E592" t="str">
            <v>girlsU16</v>
          </cell>
          <cell r="F592" t="str">
            <v>handball</v>
          </cell>
          <cell r="G592" t="str">
            <v>girls</v>
          </cell>
          <cell r="H592">
            <v>12.963487667725758</v>
          </cell>
          <cell r="I592">
            <v>2.8031789989409095</v>
          </cell>
          <cell r="J592">
            <v>45000</v>
          </cell>
          <cell r="K592">
            <v>39242</v>
          </cell>
          <cell r="L592">
            <v>15.766666666666667</v>
          </cell>
        </row>
        <row r="593">
          <cell r="B593">
            <v>414</v>
          </cell>
          <cell r="C593" t="str">
            <v>round2</v>
          </cell>
          <cell r="D593">
            <v>2007</v>
          </cell>
          <cell r="E593" t="str">
            <v>girlsU16</v>
          </cell>
          <cell r="F593" t="str">
            <v>handball</v>
          </cell>
          <cell r="G593" t="str">
            <v>girls</v>
          </cell>
          <cell r="H593">
            <v>12.585047701954288</v>
          </cell>
          <cell r="I593">
            <v>3.3927300758234908</v>
          </cell>
          <cell r="J593">
            <v>45000</v>
          </cell>
          <cell r="K593">
            <v>39164</v>
          </cell>
          <cell r="L593">
            <v>15.977777777777778</v>
          </cell>
        </row>
        <row r="594">
          <cell r="B594">
            <v>419</v>
          </cell>
          <cell r="C594" t="str">
            <v>round2</v>
          </cell>
          <cell r="D594">
            <v>2007</v>
          </cell>
          <cell r="E594" t="str">
            <v>girlsU16</v>
          </cell>
          <cell r="F594" t="str">
            <v>handball</v>
          </cell>
          <cell r="G594" t="str">
            <v>girls</v>
          </cell>
          <cell r="H594">
            <v>11.81339751553787</v>
          </cell>
          <cell r="I594">
            <v>3.8032691511287968</v>
          </cell>
          <cell r="J594">
            <v>45000</v>
          </cell>
          <cell r="K594">
            <v>39297</v>
          </cell>
          <cell r="L594">
            <v>15.616666666666667</v>
          </cell>
        </row>
        <row r="595">
          <cell r="B595">
            <v>420</v>
          </cell>
          <cell r="C595" t="str">
            <v>round2</v>
          </cell>
          <cell r="D595">
            <v>2009</v>
          </cell>
          <cell r="E595" t="str">
            <v>boysU14</v>
          </cell>
          <cell r="F595" t="str">
            <v>handball</v>
          </cell>
          <cell r="G595" t="str">
            <v>boys</v>
          </cell>
          <cell r="H595">
            <v>13.385663696491225</v>
          </cell>
          <cell r="I595">
            <v>-4.1219252046780452E-2</v>
          </cell>
          <cell r="J595">
            <v>45015</v>
          </cell>
          <cell r="K595">
            <v>40143</v>
          </cell>
          <cell r="L595">
            <v>13.344444444444445</v>
          </cell>
        </row>
        <row r="596">
          <cell r="B596">
            <v>421</v>
          </cell>
          <cell r="C596" t="str">
            <v>round2</v>
          </cell>
          <cell r="D596">
            <v>2009</v>
          </cell>
          <cell r="E596" t="str">
            <v>boysU14</v>
          </cell>
          <cell r="F596" t="str">
            <v>handball</v>
          </cell>
          <cell r="G596" t="str">
            <v>boys</v>
          </cell>
          <cell r="H596">
            <v>13.645459198854889</v>
          </cell>
          <cell r="I596">
            <v>0.38509635670066678</v>
          </cell>
          <cell r="J596">
            <v>45015</v>
          </cell>
          <cell r="K596">
            <v>39891</v>
          </cell>
          <cell r="L596">
            <v>14.030555555555555</v>
          </cell>
        </row>
        <row r="597">
          <cell r="B597">
            <v>423</v>
          </cell>
          <cell r="C597" t="str">
            <v>round2</v>
          </cell>
          <cell r="D597">
            <v>2009</v>
          </cell>
          <cell r="E597" t="str">
            <v>boysU14</v>
          </cell>
          <cell r="F597" t="str">
            <v>handball</v>
          </cell>
          <cell r="G597" t="str">
            <v>boys</v>
          </cell>
          <cell r="H597">
            <v>13.37442008200715</v>
          </cell>
          <cell r="I597">
            <v>0.61446880688173899</v>
          </cell>
          <cell r="J597">
            <v>45015</v>
          </cell>
          <cell r="K597">
            <v>39907</v>
          </cell>
          <cell r="L597">
            <v>13.988888888888889</v>
          </cell>
        </row>
        <row r="598">
          <cell r="B598">
            <v>424</v>
          </cell>
          <cell r="C598" t="str">
            <v>round2</v>
          </cell>
          <cell r="D598">
            <v>2009</v>
          </cell>
          <cell r="E598" t="str">
            <v>boysU14</v>
          </cell>
          <cell r="F598" t="str">
            <v>handball</v>
          </cell>
          <cell r="G598" t="str">
            <v>boys</v>
          </cell>
          <cell r="H598">
            <v>13.33751810877015</v>
          </cell>
          <cell r="I598">
            <v>0.57359300234096189</v>
          </cell>
          <cell r="J598">
            <v>45015</v>
          </cell>
          <cell r="K598">
            <v>39935</v>
          </cell>
          <cell r="L598">
            <v>13.911111111111111</v>
          </cell>
        </row>
        <row r="599">
          <cell r="B599">
            <v>426</v>
          </cell>
          <cell r="C599" t="str">
            <v>round2</v>
          </cell>
          <cell r="D599">
            <v>2009</v>
          </cell>
          <cell r="E599" t="str">
            <v>boysU14</v>
          </cell>
          <cell r="F599" t="str">
            <v>handball</v>
          </cell>
          <cell r="G599" t="str">
            <v>boys</v>
          </cell>
          <cell r="H599">
            <v>13.67925775400116</v>
          </cell>
          <cell r="I599">
            <v>-0.20703553177893841</v>
          </cell>
          <cell r="J599">
            <v>45015</v>
          </cell>
          <cell r="K599">
            <v>40096</v>
          </cell>
          <cell r="L599">
            <v>13.472222222222221</v>
          </cell>
        </row>
        <row r="600">
          <cell r="B600">
            <v>427</v>
          </cell>
          <cell r="C600" t="str">
            <v>round2</v>
          </cell>
          <cell r="D600">
            <v>2009</v>
          </cell>
          <cell r="E600" t="str">
            <v>boysU14</v>
          </cell>
          <cell r="F600" t="str">
            <v>handball</v>
          </cell>
          <cell r="G600" t="str">
            <v>boys</v>
          </cell>
          <cell r="H600">
            <v>13.816349042788897</v>
          </cell>
          <cell r="I600">
            <v>3.1762387776967937E-4</v>
          </cell>
          <cell r="J600">
            <v>45015</v>
          </cell>
          <cell r="K600">
            <v>39970</v>
          </cell>
          <cell r="L600">
            <v>13.816666666666666</v>
          </cell>
        </row>
        <row r="601">
          <cell r="B601">
            <v>430</v>
          </cell>
          <cell r="C601" t="str">
            <v>round2</v>
          </cell>
          <cell r="D601">
            <v>2009</v>
          </cell>
          <cell r="E601" t="str">
            <v>boysU14</v>
          </cell>
          <cell r="F601" t="str">
            <v>handball</v>
          </cell>
          <cell r="G601" t="str">
            <v>boys</v>
          </cell>
          <cell r="J601">
            <v>45015</v>
          </cell>
          <cell r="K601">
            <v>40156</v>
          </cell>
          <cell r="L601">
            <v>13.308333333333334</v>
          </cell>
        </row>
        <row r="602">
          <cell r="B602">
            <v>431</v>
          </cell>
          <cell r="C602" t="str">
            <v>round2</v>
          </cell>
          <cell r="D602">
            <v>2009</v>
          </cell>
          <cell r="E602" t="str">
            <v>boysU14</v>
          </cell>
          <cell r="F602" t="str">
            <v>handball</v>
          </cell>
          <cell r="G602" t="str">
            <v>boys</v>
          </cell>
          <cell r="H602">
            <v>14.151991302732608</v>
          </cell>
          <cell r="I602">
            <v>-0.17421352495482889</v>
          </cell>
          <cell r="J602">
            <v>45015</v>
          </cell>
          <cell r="K602">
            <v>39911</v>
          </cell>
          <cell r="L602">
            <v>13.977777777777778</v>
          </cell>
        </row>
        <row r="603">
          <cell r="B603">
            <v>434</v>
          </cell>
          <cell r="C603" t="str">
            <v>round2</v>
          </cell>
          <cell r="D603">
            <v>2007</v>
          </cell>
          <cell r="E603" t="str">
            <v>boysU16</v>
          </cell>
          <cell r="F603" t="str">
            <v>handball</v>
          </cell>
          <cell r="G603" t="str">
            <v>boys</v>
          </cell>
          <cell r="H603">
            <v>13.64394789688636</v>
          </cell>
          <cell r="I603">
            <v>2.1699409920025277</v>
          </cell>
          <cell r="J603">
            <v>44999</v>
          </cell>
          <cell r="K603">
            <v>39223</v>
          </cell>
          <cell r="L603">
            <v>15.813888888888888</v>
          </cell>
        </row>
        <row r="604">
          <cell r="B604">
            <v>436</v>
          </cell>
          <cell r="C604" t="str">
            <v>round2</v>
          </cell>
          <cell r="D604">
            <v>2007</v>
          </cell>
          <cell r="E604" t="str">
            <v>boysU16</v>
          </cell>
          <cell r="F604" t="str">
            <v>handball</v>
          </cell>
          <cell r="G604" t="str">
            <v>boys</v>
          </cell>
          <cell r="H604">
            <v>13.844438110152971</v>
          </cell>
          <cell r="I604">
            <v>2.0500063342914725</v>
          </cell>
          <cell r="J604">
            <v>44999</v>
          </cell>
          <cell r="K604">
            <v>39194</v>
          </cell>
          <cell r="L604">
            <v>15.894444444444444</v>
          </cell>
        </row>
        <row r="605">
          <cell r="B605">
            <v>437</v>
          </cell>
          <cell r="C605" t="str">
            <v>round2</v>
          </cell>
          <cell r="D605">
            <v>2007</v>
          </cell>
          <cell r="E605" t="str">
            <v>boysU16</v>
          </cell>
          <cell r="F605" t="str">
            <v>handball</v>
          </cell>
          <cell r="G605" t="str">
            <v>boys</v>
          </cell>
          <cell r="H605">
            <v>14.265382725255192</v>
          </cell>
          <cell r="I605">
            <v>1.9318394969670318</v>
          </cell>
          <cell r="J605">
            <v>44999</v>
          </cell>
          <cell r="K605">
            <v>39085</v>
          </cell>
          <cell r="L605">
            <v>16.197222222222223</v>
          </cell>
        </row>
        <row r="606">
          <cell r="B606">
            <v>438</v>
          </cell>
          <cell r="C606" t="str">
            <v>round2</v>
          </cell>
          <cell r="D606">
            <v>2007</v>
          </cell>
          <cell r="E606" t="str">
            <v>boysU16</v>
          </cell>
          <cell r="F606" t="str">
            <v>handball</v>
          </cell>
          <cell r="G606" t="str">
            <v>boys</v>
          </cell>
          <cell r="H606">
            <v>13.292656591964004</v>
          </cell>
          <cell r="I606">
            <v>2.396232296924885</v>
          </cell>
          <cell r="J606">
            <v>44999</v>
          </cell>
          <cell r="K606">
            <v>39269</v>
          </cell>
          <cell r="L606">
            <v>15.688888888888888</v>
          </cell>
        </row>
        <row r="607">
          <cell r="B607">
            <v>440</v>
          </cell>
          <cell r="C607" t="str">
            <v>round2</v>
          </cell>
          <cell r="D607">
            <v>2007</v>
          </cell>
          <cell r="E607" t="str">
            <v>boysU16</v>
          </cell>
          <cell r="F607" t="str">
            <v>handball</v>
          </cell>
          <cell r="G607" t="str">
            <v>boys</v>
          </cell>
          <cell r="H607">
            <v>13.992572760563128</v>
          </cell>
          <cell r="I607">
            <v>1.4879827949924285</v>
          </cell>
          <cell r="J607">
            <v>44999</v>
          </cell>
          <cell r="K607">
            <v>39346</v>
          </cell>
          <cell r="L607">
            <v>15.480555555555556</v>
          </cell>
        </row>
        <row r="608">
          <cell r="B608">
            <v>441</v>
          </cell>
          <cell r="C608" t="str">
            <v>round2</v>
          </cell>
          <cell r="D608">
            <v>2007</v>
          </cell>
          <cell r="E608" t="str">
            <v>boysU16</v>
          </cell>
          <cell r="F608" t="str">
            <v>handball</v>
          </cell>
          <cell r="G608" t="str">
            <v>boys</v>
          </cell>
          <cell r="H608">
            <v>13.378144432924699</v>
          </cell>
          <cell r="I608">
            <v>2.5051889004086338</v>
          </cell>
          <cell r="J608">
            <v>44999</v>
          </cell>
          <cell r="K608">
            <v>39198</v>
          </cell>
          <cell r="L608">
            <v>15.883333333333333</v>
          </cell>
        </row>
        <row r="609">
          <cell r="B609">
            <v>442</v>
          </cell>
          <cell r="C609" t="str">
            <v>round2</v>
          </cell>
          <cell r="D609">
            <v>2007</v>
          </cell>
          <cell r="E609" t="str">
            <v>boysU16</v>
          </cell>
          <cell r="F609" t="str">
            <v>handball</v>
          </cell>
          <cell r="G609" t="str">
            <v>boys</v>
          </cell>
          <cell r="H609">
            <v>13.66479147296708</v>
          </cell>
          <cell r="I609">
            <v>1.7018751936995877</v>
          </cell>
          <cell r="J609">
            <v>44999</v>
          </cell>
          <cell r="K609">
            <v>39388</v>
          </cell>
          <cell r="L609">
            <v>15.366666666666667</v>
          </cell>
        </row>
        <row r="610">
          <cell r="B610">
            <v>447</v>
          </cell>
          <cell r="C610" t="str">
            <v>round2</v>
          </cell>
          <cell r="D610">
            <v>2009</v>
          </cell>
          <cell r="E610" t="str">
            <v>girlsU14</v>
          </cell>
          <cell r="F610" t="str">
            <v>handball</v>
          </cell>
          <cell r="G610" t="str">
            <v>girls</v>
          </cell>
          <cell r="H610">
            <v>12.237899367207646</v>
          </cell>
          <cell r="I610">
            <v>1.5093228550145761</v>
          </cell>
          <cell r="J610">
            <v>45014</v>
          </cell>
          <cell r="K610">
            <v>39994</v>
          </cell>
          <cell r="L610">
            <v>13.747222222222222</v>
          </cell>
        </row>
        <row r="611">
          <cell r="B611">
            <v>448</v>
          </cell>
          <cell r="C611" t="str">
            <v>round2</v>
          </cell>
          <cell r="D611">
            <v>2009</v>
          </cell>
          <cell r="E611" t="str">
            <v>girlsU14</v>
          </cell>
          <cell r="F611" t="str">
            <v>handball</v>
          </cell>
          <cell r="G611" t="str">
            <v>girls</v>
          </cell>
          <cell r="H611">
            <v>12.574224824535925</v>
          </cell>
          <cell r="I611">
            <v>1.6924418421307421</v>
          </cell>
          <cell r="J611">
            <v>45042</v>
          </cell>
          <cell r="K611">
            <v>39833</v>
          </cell>
          <cell r="L611">
            <v>14.266666666666667</v>
          </cell>
        </row>
        <row r="612">
          <cell r="B612">
            <v>449</v>
          </cell>
          <cell r="C612" t="str">
            <v>round2</v>
          </cell>
          <cell r="D612">
            <v>2009</v>
          </cell>
          <cell r="E612" t="str">
            <v>girlsU14</v>
          </cell>
          <cell r="F612" t="str">
            <v>handball</v>
          </cell>
          <cell r="G612" t="str">
            <v>girls</v>
          </cell>
          <cell r="H612">
            <v>12.304625214693841</v>
          </cell>
          <cell r="I612">
            <v>1.450930340861716</v>
          </cell>
          <cell r="J612">
            <v>45042</v>
          </cell>
          <cell r="K612">
            <v>40018</v>
          </cell>
          <cell r="L612">
            <v>13.755555555555556</v>
          </cell>
        </row>
        <row r="613">
          <cell r="B613">
            <v>450</v>
          </cell>
          <cell r="C613" t="str">
            <v>round2</v>
          </cell>
          <cell r="D613">
            <v>2009</v>
          </cell>
          <cell r="E613" t="str">
            <v>girlsU14</v>
          </cell>
          <cell r="F613" t="str">
            <v>handball</v>
          </cell>
          <cell r="G613" t="str">
            <v>girls</v>
          </cell>
          <cell r="H613">
            <v>11.855717734475679</v>
          </cell>
          <cell r="I613">
            <v>1.8248378210798759</v>
          </cell>
          <cell r="J613">
            <v>45014</v>
          </cell>
          <cell r="K613">
            <v>40018</v>
          </cell>
          <cell r="L613">
            <v>13.680555555555555</v>
          </cell>
        </row>
        <row r="614">
          <cell r="B614">
            <v>451</v>
          </cell>
          <cell r="C614" t="str">
            <v>round2</v>
          </cell>
          <cell r="D614">
            <v>2009</v>
          </cell>
          <cell r="E614" t="str">
            <v>girlsU14</v>
          </cell>
          <cell r="F614" t="str">
            <v>handball</v>
          </cell>
          <cell r="G614" t="str">
            <v>girls</v>
          </cell>
          <cell r="H614">
            <v>12.156554793715847</v>
          </cell>
          <cell r="I614">
            <v>1.5378896507285973</v>
          </cell>
          <cell r="J614">
            <v>45014</v>
          </cell>
          <cell r="K614">
            <v>40013</v>
          </cell>
          <cell r="L614">
            <v>13.694444444444445</v>
          </cell>
        </row>
        <row r="615">
          <cell r="B615">
            <v>452</v>
          </cell>
          <cell r="C615" t="str">
            <v>round2</v>
          </cell>
          <cell r="D615">
            <v>2009</v>
          </cell>
          <cell r="E615" t="str">
            <v>girlsU14</v>
          </cell>
          <cell r="F615" t="str">
            <v>handball</v>
          </cell>
          <cell r="G615" t="str">
            <v>girls</v>
          </cell>
          <cell r="H615">
            <v>12.068809294226611</v>
          </cell>
          <cell r="I615">
            <v>1.9395240391067214</v>
          </cell>
          <cell r="J615">
            <v>45014</v>
          </cell>
          <cell r="K615">
            <v>39898</v>
          </cell>
          <cell r="L615">
            <v>14.008333333333333</v>
          </cell>
        </row>
        <row r="616">
          <cell r="B616">
            <v>453</v>
          </cell>
          <cell r="C616" t="str">
            <v>round2</v>
          </cell>
          <cell r="D616">
            <v>2009</v>
          </cell>
          <cell r="E616" t="str">
            <v>girlsU14</v>
          </cell>
          <cell r="F616" t="str">
            <v>handball</v>
          </cell>
          <cell r="G616" t="str">
            <v>girls</v>
          </cell>
          <cell r="H616">
            <v>12.701327819995246</v>
          </cell>
          <cell r="I616">
            <v>1.4320055133380865</v>
          </cell>
          <cell r="J616">
            <v>45056</v>
          </cell>
          <cell r="K616">
            <v>39894</v>
          </cell>
          <cell r="L616">
            <v>14.133333333333333</v>
          </cell>
        </row>
        <row r="617">
          <cell r="B617">
            <v>458</v>
          </cell>
          <cell r="C617" t="str">
            <v>round2</v>
          </cell>
          <cell r="D617">
            <v>2009</v>
          </cell>
          <cell r="E617" t="str">
            <v>girlsU14</v>
          </cell>
          <cell r="F617" t="str">
            <v>handball</v>
          </cell>
          <cell r="G617" t="str">
            <v>girls</v>
          </cell>
          <cell r="H617">
            <v>11.847226137777842</v>
          </cell>
          <cell r="I617">
            <v>2.1611071955554908</v>
          </cell>
          <cell r="J617">
            <v>45056</v>
          </cell>
          <cell r="K617">
            <v>39940</v>
          </cell>
          <cell r="L617">
            <v>14.008333333333333</v>
          </cell>
        </row>
        <row r="618">
          <cell r="B618">
            <v>459</v>
          </cell>
          <cell r="C618" t="str">
            <v>round2</v>
          </cell>
          <cell r="D618">
            <v>2009</v>
          </cell>
          <cell r="E618" t="str">
            <v>girlsU14</v>
          </cell>
          <cell r="F618" t="str">
            <v>handball</v>
          </cell>
          <cell r="G618" t="str">
            <v>girls</v>
          </cell>
          <cell r="H618">
            <v>11.953132617166668</v>
          </cell>
          <cell r="I618">
            <v>2.1357562717222209</v>
          </cell>
          <cell r="J618">
            <v>45056</v>
          </cell>
          <cell r="K618">
            <v>39911</v>
          </cell>
          <cell r="L618">
            <v>14.088888888888889</v>
          </cell>
        </row>
        <row r="619">
          <cell r="B619">
            <v>461</v>
          </cell>
          <cell r="C619" t="str">
            <v>round2</v>
          </cell>
          <cell r="D619">
            <v>2009</v>
          </cell>
          <cell r="E619" t="str">
            <v>girlsU14</v>
          </cell>
          <cell r="F619" t="str">
            <v>handball</v>
          </cell>
          <cell r="G619" t="str">
            <v>girls</v>
          </cell>
          <cell r="H619">
            <v>12.541642018666668</v>
          </cell>
          <cell r="I619">
            <v>1.2750246479999992</v>
          </cell>
          <cell r="J619">
            <v>45056</v>
          </cell>
          <cell r="K619">
            <v>40010</v>
          </cell>
          <cell r="L619">
            <v>13.816666666666666</v>
          </cell>
        </row>
        <row r="620">
          <cell r="B620">
            <v>463</v>
          </cell>
          <cell r="C620" t="str">
            <v>round2</v>
          </cell>
          <cell r="D620">
            <v>2007</v>
          </cell>
          <cell r="E620" t="str">
            <v>girlsU16</v>
          </cell>
          <cell r="F620" t="str">
            <v>handball</v>
          </cell>
          <cell r="G620" t="str">
            <v>girls</v>
          </cell>
          <cell r="H620">
            <v>12.82817954997577</v>
          </cell>
          <cell r="I620">
            <v>3.2662648944686743</v>
          </cell>
          <cell r="J620">
            <v>45056</v>
          </cell>
          <cell r="K620">
            <v>39178</v>
          </cell>
          <cell r="L620">
            <v>16.094444444444445</v>
          </cell>
        </row>
        <row r="621">
          <cell r="B621">
            <v>464</v>
          </cell>
          <cell r="C621" t="str">
            <v>round2</v>
          </cell>
          <cell r="D621">
            <v>2007</v>
          </cell>
          <cell r="E621" t="str">
            <v>girlsU16</v>
          </cell>
          <cell r="F621" t="str">
            <v>handball</v>
          </cell>
          <cell r="G621" t="str">
            <v>girls</v>
          </cell>
          <cell r="H621">
            <v>12.999543746624617</v>
          </cell>
          <cell r="I621">
            <v>2.4976784755976036</v>
          </cell>
          <cell r="J621">
            <v>45056</v>
          </cell>
          <cell r="K621">
            <v>39397</v>
          </cell>
          <cell r="L621">
            <v>15.497222222222222</v>
          </cell>
        </row>
        <row r="622">
          <cell r="B622">
            <v>466</v>
          </cell>
          <cell r="C622" t="str">
            <v>round2</v>
          </cell>
          <cell r="D622">
            <v>2007</v>
          </cell>
          <cell r="E622" t="str">
            <v>girlsU16</v>
          </cell>
          <cell r="F622" t="str">
            <v>handball</v>
          </cell>
          <cell r="G622" t="str">
            <v>girls</v>
          </cell>
          <cell r="H622">
            <v>11.985590343859407</v>
          </cell>
          <cell r="I622">
            <v>3.436631878362816</v>
          </cell>
          <cell r="J622">
            <v>45056</v>
          </cell>
          <cell r="K622">
            <v>39424</v>
          </cell>
          <cell r="L622">
            <v>15.422222222222222</v>
          </cell>
        </row>
        <row r="623">
          <cell r="B623">
            <v>467</v>
          </cell>
          <cell r="C623" t="str">
            <v>round2</v>
          </cell>
          <cell r="D623">
            <v>2007</v>
          </cell>
          <cell r="E623" t="str">
            <v>girlsU16</v>
          </cell>
          <cell r="F623" t="str">
            <v>handball</v>
          </cell>
          <cell r="G623" t="str">
            <v>girls</v>
          </cell>
          <cell r="H623">
            <v>13.997931975666987</v>
          </cell>
          <cell r="I623">
            <v>2.3215124687774553</v>
          </cell>
          <cell r="J623">
            <v>45056</v>
          </cell>
          <cell r="K623">
            <v>39097</v>
          </cell>
          <cell r="L623">
            <v>16.319444444444443</v>
          </cell>
        </row>
        <row r="624">
          <cell r="B624">
            <v>468</v>
          </cell>
          <cell r="C624" t="str">
            <v>round2</v>
          </cell>
          <cell r="D624">
            <v>2007</v>
          </cell>
          <cell r="E624" t="str">
            <v>girlsU16</v>
          </cell>
          <cell r="F624" t="str">
            <v>handball</v>
          </cell>
          <cell r="G624" t="str">
            <v>girls</v>
          </cell>
          <cell r="H624">
            <v>13.615409173814884</v>
          </cell>
          <cell r="I624">
            <v>2.6345908261851165</v>
          </cell>
          <cell r="J624">
            <v>45056</v>
          </cell>
          <cell r="K624">
            <v>39123</v>
          </cell>
          <cell r="L624">
            <v>16.25</v>
          </cell>
        </row>
        <row r="625">
          <cell r="B625">
            <v>469</v>
          </cell>
          <cell r="C625" t="str">
            <v>round2</v>
          </cell>
          <cell r="D625">
            <v>2007</v>
          </cell>
          <cell r="E625" t="str">
            <v>girlsU16</v>
          </cell>
          <cell r="F625" t="str">
            <v>handball</v>
          </cell>
          <cell r="G625" t="str">
            <v>girls</v>
          </cell>
          <cell r="H625">
            <v>12.966577131855679</v>
          </cell>
          <cell r="I625">
            <v>2.8306450903665437</v>
          </cell>
          <cell r="J625">
            <v>45056</v>
          </cell>
          <cell r="K625">
            <v>39286</v>
          </cell>
          <cell r="L625">
            <v>15.797222222222222</v>
          </cell>
        </row>
        <row r="626">
          <cell r="B626">
            <v>480</v>
          </cell>
          <cell r="C626" t="str">
            <v>round2</v>
          </cell>
          <cell r="D626">
            <v>2007</v>
          </cell>
          <cell r="E626" t="str">
            <v>boysU16</v>
          </cell>
          <cell r="F626" t="str">
            <v>handball</v>
          </cell>
          <cell r="G626" t="str">
            <v>boys</v>
          </cell>
          <cell r="H626">
            <v>14.151083338786457</v>
          </cell>
          <cell r="I626">
            <v>1.3628055501024336</v>
          </cell>
          <cell r="J626">
            <v>45043</v>
          </cell>
          <cell r="K626">
            <v>39377</v>
          </cell>
          <cell r="L626">
            <v>15.513888888888889</v>
          </cell>
        </row>
        <row r="627">
          <cell r="B627">
            <v>483</v>
          </cell>
          <cell r="C627" t="str">
            <v>round2</v>
          </cell>
          <cell r="D627">
            <v>2007</v>
          </cell>
          <cell r="E627" t="str">
            <v>boysU16</v>
          </cell>
          <cell r="F627" t="str">
            <v>handball</v>
          </cell>
          <cell r="G627" t="str">
            <v>boys</v>
          </cell>
          <cell r="H627">
            <v>13.718959777944587</v>
          </cell>
          <cell r="I627">
            <v>2.5588179998331926</v>
          </cell>
          <cell r="J627">
            <v>45043</v>
          </cell>
          <cell r="K627">
            <v>39099</v>
          </cell>
          <cell r="L627">
            <v>16.277777777777779</v>
          </cell>
        </row>
        <row r="628">
          <cell r="B628">
            <v>484</v>
          </cell>
          <cell r="C628" t="str">
            <v>round2</v>
          </cell>
          <cell r="D628">
            <v>2007</v>
          </cell>
          <cell r="E628" t="str">
            <v>boysU16</v>
          </cell>
          <cell r="F628" t="str">
            <v>handball</v>
          </cell>
          <cell r="G628" t="str">
            <v>boys</v>
          </cell>
          <cell r="H628">
            <v>13.751164802188017</v>
          </cell>
          <cell r="I628">
            <v>2.1988351978119822</v>
          </cell>
          <cell r="J628">
            <v>45043</v>
          </cell>
          <cell r="K628">
            <v>39217</v>
          </cell>
          <cell r="L628">
            <v>15.95</v>
          </cell>
        </row>
        <row r="629">
          <cell r="B629">
            <v>485</v>
          </cell>
          <cell r="C629" t="str">
            <v>round2</v>
          </cell>
          <cell r="D629">
            <v>2007</v>
          </cell>
          <cell r="E629" t="str">
            <v>boysU16</v>
          </cell>
          <cell r="F629" t="str">
            <v>handball</v>
          </cell>
          <cell r="G629" t="str">
            <v>boys</v>
          </cell>
          <cell r="H629">
            <v>15.076790517234933</v>
          </cell>
          <cell r="I629">
            <v>1.1898761494317323</v>
          </cell>
          <cell r="J629">
            <v>45043</v>
          </cell>
          <cell r="K629">
            <v>39103</v>
          </cell>
          <cell r="L629">
            <v>16.266666666666666</v>
          </cell>
        </row>
        <row r="630">
          <cell r="B630">
            <v>486</v>
          </cell>
          <cell r="C630" t="str">
            <v>round2</v>
          </cell>
          <cell r="D630">
            <v>2007</v>
          </cell>
          <cell r="E630" t="str">
            <v>boysU16</v>
          </cell>
          <cell r="F630" t="str">
            <v>handball</v>
          </cell>
          <cell r="G630" t="str">
            <v>boys</v>
          </cell>
          <cell r="H630">
            <v>13.849211283353736</v>
          </cell>
          <cell r="I630">
            <v>2.0368998277573764</v>
          </cell>
          <cell r="J630">
            <v>45043</v>
          </cell>
          <cell r="K630">
            <v>39241</v>
          </cell>
          <cell r="L630">
            <v>15.886111111111111</v>
          </cell>
        </row>
        <row r="631">
          <cell r="B631">
            <v>487</v>
          </cell>
          <cell r="C631" t="str">
            <v>round2</v>
          </cell>
          <cell r="D631">
            <v>2007</v>
          </cell>
          <cell r="E631" t="str">
            <v>boysU16</v>
          </cell>
          <cell r="F631" t="str">
            <v>handball</v>
          </cell>
          <cell r="G631" t="str">
            <v>boys</v>
          </cell>
          <cell r="H631">
            <v>13.664619505158862</v>
          </cell>
          <cell r="I631">
            <v>2.0381582726189156</v>
          </cell>
          <cell r="J631">
            <v>45043</v>
          </cell>
          <cell r="K631">
            <v>39308</v>
          </cell>
          <cell r="L631">
            <v>15.702777777777778</v>
          </cell>
        </row>
        <row r="632">
          <cell r="B632">
            <v>489</v>
          </cell>
          <cell r="C632" t="str">
            <v>round2</v>
          </cell>
          <cell r="D632">
            <v>2009</v>
          </cell>
          <cell r="E632" t="str">
            <v>girlsU14</v>
          </cell>
          <cell r="F632" t="str">
            <v>handball</v>
          </cell>
          <cell r="G632" t="str">
            <v>girls</v>
          </cell>
          <cell r="H632">
            <v>12.278542981270094</v>
          </cell>
          <cell r="I632">
            <v>1.0381236853965716</v>
          </cell>
          <cell r="J632">
            <v>45035</v>
          </cell>
          <cell r="K632">
            <v>40172</v>
          </cell>
          <cell r="L632">
            <v>13.316666666666666</v>
          </cell>
        </row>
        <row r="633">
          <cell r="B633">
            <v>490</v>
          </cell>
          <cell r="C633" t="str">
            <v>round2</v>
          </cell>
          <cell r="D633">
            <v>2009</v>
          </cell>
          <cell r="E633" t="str">
            <v>girlsU14</v>
          </cell>
          <cell r="F633" t="str">
            <v>handball</v>
          </cell>
          <cell r="G633" t="str">
            <v>girls</v>
          </cell>
          <cell r="H633">
            <v>11.767831398561771</v>
          </cell>
          <cell r="I633">
            <v>2.3043908236604516</v>
          </cell>
          <cell r="J633">
            <v>45035</v>
          </cell>
          <cell r="K633">
            <v>39895</v>
          </cell>
          <cell r="L633">
            <v>14.072222222222223</v>
          </cell>
        </row>
        <row r="634">
          <cell r="B634">
            <v>494</v>
          </cell>
          <cell r="C634" t="str">
            <v>round2</v>
          </cell>
          <cell r="D634">
            <v>2009</v>
          </cell>
          <cell r="E634" t="str">
            <v>girlsU14</v>
          </cell>
          <cell r="F634" t="str">
            <v>handball</v>
          </cell>
          <cell r="G634" t="str">
            <v>girls</v>
          </cell>
          <cell r="H634">
            <v>12.439003848672467</v>
          </cell>
          <cell r="I634">
            <v>1.155440595771978</v>
          </cell>
          <cell r="J634">
            <v>45035</v>
          </cell>
          <cell r="K634">
            <v>40071</v>
          </cell>
          <cell r="L634">
            <v>13.594444444444445</v>
          </cell>
        </row>
        <row r="635">
          <cell r="B635">
            <v>495</v>
          </cell>
          <cell r="C635" t="str">
            <v>round2</v>
          </cell>
          <cell r="D635">
            <v>2009</v>
          </cell>
          <cell r="E635" t="str">
            <v>girlsU14</v>
          </cell>
          <cell r="F635" t="str">
            <v>handball</v>
          </cell>
          <cell r="G635" t="str">
            <v>girls</v>
          </cell>
          <cell r="H635">
            <v>11.845514814504327</v>
          </cell>
          <cell r="I635">
            <v>2.2155962966067859</v>
          </cell>
          <cell r="J635">
            <v>45035</v>
          </cell>
          <cell r="K635">
            <v>39899</v>
          </cell>
          <cell r="L635">
            <v>14.061111111111112</v>
          </cell>
        </row>
        <row r="636">
          <cell r="B636">
            <v>496</v>
          </cell>
          <cell r="C636" t="str">
            <v>round2</v>
          </cell>
          <cell r="D636">
            <v>2009</v>
          </cell>
          <cell r="E636" t="str">
            <v>girlsU14</v>
          </cell>
          <cell r="F636" t="str">
            <v>handball</v>
          </cell>
          <cell r="G636" t="str">
            <v>girls</v>
          </cell>
          <cell r="H636">
            <v>12.217355148612027</v>
          </cell>
          <cell r="I636">
            <v>1.8437559624990851</v>
          </cell>
          <cell r="J636">
            <v>45035</v>
          </cell>
          <cell r="K636">
            <v>39899</v>
          </cell>
          <cell r="L636">
            <v>14.061111111111112</v>
          </cell>
        </row>
        <row r="637">
          <cell r="B637">
            <v>497</v>
          </cell>
          <cell r="C637" t="str">
            <v>round2</v>
          </cell>
          <cell r="D637">
            <v>2009</v>
          </cell>
          <cell r="E637" t="str">
            <v>girlsU14</v>
          </cell>
          <cell r="F637" t="str">
            <v>handball</v>
          </cell>
          <cell r="G637" t="str">
            <v>girls</v>
          </cell>
          <cell r="H637">
            <v>12.658293419436289</v>
          </cell>
          <cell r="I637">
            <v>1.4083732472303772</v>
          </cell>
          <cell r="J637">
            <v>45035</v>
          </cell>
          <cell r="K637">
            <v>39897</v>
          </cell>
          <cell r="L637">
            <v>14.066666666666666</v>
          </cell>
        </row>
        <row r="638">
          <cell r="B638">
            <v>500</v>
          </cell>
          <cell r="C638" t="str">
            <v>round2</v>
          </cell>
          <cell r="D638">
            <v>2009</v>
          </cell>
          <cell r="E638" t="str">
            <v>girlsU14</v>
          </cell>
          <cell r="F638" t="str">
            <v>handball</v>
          </cell>
          <cell r="G638" t="str">
            <v>girls</v>
          </cell>
          <cell r="H638">
            <v>12.032947634212341</v>
          </cell>
          <cell r="I638">
            <v>2.175385699120993</v>
          </cell>
          <cell r="J638">
            <v>45035</v>
          </cell>
          <cell r="K638">
            <v>39848</v>
          </cell>
          <cell r="L638">
            <v>14.208333333333334</v>
          </cell>
        </row>
        <row r="639">
          <cell r="B639">
            <v>502</v>
          </cell>
          <cell r="C639" t="str">
            <v>round2</v>
          </cell>
          <cell r="D639">
            <v>2009</v>
          </cell>
          <cell r="E639" t="str">
            <v>girlsU14</v>
          </cell>
          <cell r="F639" t="str">
            <v>handball</v>
          </cell>
          <cell r="G639" t="str">
            <v>girls</v>
          </cell>
          <cell r="H639">
            <v>12.719859664416505</v>
          </cell>
          <cell r="I639">
            <v>0.76069589113905023</v>
          </cell>
          <cell r="J639">
            <v>45035</v>
          </cell>
          <cell r="K639">
            <v>40112</v>
          </cell>
          <cell r="L639">
            <v>13.480555555555556</v>
          </cell>
        </row>
        <row r="640">
          <cell r="B640">
            <v>503</v>
          </cell>
          <cell r="C640" t="str">
            <v>round2</v>
          </cell>
          <cell r="D640">
            <v>2009</v>
          </cell>
          <cell r="E640" t="str">
            <v>girlsU14</v>
          </cell>
          <cell r="F640" t="str">
            <v>handball</v>
          </cell>
          <cell r="G640" t="str">
            <v>girls</v>
          </cell>
          <cell r="H640">
            <v>12.163827141003148</v>
          </cell>
          <cell r="I640">
            <v>1.925061747885741</v>
          </cell>
          <cell r="J640">
            <v>45035</v>
          </cell>
          <cell r="K640">
            <v>39889</v>
          </cell>
          <cell r="L640">
            <v>14.088888888888889</v>
          </cell>
        </row>
        <row r="641">
          <cell r="B641">
            <v>504</v>
          </cell>
          <cell r="C641" t="str">
            <v>round2</v>
          </cell>
          <cell r="D641">
            <v>2009</v>
          </cell>
          <cell r="E641" t="str">
            <v>girlsU14</v>
          </cell>
          <cell r="F641" t="str">
            <v>handball</v>
          </cell>
          <cell r="G641" t="str">
            <v>girls</v>
          </cell>
          <cell r="H641">
            <v>11.799170900007482</v>
          </cell>
          <cell r="I641">
            <v>2.173051322214739</v>
          </cell>
          <cell r="J641">
            <v>45035</v>
          </cell>
          <cell r="K641">
            <v>39932</v>
          </cell>
          <cell r="L641">
            <v>13.972222222222221</v>
          </cell>
        </row>
        <row r="642">
          <cell r="B642">
            <v>505</v>
          </cell>
          <cell r="C642" t="str">
            <v>round2</v>
          </cell>
          <cell r="D642">
            <v>2009</v>
          </cell>
          <cell r="E642" t="str">
            <v>girlsU14</v>
          </cell>
          <cell r="F642" t="str">
            <v>handball</v>
          </cell>
          <cell r="G642" t="str">
            <v>girls</v>
          </cell>
          <cell r="H642">
            <v>12.364190398290784</v>
          </cell>
          <cell r="I642">
            <v>1.896920712820326</v>
          </cell>
          <cell r="J642">
            <v>45035</v>
          </cell>
          <cell r="K642">
            <v>39828</v>
          </cell>
          <cell r="L642">
            <v>14.261111111111111</v>
          </cell>
        </row>
        <row r="643">
          <cell r="B643">
            <v>511</v>
          </cell>
          <cell r="C643" t="str">
            <v>round2</v>
          </cell>
          <cell r="D643">
            <v>2009</v>
          </cell>
          <cell r="E643" t="str">
            <v>boysU14</v>
          </cell>
          <cell r="F643" t="str">
            <v>handball</v>
          </cell>
          <cell r="G643" t="str">
            <v>boys</v>
          </cell>
          <cell r="H643">
            <v>14.187287805390147</v>
          </cell>
          <cell r="I643">
            <v>-0.28728780539014609</v>
          </cell>
          <cell r="J643">
            <v>45027</v>
          </cell>
          <cell r="K643">
            <v>39950</v>
          </cell>
          <cell r="L643">
            <v>13.9</v>
          </cell>
        </row>
        <row r="644">
          <cell r="B644">
            <v>513</v>
          </cell>
          <cell r="C644" t="str">
            <v>round2</v>
          </cell>
          <cell r="D644">
            <v>2009</v>
          </cell>
          <cell r="E644" t="str">
            <v>boysU14</v>
          </cell>
          <cell r="F644" t="str">
            <v>handball</v>
          </cell>
          <cell r="G644" t="str">
            <v>boys</v>
          </cell>
          <cell r="H644">
            <v>13.724321194655969</v>
          </cell>
          <cell r="I644">
            <v>0.16456769423292017</v>
          </cell>
          <cell r="J644">
            <v>45027</v>
          </cell>
          <cell r="K644">
            <v>39954</v>
          </cell>
          <cell r="L644">
            <v>13.888888888888889</v>
          </cell>
        </row>
        <row r="645">
          <cell r="B645">
            <v>515</v>
          </cell>
          <cell r="C645" t="str">
            <v>round2</v>
          </cell>
          <cell r="D645">
            <v>2009</v>
          </cell>
          <cell r="E645" t="str">
            <v>boysU14</v>
          </cell>
          <cell r="F645" t="str">
            <v>handball</v>
          </cell>
          <cell r="G645" t="str">
            <v>boys</v>
          </cell>
          <cell r="H645">
            <v>14.505218153280975</v>
          </cell>
          <cell r="I645">
            <v>-0.51077370883653139</v>
          </cell>
          <cell r="J645">
            <v>45027</v>
          </cell>
          <cell r="K645">
            <v>39916</v>
          </cell>
          <cell r="L645">
            <v>13.994444444444444</v>
          </cell>
        </row>
        <row r="646">
          <cell r="B646">
            <v>517</v>
          </cell>
          <cell r="C646" t="str">
            <v>round2</v>
          </cell>
          <cell r="D646">
            <v>2009</v>
          </cell>
          <cell r="E646" t="str">
            <v>boysU14</v>
          </cell>
          <cell r="F646" t="str">
            <v>handball</v>
          </cell>
          <cell r="G646" t="str">
            <v>boys</v>
          </cell>
          <cell r="H646">
            <v>12.551220408216215</v>
          </cell>
          <cell r="I646">
            <v>0.78211292511711783</v>
          </cell>
          <cell r="J646">
            <v>45027</v>
          </cell>
          <cell r="K646">
            <v>40158</v>
          </cell>
          <cell r="L646">
            <v>13.333333333333334</v>
          </cell>
        </row>
        <row r="647">
          <cell r="B647">
            <v>518</v>
          </cell>
          <cell r="C647" t="str">
            <v>round2</v>
          </cell>
          <cell r="D647">
            <v>2009</v>
          </cell>
          <cell r="E647" t="str">
            <v>boysU14</v>
          </cell>
          <cell r="F647" t="str">
            <v>handball</v>
          </cell>
          <cell r="G647" t="str">
            <v>boys</v>
          </cell>
          <cell r="H647">
            <v>13.691132165503005</v>
          </cell>
          <cell r="I647">
            <v>-0.21890994328078317</v>
          </cell>
          <cell r="J647">
            <v>45027</v>
          </cell>
          <cell r="K647">
            <v>40107</v>
          </cell>
          <cell r="L647">
            <v>13.472222222222221</v>
          </cell>
        </row>
        <row r="648">
          <cell r="B648">
            <v>519</v>
          </cell>
          <cell r="C648" t="str">
            <v>round2</v>
          </cell>
          <cell r="D648">
            <v>2005</v>
          </cell>
          <cell r="E648" t="str">
            <v>boysU18</v>
          </cell>
          <cell r="F648" t="str">
            <v>handball</v>
          </cell>
          <cell r="G648" t="str">
            <v>boys</v>
          </cell>
          <cell r="H648">
            <v>13.179678008730164</v>
          </cell>
          <cell r="I648">
            <v>4.5814331023809496</v>
          </cell>
          <cell r="J648">
            <v>45050</v>
          </cell>
          <cell r="K648">
            <v>38563</v>
          </cell>
          <cell r="L648">
            <v>17.761111111111113</v>
          </cell>
        </row>
        <row r="649">
          <cell r="B649">
            <v>520</v>
          </cell>
          <cell r="C649" t="str">
            <v>round2</v>
          </cell>
          <cell r="D649">
            <v>2005</v>
          </cell>
          <cell r="E649" t="str">
            <v>boysU18</v>
          </cell>
          <cell r="F649" t="str">
            <v>handball</v>
          </cell>
          <cell r="G649" t="str">
            <v>boys</v>
          </cell>
          <cell r="H649">
            <v>14.668763136073416</v>
          </cell>
          <cell r="I649">
            <v>2.9645701972599174</v>
          </cell>
          <cell r="J649">
            <v>45050</v>
          </cell>
          <cell r="K649">
            <v>38611</v>
          </cell>
          <cell r="L649">
            <v>17.633333333333333</v>
          </cell>
        </row>
        <row r="650">
          <cell r="B650">
            <v>524</v>
          </cell>
          <cell r="C650" t="str">
            <v>round2</v>
          </cell>
          <cell r="D650">
            <v>2005</v>
          </cell>
          <cell r="E650" t="str">
            <v>boysU18</v>
          </cell>
          <cell r="F650" t="str">
            <v>handball</v>
          </cell>
          <cell r="G650" t="str">
            <v>boys</v>
          </cell>
          <cell r="H650">
            <v>14.441222825433135</v>
          </cell>
          <cell r="I650">
            <v>2.9476660634557548</v>
          </cell>
          <cell r="J650">
            <v>45050</v>
          </cell>
          <cell r="K650">
            <v>38700</v>
          </cell>
          <cell r="L650">
            <v>17.388888888888889</v>
          </cell>
        </row>
        <row r="651">
          <cell r="B651">
            <v>525</v>
          </cell>
          <cell r="C651" t="str">
            <v>round2</v>
          </cell>
          <cell r="D651">
            <v>2005</v>
          </cell>
          <cell r="E651" t="str">
            <v>boysU18</v>
          </cell>
          <cell r="F651" t="str">
            <v>handball</v>
          </cell>
          <cell r="G651" t="str">
            <v>boys</v>
          </cell>
          <cell r="H651">
            <v>15.019460110822582</v>
          </cell>
          <cell r="I651">
            <v>3.2944287780663082</v>
          </cell>
          <cell r="J651">
            <v>45050</v>
          </cell>
          <cell r="K651">
            <v>38363</v>
          </cell>
          <cell r="L651">
            <v>18.31388888888889</v>
          </cell>
        </row>
        <row r="652">
          <cell r="B652">
            <v>526</v>
          </cell>
          <cell r="C652" t="str">
            <v>round2</v>
          </cell>
          <cell r="D652">
            <v>2005</v>
          </cell>
          <cell r="E652" t="str">
            <v>boysU18</v>
          </cell>
          <cell r="F652" t="str">
            <v>handball</v>
          </cell>
          <cell r="G652" t="str">
            <v>boys</v>
          </cell>
          <cell r="H652">
            <v>14.453334940449004</v>
          </cell>
          <cell r="I652">
            <v>2.9966650595509945</v>
          </cell>
          <cell r="J652">
            <v>45050</v>
          </cell>
          <cell r="K652">
            <v>38678</v>
          </cell>
          <cell r="L652">
            <v>17.45</v>
          </cell>
        </row>
        <row r="653">
          <cell r="B653">
            <v>527</v>
          </cell>
          <cell r="C653" t="str">
            <v>round2</v>
          </cell>
          <cell r="D653">
            <v>2009</v>
          </cell>
          <cell r="E653" t="str">
            <v>boysU14</v>
          </cell>
          <cell r="F653" t="str">
            <v>handball</v>
          </cell>
          <cell r="G653" t="str">
            <v>boys</v>
          </cell>
          <cell r="H653">
            <v>13.398867326001213</v>
          </cell>
          <cell r="I653">
            <v>0.62335489622100937</v>
          </cell>
          <cell r="J653">
            <v>45027</v>
          </cell>
          <cell r="K653">
            <v>39906</v>
          </cell>
          <cell r="L653">
            <v>14.022222222222222</v>
          </cell>
        </row>
        <row r="654">
          <cell r="B654">
            <v>600</v>
          </cell>
          <cell r="C654" t="str">
            <v>round2</v>
          </cell>
          <cell r="D654">
            <v>2009</v>
          </cell>
          <cell r="E654" t="str">
            <v>girlsU14</v>
          </cell>
          <cell r="F654" t="str">
            <v>football</v>
          </cell>
          <cell r="G654" t="str">
            <v>girls</v>
          </cell>
          <cell r="H654">
            <v>12.888823572498085</v>
          </cell>
          <cell r="I654">
            <v>1.5833986497241368</v>
          </cell>
          <cell r="J654">
            <v>45275</v>
          </cell>
          <cell r="K654">
            <v>39989</v>
          </cell>
          <cell r="L654">
            <v>14.472222222222221</v>
          </cell>
        </row>
        <row r="655">
          <cell r="B655">
            <v>601</v>
          </cell>
          <cell r="C655" t="str">
            <v>round2</v>
          </cell>
          <cell r="D655">
            <v>2009</v>
          </cell>
          <cell r="E655" t="str">
            <v>girlsU14</v>
          </cell>
          <cell r="F655" t="str">
            <v>football</v>
          </cell>
          <cell r="G655" t="str">
            <v>girls</v>
          </cell>
          <cell r="H655">
            <v>11.516314231166795</v>
          </cell>
          <cell r="I655">
            <v>2.6947968799443158</v>
          </cell>
          <cell r="J655">
            <v>45275</v>
          </cell>
          <cell r="K655">
            <v>40085</v>
          </cell>
          <cell r="L655">
            <v>14.21111111111111</v>
          </cell>
        </row>
        <row r="656">
          <cell r="B656">
            <v>603</v>
          </cell>
          <cell r="C656" t="str">
            <v>round2</v>
          </cell>
          <cell r="D656">
            <v>2009</v>
          </cell>
          <cell r="E656" t="str">
            <v>girlsU14</v>
          </cell>
          <cell r="F656" t="str">
            <v>football</v>
          </cell>
          <cell r="G656" t="str">
            <v>girls</v>
          </cell>
          <cell r="H656">
            <v>11.856916505919379</v>
          </cell>
          <cell r="I656">
            <v>2.2153057163028431</v>
          </cell>
          <cell r="J656">
            <v>45275</v>
          </cell>
          <cell r="K656">
            <v>40136</v>
          </cell>
          <cell r="L656">
            <v>14.072222222222223</v>
          </cell>
        </row>
        <row r="657">
          <cell r="B657">
            <v>604</v>
          </cell>
          <cell r="C657" t="str">
            <v>round2</v>
          </cell>
          <cell r="D657">
            <v>2009</v>
          </cell>
          <cell r="E657" t="str">
            <v>girlsU14</v>
          </cell>
          <cell r="F657" t="str">
            <v>football</v>
          </cell>
          <cell r="G657" t="str">
            <v>girls</v>
          </cell>
          <cell r="H657">
            <v>12.300735783016384</v>
          </cell>
          <cell r="I657">
            <v>2.5409308836502835</v>
          </cell>
          <cell r="J657">
            <v>45275</v>
          </cell>
          <cell r="K657">
            <v>39856</v>
          </cell>
          <cell r="L657">
            <v>14.841666666666667</v>
          </cell>
        </row>
        <row r="658">
          <cell r="B658">
            <v>605</v>
          </cell>
          <cell r="C658" t="str">
            <v>round2</v>
          </cell>
          <cell r="D658">
            <v>2009</v>
          </cell>
          <cell r="E658" t="str">
            <v>boysU14</v>
          </cell>
          <cell r="F658" t="str">
            <v>football</v>
          </cell>
          <cell r="G658" t="str">
            <v>boys</v>
          </cell>
          <cell r="H658">
            <v>13.626047482779212</v>
          </cell>
          <cell r="I658">
            <v>1.093396961665233</v>
          </cell>
          <cell r="J658">
            <v>45258</v>
          </cell>
          <cell r="K658">
            <v>39881</v>
          </cell>
          <cell r="L658">
            <v>14.719444444444445</v>
          </cell>
        </row>
        <row r="659">
          <cell r="B659">
            <v>606</v>
          </cell>
          <cell r="C659" t="str">
            <v>round2</v>
          </cell>
          <cell r="D659">
            <v>2009</v>
          </cell>
          <cell r="E659" t="str">
            <v>boysU14</v>
          </cell>
          <cell r="F659" t="str">
            <v>football</v>
          </cell>
          <cell r="G659" t="str">
            <v>boys</v>
          </cell>
          <cell r="H659">
            <v>13.394188755507106</v>
          </cell>
          <cell r="I659">
            <v>0.94192235560400561</v>
          </cell>
          <cell r="J659">
            <v>45258</v>
          </cell>
          <cell r="K659">
            <v>40021</v>
          </cell>
          <cell r="L659">
            <v>14.33611111111111</v>
          </cell>
        </row>
        <row r="660">
          <cell r="B660">
            <v>607</v>
          </cell>
          <cell r="C660" t="str">
            <v>round2</v>
          </cell>
          <cell r="D660">
            <v>2009</v>
          </cell>
          <cell r="E660" t="str">
            <v>boysU14</v>
          </cell>
          <cell r="F660" t="str">
            <v>football</v>
          </cell>
          <cell r="G660" t="str">
            <v>boys</v>
          </cell>
          <cell r="H660">
            <v>14.584994320862592</v>
          </cell>
          <cell r="I660">
            <v>0.22611679024851983</v>
          </cell>
          <cell r="J660">
            <v>45258</v>
          </cell>
          <cell r="K660">
            <v>39850</v>
          </cell>
          <cell r="L660">
            <v>14.811111111111112</v>
          </cell>
        </row>
        <row r="661">
          <cell r="B661">
            <v>610</v>
          </cell>
          <cell r="C661" t="str">
            <v>round2</v>
          </cell>
          <cell r="D661">
            <v>2009</v>
          </cell>
          <cell r="E661" t="str">
            <v>boysU14</v>
          </cell>
          <cell r="F661" t="str">
            <v>football</v>
          </cell>
          <cell r="G661" t="str">
            <v>boys</v>
          </cell>
          <cell r="H661">
            <v>13.964564715691861</v>
          </cell>
          <cell r="I661">
            <v>0.86043528430813954</v>
          </cell>
          <cell r="J661">
            <v>45258</v>
          </cell>
          <cell r="K661">
            <v>39845</v>
          </cell>
          <cell r="L661">
            <v>14.824999999999999</v>
          </cell>
        </row>
        <row r="662">
          <cell r="B662">
            <v>612</v>
          </cell>
          <cell r="C662" t="str">
            <v>round2</v>
          </cell>
          <cell r="D662">
            <v>2009</v>
          </cell>
          <cell r="E662" t="str">
            <v>boysU14</v>
          </cell>
          <cell r="F662" t="str">
            <v>football</v>
          </cell>
          <cell r="G662" t="str">
            <v>boys</v>
          </cell>
          <cell r="H662">
            <v>13.203289600434067</v>
          </cell>
          <cell r="I662">
            <v>1.5550437328992661</v>
          </cell>
          <cell r="J662">
            <v>45258</v>
          </cell>
          <cell r="K662">
            <v>39869</v>
          </cell>
          <cell r="L662">
            <v>14.758333333333333</v>
          </cell>
        </row>
        <row r="663">
          <cell r="B663">
            <v>613</v>
          </cell>
          <cell r="C663" t="str">
            <v>round2</v>
          </cell>
          <cell r="D663">
            <v>2009</v>
          </cell>
          <cell r="E663" t="str">
            <v>boysU14</v>
          </cell>
          <cell r="F663" t="str">
            <v>football</v>
          </cell>
          <cell r="G663" t="str">
            <v>boys</v>
          </cell>
          <cell r="H663">
            <v>12.770905330031745</v>
          </cell>
          <cell r="I663">
            <v>1.2846502255238099</v>
          </cell>
          <cell r="J663">
            <v>45258</v>
          </cell>
          <cell r="K663">
            <v>40125</v>
          </cell>
          <cell r="L663">
            <v>14.055555555555555</v>
          </cell>
        </row>
        <row r="664">
          <cell r="B664">
            <v>616</v>
          </cell>
          <cell r="C664" t="str">
            <v>round2</v>
          </cell>
          <cell r="D664">
            <v>2009</v>
          </cell>
          <cell r="E664" t="str">
            <v>boysU14</v>
          </cell>
          <cell r="F664" t="str">
            <v>football</v>
          </cell>
          <cell r="G664" t="str">
            <v>boys</v>
          </cell>
          <cell r="H664">
            <v>13.351905032926975</v>
          </cell>
          <cell r="I664">
            <v>0.92865052262858006</v>
          </cell>
          <cell r="J664">
            <v>45258</v>
          </cell>
          <cell r="K664">
            <v>40042</v>
          </cell>
          <cell r="L664">
            <v>14.280555555555555</v>
          </cell>
        </row>
        <row r="665">
          <cell r="B665">
            <v>620</v>
          </cell>
          <cell r="C665" t="str">
            <v>round2</v>
          </cell>
          <cell r="D665">
            <v>2009</v>
          </cell>
          <cell r="E665" t="str">
            <v>boysU14</v>
          </cell>
          <cell r="F665" t="str">
            <v>football</v>
          </cell>
          <cell r="G665" t="str">
            <v>boys</v>
          </cell>
          <cell r="H665">
            <v>13.086480591642859</v>
          </cell>
          <cell r="I665">
            <v>1.0774082972460302</v>
          </cell>
          <cell r="J665">
            <v>45258</v>
          </cell>
          <cell r="K665">
            <v>40085</v>
          </cell>
          <cell r="L665">
            <v>14.16388888888889</v>
          </cell>
        </row>
        <row r="666">
          <cell r="B666">
            <v>621</v>
          </cell>
          <cell r="C666" t="str">
            <v>round2</v>
          </cell>
          <cell r="D666">
            <v>2009</v>
          </cell>
          <cell r="E666" t="str">
            <v>boysU14</v>
          </cell>
          <cell r="F666" t="str">
            <v>football</v>
          </cell>
          <cell r="G666" t="str">
            <v>boys</v>
          </cell>
          <cell r="J666">
            <v>45258</v>
          </cell>
          <cell r="K666">
            <v>40122</v>
          </cell>
          <cell r="L666">
            <v>14.063888888888888</v>
          </cell>
        </row>
        <row r="667">
          <cell r="B667">
            <v>622</v>
          </cell>
          <cell r="C667" t="str">
            <v>round2</v>
          </cell>
          <cell r="D667">
            <v>2009</v>
          </cell>
          <cell r="E667" t="str">
            <v>boysU14</v>
          </cell>
          <cell r="F667" t="str">
            <v>football</v>
          </cell>
          <cell r="G667" t="str">
            <v>boys</v>
          </cell>
          <cell r="J667">
            <v>45258</v>
          </cell>
          <cell r="K667">
            <v>40077</v>
          </cell>
          <cell r="L667">
            <v>14.186111111111112</v>
          </cell>
        </row>
        <row r="668">
          <cell r="B668">
            <v>624</v>
          </cell>
          <cell r="C668" t="str">
            <v>round2</v>
          </cell>
          <cell r="D668">
            <v>2009</v>
          </cell>
          <cell r="E668" t="str">
            <v>boysU14</v>
          </cell>
          <cell r="F668" t="str">
            <v>football</v>
          </cell>
          <cell r="G668" t="str">
            <v>boys</v>
          </cell>
          <cell r="H668">
            <v>13.357585423833335</v>
          </cell>
          <cell r="I668">
            <v>0.79519235394444421</v>
          </cell>
          <cell r="J668">
            <v>45258</v>
          </cell>
          <cell r="K668">
            <v>40089</v>
          </cell>
          <cell r="L668">
            <v>14.152777777777779</v>
          </cell>
        </row>
        <row r="669">
          <cell r="B669">
            <v>625</v>
          </cell>
          <cell r="C669" t="str">
            <v>round2</v>
          </cell>
          <cell r="D669">
            <v>2009</v>
          </cell>
          <cell r="E669" t="str">
            <v>boysU14</v>
          </cell>
          <cell r="F669" t="str">
            <v>football</v>
          </cell>
          <cell r="G669" t="str">
            <v>boys</v>
          </cell>
          <cell r="H669">
            <v>13.45064135005885</v>
          </cell>
          <cell r="I669">
            <v>1.318803094385594</v>
          </cell>
          <cell r="J669">
            <v>45258</v>
          </cell>
          <cell r="K669">
            <v>39865</v>
          </cell>
          <cell r="L669">
            <v>14.769444444444444</v>
          </cell>
        </row>
        <row r="670">
          <cell r="B670">
            <v>627</v>
          </cell>
          <cell r="C670" t="str">
            <v>round2</v>
          </cell>
          <cell r="D670">
            <v>2009</v>
          </cell>
          <cell r="E670" t="str">
            <v>boysU14</v>
          </cell>
          <cell r="F670" t="str">
            <v>football</v>
          </cell>
          <cell r="G670" t="str">
            <v>boys</v>
          </cell>
          <cell r="J670">
            <v>45258</v>
          </cell>
          <cell r="K670">
            <v>40095</v>
          </cell>
          <cell r="L670">
            <v>14.136111111111111</v>
          </cell>
        </row>
        <row r="671">
          <cell r="B671">
            <v>628</v>
          </cell>
          <cell r="C671" t="str">
            <v>round2</v>
          </cell>
          <cell r="D671">
            <v>2009</v>
          </cell>
          <cell r="E671" t="str">
            <v>boysU14</v>
          </cell>
          <cell r="F671" t="str">
            <v>football</v>
          </cell>
          <cell r="G671" t="str">
            <v>boys</v>
          </cell>
          <cell r="J671">
            <v>45258</v>
          </cell>
          <cell r="K671">
            <v>0</v>
          </cell>
          <cell r="L671">
            <v>123.91111111111111</v>
          </cell>
        </row>
        <row r="672">
          <cell r="B672">
            <v>629</v>
          </cell>
          <cell r="C672" t="str">
            <v>round2</v>
          </cell>
          <cell r="D672">
            <v>2009</v>
          </cell>
          <cell r="E672" t="str">
            <v>boysU14</v>
          </cell>
          <cell r="F672" t="str">
            <v>football</v>
          </cell>
          <cell r="G672" t="str">
            <v>boys</v>
          </cell>
          <cell r="H672">
            <v>15.218618777398147</v>
          </cell>
          <cell r="I672">
            <v>-0.62139655517592574</v>
          </cell>
          <cell r="J672">
            <v>45258</v>
          </cell>
          <cell r="K672">
            <v>39926</v>
          </cell>
          <cell r="L672">
            <v>14.597222222222221</v>
          </cell>
        </row>
        <row r="673">
          <cell r="B673">
            <v>631</v>
          </cell>
          <cell r="C673" t="str">
            <v>round2</v>
          </cell>
          <cell r="D673">
            <v>2009</v>
          </cell>
          <cell r="E673" t="str">
            <v>boysU14</v>
          </cell>
          <cell r="F673" t="str">
            <v>football</v>
          </cell>
          <cell r="G673" t="str">
            <v>boys</v>
          </cell>
          <cell r="H673">
            <v>14.130963080229686</v>
          </cell>
          <cell r="I673">
            <v>1.6259141992536419E-2</v>
          </cell>
          <cell r="J673">
            <v>45258</v>
          </cell>
          <cell r="K673">
            <v>40091</v>
          </cell>
          <cell r="L673">
            <v>14.147222222222222</v>
          </cell>
        </row>
        <row r="674">
          <cell r="B674">
            <v>633</v>
          </cell>
          <cell r="C674" t="str">
            <v>round2</v>
          </cell>
          <cell r="D674">
            <v>2009</v>
          </cell>
          <cell r="E674" t="str">
            <v>boysU14</v>
          </cell>
          <cell r="F674" t="str">
            <v>football</v>
          </cell>
          <cell r="G674" t="str">
            <v>boys</v>
          </cell>
          <cell r="H674">
            <v>14.399109606954047</v>
          </cell>
          <cell r="I674">
            <v>0.4731126152681745</v>
          </cell>
          <cell r="J674">
            <v>45258</v>
          </cell>
          <cell r="K674">
            <v>39827</v>
          </cell>
          <cell r="L674">
            <v>14.872222222222222</v>
          </cell>
        </row>
        <row r="675">
          <cell r="B675">
            <v>634</v>
          </cell>
          <cell r="C675" t="str">
            <v>round2</v>
          </cell>
          <cell r="D675">
            <v>2009</v>
          </cell>
          <cell r="E675" t="str">
            <v>boysU14</v>
          </cell>
          <cell r="F675" t="str">
            <v>football</v>
          </cell>
          <cell r="G675" t="str">
            <v>boys</v>
          </cell>
          <cell r="H675">
            <v>12.888488605342179</v>
          </cell>
          <cell r="I675">
            <v>1.303178061324487</v>
          </cell>
          <cell r="J675">
            <v>45258</v>
          </cell>
          <cell r="K675">
            <v>40075</v>
          </cell>
          <cell r="L675">
            <v>14.191666666666666</v>
          </cell>
        </row>
        <row r="676">
          <cell r="B676">
            <v>635</v>
          </cell>
          <cell r="C676" t="str">
            <v>round2</v>
          </cell>
          <cell r="D676">
            <v>2009</v>
          </cell>
          <cell r="E676" t="str">
            <v>boysU14</v>
          </cell>
          <cell r="F676" t="str">
            <v>football</v>
          </cell>
          <cell r="G676" t="str">
            <v>boys</v>
          </cell>
          <cell r="H676">
            <v>12.933722364105263</v>
          </cell>
          <cell r="I676">
            <v>1.5079443025614037</v>
          </cell>
          <cell r="J676">
            <v>45258</v>
          </cell>
          <cell r="K676">
            <v>39983</v>
          </cell>
          <cell r="L676">
            <v>14.441666666666666</v>
          </cell>
        </row>
        <row r="677">
          <cell r="B677">
            <v>637</v>
          </cell>
          <cell r="C677" t="str">
            <v>round2</v>
          </cell>
          <cell r="D677">
            <v>2009</v>
          </cell>
          <cell r="E677" t="str">
            <v>boysU14</v>
          </cell>
          <cell r="F677" t="str">
            <v>football</v>
          </cell>
          <cell r="G677" t="str">
            <v>boys</v>
          </cell>
          <cell r="H677">
            <v>13.859419298702099</v>
          </cell>
          <cell r="I677">
            <v>0.81835847907567882</v>
          </cell>
          <cell r="J677">
            <v>45258</v>
          </cell>
          <cell r="K677">
            <v>39896</v>
          </cell>
          <cell r="L677">
            <v>14.677777777777777</v>
          </cell>
        </row>
        <row r="678">
          <cell r="B678">
            <v>638</v>
          </cell>
          <cell r="C678" t="str">
            <v>round2</v>
          </cell>
          <cell r="D678">
            <v>2009</v>
          </cell>
          <cell r="E678" t="str">
            <v>boysU14</v>
          </cell>
          <cell r="F678" t="str">
            <v>football</v>
          </cell>
          <cell r="G678" t="str">
            <v>boys</v>
          </cell>
          <cell r="H678">
            <v>14.989355926650692</v>
          </cell>
          <cell r="I678">
            <v>-0.9476892599840262</v>
          </cell>
          <cell r="J678">
            <v>45258</v>
          </cell>
          <cell r="K678">
            <v>40130</v>
          </cell>
          <cell r="L678">
            <v>14.041666666666666</v>
          </cell>
        </row>
        <row r="679">
          <cell r="B679">
            <v>639</v>
          </cell>
          <cell r="C679" t="str">
            <v>round2</v>
          </cell>
          <cell r="D679">
            <v>2009</v>
          </cell>
          <cell r="E679" t="str">
            <v>boysU14</v>
          </cell>
          <cell r="F679" t="str">
            <v>football</v>
          </cell>
          <cell r="G679" t="str">
            <v>boys</v>
          </cell>
          <cell r="H679">
            <v>13.159185433640321</v>
          </cell>
          <cell r="I679">
            <v>0.99637012191523422</v>
          </cell>
          <cell r="J679">
            <v>45258</v>
          </cell>
          <cell r="K679">
            <v>40088</v>
          </cell>
          <cell r="L679">
            <v>14.155555555555555</v>
          </cell>
        </row>
        <row r="680">
          <cell r="B680">
            <v>642</v>
          </cell>
          <cell r="C680" t="str">
            <v>round2</v>
          </cell>
          <cell r="D680">
            <v>2009</v>
          </cell>
          <cell r="E680" t="str">
            <v>boysU14</v>
          </cell>
          <cell r="F680" t="str">
            <v>football</v>
          </cell>
          <cell r="G680" t="str">
            <v>boys</v>
          </cell>
          <cell r="H680" t="e">
            <v>#N/A</v>
          </cell>
          <cell r="I680">
            <v>0</v>
          </cell>
          <cell r="J680">
            <v>45258</v>
          </cell>
          <cell r="K680" t="e">
            <v>#N/A</v>
          </cell>
          <cell r="L680" t="e">
            <v>#N/A</v>
          </cell>
        </row>
        <row r="681">
          <cell r="B681">
            <v>643</v>
          </cell>
          <cell r="C681" t="str">
            <v>round2</v>
          </cell>
          <cell r="D681">
            <v>2009</v>
          </cell>
          <cell r="E681" t="str">
            <v>boysU14</v>
          </cell>
          <cell r="F681" t="str">
            <v>football</v>
          </cell>
          <cell r="G681" t="str">
            <v>boys</v>
          </cell>
          <cell r="H681">
            <v>14.976751088643793</v>
          </cell>
          <cell r="I681">
            <v>-0.44897331086601378</v>
          </cell>
          <cell r="J681">
            <v>45258</v>
          </cell>
          <cell r="K681">
            <v>39951</v>
          </cell>
          <cell r="L681">
            <v>14.527777777777779</v>
          </cell>
        </row>
        <row r="682">
          <cell r="B682">
            <v>644</v>
          </cell>
          <cell r="C682" t="str">
            <v>round2</v>
          </cell>
          <cell r="D682">
            <v>2009</v>
          </cell>
          <cell r="E682" t="str">
            <v>boysU18</v>
          </cell>
          <cell r="F682" t="str">
            <v>football</v>
          </cell>
          <cell r="G682" t="str">
            <v>boys</v>
          </cell>
          <cell r="H682">
            <v>15.659914655186276</v>
          </cell>
          <cell r="I682">
            <v>3.145640900369282</v>
          </cell>
          <cell r="J682">
            <v>45258</v>
          </cell>
          <cell r="K682">
            <v>38391</v>
          </cell>
          <cell r="L682">
            <v>18.805555555555557</v>
          </cell>
        </row>
        <row r="683">
          <cell r="B683">
            <v>645</v>
          </cell>
          <cell r="C683" t="str">
            <v>round2</v>
          </cell>
          <cell r="D683">
            <v>2009</v>
          </cell>
          <cell r="E683" t="str">
            <v>boysU18</v>
          </cell>
          <cell r="F683" t="str">
            <v>football</v>
          </cell>
          <cell r="G683" t="str">
            <v>boys</v>
          </cell>
          <cell r="H683">
            <v>14.252690713758295</v>
          </cell>
          <cell r="I683">
            <v>4.4861981751305935</v>
          </cell>
          <cell r="J683">
            <v>45258</v>
          </cell>
          <cell r="K683">
            <v>38413</v>
          </cell>
          <cell r="L683">
            <v>18.738888888888887</v>
          </cell>
        </row>
        <row r="684">
          <cell r="B684">
            <v>651</v>
          </cell>
          <cell r="C684" t="str">
            <v>round2</v>
          </cell>
          <cell r="D684">
            <v>2009</v>
          </cell>
          <cell r="E684" t="str">
            <v>boysU14</v>
          </cell>
          <cell r="F684" t="str">
            <v>football</v>
          </cell>
          <cell r="G684" t="str">
            <v>boys</v>
          </cell>
          <cell r="H684">
            <v>14.090090950579318</v>
          </cell>
          <cell r="I684">
            <v>0.18213127164290321</v>
          </cell>
          <cell r="J684">
            <v>45273</v>
          </cell>
          <cell r="K684">
            <v>40061</v>
          </cell>
          <cell r="L684">
            <v>14.272222222222222</v>
          </cell>
        </row>
        <row r="685">
          <cell r="B685">
            <v>655</v>
          </cell>
          <cell r="C685" t="str">
            <v>round2</v>
          </cell>
          <cell r="D685">
            <v>2009</v>
          </cell>
          <cell r="E685" t="str">
            <v>boysU14</v>
          </cell>
          <cell r="F685" t="str">
            <v>football</v>
          </cell>
          <cell r="G685" t="str">
            <v>boys</v>
          </cell>
          <cell r="J685">
            <v>45273</v>
          </cell>
          <cell r="K685">
            <v>39882</v>
          </cell>
          <cell r="L685">
            <v>14.758333333333333</v>
          </cell>
        </row>
        <row r="686">
          <cell r="B686">
            <v>656</v>
          </cell>
          <cell r="C686" t="str">
            <v>round2</v>
          </cell>
          <cell r="D686">
            <v>2009</v>
          </cell>
          <cell r="E686" t="str">
            <v>boysU14</v>
          </cell>
          <cell r="F686" t="str">
            <v>football</v>
          </cell>
          <cell r="G686" t="str">
            <v>boys</v>
          </cell>
          <cell r="H686">
            <v>13.761400140494539</v>
          </cell>
          <cell r="I686">
            <v>0.5997109706165713</v>
          </cell>
          <cell r="J686">
            <v>45273</v>
          </cell>
          <cell r="K686">
            <v>40028</v>
          </cell>
          <cell r="L686">
            <v>14.361111111111111</v>
          </cell>
        </row>
        <row r="687">
          <cell r="B687">
            <v>657</v>
          </cell>
          <cell r="C687" t="str">
            <v>round2</v>
          </cell>
          <cell r="D687">
            <v>2009</v>
          </cell>
          <cell r="E687" t="str">
            <v>boysU14</v>
          </cell>
          <cell r="F687" t="str">
            <v>football</v>
          </cell>
          <cell r="G687" t="str">
            <v>boys</v>
          </cell>
          <cell r="H687">
            <v>13.838514447916866</v>
          </cell>
          <cell r="I687">
            <v>0.45315221874980005</v>
          </cell>
          <cell r="J687">
            <v>45273</v>
          </cell>
          <cell r="K687">
            <v>40053</v>
          </cell>
          <cell r="L687">
            <v>14.291666666666666</v>
          </cell>
        </row>
        <row r="688">
          <cell r="B688">
            <v>658</v>
          </cell>
          <cell r="C688" t="str">
            <v>round2</v>
          </cell>
          <cell r="D688">
            <v>2009</v>
          </cell>
          <cell r="E688" t="str">
            <v>boysU14</v>
          </cell>
          <cell r="F688" t="str">
            <v>football</v>
          </cell>
          <cell r="G688" t="str">
            <v>boys</v>
          </cell>
          <cell r="J688">
            <v>45273</v>
          </cell>
          <cell r="K688">
            <v>39959</v>
          </cell>
          <cell r="L688">
            <v>14.547222222222222</v>
          </cell>
        </row>
        <row r="689">
          <cell r="B689">
            <v>660</v>
          </cell>
          <cell r="C689" t="str">
            <v>round2</v>
          </cell>
          <cell r="D689">
            <v>2009</v>
          </cell>
          <cell r="E689" t="str">
            <v>boysU14</v>
          </cell>
          <cell r="F689" t="str">
            <v>football</v>
          </cell>
          <cell r="G689" t="str">
            <v>boys</v>
          </cell>
          <cell r="H689">
            <v>13.220973834941713</v>
          </cell>
          <cell r="I689">
            <v>1.6762483872805092</v>
          </cell>
          <cell r="J689">
            <v>45273</v>
          </cell>
          <cell r="K689">
            <v>39833</v>
          </cell>
          <cell r="L689">
            <v>14.897222222222222</v>
          </cell>
        </row>
        <row r="690">
          <cell r="B690">
            <v>661</v>
          </cell>
          <cell r="C690" t="str">
            <v>round2</v>
          </cell>
          <cell r="D690">
            <v>2009</v>
          </cell>
          <cell r="E690" t="str">
            <v>boysU14</v>
          </cell>
          <cell r="F690" t="str">
            <v>football</v>
          </cell>
          <cell r="G690" t="str">
            <v>boys</v>
          </cell>
          <cell r="H690">
            <v>14.330410822418362</v>
          </cell>
          <cell r="I690">
            <v>-3.596637797391633E-2</v>
          </cell>
          <cell r="J690">
            <v>45273</v>
          </cell>
          <cell r="K690">
            <v>40052</v>
          </cell>
          <cell r="L690">
            <v>14.294444444444444</v>
          </cell>
        </row>
        <row r="691">
          <cell r="B691">
            <v>662</v>
          </cell>
          <cell r="C691" t="str">
            <v>round2</v>
          </cell>
          <cell r="D691">
            <v>2009</v>
          </cell>
          <cell r="E691" t="str">
            <v>boysU14</v>
          </cell>
          <cell r="F691" t="str">
            <v>football</v>
          </cell>
          <cell r="G691" t="str">
            <v>boys</v>
          </cell>
          <cell r="H691">
            <v>13.832917952555556</v>
          </cell>
          <cell r="I691">
            <v>0.66985982522222109</v>
          </cell>
          <cell r="J691">
            <v>45273</v>
          </cell>
          <cell r="K691">
            <v>39976</v>
          </cell>
          <cell r="L691">
            <v>14.502777777777778</v>
          </cell>
        </row>
        <row r="692">
          <cell r="B692">
            <v>663</v>
          </cell>
          <cell r="C692" t="str">
            <v>round2</v>
          </cell>
          <cell r="D692">
            <v>2009</v>
          </cell>
          <cell r="E692" t="str">
            <v>boysU14</v>
          </cell>
          <cell r="F692" t="str">
            <v>football</v>
          </cell>
          <cell r="G692" t="str">
            <v>boys</v>
          </cell>
          <cell r="H692">
            <v>13.351647803014819</v>
          </cell>
          <cell r="I692">
            <v>1.0761299747629578</v>
          </cell>
          <cell r="J692">
            <v>45273</v>
          </cell>
          <cell r="K692">
            <v>40003</v>
          </cell>
          <cell r="L692">
            <v>14.427777777777777</v>
          </cell>
        </row>
        <row r="693">
          <cell r="B693">
            <v>664</v>
          </cell>
          <cell r="C693" t="str">
            <v>round2</v>
          </cell>
          <cell r="D693">
            <v>2009</v>
          </cell>
          <cell r="E693" t="str">
            <v>boysU14</v>
          </cell>
          <cell r="F693" t="str">
            <v>football</v>
          </cell>
          <cell r="G693" t="str">
            <v>boys</v>
          </cell>
          <cell r="J693">
            <v>45273</v>
          </cell>
          <cell r="K693">
            <v>40090</v>
          </cell>
          <cell r="L693">
            <v>14.191666666666666</v>
          </cell>
        </row>
        <row r="694">
          <cell r="B694">
            <v>665</v>
          </cell>
          <cell r="C694" t="str">
            <v>round2</v>
          </cell>
          <cell r="D694">
            <v>2009</v>
          </cell>
          <cell r="E694" t="str">
            <v>boysU14</v>
          </cell>
          <cell r="F694" t="str">
            <v>football</v>
          </cell>
          <cell r="G694" t="str">
            <v>boys</v>
          </cell>
          <cell r="H694">
            <v>12.726703453771773</v>
          </cell>
          <cell r="I694">
            <v>2.02051876845045</v>
          </cell>
          <cell r="J694">
            <v>45273</v>
          </cell>
          <cell r="K694">
            <v>39886</v>
          </cell>
          <cell r="L694">
            <v>14.747222222222222</v>
          </cell>
        </row>
        <row r="695">
          <cell r="B695">
            <v>666</v>
          </cell>
          <cell r="C695" t="str">
            <v>round2</v>
          </cell>
          <cell r="D695">
            <v>2009</v>
          </cell>
          <cell r="E695" t="str">
            <v>boysU14</v>
          </cell>
          <cell r="F695" t="str">
            <v>football</v>
          </cell>
          <cell r="G695" t="str">
            <v>boys</v>
          </cell>
          <cell r="H695">
            <v>15.959780906722223</v>
          </cell>
          <cell r="I695">
            <v>-1.2320031289444453</v>
          </cell>
          <cell r="J695">
            <v>45273</v>
          </cell>
          <cell r="K695">
            <v>39893</v>
          </cell>
          <cell r="L695">
            <v>14.727777777777778</v>
          </cell>
        </row>
        <row r="696">
          <cell r="B696">
            <v>667</v>
          </cell>
          <cell r="C696" t="str">
            <v>round2</v>
          </cell>
          <cell r="D696">
            <v>2009</v>
          </cell>
          <cell r="E696" t="str">
            <v>boysU14</v>
          </cell>
          <cell r="F696" t="str">
            <v>football</v>
          </cell>
          <cell r="G696" t="str">
            <v>boys</v>
          </cell>
          <cell r="H696">
            <v>13.895223922479282</v>
          </cell>
          <cell r="I696">
            <v>0.95199829974293926</v>
          </cell>
          <cell r="J696">
            <v>45273</v>
          </cell>
          <cell r="K696">
            <v>39852</v>
          </cell>
          <cell r="L696">
            <v>14.847222222222221</v>
          </cell>
        </row>
        <row r="697">
          <cell r="B697">
            <v>668</v>
          </cell>
          <cell r="C697" t="str">
            <v>round2</v>
          </cell>
          <cell r="D697">
            <v>2007</v>
          </cell>
          <cell r="E697" t="str">
            <v>boysU16</v>
          </cell>
          <cell r="F697" t="str">
            <v>football</v>
          </cell>
          <cell r="G697" t="str">
            <v>boys</v>
          </cell>
          <cell r="H697">
            <v>14.222602546002816</v>
          </cell>
          <cell r="I697">
            <v>2.0412863428860724</v>
          </cell>
          <cell r="J697">
            <v>45250</v>
          </cell>
          <cell r="K697">
            <v>39309</v>
          </cell>
          <cell r="L697">
            <v>16.263888888888889</v>
          </cell>
        </row>
        <row r="698">
          <cell r="B698">
            <v>669</v>
          </cell>
          <cell r="C698" t="str">
            <v>round2</v>
          </cell>
          <cell r="D698">
            <v>2007</v>
          </cell>
          <cell r="E698" t="str">
            <v>boysU16</v>
          </cell>
          <cell r="F698" t="str">
            <v>football</v>
          </cell>
          <cell r="G698" t="str">
            <v>boys</v>
          </cell>
          <cell r="H698">
            <v>13.198880605333335</v>
          </cell>
          <cell r="I698">
            <v>2.8788971724444448</v>
          </cell>
          <cell r="J698">
            <v>45250</v>
          </cell>
          <cell r="K698">
            <v>39377</v>
          </cell>
          <cell r="L698">
            <v>16.077777777777779</v>
          </cell>
        </row>
        <row r="699">
          <cell r="B699">
            <v>670</v>
          </cell>
          <cell r="C699" t="str">
            <v>round2</v>
          </cell>
          <cell r="D699">
            <v>2007</v>
          </cell>
          <cell r="E699" t="str">
            <v>boysU16</v>
          </cell>
          <cell r="F699" t="str">
            <v>football</v>
          </cell>
          <cell r="G699" t="str">
            <v>boys</v>
          </cell>
          <cell r="J699">
            <v>45250</v>
          </cell>
          <cell r="K699">
            <v>39411</v>
          </cell>
          <cell r="L699">
            <v>15.986111111111111</v>
          </cell>
        </row>
        <row r="700">
          <cell r="B700">
            <v>671</v>
          </cell>
          <cell r="C700" t="str">
            <v>round2</v>
          </cell>
          <cell r="D700">
            <v>2007</v>
          </cell>
          <cell r="E700" t="str">
            <v>boysU16</v>
          </cell>
          <cell r="F700" t="str">
            <v>football</v>
          </cell>
          <cell r="G700" t="str">
            <v>boys</v>
          </cell>
          <cell r="H700">
            <v>14.306417537982906</v>
          </cell>
          <cell r="I700">
            <v>2.2269157953504286</v>
          </cell>
          <cell r="J700">
            <v>45250</v>
          </cell>
          <cell r="K700">
            <v>39210</v>
          </cell>
          <cell r="L700">
            <v>16.533333333333335</v>
          </cell>
        </row>
        <row r="701">
          <cell r="B701">
            <v>672</v>
          </cell>
          <cell r="C701" t="str">
            <v>round2</v>
          </cell>
          <cell r="D701">
            <v>2007</v>
          </cell>
          <cell r="E701" t="str">
            <v>boysU16</v>
          </cell>
          <cell r="F701" t="str">
            <v>football</v>
          </cell>
          <cell r="G701" t="str">
            <v>boys</v>
          </cell>
          <cell r="H701">
            <v>13.687529352239185</v>
          </cell>
          <cell r="I701">
            <v>2.4124706477608173</v>
          </cell>
          <cell r="J701">
            <v>45250</v>
          </cell>
          <cell r="K701">
            <v>39369</v>
          </cell>
          <cell r="L701">
            <v>16.100000000000001</v>
          </cell>
        </row>
        <row r="702">
          <cell r="B702">
            <v>676</v>
          </cell>
          <cell r="C702" t="str">
            <v>round1</v>
          </cell>
          <cell r="D702">
            <v>2007</v>
          </cell>
          <cell r="E702" t="str">
            <v>boysU16</v>
          </cell>
          <cell r="F702" t="str">
            <v>football</v>
          </cell>
          <cell r="G702" t="str">
            <v>boys</v>
          </cell>
          <cell r="H702">
            <v>13.873199791962174</v>
          </cell>
          <cell r="I702">
            <v>1.0156890969267163</v>
          </cell>
          <cell r="J702">
            <v>44874</v>
          </cell>
          <cell r="K702">
            <v>39435</v>
          </cell>
          <cell r="L702">
            <v>14.888888888888889</v>
          </cell>
        </row>
        <row r="703">
          <cell r="B703">
            <v>674</v>
          </cell>
          <cell r="C703" t="str">
            <v>round2</v>
          </cell>
          <cell r="D703">
            <v>2007</v>
          </cell>
          <cell r="E703" t="str">
            <v>boysU16</v>
          </cell>
          <cell r="F703" t="str">
            <v>football</v>
          </cell>
          <cell r="G703" t="str">
            <v>boys</v>
          </cell>
          <cell r="H703">
            <v>13.857893669764229</v>
          </cell>
          <cell r="I703">
            <v>2.9365507746802155</v>
          </cell>
          <cell r="J703">
            <v>45250</v>
          </cell>
          <cell r="K703">
            <v>39117</v>
          </cell>
          <cell r="L703">
            <v>16.794444444444444</v>
          </cell>
        </row>
        <row r="704">
          <cell r="B704">
            <v>675</v>
          </cell>
          <cell r="C704" t="str">
            <v>round2</v>
          </cell>
          <cell r="D704">
            <v>2007</v>
          </cell>
          <cell r="E704" t="str">
            <v>boysU16</v>
          </cell>
          <cell r="F704" t="str">
            <v>football</v>
          </cell>
          <cell r="G704" t="str">
            <v>boys</v>
          </cell>
          <cell r="H704">
            <v>13.681129048126115</v>
          </cell>
          <cell r="I704">
            <v>2.4383153963183291</v>
          </cell>
          <cell r="J704">
            <v>45250</v>
          </cell>
          <cell r="K704">
            <v>39362</v>
          </cell>
          <cell r="L704">
            <v>16.119444444444444</v>
          </cell>
        </row>
        <row r="705">
          <cell r="B705">
            <v>676</v>
          </cell>
          <cell r="C705" t="str">
            <v>round2</v>
          </cell>
          <cell r="D705">
            <v>2007</v>
          </cell>
          <cell r="E705" t="str">
            <v>boysU16</v>
          </cell>
          <cell r="F705" t="str">
            <v>football</v>
          </cell>
          <cell r="G705" t="str">
            <v>boys</v>
          </cell>
          <cell r="J705">
            <v>45250</v>
          </cell>
          <cell r="K705">
            <v>39435</v>
          </cell>
          <cell r="L705">
            <v>15.919444444444444</v>
          </cell>
        </row>
        <row r="706">
          <cell r="B706">
            <v>683</v>
          </cell>
          <cell r="C706" t="str">
            <v>round2</v>
          </cell>
          <cell r="D706">
            <v>2007</v>
          </cell>
          <cell r="E706" t="str">
            <v>boysU16</v>
          </cell>
          <cell r="F706" t="str">
            <v>football</v>
          </cell>
          <cell r="G706" t="str">
            <v>boys</v>
          </cell>
          <cell r="H706">
            <v>12.884109061183448</v>
          </cell>
          <cell r="I706">
            <v>3.2547798277054403</v>
          </cell>
          <cell r="J706">
            <v>45268</v>
          </cell>
          <cell r="K706">
            <v>39373</v>
          </cell>
          <cell r="L706">
            <v>16.138888888888889</v>
          </cell>
        </row>
        <row r="707">
          <cell r="B707">
            <v>684</v>
          </cell>
          <cell r="C707" t="str">
            <v>round2</v>
          </cell>
          <cell r="D707">
            <v>2007</v>
          </cell>
          <cell r="E707" t="str">
            <v>boysU16</v>
          </cell>
          <cell r="F707" t="str">
            <v>football</v>
          </cell>
          <cell r="G707" t="str">
            <v>boys</v>
          </cell>
          <cell r="J707">
            <v>45268</v>
          </cell>
          <cell r="K707">
            <v>39108</v>
          </cell>
          <cell r="L707">
            <v>16.866666666666667</v>
          </cell>
        </row>
        <row r="708">
          <cell r="B708">
            <v>685</v>
          </cell>
          <cell r="C708" t="str">
            <v>round2</v>
          </cell>
          <cell r="D708">
            <v>2007</v>
          </cell>
          <cell r="E708" t="str">
            <v>boysU16</v>
          </cell>
          <cell r="F708" t="str">
            <v>football</v>
          </cell>
          <cell r="G708" t="str">
            <v>boys</v>
          </cell>
          <cell r="H708">
            <v>13.85377179140141</v>
          </cell>
          <cell r="I708">
            <v>2.9823393197097015</v>
          </cell>
          <cell r="J708">
            <v>45268</v>
          </cell>
          <cell r="K708">
            <v>39120</v>
          </cell>
          <cell r="L708">
            <v>16.836111111111112</v>
          </cell>
        </row>
        <row r="709">
          <cell r="B709">
            <v>686</v>
          </cell>
          <cell r="C709" t="str">
            <v>round2</v>
          </cell>
          <cell r="D709">
            <v>2007</v>
          </cell>
          <cell r="E709" t="str">
            <v>boysU16</v>
          </cell>
          <cell r="F709" t="str">
            <v>football</v>
          </cell>
          <cell r="G709" t="str">
            <v>boys</v>
          </cell>
          <cell r="H709">
            <v>14.57039034420402</v>
          </cell>
          <cell r="I709">
            <v>2.2684985446848689</v>
          </cell>
          <cell r="J709">
            <v>45268</v>
          </cell>
          <cell r="K709">
            <v>39119</v>
          </cell>
          <cell r="L709">
            <v>16.838888888888889</v>
          </cell>
        </row>
        <row r="710">
          <cell r="B710">
            <v>687</v>
          </cell>
          <cell r="C710" t="str">
            <v>round2</v>
          </cell>
          <cell r="D710">
            <v>2007</v>
          </cell>
          <cell r="E710" t="str">
            <v>boysU16</v>
          </cell>
          <cell r="F710" t="str">
            <v>football</v>
          </cell>
          <cell r="G710" t="str">
            <v>boys</v>
          </cell>
          <cell r="J710">
            <v>45268</v>
          </cell>
          <cell r="K710">
            <v>39361</v>
          </cell>
          <cell r="L710">
            <v>16.172222222222221</v>
          </cell>
        </row>
        <row r="711">
          <cell r="B711">
            <v>688</v>
          </cell>
          <cell r="C711" t="str">
            <v>round2</v>
          </cell>
          <cell r="D711">
            <v>2007</v>
          </cell>
          <cell r="E711" t="str">
            <v>boysU16</v>
          </cell>
          <cell r="F711" t="str">
            <v>football</v>
          </cell>
          <cell r="G711" t="str">
            <v>boys</v>
          </cell>
          <cell r="H711">
            <v>14.240411334136365</v>
          </cell>
          <cell r="I711">
            <v>1.8345886658636346</v>
          </cell>
          <cell r="J711">
            <v>45268</v>
          </cell>
          <cell r="K711">
            <v>39397</v>
          </cell>
          <cell r="L711">
            <v>16.074999999999999</v>
          </cell>
        </row>
        <row r="712">
          <cell r="B712">
            <v>689</v>
          </cell>
          <cell r="C712" t="str">
            <v>round2</v>
          </cell>
          <cell r="D712">
            <v>2007</v>
          </cell>
          <cell r="E712" t="str">
            <v>boysU16</v>
          </cell>
          <cell r="F712" t="str">
            <v>football</v>
          </cell>
          <cell r="G712" t="str">
            <v>boys</v>
          </cell>
          <cell r="H712">
            <v>13.252865812277777</v>
          </cell>
          <cell r="I712">
            <v>3.2443564099444462</v>
          </cell>
          <cell r="J712">
            <v>45268</v>
          </cell>
          <cell r="K712">
            <v>39242</v>
          </cell>
          <cell r="L712">
            <v>16.497222222222224</v>
          </cell>
        </row>
        <row r="713">
          <cell r="B713">
            <v>690</v>
          </cell>
          <cell r="C713" t="str">
            <v>round2</v>
          </cell>
          <cell r="D713">
            <v>2007</v>
          </cell>
          <cell r="E713" t="str">
            <v>boysU16</v>
          </cell>
          <cell r="F713" t="str">
            <v>football</v>
          </cell>
          <cell r="G713" t="str">
            <v>boys</v>
          </cell>
          <cell r="H713">
            <v>14.377344497604266</v>
          </cell>
          <cell r="I713">
            <v>2.0032110579512898</v>
          </cell>
          <cell r="J713">
            <v>45268</v>
          </cell>
          <cell r="K713">
            <v>39284</v>
          </cell>
          <cell r="L713">
            <v>16.380555555555556</v>
          </cell>
        </row>
        <row r="714">
          <cell r="B714">
            <v>691</v>
          </cell>
          <cell r="C714" t="str">
            <v>round2</v>
          </cell>
          <cell r="D714">
            <v>2007</v>
          </cell>
          <cell r="E714" t="str">
            <v>boysU16</v>
          </cell>
          <cell r="F714" t="str">
            <v>football</v>
          </cell>
          <cell r="G714" t="str">
            <v>boys</v>
          </cell>
          <cell r="J714">
            <v>45268</v>
          </cell>
          <cell r="K714">
            <v>39341</v>
          </cell>
          <cell r="L714">
            <v>16.227777777777778</v>
          </cell>
        </row>
        <row r="715">
          <cell r="B715">
            <v>693</v>
          </cell>
          <cell r="C715" t="str">
            <v>round2</v>
          </cell>
          <cell r="D715">
            <v>2007</v>
          </cell>
          <cell r="E715" t="str">
            <v>boysU16</v>
          </cell>
          <cell r="F715" t="str">
            <v>football</v>
          </cell>
          <cell r="G715" t="str">
            <v>boys</v>
          </cell>
          <cell r="J715">
            <v>45250</v>
          </cell>
          <cell r="K715">
            <v>39261</v>
          </cell>
          <cell r="L715">
            <v>16.394444444444446</v>
          </cell>
        </row>
        <row r="716">
          <cell r="B716">
            <v>694</v>
          </cell>
          <cell r="C716" t="str">
            <v>round2</v>
          </cell>
          <cell r="D716">
            <v>2007</v>
          </cell>
          <cell r="E716" t="str">
            <v>boysU16</v>
          </cell>
          <cell r="F716" t="str">
            <v>football</v>
          </cell>
          <cell r="G716" t="str">
            <v>boys</v>
          </cell>
          <cell r="J716">
            <v>45250</v>
          </cell>
          <cell r="K716">
            <v>39146</v>
          </cell>
          <cell r="L716">
            <v>16.708333333333332</v>
          </cell>
        </row>
        <row r="717">
          <cell r="B717">
            <v>695</v>
          </cell>
          <cell r="C717" t="str">
            <v>round2</v>
          </cell>
          <cell r="D717">
            <v>2007</v>
          </cell>
          <cell r="E717" t="str">
            <v>boysU16</v>
          </cell>
          <cell r="F717" t="str">
            <v>football</v>
          </cell>
          <cell r="G717" t="str">
            <v>boys</v>
          </cell>
          <cell r="J717">
            <v>45250</v>
          </cell>
          <cell r="K717">
            <v>39158</v>
          </cell>
          <cell r="L717">
            <v>16.675000000000001</v>
          </cell>
        </row>
        <row r="718">
          <cell r="B718">
            <v>134</v>
          </cell>
          <cell r="C718" t="str">
            <v>round3</v>
          </cell>
          <cell r="D718">
            <v>2008</v>
          </cell>
          <cell r="E718" t="str">
            <v>boysU14</v>
          </cell>
          <cell r="F718" t="str">
            <v>football</v>
          </cell>
          <cell r="G718" t="str">
            <v>boys</v>
          </cell>
          <cell r="H718">
            <v>13.499705857987681</v>
          </cell>
          <cell r="I718">
            <v>1.9280719197900948</v>
          </cell>
          <cell r="J718">
            <v>45173</v>
          </cell>
          <cell r="K718" t="str">
            <v>31.03.2008</v>
          </cell>
          <cell r="L718">
            <v>15.427777777777777</v>
          </cell>
        </row>
        <row r="719">
          <cell r="B719">
            <v>137</v>
          </cell>
          <cell r="C719" t="str">
            <v>round3</v>
          </cell>
          <cell r="D719">
            <v>2008</v>
          </cell>
          <cell r="E719" t="str">
            <v>boysU14</v>
          </cell>
          <cell r="F719" t="str">
            <v>football</v>
          </cell>
          <cell r="G719" t="str">
            <v>boys</v>
          </cell>
          <cell r="H719">
            <v>14.327451102016067</v>
          </cell>
          <cell r="I719">
            <v>0.9336600090950451</v>
          </cell>
          <cell r="J719">
            <v>45173</v>
          </cell>
          <cell r="K719" t="str">
            <v>30.05.2008</v>
          </cell>
          <cell r="L719">
            <v>15.261111111111111</v>
          </cell>
        </row>
        <row r="720">
          <cell r="B720">
            <v>139</v>
          </cell>
          <cell r="C720" t="str">
            <v>round3</v>
          </cell>
          <cell r="D720">
            <v>2008</v>
          </cell>
          <cell r="E720" t="str">
            <v>boysU14</v>
          </cell>
          <cell r="F720" t="str">
            <v>football</v>
          </cell>
          <cell r="G720" t="str">
            <v>boys</v>
          </cell>
          <cell r="H720">
            <v>13.838364793168816</v>
          </cell>
          <cell r="I720">
            <v>1.7949685401645168</v>
          </cell>
          <cell r="J720">
            <v>45173</v>
          </cell>
          <cell r="K720" t="str">
            <v>16.01.2008</v>
          </cell>
          <cell r="L720">
            <v>15.633333333333333</v>
          </cell>
        </row>
        <row r="721">
          <cell r="B721">
            <v>141</v>
          </cell>
          <cell r="C721" t="str">
            <v>round3</v>
          </cell>
          <cell r="D721">
            <v>2008</v>
          </cell>
          <cell r="E721" t="str">
            <v>boysU14</v>
          </cell>
          <cell r="F721" t="str">
            <v>football</v>
          </cell>
          <cell r="G721" t="str">
            <v>boys</v>
          </cell>
          <cell r="H721">
            <v>13.116796053081853</v>
          </cell>
          <cell r="I721">
            <v>2.1248706135848154</v>
          </cell>
          <cell r="J721">
            <v>45173</v>
          </cell>
          <cell r="K721" t="str">
            <v>07.06.2008</v>
          </cell>
          <cell r="L721">
            <v>15.241666666666667</v>
          </cell>
        </row>
        <row r="722">
          <cell r="B722">
            <v>143</v>
          </cell>
          <cell r="C722" t="str">
            <v>round3</v>
          </cell>
          <cell r="D722">
            <v>2008</v>
          </cell>
          <cell r="E722" t="str">
            <v>boysU14</v>
          </cell>
          <cell r="F722" t="str">
            <v>football</v>
          </cell>
          <cell r="G722" t="str">
            <v>boys</v>
          </cell>
          <cell r="H722">
            <v>14.044072853673354</v>
          </cell>
          <cell r="I722">
            <v>0.87814936854886916</v>
          </cell>
          <cell r="J722">
            <v>45173</v>
          </cell>
          <cell r="K722" t="str">
            <v>02.10.2008</v>
          </cell>
          <cell r="L722">
            <v>14.922222222222222</v>
          </cell>
        </row>
        <row r="723">
          <cell r="B723">
            <v>145</v>
          </cell>
          <cell r="C723" t="str">
            <v>round3</v>
          </cell>
          <cell r="D723">
            <v>2008</v>
          </cell>
          <cell r="E723" t="str">
            <v>boysU14</v>
          </cell>
          <cell r="F723" t="str">
            <v>football</v>
          </cell>
          <cell r="G723" t="str">
            <v>boys</v>
          </cell>
          <cell r="H723">
            <v>14.330538903672386</v>
          </cell>
          <cell r="I723">
            <v>0.65001665188316993</v>
          </cell>
          <cell r="J723">
            <v>45173</v>
          </cell>
          <cell r="K723" t="str">
            <v>11.09.2008</v>
          </cell>
          <cell r="L723">
            <v>14.980555555555556</v>
          </cell>
        </row>
        <row r="724">
          <cell r="B724">
            <v>146</v>
          </cell>
          <cell r="C724" t="str">
            <v>round3</v>
          </cell>
          <cell r="D724">
            <v>2008</v>
          </cell>
          <cell r="E724" t="str">
            <v>boysU14</v>
          </cell>
          <cell r="F724" t="str">
            <v>football</v>
          </cell>
          <cell r="G724" t="str">
            <v>boys</v>
          </cell>
          <cell r="H724">
            <v>14.540628262863224</v>
          </cell>
          <cell r="I724">
            <v>0.55103840380344316</v>
          </cell>
          <cell r="J724">
            <v>45173</v>
          </cell>
          <cell r="K724" t="str">
            <v>01.08.2008</v>
          </cell>
          <cell r="L724">
            <v>15.091666666666667</v>
          </cell>
        </row>
        <row r="725">
          <cell r="B725">
            <v>147</v>
          </cell>
          <cell r="C725" t="str">
            <v>round3</v>
          </cell>
          <cell r="D725">
            <v>2008</v>
          </cell>
          <cell r="E725" t="str">
            <v>boysU14</v>
          </cell>
          <cell r="F725" t="str">
            <v>football</v>
          </cell>
          <cell r="G725" t="str">
            <v>boys</v>
          </cell>
          <cell r="H725">
            <v>14.295847599262819</v>
          </cell>
          <cell r="I725">
            <v>1.1513746229594037</v>
          </cell>
          <cell r="J725">
            <v>45173</v>
          </cell>
          <cell r="K725" t="str">
            <v>23.03.2008</v>
          </cell>
          <cell r="L725">
            <v>15.447222222222223</v>
          </cell>
        </row>
        <row r="726">
          <cell r="B726">
            <v>149</v>
          </cell>
          <cell r="C726" t="str">
            <v>round3</v>
          </cell>
          <cell r="D726">
            <v>2008</v>
          </cell>
          <cell r="E726" t="str">
            <v>boysU14</v>
          </cell>
          <cell r="F726" t="str">
            <v>football</v>
          </cell>
          <cell r="G726" t="str">
            <v>boys</v>
          </cell>
          <cell r="J726">
            <v>45173</v>
          </cell>
          <cell r="K726">
            <v>39558</v>
          </cell>
          <cell r="L726">
            <v>15.372222222222222</v>
          </cell>
        </row>
        <row r="727">
          <cell r="B727">
            <v>152</v>
          </cell>
          <cell r="C727" t="str">
            <v>round3</v>
          </cell>
          <cell r="D727">
            <v>2008</v>
          </cell>
          <cell r="E727" t="str">
            <v>boysU14</v>
          </cell>
          <cell r="F727" t="str">
            <v>football</v>
          </cell>
          <cell r="G727" t="str">
            <v>boys</v>
          </cell>
          <cell r="H727">
            <v>13.582450908577854</v>
          </cell>
          <cell r="I727">
            <v>1.4619935358665894</v>
          </cell>
          <cell r="J727">
            <v>45223</v>
          </cell>
          <cell r="K727">
            <v>39729</v>
          </cell>
          <cell r="L727">
            <v>15.044444444444444</v>
          </cell>
        </row>
        <row r="728">
          <cell r="B728">
            <v>154</v>
          </cell>
          <cell r="C728" t="str">
            <v>round3</v>
          </cell>
          <cell r="D728">
            <v>2008</v>
          </cell>
          <cell r="E728" t="str">
            <v>boysU14</v>
          </cell>
          <cell r="F728" t="str">
            <v>football</v>
          </cell>
          <cell r="G728" t="str">
            <v>boys</v>
          </cell>
          <cell r="H728">
            <v>13.702900736405695</v>
          </cell>
          <cell r="I728">
            <v>1.4832103747054166</v>
          </cell>
          <cell r="J728">
            <v>45223</v>
          </cell>
          <cell r="K728">
            <v>39677</v>
          </cell>
          <cell r="L728">
            <v>15.186111111111112</v>
          </cell>
        </row>
        <row r="729">
          <cell r="B729">
            <v>155</v>
          </cell>
          <cell r="C729" t="str">
            <v>round3</v>
          </cell>
          <cell r="D729">
            <v>2008</v>
          </cell>
          <cell r="E729" t="str">
            <v>boysU14</v>
          </cell>
          <cell r="F729" t="str">
            <v>football</v>
          </cell>
          <cell r="G729" t="str">
            <v>boys</v>
          </cell>
          <cell r="H729">
            <v>13.683850909006537</v>
          </cell>
          <cell r="I729">
            <v>1.4967046465490186</v>
          </cell>
          <cell r="J729">
            <v>45223</v>
          </cell>
          <cell r="K729">
            <v>39679</v>
          </cell>
          <cell r="L729">
            <v>15.180555555555555</v>
          </cell>
        </row>
        <row r="730">
          <cell r="B730">
            <v>158</v>
          </cell>
          <cell r="C730" t="str">
            <v>round3</v>
          </cell>
          <cell r="D730">
            <v>2008</v>
          </cell>
          <cell r="E730" t="str">
            <v>boysU14</v>
          </cell>
          <cell r="F730" t="str">
            <v>football</v>
          </cell>
          <cell r="G730" t="str">
            <v>boys</v>
          </cell>
          <cell r="H730">
            <v>14.610580033592777</v>
          </cell>
          <cell r="I730">
            <v>0.25608663307389024</v>
          </cell>
          <cell r="J730">
            <v>45223</v>
          </cell>
          <cell r="K730">
            <v>39794</v>
          </cell>
          <cell r="L730">
            <v>14.866666666666667</v>
          </cell>
        </row>
        <row r="731">
          <cell r="B731">
            <v>160</v>
          </cell>
          <cell r="C731" t="str">
            <v>round3</v>
          </cell>
          <cell r="D731">
            <v>2008</v>
          </cell>
          <cell r="E731" t="str">
            <v>boysU14</v>
          </cell>
          <cell r="F731" t="str">
            <v>football</v>
          </cell>
          <cell r="G731" t="str">
            <v>boys</v>
          </cell>
          <cell r="H731">
            <v>14.418148746863189</v>
          </cell>
          <cell r="I731">
            <v>0.48740680869236719</v>
          </cell>
          <cell r="J731">
            <v>45223</v>
          </cell>
          <cell r="K731">
            <v>39780</v>
          </cell>
          <cell r="L731">
            <v>14.905555555555555</v>
          </cell>
        </row>
        <row r="732">
          <cell r="B732">
            <v>161</v>
          </cell>
          <cell r="C732" t="str">
            <v>round3</v>
          </cell>
          <cell r="D732">
            <v>2008</v>
          </cell>
          <cell r="E732" t="str">
            <v>boysU14</v>
          </cell>
          <cell r="F732" t="str">
            <v>football</v>
          </cell>
          <cell r="G732" t="str">
            <v>boys</v>
          </cell>
          <cell r="H732">
            <v>14.161358592056757</v>
          </cell>
          <cell r="I732">
            <v>1.0691969634987988</v>
          </cell>
          <cell r="J732">
            <v>45223</v>
          </cell>
          <cell r="K732">
            <v>39661</v>
          </cell>
          <cell r="L732">
            <v>15.230555555555556</v>
          </cell>
        </row>
        <row r="733">
          <cell r="B733">
            <v>162</v>
          </cell>
          <cell r="C733" t="str">
            <v>round3</v>
          </cell>
          <cell r="D733">
            <v>2008</v>
          </cell>
          <cell r="E733" t="str">
            <v>boysU14</v>
          </cell>
          <cell r="F733" t="str">
            <v>football</v>
          </cell>
          <cell r="G733" t="str">
            <v>boys</v>
          </cell>
          <cell r="H733">
            <v>14.367371735581903</v>
          </cell>
          <cell r="I733">
            <v>0.90207270886253998</v>
          </cell>
          <cell r="J733">
            <v>45223</v>
          </cell>
          <cell r="K733">
            <v>39646</v>
          </cell>
          <cell r="L733">
            <v>15.269444444444444</v>
          </cell>
        </row>
        <row r="734">
          <cell r="B734">
            <v>163</v>
          </cell>
          <cell r="C734" t="str">
            <v>round3</v>
          </cell>
          <cell r="D734">
            <v>2008</v>
          </cell>
          <cell r="E734" t="str">
            <v>boysU14</v>
          </cell>
          <cell r="F734" t="str">
            <v>football</v>
          </cell>
          <cell r="G734" t="str">
            <v>boys</v>
          </cell>
          <cell r="H734">
            <v>13.851629582974873</v>
          </cell>
          <cell r="I734">
            <v>1.8872593059140159</v>
          </cell>
          <cell r="J734">
            <v>45223</v>
          </cell>
          <cell r="K734">
            <v>39475</v>
          </cell>
          <cell r="L734">
            <v>15.738888888888889</v>
          </cell>
        </row>
        <row r="735">
          <cell r="B735">
            <v>164</v>
          </cell>
          <cell r="C735" t="str">
            <v>round3</v>
          </cell>
          <cell r="D735">
            <v>2008</v>
          </cell>
          <cell r="E735" t="str">
            <v>boysU14</v>
          </cell>
          <cell r="F735" t="str">
            <v>football</v>
          </cell>
          <cell r="G735" t="str">
            <v>boys</v>
          </cell>
          <cell r="H735">
            <v>14.61137803327326</v>
          </cell>
          <cell r="I735">
            <v>0.65528863339340726</v>
          </cell>
          <cell r="J735">
            <v>45223</v>
          </cell>
          <cell r="K735">
            <v>39647</v>
          </cell>
          <cell r="L735">
            <v>15.266666666666667</v>
          </cell>
        </row>
        <row r="736">
          <cell r="B736">
            <v>166</v>
          </cell>
          <cell r="C736" t="str">
            <v>round3</v>
          </cell>
          <cell r="D736">
            <v>2008</v>
          </cell>
          <cell r="E736" t="str">
            <v>boysU14</v>
          </cell>
          <cell r="F736" t="str">
            <v>football</v>
          </cell>
          <cell r="G736" t="str">
            <v>boys</v>
          </cell>
          <cell r="H736">
            <v>14.574446371178723</v>
          </cell>
          <cell r="I736">
            <v>1.1533314065990536</v>
          </cell>
          <cell r="J736">
            <v>45223</v>
          </cell>
          <cell r="K736">
            <v>39480</v>
          </cell>
          <cell r="L736">
            <v>15.727777777777778</v>
          </cell>
        </row>
        <row r="737">
          <cell r="B737">
            <v>173</v>
          </cell>
          <cell r="C737" t="str">
            <v>round1</v>
          </cell>
          <cell r="D737">
            <v>2006</v>
          </cell>
          <cell r="E737" t="str">
            <v>boysU16</v>
          </cell>
          <cell r="F737" t="str">
            <v>football</v>
          </cell>
          <cell r="G737" t="str">
            <v>boys</v>
          </cell>
          <cell r="H737">
            <v>15.230026485347771</v>
          </cell>
          <cell r="I737">
            <v>0.20330684798556298</v>
          </cell>
          <cell r="J737">
            <v>44482</v>
          </cell>
          <cell r="K737">
            <v>38844</v>
          </cell>
          <cell r="L737">
            <v>15.433333333333334</v>
          </cell>
        </row>
        <row r="738">
          <cell r="B738">
            <v>173</v>
          </cell>
          <cell r="C738" t="str">
            <v>round2</v>
          </cell>
          <cell r="D738">
            <v>2006</v>
          </cell>
          <cell r="E738" t="str">
            <v>boysU16</v>
          </cell>
          <cell r="F738" t="str">
            <v>football</v>
          </cell>
          <cell r="G738" t="str">
            <v>boys</v>
          </cell>
          <cell r="H738">
            <v>15.073339915785832</v>
          </cell>
          <cell r="I738">
            <v>1.4488823064363909</v>
          </cell>
          <cell r="J738">
            <v>44880</v>
          </cell>
          <cell r="K738">
            <v>38844</v>
          </cell>
          <cell r="L738">
            <v>16.522222222222222</v>
          </cell>
        </row>
        <row r="739">
          <cell r="B739">
            <v>173</v>
          </cell>
          <cell r="C739" t="str">
            <v>round3</v>
          </cell>
          <cell r="D739">
            <v>2006</v>
          </cell>
          <cell r="E739" t="str">
            <v>boysU16</v>
          </cell>
          <cell r="F739" t="str">
            <v>football</v>
          </cell>
          <cell r="G739" t="str">
            <v>boys</v>
          </cell>
          <cell r="H739">
            <v>15.225070067818674</v>
          </cell>
          <cell r="I739">
            <v>2.2554854877368804</v>
          </cell>
          <cell r="J739">
            <v>45229</v>
          </cell>
          <cell r="K739">
            <v>38844</v>
          </cell>
          <cell r="L739">
            <v>17.480555555555554</v>
          </cell>
        </row>
        <row r="740">
          <cell r="B740">
            <v>175</v>
          </cell>
          <cell r="C740" t="str">
            <v>round3</v>
          </cell>
          <cell r="D740">
            <v>2006</v>
          </cell>
          <cell r="E740" t="str">
            <v>boysU16</v>
          </cell>
          <cell r="F740" t="str">
            <v>football</v>
          </cell>
          <cell r="G740" t="str">
            <v>boys</v>
          </cell>
          <cell r="H740">
            <v>14.084359765779578</v>
          </cell>
          <cell r="I740">
            <v>3.1767513453315352</v>
          </cell>
          <cell r="J740">
            <v>45229</v>
          </cell>
          <cell r="K740">
            <v>38924</v>
          </cell>
          <cell r="L740">
            <v>17.261111111111113</v>
          </cell>
        </row>
        <row r="741">
          <cell r="B741">
            <v>177</v>
          </cell>
          <cell r="C741" t="str">
            <v>round3</v>
          </cell>
          <cell r="D741">
            <v>2006</v>
          </cell>
          <cell r="E741" t="str">
            <v>boysU16</v>
          </cell>
          <cell r="F741" t="str">
            <v>football</v>
          </cell>
          <cell r="G741" t="str">
            <v>boys</v>
          </cell>
          <cell r="H741">
            <v>15.023896236414886</v>
          </cell>
          <cell r="I741">
            <v>1.948325985807335</v>
          </cell>
          <cell r="J741">
            <v>45265</v>
          </cell>
          <cell r="K741">
            <v>39066</v>
          </cell>
          <cell r="L741">
            <v>16.972222222222221</v>
          </cell>
        </row>
        <row r="742">
          <cell r="B742">
            <v>180</v>
          </cell>
          <cell r="C742" t="str">
            <v>round3</v>
          </cell>
          <cell r="D742">
            <v>2005</v>
          </cell>
          <cell r="E742">
            <v>0</v>
          </cell>
          <cell r="F742" t="str">
            <v>football</v>
          </cell>
          <cell r="G742">
            <v>0</v>
          </cell>
          <cell r="H742">
            <v>13.410938262192312</v>
          </cell>
          <cell r="I742">
            <v>4.5251728489187979</v>
          </cell>
          <cell r="J742">
            <v>45265</v>
          </cell>
          <cell r="K742">
            <v>38714</v>
          </cell>
          <cell r="L742">
            <v>17.93611111111111</v>
          </cell>
        </row>
        <row r="743">
          <cell r="B743">
            <v>182</v>
          </cell>
          <cell r="C743" t="str">
            <v>round3</v>
          </cell>
          <cell r="D743">
            <v>2006</v>
          </cell>
          <cell r="E743" t="str">
            <v>boysU16</v>
          </cell>
          <cell r="F743" t="str">
            <v>football</v>
          </cell>
          <cell r="G743" t="str">
            <v>boys</v>
          </cell>
          <cell r="H743">
            <v>14.347563034182054</v>
          </cell>
          <cell r="I743">
            <v>3.4246591880401689</v>
          </cell>
          <cell r="J743">
            <v>45265</v>
          </cell>
          <cell r="K743">
            <v>38775</v>
          </cell>
          <cell r="L743">
            <v>17.772222222222222</v>
          </cell>
        </row>
        <row r="744">
          <cell r="B744">
            <v>225</v>
          </cell>
          <cell r="C744" t="str">
            <v>round3</v>
          </cell>
          <cell r="D744">
            <v>2008</v>
          </cell>
          <cell r="E744" t="str">
            <v>girlsU14</v>
          </cell>
          <cell r="F744" t="str">
            <v>football</v>
          </cell>
          <cell r="G744" t="str">
            <v>girls</v>
          </cell>
          <cell r="H744">
            <v>13.134852019434314</v>
          </cell>
          <cell r="I744">
            <v>2.4901479805656854</v>
          </cell>
          <cell r="J744">
            <v>45209</v>
          </cell>
          <cell r="K744">
            <v>39503</v>
          </cell>
          <cell r="L744">
            <v>15.625</v>
          </cell>
        </row>
        <row r="745">
          <cell r="B745">
            <v>226</v>
          </cell>
          <cell r="C745" t="str">
            <v>round3</v>
          </cell>
          <cell r="D745">
            <v>2008</v>
          </cell>
          <cell r="E745" t="str">
            <v>girlsU14</v>
          </cell>
          <cell r="F745" t="str">
            <v>football</v>
          </cell>
          <cell r="G745" t="str">
            <v>girls</v>
          </cell>
          <cell r="H745">
            <v>12.384017958012134</v>
          </cell>
          <cell r="I745">
            <v>2.5187598197656449</v>
          </cell>
          <cell r="J745">
            <v>45209</v>
          </cell>
          <cell r="K745">
            <v>39767</v>
          </cell>
          <cell r="L745">
            <v>14.902777777777779</v>
          </cell>
        </row>
        <row r="746">
          <cell r="B746">
            <v>227</v>
          </cell>
          <cell r="C746" t="str">
            <v>round3</v>
          </cell>
          <cell r="D746">
            <v>2008</v>
          </cell>
          <cell r="E746" t="str">
            <v>girlsU14</v>
          </cell>
          <cell r="F746" t="str">
            <v>football</v>
          </cell>
          <cell r="G746" t="str">
            <v>girls</v>
          </cell>
          <cell r="H746">
            <v>12.31672136998435</v>
          </cell>
          <cell r="I746">
            <v>3.1805008522378717</v>
          </cell>
          <cell r="J746">
            <v>45209</v>
          </cell>
          <cell r="K746">
            <v>39549</v>
          </cell>
          <cell r="L746">
            <v>15.497222222222222</v>
          </cell>
        </row>
        <row r="747">
          <cell r="B747">
            <v>229</v>
          </cell>
          <cell r="C747" t="str">
            <v>round3</v>
          </cell>
          <cell r="D747">
            <v>2008</v>
          </cell>
          <cell r="E747" t="str">
            <v>girlsU14</v>
          </cell>
          <cell r="F747" t="str">
            <v>football</v>
          </cell>
          <cell r="G747" t="str">
            <v>girls</v>
          </cell>
          <cell r="H747">
            <v>13.26616539408047</v>
          </cell>
          <cell r="I747">
            <v>2.1421679392528623</v>
          </cell>
          <cell r="J747">
            <v>45209</v>
          </cell>
          <cell r="K747">
            <v>39581</v>
          </cell>
          <cell r="L747">
            <v>15.408333333333333</v>
          </cell>
        </row>
        <row r="748">
          <cell r="B748">
            <v>230</v>
          </cell>
          <cell r="C748" t="str">
            <v>round3</v>
          </cell>
          <cell r="D748">
            <v>2008</v>
          </cell>
          <cell r="E748" t="str">
            <v>girlsU14</v>
          </cell>
          <cell r="F748" t="str">
            <v>football</v>
          </cell>
          <cell r="G748" t="str">
            <v>girls</v>
          </cell>
          <cell r="H748">
            <v>12.926266297497564</v>
          </cell>
          <cell r="I748">
            <v>2.348733702502436</v>
          </cell>
          <cell r="J748">
            <v>45209</v>
          </cell>
          <cell r="K748">
            <v>39630</v>
          </cell>
          <cell r="L748">
            <v>15.275</v>
          </cell>
        </row>
        <row r="749">
          <cell r="B749">
            <v>231</v>
          </cell>
          <cell r="C749" t="str">
            <v>round3</v>
          </cell>
          <cell r="D749">
            <v>2008</v>
          </cell>
          <cell r="E749" t="str">
            <v>girlsU14</v>
          </cell>
          <cell r="F749" t="str">
            <v>football</v>
          </cell>
          <cell r="G749" t="str">
            <v>girls</v>
          </cell>
          <cell r="H749">
            <v>12.045054224104049</v>
          </cell>
          <cell r="I749">
            <v>3.6521679981181734</v>
          </cell>
          <cell r="J749">
            <v>45209</v>
          </cell>
          <cell r="K749">
            <v>39476</v>
          </cell>
          <cell r="L749">
            <v>15.697222222222223</v>
          </cell>
        </row>
        <row r="750">
          <cell r="B750">
            <v>261</v>
          </cell>
          <cell r="C750" t="str">
            <v>round3</v>
          </cell>
          <cell r="D750">
            <v>2008</v>
          </cell>
          <cell r="E750" t="str">
            <v>girlsU14</v>
          </cell>
          <cell r="F750" t="str">
            <v>football</v>
          </cell>
          <cell r="G750" t="str">
            <v>girls</v>
          </cell>
          <cell r="H750">
            <v>12.74389251307219</v>
          </cell>
          <cell r="I750">
            <v>2.7449963758166995</v>
          </cell>
          <cell r="J750">
            <v>45237</v>
          </cell>
          <cell r="K750">
            <v>39579</v>
          </cell>
          <cell r="L750">
            <v>15.488888888888889</v>
          </cell>
        </row>
        <row r="751">
          <cell r="B751">
            <v>290</v>
          </cell>
          <cell r="C751" t="str">
            <v>round3</v>
          </cell>
          <cell r="D751">
            <v>2008</v>
          </cell>
          <cell r="E751" t="str">
            <v>girlsU14</v>
          </cell>
          <cell r="F751" t="str">
            <v>football</v>
          </cell>
          <cell r="G751" t="str">
            <v>girls</v>
          </cell>
          <cell r="H751">
            <v>12.205165707087463</v>
          </cell>
          <cell r="I751">
            <v>3.5559454040236482</v>
          </cell>
          <cell r="J751">
            <v>45237</v>
          </cell>
          <cell r="K751">
            <v>39481</v>
          </cell>
          <cell r="L751">
            <v>15.761111111111111</v>
          </cell>
        </row>
        <row r="752">
          <cell r="B752">
            <v>291</v>
          </cell>
          <cell r="C752" t="str">
            <v>round3</v>
          </cell>
          <cell r="D752">
            <v>2008</v>
          </cell>
          <cell r="E752" t="str">
            <v>girlsU14</v>
          </cell>
          <cell r="F752" t="str">
            <v>football</v>
          </cell>
          <cell r="G752" t="str">
            <v>girls</v>
          </cell>
          <cell r="H752">
            <v>12.741668253059862</v>
          </cell>
          <cell r="I752">
            <v>2.6138873024956939</v>
          </cell>
          <cell r="J752">
            <v>45237</v>
          </cell>
          <cell r="K752">
            <v>39628</v>
          </cell>
          <cell r="L752">
            <v>15.355555555555556</v>
          </cell>
        </row>
        <row r="753">
          <cell r="B753">
            <v>323</v>
          </cell>
          <cell r="C753" t="str">
            <v>round3</v>
          </cell>
          <cell r="D753">
            <v>2008</v>
          </cell>
          <cell r="E753" t="str">
            <v>boysU14</v>
          </cell>
          <cell r="F753" t="str">
            <v>football</v>
          </cell>
          <cell r="G753" t="str">
            <v>boys</v>
          </cell>
          <cell r="H753">
            <v>13.555559751495398</v>
          </cell>
          <cell r="I753">
            <v>1.9722180262823801</v>
          </cell>
          <cell r="J753">
            <v>45173</v>
          </cell>
          <cell r="K753">
            <v>39502</v>
          </cell>
          <cell r="L753">
            <v>15.527777777777779</v>
          </cell>
        </row>
        <row r="754">
          <cell r="B754">
            <v>326</v>
          </cell>
          <cell r="C754" t="str">
            <v>round3</v>
          </cell>
          <cell r="D754">
            <v>2008</v>
          </cell>
          <cell r="E754" t="str">
            <v>boysU14</v>
          </cell>
          <cell r="F754" t="str">
            <v>football</v>
          </cell>
          <cell r="G754" t="str">
            <v>boys</v>
          </cell>
          <cell r="H754">
            <v>13.602633026310345</v>
          </cell>
          <cell r="I754">
            <v>1.797366973689656</v>
          </cell>
          <cell r="J754">
            <v>45173</v>
          </cell>
          <cell r="K754">
            <v>39548</v>
          </cell>
          <cell r="L754">
            <v>15.4</v>
          </cell>
        </row>
        <row r="755">
          <cell r="B755">
            <v>410</v>
          </cell>
          <cell r="C755" t="str">
            <v>round3</v>
          </cell>
          <cell r="D755">
            <v>2007</v>
          </cell>
          <cell r="E755" t="str">
            <v>girlsU16</v>
          </cell>
          <cell r="F755" t="str">
            <v>handball</v>
          </cell>
          <cell r="G755" t="str">
            <v>girls</v>
          </cell>
          <cell r="H755">
            <v>12.277119824018349</v>
          </cell>
          <cell r="I755">
            <v>4.164546842648317</v>
          </cell>
          <cell r="J755">
            <v>45386</v>
          </cell>
          <cell r="K755">
            <v>39380</v>
          </cell>
          <cell r="L755">
            <v>16.441666666666666</v>
          </cell>
        </row>
        <row r="756">
          <cell r="B756">
            <v>411</v>
          </cell>
          <cell r="C756" t="str">
            <v>round3</v>
          </cell>
          <cell r="D756">
            <v>2007</v>
          </cell>
          <cell r="E756" t="str">
            <v>girlsU16</v>
          </cell>
          <cell r="F756" t="str">
            <v>handball</v>
          </cell>
          <cell r="G756" t="str">
            <v>girls</v>
          </cell>
          <cell r="H756">
            <v>12.952309899378998</v>
          </cell>
          <cell r="I756">
            <v>4.0226901006210039</v>
          </cell>
          <cell r="J756">
            <v>45386</v>
          </cell>
          <cell r="K756">
            <v>39185</v>
          </cell>
          <cell r="L756">
            <v>16.975000000000001</v>
          </cell>
        </row>
        <row r="757">
          <cell r="B757">
            <v>419</v>
          </cell>
          <cell r="C757" t="str">
            <v>round3</v>
          </cell>
          <cell r="D757">
            <v>2007</v>
          </cell>
          <cell r="E757" t="str">
            <v>girlsU16</v>
          </cell>
          <cell r="F757" t="str">
            <v>handball</v>
          </cell>
          <cell r="G757" t="str">
            <v>girls</v>
          </cell>
          <cell r="H757">
            <v>12.364006346580462</v>
          </cell>
          <cell r="I757">
            <v>4.3054380978639823</v>
          </cell>
          <cell r="J757">
            <v>45386</v>
          </cell>
          <cell r="K757">
            <v>39297</v>
          </cell>
          <cell r="L757">
            <v>16.669444444444444</v>
          </cell>
        </row>
        <row r="758">
          <cell r="B758">
            <v>420</v>
          </cell>
          <cell r="C758" t="str">
            <v>round3</v>
          </cell>
          <cell r="D758">
            <v>2009</v>
          </cell>
          <cell r="E758" t="str">
            <v>boysU14</v>
          </cell>
          <cell r="F758" t="str">
            <v>handball</v>
          </cell>
          <cell r="G758" t="str">
            <v>boys</v>
          </cell>
          <cell r="H758">
            <v>13.226923769540786</v>
          </cell>
          <cell r="I758">
            <v>1.1980762304592152</v>
          </cell>
          <cell r="J758">
            <v>45411</v>
          </cell>
          <cell r="K758">
            <v>40143</v>
          </cell>
          <cell r="L758">
            <v>14.425000000000001</v>
          </cell>
        </row>
        <row r="759">
          <cell r="B759">
            <v>421</v>
          </cell>
          <cell r="C759" t="str">
            <v>round3</v>
          </cell>
          <cell r="D759">
            <v>2009</v>
          </cell>
          <cell r="E759" t="str">
            <v>boysU14</v>
          </cell>
          <cell r="F759" t="str">
            <v>handball</v>
          </cell>
          <cell r="G759" t="str">
            <v>boys</v>
          </cell>
          <cell r="H759">
            <v>13.886879856626587</v>
          </cell>
          <cell r="I759">
            <v>1.2242312544845237</v>
          </cell>
          <cell r="J759">
            <v>45411</v>
          </cell>
          <cell r="K759">
            <v>39891</v>
          </cell>
          <cell r="L759">
            <v>15.111111111111111</v>
          </cell>
        </row>
        <row r="760">
          <cell r="B760">
            <v>423</v>
          </cell>
          <cell r="C760" t="str">
            <v>round3</v>
          </cell>
          <cell r="D760">
            <v>2009</v>
          </cell>
          <cell r="E760" t="str">
            <v>boysU14</v>
          </cell>
          <cell r="F760" t="str">
            <v>handball</v>
          </cell>
          <cell r="G760" t="str">
            <v>boys</v>
          </cell>
          <cell r="H760">
            <v>13.764466088105364</v>
          </cell>
          <cell r="I760">
            <v>1.3049783563390811</v>
          </cell>
          <cell r="J760">
            <v>45411</v>
          </cell>
          <cell r="K760">
            <v>39907</v>
          </cell>
          <cell r="L760">
            <v>15.069444444444445</v>
          </cell>
        </row>
        <row r="761">
          <cell r="B761">
            <v>424</v>
          </cell>
          <cell r="C761" t="str">
            <v>round3</v>
          </cell>
          <cell r="D761">
            <v>2009</v>
          </cell>
          <cell r="E761" t="str">
            <v>boysU14</v>
          </cell>
          <cell r="F761" t="str">
            <v>handball</v>
          </cell>
          <cell r="G761" t="str">
            <v>boys</v>
          </cell>
          <cell r="H761">
            <v>13.459715411804403</v>
          </cell>
          <cell r="I761">
            <v>1.5319512548622631</v>
          </cell>
          <cell r="J761">
            <v>45411</v>
          </cell>
          <cell r="K761">
            <v>39935</v>
          </cell>
          <cell r="L761">
            <v>14.991666666666667</v>
          </cell>
        </row>
        <row r="762">
          <cell r="B762">
            <v>427</v>
          </cell>
          <cell r="C762" t="str">
            <v>round3</v>
          </cell>
          <cell r="D762">
            <v>2009</v>
          </cell>
          <cell r="E762" t="str">
            <v>boysU14</v>
          </cell>
          <cell r="F762" t="str">
            <v>handball</v>
          </cell>
          <cell r="G762" t="str">
            <v>boys</v>
          </cell>
          <cell r="H762">
            <v>13.690059902333891</v>
          </cell>
          <cell r="I762">
            <v>1.2071623198883319</v>
          </cell>
          <cell r="J762">
            <v>45411</v>
          </cell>
          <cell r="K762">
            <v>39970</v>
          </cell>
          <cell r="L762">
            <v>14.897222222222222</v>
          </cell>
        </row>
        <row r="763">
          <cell r="B763">
            <v>430</v>
          </cell>
          <cell r="C763" t="str">
            <v>round3</v>
          </cell>
          <cell r="D763">
            <v>2009</v>
          </cell>
          <cell r="E763" t="str">
            <v>boysU14</v>
          </cell>
          <cell r="F763" t="str">
            <v>handball</v>
          </cell>
          <cell r="G763" t="str">
            <v>boys</v>
          </cell>
          <cell r="H763">
            <v>13.78142030217753</v>
          </cell>
          <cell r="I763">
            <v>0.60746858671135895</v>
          </cell>
          <cell r="J763">
            <v>45411</v>
          </cell>
          <cell r="K763">
            <v>40156</v>
          </cell>
          <cell r="L763">
            <v>14.388888888888889</v>
          </cell>
        </row>
        <row r="764">
          <cell r="B764">
            <v>431</v>
          </cell>
          <cell r="C764" t="str">
            <v>round3</v>
          </cell>
          <cell r="D764">
            <v>2009</v>
          </cell>
          <cell r="E764" t="str">
            <v>boysU14</v>
          </cell>
          <cell r="F764" t="str">
            <v>handball</v>
          </cell>
          <cell r="G764" t="str">
            <v>boys</v>
          </cell>
          <cell r="H764">
            <v>14.110106303251506</v>
          </cell>
          <cell r="I764">
            <v>0.9482270300818274</v>
          </cell>
          <cell r="J764">
            <v>45411</v>
          </cell>
          <cell r="K764">
            <v>39911</v>
          </cell>
          <cell r="L764">
            <v>15.058333333333334</v>
          </cell>
        </row>
        <row r="765">
          <cell r="B765">
            <v>432</v>
          </cell>
          <cell r="C765" t="str">
            <v>round3</v>
          </cell>
          <cell r="D765">
            <v>2009</v>
          </cell>
          <cell r="E765" t="str">
            <v>boysU14</v>
          </cell>
          <cell r="F765" t="str">
            <v>handball</v>
          </cell>
          <cell r="G765" t="str">
            <v>boys</v>
          </cell>
          <cell r="H765">
            <v>13.012780314532955</v>
          </cell>
          <cell r="I765">
            <v>1.5122196854670453</v>
          </cell>
          <cell r="J765">
            <v>45411</v>
          </cell>
          <cell r="K765">
            <v>40106</v>
          </cell>
          <cell r="L765">
            <v>14.525</v>
          </cell>
        </row>
        <row r="766">
          <cell r="B766">
            <v>434</v>
          </cell>
          <cell r="C766" t="str">
            <v>round3</v>
          </cell>
          <cell r="D766">
            <v>2007</v>
          </cell>
          <cell r="E766" t="str">
            <v>boysU16</v>
          </cell>
          <cell r="F766" t="str">
            <v>handball</v>
          </cell>
          <cell r="G766" t="str">
            <v>boys</v>
          </cell>
          <cell r="H766">
            <v>14.043717393234866</v>
          </cell>
          <cell r="I766">
            <v>2.7479492734318018</v>
          </cell>
          <cell r="J766">
            <v>45357</v>
          </cell>
          <cell r="K766">
            <v>39223</v>
          </cell>
          <cell r="L766">
            <v>16.791666666666668</v>
          </cell>
        </row>
        <row r="767">
          <cell r="B767">
            <v>437</v>
          </cell>
          <cell r="C767" t="str">
            <v>round3</v>
          </cell>
          <cell r="D767">
            <v>2007</v>
          </cell>
          <cell r="E767" t="str">
            <v>boysU16</v>
          </cell>
          <cell r="F767" t="str">
            <v>handball</v>
          </cell>
          <cell r="G767" t="str">
            <v>boys</v>
          </cell>
          <cell r="H767">
            <v>14.604662749142145</v>
          </cell>
          <cell r="I767">
            <v>2.5703372508578557</v>
          </cell>
          <cell r="J767">
            <v>45357</v>
          </cell>
          <cell r="K767">
            <v>39085</v>
          </cell>
          <cell r="L767">
            <v>17.175000000000001</v>
          </cell>
        </row>
        <row r="768">
          <cell r="B768">
            <v>438</v>
          </cell>
          <cell r="C768" t="str">
            <v>round3</v>
          </cell>
          <cell r="D768">
            <v>2007</v>
          </cell>
          <cell r="E768" t="str">
            <v>boysU16</v>
          </cell>
          <cell r="F768" t="str">
            <v>handball</v>
          </cell>
          <cell r="G768" t="str">
            <v>boys</v>
          </cell>
          <cell r="H768">
            <v>13.793643686508418</v>
          </cell>
          <cell r="I768">
            <v>2.8730229801582494</v>
          </cell>
          <cell r="J768">
            <v>45357</v>
          </cell>
          <cell r="K768">
            <v>39269</v>
          </cell>
          <cell r="L768">
            <v>16.666666666666668</v>
          </cell>
        </row>
        <row r="769">
          <cell r="B769">
            <v>441</v>
          </cell>
          <cell r="C769" t="str">
            <v>round3</v>
          </cell>
          <cell r="D769">
            <v>2007</v>
          </cell>
          <cell r="E769" t="str">
            <v>boysU16</v>
          </cell>
          <cell r="F769" t="str">
            <v>handball</v>
          </cell>
          <cell r="G769" t="str">
            <v>boys</v>
          </cell>
          <cell r="H769">
            <v>13.511976462937643</v>
          </cell>
          <cell r="I769">
            <v>3.349134648173469</v>
          </cell>
          <cell r="J769">
            <v>45357</v>
          </cell>
          <cell r="K769">
            <v>39198</v>
          </cell>
          <cell r="L769">
            <v>16.861111111111111</v>
          </cell>
        </row>
        <row r="770">
          <cell r="B770">
            <v>442</v>
          </cell>
          <cell r="C770" t="str">
            <v>round3</v>
          </cell>
          <cell r="D770">
            <v>2007</v>
          </cell>
          <cell r="E770" t="str">
            <v>boysU16</v>
          </cell>
          <cell r="F770" t="str">
            <v>handball</v>
          </cell>
          <cell r="G770" t="str">
            <v>boys</v>
          </cell>
          <cell r="H770">
            <v>14.091431685802657</v>
          </cell>
          <cell r="I770">
            <v>2.2530127586417881</v>
          </cell>
          <cell r="J770">
            <v>45357</v>
          </cell>
          <cell r="K770">
            <v>39388</v>
          </cell>
          <cell r="L770">
            <v>16.344444444444445</v>
          </cell>
        </row>
        <row r="771">
          <cell r="B771">
            <v>447</v>
          </cell>
          <cell r="C771" t="str">
            <v>round3</v>
          </cell>
          <cell r="D771">
            <v>2009</v>
          </cell>
          <cell r="E771" t="str">
            <v>girlsU14</v>
          </cell>
          <cell r="F771" t="str">
            <v>handball</v>
          </cell>
          <cell r="G771" t="str">
            <v>girls</v>
          </cell>
          <cell r="H771">
            <v>12.611960091406294</v>
          </cell>
          <cell r="I771">
            <v>2.1074843530381511</v>
          </cell>
          <cell r="J771">
            <v>45370</v>
          </cell>
          <cell r="K771">
            <v>39994</v>
          </cell>
          <cell r="L771">
            <v>14.719444444444445</v>
          </cell>
        </row>
        <row r="772">
          <cell r="B772">
            <v>448</v>
          </cell>
          <cell r="C772" t="str">
            <v>round3</v>
          </cell>
          <cell r="D772">
            <v>2009</v>
          </cell>
          <cell r="E772" t="str">
            <v>girlsU14</v>
          </cell>
          <cell r="F772" t="str">
            <v>handball</v>
          </cell>
          <cell r="G772" t="str">
            <v>girls</v>
          </cell>
          <cell r="H772">
            <v>13.015178043371243</v>
          </cell>
          <cell r="I772">
            <v>2.1487108455176465</v>
          </cell>
          <cell r="J772">
            <v>45370</v>
          </cell>
          <cell r="K772">
            <v>39833</v>
          </cell>
          <cell r="L772">
            <v>15.16388888888889</v>
          </cell>
        </row>
        <row r="773">
          <cell r="B773">
            <v>449</v>
          </cell>
          <cell r="C773" t="str">
            <v>round3</v>
          </cell>
          <cell r="D773">
            <v>2009</v>
          </cell>
          <cell r="E773" t="str">
            <v>girlsU14</v>
          </cell>
          <cell r="F773" t="str">
            <v>handball</v>
          </cell>
          <cell r="G773" t="str">
            <v>girls</v>
          </cell>
          <cell r="H773">
            <v>12.528535759663143</v>
          </cell>
          <cell r="I773">
            <v>2.0881309070035252</v>
          </cell>
          <cell r="J773">
            <v>45357</v>
          </cell>
          <cell r="K773">
            <v>40018</v>
          </cell>
          <cell r="L773">
            <v>14.616666666666667</v>
          </cell>
        </row>
        <row r="774">
          <cell r="B774">
            <v>450</v>
          </cell>
          <cell r="C774" t="str">
            <v>round3</v>
          </cell>
          <cell r="D774">
            <v>2009</v>
          </cell>
          <cell r="E774" t="str">
            <v>girlsU14</v>
          </cell>
          <cell r="F774" t="str">
            <v>handball</v>
          </cell>
          <cell r="G774" t="str">
            <v>girls</v>
          </cell>
          <cell r="H774">
            <v>12.090899008994953</v>
          </cell>
          <cell r="I774">
            <v>2.5618787687828259</v>
          </cell>
          <cell r="J774">
            <v>45370</v>
          </cell>
          <cell r="K774">
            <v>40018</v>
          </cell>
          <cell r="L774">
            <v>14.652777777777779</v>
          </cell>
        </row>
        <row r="775">
          <cell r="B775">
            <v>451</v>
          </cell>
          <cell r="C775" t="str">
            <v>round3</v>
          </cell>
          <cell r="D775">
            <v>2009</v>
          </cell>
          <cell r="E775" t="str">
            <v>girlsU14</v>
          </cell>
          <cell r="F775" t="str">
            <v>handball</v>
          </cell>
          <cell r="G775" t="str">
            <v>girls</v>
          </cell>
          <cell r="H775">
            <v>12.420017941205067</v>
          </cell>
          <cell r="I775">
            <v>2.2105376143504882</v>
          </cell>
          <cell r="J775">
            <v>45357</v>
          </cell>
          <cell r="K775">
            <v>40013</v>
          </cell>
          <cell r="L775">
            <v>14.630555555555556</v>
          </cell>
        </row>
        <row r="776">
          <cell r="B776">
            <v>452</v>
          </cell>
          <cell r="C776" t="str">
            <v>round3</v>
          </cell>
          <cell r="D776">
            <v>2009</v>
          </cell>
          <cell r="E776" t="str">
            <v>girlsU14</v>
          </cell>
          <cell r="F776" t="str">
            <v>handball</v>
          </cell>
          <cell r="G776" t="str">
            <v>girls</v>
          </cell>
          <cell r="H776">
            <v>12.363645610002287</v>
          </cell>
          <cell r="I776">
            <v>2.5807988344421573</v>
          </cell>
          <cell r="J776">
            <v>45357</v>
          </cell>
          <cell r="K776">
            <v>39898</v>
          </cell>
          <cell r="L776">
            <v>14.944444444444445</v>
          </cell>
        </row>
        <row r="777">
          <cell r="B777">
            <v>464</v>
          </cell>
          <cell r="C777" t="str">
            <v>round3</v>
          </cell>
          <cell r="D777">
            <v>2007</v>
          </cell>
          <cell r="E777" t="str">
            <v>girlsU16</v>
          </cell>
          <cell r="F777" t="str">
            <v>handball</v>
          </cell>
          <cell r="G777" t="str">
            <v>girls</v>
          </cell>
          <cell r="H777">
            <v>13.282140404347977</v>
          </cell>
          <cell r="I777">
            <v>3.0734151512075769</v>
          </cell>
          <cell r="J777">
            <v>45370</v>
          </cell>
          <cell r="K777">
            <v>39397</v>
          </cell>
          <cell r="L777">
            <v>16.355555555555554</v>
          </cell>
        </row>
        <row r="778">
          <cell r="B778">
            <v>466</v>
          </cell>
          <cell r="C778" t="str">
            <v>round3</v>
          </cell>
          <cell r="D778">
            <v>2007</v>
          </cell>
          <cell r="E778" t="str">
            <v>girlsU16</v>
          </cell>
          <cell r="F778" t="str">
            <v>handball</v>
          </cell>
          <cell r="G778" t="str">
            <v>girls</v>
          </cell>
          <cell r="H778">
            <v>12.410434501774986</v>
          </cell>
          <cell r="I778">
            <v>3.8701210537805695</v>
          </cell>
          <cell r="J778">
            <v>45370</v>
          </cell>
          <cell r="K778">
            <v>39424</v>
          </cell>
          <cell r="L778">
            <v>16.280555555555555</v>
          </cell>
        </row>
        <row r="779">
          <cell r="B779">
            <v>467</v>
          </cell>
          <cell r="C779" t="str">
            <v>round3</v>
          </cell>
          <cell r="D779">
            <v>2007</v>
          </cell>
          <cell r="E779" t="str">
            <v>girlsU16</v>
          </cell>
          <cell r="F779" t="str">
            <v>handball</v>
          </cell>
          <cell r="G779" t="str">
            <v>girls</v>
          </cell>
          <cell r="H779">
            <v>14.357790787225404</v>
          </cell>
          <cell r="I779">
            <v>2.8199869905523727</v>
          </cell>
          <cell r="J779">
            <v>45370</v>
          </cell>
          <cell r="K779">
            <v>39097</v>
          </cell>
          <cell r="L779">
            <v>17.177777777777777</v>
          </cell>
        </row>
        <row r="780">
          <cell r="B780">
            <v>469</v>
          </cell>
          <cell r="C780" t="str">
            <v>round3</v>
          </cell>
          <cell r="D780">
            <v>2007</v>
          </cell>
          <cell r="E780" t="str">
            <v>girlsU16</v>
          </cell>
          <cell r="F780" t="str">
            <v>handball</v>
          </cell>
          <cell r="G780" t="str">
            <v>girls</v>
          </cell>
          <cell r="H780">
            <v>13.365858054707598</v>
          </cell>
          <cell r="I780">
            <v>3.2896975008479563</v>
          </cell>
          <cell r="J780">
            <v>45370</v>
          </cell>
          <cell r="K780">
            <v>39286</v>
          </cell>
          <cell r="L780">
            <v>16.655555555555555</v>
          </cell>
        </row>
        <row r="781">
          <cell r="B781">
            <v>480</v>
          </cell>
          <cell r="C781" t="str">
            <v>round3</v>
          </cell>
          <cell r="D781">
            <v>2007</v>
          </cell>
          <cell r="E781" t="str">
            <v>boysU16</v>
          </cell>
          <cell r="F781" t="str">
            <v>handball</v>
          </cell>
          <cell r="G781" t="str">
            <v>boys</v>
          </cell>
          <cell r="H781">
            <v>14.504932228207529</v>
          </cell>
          <cell r="I781">
            <v>1.8395122162369146</v>
          </cell>
          <cell r="J781">
            <v>45348</v>
          </cell>
          <cell r="K781">
            <v>39377</v>
          </cell>
          <cell r="L781">
            <v>16.344444444444445</v>
          </cell>
        </row>
        <row r="782">
          <cell r="B782">
            <v>485</v>
          </cell>
          <cell r="C782" t="str">
            <v>round3</v>
          </cell>
          <cell r="D782">
            <v>2007</v>
          </cell>
          <cell r="E782" t="str">
            <v>boysU16</v>
          </cell>
          <cell r="F782" t="str">
            <v>handball</v>
          </cell>
          <cell r="G782" t="str">
            <v>boys</v>
          </cell>
          <cell r="H782">
            <v>15.204240832437899</v>
          </cell>
          <cell r="I782">
            <v>1.8929813897843228</v>
          </cell>
          <cell r="J782">
            <v>45348</v>
          </cell>
          <cell r="K782">
            <v>39103</v>
          </cell>
          <cell r="L782">
            <v>17.097222222222221</v>
          </cell>
        </row>
        <row r="783">
          <cell r="B783">
            <v>486</v>
          </cell>
          <cell r="C783" t="str">
            <v>round3</v>
          </cell>
          <cell r="D783">
            <v>2007</v>
          </cell>
          <cell r="E783" t="str">
            <v>boysU16</v>
          </cell>
          <cell r="F783" t="str">
            <v>handball</v>
          </cell>
          <cell r="G783" t="str">
            <v>boys</v>
          </cell>
          <cell r="H783">
            <v>14.098805325913045</v>
          </cell>
          <cell r="I783">
            <v>2.6178613407536209</v>
          </cell>
          <cell r="J783">
            <v>45348</v>
          </cell>
          <cell r="K783">
            <v>39241</v>
          </cell>
          <cell r="L783">
            <v>16.716666666666665</v>
          </cell>
        </row>
        <row r="784">
          <cell r="B784">
            <v>487</v>
          </cell>
          <cell r="C784" t="str">
            <v>round3</v>
          </cell>
          <cell r="D784">
            <v>2007</v>
          </cell>
          <cell r="E784" t="str">
            <v>boysU16</v>
          </cell>
          <cell r="F784" t="str">
            <v>handball</v>
          </cell>
          <cell r="G784" t="str">
            <v>boys</v>
          </cell>
          <cell r="H784">
            <v>13.884068739764412</v>
          </cell>
          <cell r="I784">
            <v>2.6492645935689234</v>
          </cell>
          <cell r="J784">
            <v>45348</v>
          </cell>
          <cell r="K784">
            <v>39308</v>
          </cell>
          <cell r="L784">
            <v>16.533333333333335</v>
          </cell>
        </row>
        <row r="785">
          <cell r="B785">
            <v>494</v>
          </cell>
          <cell r="C785" t="str">
            <v>round3</v>
          </cell>
          <cell r="D785">
            <v>2009</v>
          </cell>
          <cell r="E785" t="str">
            <v>girlsU14</v>
          </cell>
          <cell r="F785" t="str">
            <v>handball</v>
          </cell>
          <cell r="G785" t="str">
            <v>girls</v>
          </cell>
          <cell r="H785">
            <v>12.742240286980783</v>
          </cell>
          <cell r="I785">
            <v>1.7272041574636625</v>
          </cell>
          <cell r="J785">
            <v>45355</v>
          </cell>
          <cell r="K785">
            <v>40071</v>
          </cell>
          <cell r="L785">
            <v>14.469444444444445</v>
          </cell>
        </row>
        <row r="786">
          <cell r="B786">
            <v>495</v>
          </cell>
          <cell r="C786" t="str">
            <v>round3</v>
          </cell>
          <cell r="D786">
            <v>2009</v>
          </cell>
          <cell r="E786" t="str">
            <v>girlsU14</v>
          </cell>
          <cell r="F786" t="str">
            <v>handball</v>
          </cell>
          <cell r="G786" t="str">
            <v>girls</v>
          </cell>
          <cell r="H786">
            <v>12.296344940711327</v>
          </cell>
          <cell r="I786">
            <v>2.6397661703997848</v>
          </cell>
          <cell r="J786">
            <v>45355</v>
          </cell>
          <cell r="K786">
            <v>39899</v>
          </cell>
          <cell r="L786">
            <v>14.936111111111112</v>
          </cell>
        </row>
        <row r="787">
          <cell r="B787">
            <v>496</v>
          </cell>
          <cell r="C787" t="str">
            <v>round3</v>
          </cell>
          <cell r="D787">
            <v>2009</v>
          </cell>
          <cell r="E787" t="str">
            <v>girlsU14</v>
          </cell>
          <cell r="F787" t="str">
            <v>handball</v>
          </cell>
          <cell r="G787" t="str">
            <v>girls</v>
          </cell>
          <cell r="H787">
            <v>12.512390406063922</v>
          </cell>
          <cell r="I787">
            <v>2.4237207050471898</v>
          </cell>
          <cell r="J787">
            <v>45355</v>
          </cell>
          <cell r="K787">
            <v>39899</v>
          </cell>
          <cell r="L787">
            <v>14.936111111111112</v>
          </cell>
        </row>
        <row r="788">
          <cell r="B788">
            <v>497</v>
          </cell>
          <cell r="C788" t="str">
            <v>round3</v>
          </cell>
          <cell r="D788">
            <v>2009</v>
          </cell>
          <cell r="E788" t="str">
            <v>girlsU14</v>
          </cell>
          <cell r="F788" t="str">
            <v>handball</v>
          </cell>
          <cell r="G788" t="str">
            <v>girls</v>
          </cell>
          <cell r="H788">
            <v>12.697594902414894</v>
          </cell>
          <cell r="I788">
            <v>2.2440717642517729</v>
          </cell>
          <cell r="J788">
            <v>45355</v>
          </cell>
          <cell r="K788">
            <v>39897</v>
          </cell>
          <cell r="L788">
            <v>14.941666666666666</v>
          </cell>
        </row>
        <row r="789">
          <cell r="B789">
            <v>498</v>
          </cell>
          <cell r="C789" t="str">
            <v>round3</v>
          </cell>
          <cell r="D789">
            <v>2009</v>
          </cell>
          <cell r="E789" t="str">
            <v>girlsU14</v>
          </cell>
          <cell r="F789" t="str">
            <v>handball</v>
          </cell>
          <cell r="G789" t="str">
            <v>girls</v>
          </cell>
          <cell r="H789">
            <v>11.915625583847227</v>
          </cell>
          <cell r="I789">
            <v>2.5982633050416628</v>
          </cell>
          <cell r="J789">
            <v>45355</v>
          </cell>
          <cell r="K789">
            <v>40054</v>
          </cell>
          <cell r="L789">
            <v>14.513888888888889</v>
          </cell>
        </row>
        <row r="790">
          <cell r="B790">
            <v>500</v>
          </cell>
          <cell r="C790" t="str">
            <v>round3</v>
          </cell>
          <cell r="D790">
            <v>2009</v>
          </cell>
          <cell r="E790" t="str">
            <v>girlsU14</v>
          </cell>
          <cell r="F790" t="str">
            <v>handball</v>
          </cell>
          <cell r="G790" t="str">
            <v>girls</v>
          </cell>
          <cell r="H790">
            <v>12.404342979418878</v>
          </cell>
          <cell r="I790">
            <v>2.6789903539144553</v>
          </cell>
          <cell r="J790">
            <v>45355</v>
          </cell>
          <cell r="K790">
            <v>39848</v>
          </cell>
          <cell r="L790">
            <v>15.083333333333334</v>
          </cell>
        </row>
        <row r="791">
          <cell r="B791">
            <v>502</v>
          </cell>
          <cell r="C791" t="str">
            <v>round3</v>
          </cell>
          <cell r="D791">
            <v>2009</v>
          </cell>
          <cell r="E791" t="str">
            <v>girlsU14</v>
          </cell>
          <cell r="F791" t="str">
            <v>handball</v>
          </cell>
          <cell r="G791" t="str">
            <v>girls</v>
          </cell>
          <cell r="H791">
            <v>12.878303668560607</v>
          </cell>
          <cell r="I791">
            <v>1.4772518869949487</v>
          </cell>
          <cell r="J791">
            <v>45355</v>
          </cell>
          <cell r="K791">
            <v>40112</v>
          </cell>
          <cell r="L791">
            <v>14.355555555555556</v>
          </cell>
        </row>
        <row r="792">
          <cell r="B792">
            <v>503</v>
          </cell>
          <cell r="C792" t="str">
            <v>round3</v>
          </cell>
          <cell r="D792">
            <v>2009</v>
          </cell>
          <cell r="E792" t="str">
            <v>girlsU14</v>
          </cell>
          <cell r="F792" t="str">
            <v>handball</v>
          </cell>
          <cell r="G792" t="str">
            <v>girls</v>
          </cell>
          <cell r="H792">
            <v>12.577208260949012</v>
          </cell>
          <cell r="I792">
            <v>2.3866806279398762</v>
          </cell>
          <cell r="J792">
            <v>45355</v>
          </cell>
          <cell r="K792">
            <v>39889</v>
          </cell>
          <cell r="L792">
            <v>14.963888888888889</v>
          </cell>
        </row>
        <row r="793">
          <cell r="B793">
            <v>504</v>
          </cell>
          <cell r="C793" t="str">
            <v>round3</v>
          </cell>
          <cell r="D793">
            <v>2009</v>
          </cell>
          <cell r="E793" t="str">
            <v>girlsU14</v>
          </cell>
          <cell r="F793" t="str">
            <v>handball</v>
          </cell>
          <cell r="G793" t="str">
            <v>girls</v>
          </cell>
          <cell r="H793">
            <v>12.161009924705722</v>
          </cell>
          <cell r="I793">
            <v>2.6862122975165001</v>
          </cell>
          <cell r="J793">
            <v>45355</v>
          </cell>
          <cell r="K793">
            <v>39932</v>
          </cell>
          <cell r="L793">
            <v>14.847222222222221</v>
          </cell>
        </row>
        <row r="794">
          <cell r="B794">
            <v>505</v>
          </cell>
          <cell r="C794" t="str">
            <v>round3</v>
          </cell>
          <cell r="D794">
            <v>2009</v>
          </cell>
          <cell r="E794" t="str">
            <v>girlsU14</v>
          </cell>
          <cell r="F794" t="str">
            <v>handball</v>
          </cell>
          <cell r="G794" t="str">
            <v>girls</v>
          </cell>
          <cell r="H794">
            <v>12.804679942381192</v>
          </cell>
          <cell r="I794">
            <v>2.3314311687299192</v>
          </cell>
          <cell r="J794">
            <v>45355</v>
          </cell>
          <cell r="K794">
            <v>39828</v>
          </cell>
          <cell r="L794">
            <v>15.136111111111111</v>
          </cell>
        </row>
        <row r="795">
          <cell r="B795">
            <v>511</v>
          </cell>
          <cell r="C795" t="str">
            <v>round3</v>
          </cell>
          <cell r="D795">
            <v>2009</v>
          </cell>
          <cell r="E795" t="str">
            <v>boysU14</v>
          </cell>
          <cell r="F795" t="str">
            <v>handball</v>
          </cell>
          <cell r="G795" t="str">
            <v>boys</v>
          </cell>
          <cell r="H795">
            <v>14.036498299987699</v>
          </cell>
          <cell r="I795">
            <v>0.74127947779008041</v>
          </cell>
          <cell r="J795">
            <v>45349</v>
          </cell>
          <cell r="K795">
            <v>39950</v>
          </cell>
          <cell r="L795">
            <v>14.777777777777779</v>
          </cell>
        </row>
        <row r="796">
          <cell r="B796">
            <v>513</v>
          </cell>
          <cell r="C796" t="str">
            <v>round3</v>
          </cell>
          <cell r="D796">
            <v>2009</v>
          </cell>
          <cell r="E796" t="str">
            <v>boysU14</v>
          </cell>
          <cell r="F796" t="str">
            <v>handball</v>
          </cell>
          <cell r="G796" t="str">
            <v>boys</v>
          </cell>
          <cell r="H796">
            <v>13.767872690129687</v>
          </cell>
          <cell r="I796">
            <v>0.99879397653698032</v>
          </cell>
          <cell r="J796">
            <v>45349</v>
          </cell>
          <cell r="K796">
            <v>39954</v>
          </cell>
          <cell r="L796">
            <v>14.766666666666667</v>
          </cell>
        </row>
        <row r="797">
          <cell r="B797">
            <v>515</v>
          </cell>
          <cell r="C797" t="str">
            <v>round3</v>
          </cell>
          <cell r="D797">
            <v>2009</v>
          </cell>
          <cell r="E797" t="str">
            <v>boysU14</v>
          </cell>
          <cell r="F797" t="str">
            <v>handball</v>
          </cell>
          <cell r="G797" t="str">
            <v>boys</v>
          </cell>
          <cell r="H797">
            <v>14.320986289158181</v>
          </cell>
          <cell r="I797">
            <v>0.55123593306403973</v>
          </cell>
          <cell r="J797">
            <v>45349</v>
          </cell>
          <cell r="K797">
            <v>39916</v>
          </cell>
          <cell r="L797">
            <v>14.872222222222222</v>
          </cell>
        </row>
        <row r="798">
          <cell r="B798">
            <v>517</v>
          </cell>
          <cell r="C798" t="str">
            <v>round3</v>
          </cell>
          <cell r="D798">
            <v>2009</v>
          </cell>
          <cell r="E798" t="str">
            <v>boysU14</v>
          </cell>
          <cell r="F798" t="str">
            <v>handball</v>
          </cell>
          <cell r="G798" t="str">
            <v>boys</v>
          </cell>
          <cell r="H798">
            <v>12.418682662480151</v>
          </cell>
          <cell r="I798">
            <v>1.792428448630959</v>
          </cell>
          <cell r="J798">
            <v>45349</v>
          </cell>
          <cell r="K798">
            <v>40158</v>
          </cell>
          <cell r="L798">
            <v>14.21111111111111</v>
          </cell>
        </row>
        <row r="799">
          <cell r="B799">
            <v>518</v>
          </cell>
          <cell r="C799" t="str">
            <v>round3</v>
          </cell>
          <cell r="D799">
            <v>2009</v>
          </cell>
          <cell r="E799" t="str">
            <v>boysU14</v>
          </cell>
          <cell r="F799" t="str">
            <v>handball</v>
          </cell>
          <cell r="G799" t="str">
            <v>boys</v>
          </cell>
          <cell r="H799">
            <v>13.677084543541422</v>
          </cell>
          <cell r="I799">
            <v>0.67291545645857642</v>
          </cell>
          <cell r="J799">
            <v>45349</v>
          </cell>
          <cell r="K799">
            <v>40107</v>
          </cell>
          <cell r="L799">
            <v>14.35</v>
          </cell>
        </row>
        <row r="800">
          <cell r="B800">
            <v>520</v>
          </cell>
          <cell r="C800" t="str">
            <v>round3</v>
          </cell>
          <cell r="D800">
            <v>2005</v>
          </cell>
          <cell r="E800" t="str">
            <v>boysU18</v>
          </cell>
          <cell r="F800" t="str">
            <v>handball</v>
          </cell>
          <cell r="G800" t="str">
            <v>boys</v>
          </cell>
          <cell r="H800">
            <v>15.036828543110371</v>
          </cell>
          <cell r="I800">
            <v>3.3742825680007411</v>
          </cell>
          <cell r="J800">
            <v>45336</v>
          </cell>
          <cell r="K800">
            <v>38611</v>
          </cell>
          <cell r="L800">
            <v>18.411111111111111</v>
          </cell>
        </row>
        <row r="801">
          <cell r="B801">
            <v>525</v>
          </cell>
          <cell r="C801" t="str">
            <v>round3</v>
          </cell>
          <cell r="D801">
            <v>2005</v>
          </cell>
          <cell r="E801" t="str">
            <v>boysU18</v>
          </cell>
          <cell r="F801" t="str">
            <v>handball</v>
          </cell>
          <cell r="G801" t="str">
            <v>boys</v>
          </cell>
          <cell r="H801">
            <v>15.400821894178943</v>
          </cell>
          <cell r="I801">
            <v>3.6908447724877225</v>
          </cell>
          <cell r="J801">
            <v>45336</v>
          </cell>
          <cell r="K801">
            <v>38363</v>
          </cell>
          <cell r="L801">
            <v>19.091666666666665</v>
          </cell>
        </row>
        <row r="802">
          <cell r="B802">
            <v>526</v>
          </cell>
          <cell r="C802" t="str">
            <v>round3</v>
          </cell>
          <cell r="D802">
            <v>2005</v>
          </cell>
          <cell r="E802" t="str">
            <v>boysU18</v>
          </cell>
          <cell r="F802" t="str">
            <v>handball</v>
          </cell>
          <cell r="G802" t="str">
            <v>boys</v>
          </cell>
          <cell r="H802">
            <v>14.725690866907158</v>
          </cell>
          <cell r="I802">
            <v>3.5020869108706192</v>
          </cell>
          <cell r="J802">
            <v>45336</v>
          </cell>
          <cell r="K802">
            <v>38678</v>
          </cell>
          <cell r="L802">
            <v>18.227777777777778</v>
          </cell>
        </row>
        <row r="803">
          <cell r="B803">
            <v>527</v>
          </cell>
          <cell r="C803" t="str">
            <v>round3</v>
          </cell>
          <cell r="D803">
            <v>2009</v>
          </cell>
          <cell r="E803" t="str">
            <v>boysU14</v>
          </cell>
          <cell r="F803" t="str">
            <v>handball</v>
          </cell>
          <cell r="G803" t="str">
            <v>boys</v>
          </cell>
          <cell r="H803">
            <v>13.186765590566038</v>
          </cell>
          <cell r="I803">
            <v>1.7132344094339622</v>
          </cell>
          <cell r="J803">
            <v>45349</v>
          </cell>
          <cell r="K803">
            <v>39906</v>
          </cell>
          <cell r="L803">
            <v>14.9</v>
          </cell>
        </row>
        <row r="804">
          <cell r="B804">
            <v>668</v>
          </cell>
          <cell r="C804" t="str">
            <v>round3</v>
          </cell>
          <cell r="D804">
            <v>2007</v>
          </cell>
          <cell r="E804" t="str">
            <v>boysU16</v>
          </cell>
          <cell r="F804" t="str">
            <v>football</v>
          </cell>
          <cell r="G804" t="str">
            <v>boys</v>
          </cell>
          <cell r="H804">
            <v>14.211522058846848</v>
          </cell>
          <cell r="I804">
            <v>3.0940334967087089</v>
          </cell>
          <cell r="J804">
            <v>45631</v>
          </cell>
          <cell r="K804">
            <v>39309</v>
          </cell>
          <cell r="L804">
            <v>17.305555555555557</v>
          </cell>
        </row>
        <row r="805">
          <cell r="B805">
            <v>669</v>
          </cell>
          <cell r="C805" t="str">
            <v>round3</v>
          </cell>
          <cell r="D805">
            <v>2007</v>
          </cell>
          <cell r="E805" t="str">
            <v>boysU16</v>
          </cell>
          <cell r="F805" t="str">
            <v>football</v>
          </cell>
          <cell r="G805" t="str">
            <v>boys</v>
          </cell>
          <cell r="H805">
            <v>13.164015013385214</v>
          </cell>
          <cell r="I805">
            <v>3.9554294310592297</v>
          </cell>
          <cell r="J805">
            <v>45631</v>
          </cell>
          <cell r="K805">
            <v>39377</v>
          </cell>
          <cell r="L805">
            <v>17.119444444444444</v>
          </cell>
        </row>
        <row r="806">
          <cell r="B806">
            <v>670</v>
          </cell>
          <cell r="C806" t="str">
            <v>round3</v>
          </cell>
          <cell r="D806">
            <v>2007</v>
          </cell>
          <cell r="E806" t="str">
            <v>boysU16</v>
          </cell>
          <cell r="F806" t="str">
            <v>football</v>
          </cell>
          <cell r="G806" t="str">
            <v>boys</v>
          </cell>
          <cell r="H806">
            <v>14.454379303681399</v>
          </cell>
          <cell r="I806">
            <v>2.5733984740963791</v>
          </cell>
          <cell r="J806">
            <v>45631</v>
          </cell>
          <cell r="K806">
            <v>39411</v>
          </cell>
          <cell r="L806">
            <v>17.027777777777779</v>
          </cell>
        </row>
        <row r="807">
          <cell r="B807">
            <v>671</v>
          </cell>
          <cell r="C807" t="str">
            <v>round3</v>
          </cell>
          <cell r="D807">
            <v>0</v>
          </cell>
          <cell r="E807" t="str">
            <v>boysU16</v>
          </cell>
          <cell r="F807" t="str">
            <v>football</v>
          </cell>
          <cell r="G807" t="str">
            <v>boys</v>
          </cell>
          <cell r="H807">
            <v>107.35555555555555</v>
          </cell>
          <cell r="J807">
            <v>0</v>
          </cell>
          <cell r="K807">
            <v>39210</v>
          </cell>
          <cell r="L807">
            <v>107.35555555555555</v>
          </cell>
        </row>
        <row r="808">
          <cell r="B808">
            <v>672</v>
          </cell>
          <cell r="C808" t="str">
            <v>round3</v>
          </cell>
          <cell r="D808">
            <v>0</v>
          </cell>
          <cell r="E808" t="str">
            <v>boysU16</v>
          </cell>
          <cell r="F808" t="str">
            <v>football</v>
          </cell>
          <cell r="G808" t="str">
            <v>boys</v>
          </cell>
          <cell r="H808">
            <v>107.78888888888889</v>
          </cell>
          <cell r="J808">
            <v>0</v>
          </cell>
          <cell r="K808">
            <v>39369</v>
          </cell>
          <cell r="L808">
            <v>107.78888888888889</v>
          </cell>
        </row>
        <row r="809">
          <cell r="B809">
            <v>673</v>
          </cell>
          <cell r="C809" t="str">
            <v>round3</v>
          </cell>
          <cell r="D809">
            <v>0</v>
          </cell>
          <cell r="E809" t="str">
            <v>boysU16</v>
          </cell>
          <cell r="F809" t="str">
            <v>football</v>
          </cell>
          <cell r="G809" t="str">
            <v>boys</v>
          </cell>
          <cell r="H809">
            <v>107.75</v>
          </cell>
          <cell r="J809">
            <v>0</v>
          </cell>
          <cell r="K809">
            <v>39355</v>
          </cell>
          <cell r="L809">
            <v>107.75</v>
          </cell>
        </row>
        <row r="810">
          <cell r="B810">
            <v>674</v>
          </cell>
          <cell r="C810" t="str">
            <v>round3</v>
          </cell>
          <cell r="D810">
            <v>0</v>
          </cell>
          <cell r="E810" t="str">
            <v>boysU16</v>
          </cell>
          <cell r="F810" t="str">
            <v>football</v>
          </cell>
          <cell r="G810" t="str">
            <v>boys</v>
          </cell>
          <cell r="H810">
            <v>107.09444444444445</v>
          </cell>
          <cell r="J810">
            <v>0</v>
          </cell>
          <cell r="K810">
            <v>39117</v>
          </cell>
          <cell r="L810">
            <v>107.09444444444445</v>
          </cell>
        </row>
        <row r="811">
          <cell r="B811">
            <v>675</v>
          </cell>
          <cell r="C811" t="str">
            <v>round3</v>
          </cell>
          <cell r="D811">
            <v>0</v>
          </cell>
          <cell r="E811" t="str">
            <v>boysU16</v>
          </cell>
          <cell r="F811" t="str">
            <v>football</v>
          </cell>
          <cell r="G811" t="str">
            <v>boys</v>
          </cell>
          <cell r="H811">
            <v>107.76944444444445</v>
          </cell>
          <cell r="J811">
            <v>0</v>
          </cell>
          <cell r="K811">
            <v>39362</v>
          </cell>
          <cell r="L811">
            <v>107.76944444444445</v>
          </cell>
        </row>
        <row r="812">
          <cell r="B812">
            <v>676</v>
          </cell>
          <cell r="C812" t="str">
            <v>round3</v>
          </cell>
          <cell r="D812">
            <v>0</v>
          </cell>
          <cell r="E812" t="str">
            <v>boysU16</v>
          </cell>
          <cell r="F812" t="str">
            <v>football</v>
          </cell>
          <cell r="G812" t="str">
            <v>boys</v>
          </cell>
          <cell r="H812">
            <v>107.96944444444445</v>
          </cell>
          <cell r="J812">
            <v>0</v>
          </cell>
          <cell r="K812">
            <v>39435</v>
          </cell>
          <cell r="L812">
            <v>107.96944444444445</v>
          </cell>
        </row>
        <row r="813">
          <cell r="B813">
            <v>693</v>
          </cell>
          <cell r="C813" t="str">
            <v>round3</v>
          </cell>
          <cell r="D813">
            <v>0</v>
          </cell>
          <cell r="E813" t="str">
            <v>boysU16</v>
          </cell>
          <cell r="F813" t="str">
            <v>football</v>
          </cell>
          <cell r="G813" t="str">
            <v>boys</v>
          </cell>
          <cell r="H813">
            <v>107.49444444444444</v>
          </cell>
          <cell r="J813">
            <v>0</v>
          </cell>
          <cell r="K813">
            <v>39261</v>
          </cell>
          <cell r="L813">
            <v>107.49444444444444</v>
          </cell>
        </row>
        <row r="814">
          <cell r="B814">
            <v>694</v>
          </cell>
          <cell r="C814" t="str">
            <v>round3</v>
          </cell>
          <cell r="D814">
            <v>0</v>
          </cell>
          <cell r="E814" t="str">
            <v>boysU16</v>
          </cell>
          <cell r="F814" t="str">
            <v>football</v>
          </cell>
          <cell r="G814" t="str">
            <v>boys</v>
          </cell>
          <cell r="H814">
            <v>107.18055555555556</v>
          </cell>
          <cell r="J814">
            <v>0</v>
          </cell>
          <cell r="K814">
            <v>39146</v>
          </cell>
          <cell r="L814">
            <v>107.18055555555556</v>
          </cell>
        </row>
        <row r="815">
          <cell r="B815">
            <v>695</v>
          </cell>
          <cell r="C815" t="str">
            <v>round3</v>
          </cell>
          <cell r="D815">
            <v>0</v>
          </cell>
          <cell r="E815" t="str">
            <v>boysU16</v>
          </cell>
          <cell r="F815" t="str">
            <v>football</v>
          </cell>
          <cell r="G815" t="str">
            <v>boys</v>
          </cell>
          <cell r="H815">
            <v>107.21388888888889</v>
          </cell>
          <cell r="J815">
            <v>0</v>
          </cell>
          <cell r="K815">
            <v>39158</v>
          </cell>
          <cell r="L815">
            <v>107.21388888888889</v>
          </cell>
        </row>
        <row r="816">
          <cell r="B816">
            <v>605</v>
          </cell>
          <cell r="C816" t="str">
            <v>round3</v>
          </cell>
          <cell r="D816">
            <v>2009</v>
          </cell>
          <cell r="E816" t="str">
            <v>boysU14</v>
          </cell>
          <cell r="F816" t="str">
            <v>football</v>
          </cell>
          <cell r="G816" t="str">
            <v>boys</v>
          </cell>
          <cell r="H816">
            <v>13.563365983666667</v>
          </cell>
          <cell r="I816">
            <v>2.1866340163333322</v>
          </cell>
          <cell r="J816">
            <v>45635</v>
          </cell>
          <cell r="K816">
            <v>39881</v>
          </cell>
          <cell r="L816">
            <v>15.75</v>
          </cell>
        </row>
        <row r="817">
          <cell r="B817">
            <v>606</v>
          </cell>
          <cell r="C817" t="str">
            <v>round3</v>
          </cell>
          <cell r="D817">
            <v>2009</v>
          </cell>
          <cell r="E817" t="str">
            <v>boysU14</v>
          </cell>
          <cell r="F817" t="str">
            <v>football</v>
          </cell>
          <cell r="G817" t="str">
            <v>boys</v>
          </cell>
          <cell r="H817">
            <v>13.491661908220212</v>
          </cell>
          <cell r="I817">
            <v>1.8750047584464542</v>
          </cell>
          <cell r="J817">
            <v>45635</v>
          </cell>
          <cell r="K817">
            <v>40021</v>
          </cell>
          <cell r="L817">
            <v>15.366666666666667</v>
          </cell>
        </row>
        <row r="818">
          <cell r="B818">
            <v>607</v>
          </cell>
          <cell r="C818" t="str">
            <v>round3</v>
          </cell>
          <cell r="D818">
            <v>0</v>
          </cell>
          <cell r="E818" t="str">
            <v>boysU14</v>
          </cell>
          <cell r="F818" t="str">
            <v>football</v>
          </cell>
          <cell r="G818" t="str">
            <v>boys</v>
          </cell>
          <cell r="H818">
            <v>109.1</v>
          </cell>
          <cell r="J818">
            <v>0</v>
          </cell>
          <cell r="K818">
            <v>39850</v>
          </cell>
          <cell r="L818">
            <v>109.1</v>
          </cell>
        </row>
        <row r="819">
          <cell r="B819">
            <v>608</v>
          </cell>
          <cell r="C819" t="str">
            <v>round3</v>
          </cell>
          <cell r="D819">
            <v>0</v>
          </cell>
          <cell r="E819" t="str">
            <v>boysU14</v>
          </cell>
          <cell r="F819" t="str">
            <v>football</v>
          </cell>
          <cell r="G819" t="str">
            <v>boys</v>
          </cell>
          <cell r="H819">
            <v>109.04444444444445</v>
          </cell>
          <cell r="J819">
            <v>0</v>
          </cell>
          <cell r="K819">
            <v>39829</v>
          </cell>
          <cell r="L819">
            <v>109.04444444444445</v>
          </cell>
        </row>
        <row r="820">
          <cell r="B820">
            <v>609</v>
          </cell>
          <cell r="C820" t="str">
            <v>round3</v>
          </cell>
          <cell r="D820">
            <v>0</v>
          </cell>
          <cell r="E820" t="str">
            <v>boysU14</v>
          </cell>
          <cell r="F820" t="str">
            <v>football</v>
          </cell>
          <cell r="G820" t="str">
            <v>boys</v>
          </cell>
          <cell r="H820">
            <v>109.62222222222222</v>
          </cell>
          <cell r="J820">
            <v>0</v>
          </cell>
          <cell r="K820">
            <v>40039</v>
          </cell>
          <cell r="L820">
            <v>109.62222222222222</v>
          </cell>
        </row>
        <row r="821">
          <cell r="B821">
            <v>610</v>
          </cell>
          <cell r="C821" t="str">
            <v>round3</v>
          </cell>
          <cell r="D821">
            <v>2009</v>
          </cell>
          <cell r="E821" t="str">
            <v>boysU14</v>
          </cell>
          <cell r="F821" t="str">
            <v>football</v>
          </cell>
          <cell r="G821" t="str">
            <v>boys</v>
          </cell>
          <cell r="H821">
            <v>14.282656698903065</v>
          </cell>
          <cell r="I821">
            <v>1.5728988566524924</v>
          </cell>
          <cell r="J821">
            <v>45635</v>
          </cell>
          <cell r="K821">
            <v>39845</v>
          </cell>
          <cell r="L821">
            <v>15.855555555555556</v>
          </cell>
        </row>
        <row r="822">
          <cell r="B822">
            <v>611</v>
          </cell>
          <cell r="C822" t="str">
            <v>round3</v>
          </cell>
          <cell r="D822">
            <v>0</v>
          </cell>
          <cell r="E822" t="str">
            <v>boysU14</v>
          </cell>
          <cell r="F822" t="str">
            <v>football</v>
          </cell>
          <cell r="G822" t="str">
            <v>boys</v>
          </cell>
          <cell r="H822">
            <v>109.38888888888889</v>
          </cell>
          <cell r="J822">
            <v>0</v>
          </cell>
          <cell r="K822">
            <v>39953</v>
          </cell>
          <cell r="L822">
            <v>109.38888888888889</v>
          </cell>
        </row>
        <row r="823">
          <cell r="B823">
            <v>612</v>
          </cell>
          <cell r="C823" t="str">
            <v>round3</v>
          </cell>
          <cell r="D823">
            <v>0</v>
          </cell>
          <cell r="E823" t="str">
            <v>boysU14</v>
          </cell>
          <cell r="F823" t="str">
            <v>football</v>
          </cell>
          <cell r="G823" t="str">
            <v>boys</v>
          </cell>
          <cell r="H823">
            <v>109.15277777777777</v>
          </cell>
          <cell r="J823">
            <v>0</v>
          </cell>
          <cell r="K823">
            <v>39869</v>
          </cell>
          <cell r="L823">
            <v>109.15277777777777</v>
          </cell>
        </row>
        <row r="824">
          <cell r="B824">
            <v>613</v>
          </cell>
          <cell r="C824" t="str">
            <v>round3</v>
          </cell>
          <cell r="D824">
            <v>0</v>
          </cell>
          <cell r="E824" t="str">
            <v>boysU14</v>
          </cell>
          <cell r="F824" t="str">
            <v>football</v>
          </cell>
          <cell r="G824" t="str">
            <v>boys</v>
          </cell>
          <cell r="H824">
            <v>109.85555555555555</v>
          </cell>
          <cell r="J824">
            <v>0</v>
          </cell>
          <cell r="K824">
            <v>40125</v>
          </cell>
          <cell r="L824">
            <v>109.85555555555555</v>
          </cell>
        </row>
        <row r="825">
          <cell r="B825">
            <v>614</v>
          </cell>
          <cell r="C825" t="str">
            <v>round3</v>
          </cell>
          <cell r="D825">
            <v>0</v>
          </cell>
          <cell r="E825" t="str">
            <v>boysU14</v>
          </cell>
          <cell r="F825" t="str">
            <v>football</v>
          </cell>
          <cell r="G825" t="str">
            <v>boys</v>
          </cell>
          <cell r="H825">
            <v>109.17222222222222</v>
          </cell>
          <cell r="J825">
            <v>0</v>
          </cell>
          <cell r="K825">
            <v>39874</v>
          </cell>
          <cell r="L825">
            <v>109.17222222222222</v>
          </cell>
        </row>
        <row r="826">
          <cell r="B826">
            <v>615</v>
          </cell>
          <cell r="C826" t="str">
            <v>round3</v>
          </cell>
          <cell r="D826">
            <v>0</v>
          </cell>
          <cell r="E826" t="str">
            <v>boysU14</v>
          </cell>
          <cell r="F826" t="str">
            <v>football</v>
          </cell>
          <cell r="G826" t="str">
            <v>boys</v>
          </cell>
          <cell r="H826">
            <v>109.47777777777777</v>
          </cell>
          <cell r="J826">
            <v>0</v>
          </cell>
          <cell r="K826">
            <v>39986</v>
          </cell>
          <cell r="L826">
            <v>109.47777777777777</v>
          </cell>
        </row>
        <row r="827">
          <cell r="B827">
            <v>616</v>
          </cell>
          <cell r="C827" t="str">
            <v>round3</v>
          </cell>
          <cell r="D827">
            <v>0</v>
          </cell>
          <cell r="E827" t="str">
            <v>boysU14</v>
          </cell>
          <cell r="F827" t="str">
            <v>football</v>
          </cell>
          <cell r="G827" t="str">
            <v>boys</v>
          </cell>
          <cell r="H827">
            <v>109.63055555555556</v>
          </cell>
          <cell r="J827">
            <v>0</v>
          </cell>
          <cell r="K827">
            <v>40042</v>
          </cell>
          <cell r="L827">
            <v>109.63055555555556</v>
          </cell>
        </row>
        <row r="828">
          <cell r="B828">
            <v>617</v>
          </cell>
          <cell r="C828" t="str">
            <v>round3</v>
          </cell>
          <cell r="D828">
            <v>0</v>
          </cell>
          <cell r="E828" t="str">
            <v>boysU14</v>
          </cell>
          <cell r="F828" t="str">
            <v>football</v>
          </cell>
          <cell r="G828" t="str">
            <v>boys</v>
          </cell>
          <cell r="H828">
            <v>109.4</v>
          </cell>
          <cell r="J828">
            <v>0</v>
          </cell>
          <cell r="K828">
            <v>39957</v>
          </cell>
          <cell r="L828">
            <v>109.4</v>
          </cell>
        </row>
        <row r="829">
          <cell r="B829">
            <v>618</v>
          </cell>
          <cell r="C829" t="str">
            <v>round3</v>
          </cell>
          <cell r="D829">
            <v>0</v>
          </cell>
          <cell r="E829" t="str">
            <v>boysU14</v>
          </cell>
          <cell r="F829" t="str">
            <v>football</v>
          </cell>
          <cell r="G829" t="str">
            <v>boys</v>
          </cell>
          <cell r="H829">
            <v>109.40277777777777</v>
          </cell>
          <cell r="J829">
            <v>0</v>
          </cell>
          <cell r="K829">
            <v>39958</v>
          </cell>
          <cell r="L829">
            <v>109.40277777777777</v>
          </cell>
        </row>
        <row r="830">
          <cell r="B830">
            <v>619</v>
          </cell>
          <cell r="C830" t="str">
            <v>round3</v>
          </cell>
          <cell r="D830">
            <v>0</v>
          </cell>
          <cell r="E830" t="str">
            <v>boysU14</v>
          </cell>
          <cell r="F830" t="str">
            <v>football</v>
          </cell>
          <cell r="G830" t="str">
            <v>boys</v>
          </cell>
          <cell r="H830">
            <v>109.20277777777778</v>
          </cell>
          <cell r="J830">
            <v>0</v>
          </cell>
          <cell r="K830">
            <v>39885</v>
          </cell>
          <cell r="L830">
            <v>109.20277777777778</v>
          </cell>
        </row>
        <row r="831">
          <cell r="B831">
            <v>620</v>
          </cell>
          <cell r="C831" t="str">
            <v>round3</v>
          </cell>
          <cell r="D831">
            <v>0</v>
          </cell>
          <cell r="E831" t="str">
            <v>boysU14</v>
          </cell>
          <cell r="F831" t="str">
            <v>football</v>
          </cell>
          <cell r="G831" t="str">
            <v>boys</v>
          </cell>
          <cell r="H831">
            <v>109.74722222222222</v>
          </cell>
          <cell r="J831">
            <v>0</v>
          </cell>
          <cell r="K831">
            <v>40085</v>
          </cell>
          <cell r="L831">
            <v>109.74722222222222</v>
          </cell>
        </row>
        <row r="832">
          <cell r="B832">
            <v>621</v>
          </cell>
          <cell r="C832" t="str">
            <v>round3</v>
          </cell>
          <cell r="D832">
            <v>2009</v>
          </cell>
          <cell r="E832" t="str">
            <v>boysU14</v>
          </cell>
          <cell r="F832" t="str">
            <v>football</v>
          </cell>
          <cell r="G832" t="str">
            <v>boys</v>
          </cell>
          <cell r="J832">
            <v>45635</v>
          </cell>
          <cell r="K832">
            <v>40122</v>
          </cell>
        </row>
        <row r="833">
          <cell r="B833">
            <v>622</v>
          </cell>
          <cell r="C833" t="str">
            <v>round3</v>
          </cell>
          <cell r="D833">
            <v>0</v>
          </cell>
          <cell r="E833" t="str">
            <v>boysU14</v>
          </cell>
          <cell r="F833" t="str">
            <v>football</v>
          </cell>
          <cell r="G833" t="str">
            <v>boys</v>
          </cell>
          <cell r="J833">
            <v>0</v>
          </cell>
          <cell r="K833">
            <v>40077</v>
          </cell>
        </row>
        <row r="834">
          <cell r="B834">
            <v>623</v>
          </cell>
          <cell r="C834" t="str">
            <v>round3</v>
          </cell>
          <cell r="D834">
            <v>0</v>
          </cell>
          <cell r="E834" t="str">
            <v>boysU14</v>
          </cell>
          <cell r="F834" t="str">
            <v>football</v>
          </cell>
          <cell r="G834" t="str">
            <v>boys</v>
          </cell>
          <cell r="H834">
            <v>109.66944444444445</v>
          </cell>
          <cell r="J834">
            <v>0</v>
          </cell>
          <cell r="K834">
            <v>40057</v>
          </cell>
          <cell r="L834">
            <v>109.66944444444445</v>
          </cell>
        </row>
        <row r="835">
          <cell r="B835">
            <v>624</v>
          </cell>
          <cell r="C835" t="str">
            <v>round3</v>
          </cell>
          <cell r="D835">
            <v>0</v>
          </cell>
          <cell r="E835" t="str">
            <v>boysU14</v>
          </cell>
          <cell r="F835" t="str">
            <v>football</v>
          </cell>
          <cell r="G835" t="str">
            <v>boys</v>
          </cell>
          <cell r="H835">
            <v>109.75833333333334</v>
          </cell>
          <cell r="J835">
            <v>0</v>
          </cell>
          <cell r="K835">
            <v>40089</v>
          </cell>
          <cell r="L835">
            <v>109.75833333333334</v>
          </cell>
        </row>
        <row r="836">
          <cell r="B836">
            <v>625</v>
          </cell>
          <cell r="C836" t="str">
            <v>round3</v>
          </cell>
          <cell r="D836">
            <v>0</v>
          </cell>
          <cell r="E836" t="str">
            <v>boysU14</v>
          </cell>
          <cell r="F836" t="str">
            <v>football</v>
          </cell>
          <cell r="G836" t="str">
            <v>boys</v>
          </cell>
          <cell r="H836">
            <v>109.14166666666667</v>
          </cell>
          <cell r="J836">
            <v>0</v>
          </cell>
          <cell r="K836">
            <v>39865</v>
          </cell>
          <cell r="L836">
            <v>109.14166666666667</v>
          </cell>
        </row>
        <row r="837">
          <cell r="B837">
            <v>626</v>
          </cell>
          <cell r="C837" t="str">
            <v>round3</v>
          </cell>
          <cell r="D837">
            <v>0</v>
          </cell>
          <cell r="E837" t="str">
            <v>boysU14</v>
          </cell>
          <cell r="F837" t="str">
            <v>football</v>
          </cell>
          <cell r="G837" t="str">
            <v>boys</v>
          </cell>
          <cell r="H837">
            <v>109.60555555555555</v>
          </cell>
          <cell r="J837">
            <v>0</v>
          </cell>
          <cell r="K837">
            <v>40033</v>
          </cell>
          <cell r="L837">
            <v>109.60555555555555</v>
          </cell>
        </row>
        <row r="838">
          <cell r="B838">
            <v>627</v>
          </cell>
          <cell r="C838" t="str">
            <v>round3</v>
          </cell>
          <cell r="D838">
            <v>0</v>
          </cell>
          <cell r="E838" t="str">
            <v>boysU14</v>
          </cell>
          <cell r="F838" t="str">
            <v>football</v>
          </cell>
          <cell r="G838" t="str">
            <v>boys</v>
          </cell>
          <cell r="J838">
            <v>0</v>
          </cell>
          <cell r="K838">
            <v>40095</v>
          </cell>
        </row>
        <row r="839">
          <cell r="B839">
            <v>628</v>
          </cell>
          <cell r="C839" t="str">
            <v>round3</v>
          </cell>
          <cell r="D839">
            <v>0</v>
          </cell>
          <cell r="E839" t="str">
            <v>boysU14</v>
          </cell>
          <cell r="F839" t="str">
            <v>football</v>
          </cell>
          <cell r="G839" t="str">
            <v>boys</v>
          </cell>
          <cell r="J839">
            <v>0</v>
          </cell>
          <cell r="K839">
            <v>0</v>
          </cell>
        </row>
        <row r="840">
          <cell r="B840">
            <v>629</v>
          </cell>
          <cell r="C840" t="str">
            <v>round3</v>
          </cell>
          <cell r="D840">
            <v>0</v>
          </cell>
          <cell r="E840" t="str">
            <v>boysU14</v>
          </cell>
          <cell r="F840" t="str">
            <v>football</v>
          </cell>
          <cell r="G840" t="str">
            <v>boys</v>
          </cell>
          <cell r="H840">
            <v>109.31388888888888</v>
          </cell>
          <cell r="J840">
            <v>0</v>
          </cell>
          <cell r="K840">
            <v>39926</v>
          </cell>
          <cell r="L840">
            <v>109.31388888888888</v>
          </cell>
        </row>
        <row r="841">
          <cell r="B841">
            <v>630</v>
          </cell>
          <cell r="C841" t="str">
            <v>round3</v>
          </cell>
          <cell r="D841">
            <v>2009</v>
          </cell>
          <cell r="E841" t="str">
            <v>boysU14</v>
          </cell>
          <cell r="F841" t="str">
            <v>football</v>
          </cell>
          <cell r="G841" t="str">
            <v>boys</v>
          </cell>
          <cell r="H841">
            <v>14.431954224340508</v>
          </cell>
          <cell r="I841">
            <v>1.1541568867706016</v>
          </cell>
          <cell r="J841">
            <v>45635</v>
          </cell>
          <cell r="K841">
            <v>39941</v>
          </cell>
          <cell r="L841">
            <v>15.58611111111111</v>
          </cell>
        </row>
        <row r="842">
          <cell r="B842">
            <v>631</v>
          </cell>
          <cell r="C842" t="str">
            <v>round3</v>
          </cell>
          <cell r="D842">
            <v>2009</v>
          </cell>
          <cell r="E842" t="str">
            <v>boysU14</v>
          </cell>
          <cell r="F842" t="str">
            <v>football</v>
          </cell>
          <cell r="G842" t="str">
            <v>boys</v>
          </cell>
          <cell r="H842">
            <v>14.306153494897405</v>
          </cell>
          <cell r="I842">
            <v>0.87162428288037264</v>
          </cell>
          <cell r="J842">
            <v>45635</v>
          </cell>
          <cell r="K842">
            <v>40091</v>
          </cell>
          <cell r="L842">
            <v>15.177777777777777</v>
          </cell>
        </row>
        <row r="843">
          <cell r="B843">
            <v>632</v>
          </cell>
          <cell r="C843" t="str">
            <v>round3</v>
          </cell>
          <cell r="D843">
            <v>2009</v>
          </cell>
          <cell r="E843" t="str">
            <v>boysU14</v>
          </cell>
          <cell r="F843" t="str">
            <v>football</v>
          </cell>
          <cell r="G843" t="str">
            <v>boys</v>
          </cell>
          <cell r="H843">
            <v>14.349700571767182</v>
          </cell>
          <cell r="I843">
            <v>1.2364105393439295</v>
          </cell>
          <cell r="J843">
            <v>45635</v>
          </cell>
          <cell r="K843">
            <v>39941</v>
          </cell>
          <cell r="L843">
            <v>15.58611111111111</v>
          </cell>
        </row>
        <row r="844">
          <cell r="B844">
            <v>633</v>
          </cell>
          <cell r="C844" t="str">
            <v>round3</v>
          </cell>
          <cell r="D844">
            <v>2009</v>
          </cell>
          <cell r="E844" t="str">
            <v>boysU14</v>
          </cell>
          <cell r="F844" t="str">
            <v>football</v>
          </cell>
          <cell r="G844" t="str">
            <v>boys</v>
          </cell>
          <cell r="H844">
            <v>14.411003993939817</v>
          </cell>
          <cell r="I844">
            <v>1.4917737838379614</v>
          </cell>
          <cell r="J844">
            <v>45635</v>
          </cell>
          <cell r="K844">
            <v>39827</v>
          </cell>
          <cell r="L844">
            <v>15.902777777777779</v>
          </cell>
        </row>
        <row r="845">
          <cell r="B845" t="str">
            <v xml:space="preserve"> </v>
          </cell>
          <cell r="C845" t="str">
            <v>round3</v>
          </cell>
          <cell r="D845">
            <v>0</v>
          </cell>
          <cell r="E845" t="e">
            <v>#N/A</v>
          </cell>
          <cell r="F845" t="e">
            <v>#N/A</v>
          </cell>
          <cell r="G845" t="e">
            <v>#N/A</v>
          </cell>
          <cell r="J845">
            <v>0</v>
          </cell>
          <cell r="K845" t="e">
            <v>#N/A</v>
          </cell>
        </row>
        <row r="846">
          <cell r="B846">
            <v>635</v>
          </cell>
          <cell r="C846" t="str">
            <v>round3</v>
          </cell>
          <cell r="D846">
            <v>0</v>
          </cell>
          <cell r="E846" t="str">
            <v>boysU14</v>
          </cell>
          <cell r="F846" t="str">
            <v>football</v>
          </cell>
          <cell r="G846" t="str">
            <v>boys</v>
          </cell>
          <cell r="H846">
            <v>109.46944444444445</v>
          </cell>
          <cell r="J846">
            <v>0</v>
          </cell>
          <cell r="K846">
            <v>39983</v>
          </cell>
          <cell r="L846">
            <v>109.46944444444445</v>
          </cell>
        </row>
        <row r="847">
          <cell r="B847">
            <v>636</v>
          </cell>
          <cell r="C847" t="str">
            <v>round3</v>
          </cell>
          <cell r="D847">
            <v>0</v>
          </cell>
          <cell r="E847" t="str">
            <v>boysU14</v>
          </cell>
          <cell r="F847" t="str">
            <v>football</v>
          </cell>
          <cell r="G847" t="str">
            <v>boys</v>
          </cell>
          <cell r="H847">
            <v>109.55555555555556</v>
          </cell>
          <cell r="J847">
            <v>0</v>
          </cell>
          <cell r="K847">
            <v>40014</v>
          </cell>
          <cell r="L847">
            <v>109.55555555555556</v>
          </cell>
        </row>
        <row r="848">
          <cell r="B848">
            <v>637</v>
          </cell>
          <cell r="C848" t="str">
            <v>round3</v>
          </cell>
          <cell r="D848">
            <v>0</v>
          </cell>
          <cell r="E848" t="str">
            <v>boysU14</v>
          </cell>
          <cell r="F848" t="str">
            <v>football</v>
          </cell>
          <cell r="G848" t="str">
            <v>boys</v>
          </cell>
          <cell r="H848">
            <v>109.23333333333333</v>
          </cell>
          <cell r="J848">
            <v>0</v>
          </cell>
          <cell r="K848">
            <v>39896</v>
          </cell>
          <cell r="L848">
            <v>109.23333333333333</v>
          </cell>
        </row>
        <row r="849">
          <cell r="B849">
            <v>638</v>
          </cell>
          <cell r="C849" t="str">
            <v>round3</v>
          </cell>
          <cell r="D849">
            <v>0</v>
          </cell>
          <cell r="E849" t="str">
            <v>boysU14</v>
          </cell>
          <cell r="F849" t="str">
            <v>football</v>
          </cell>
          <cell r="G849" t="str">
            <v>boys</v>
          </cell>
          <cell r="H849">
            <v>109.86944444444444</v>
          </cell>
          <cell r="J849">
            <v>0</v>
          </cell>
          <cell r="K849">
            <v>40130</v>
          </cell>
          <cell r="L849">
            <v>109.86944444444444</v>
          </cell>
        </row>
        <row r="850">
          <cell r="B850">
            <v>639</v>
          </cell>
          <cell r="C850" t="str">
            <v>round3</v>
          </cell>
          <cell r="D850">
            <v>2009</v>
          </cell>
          <cell r="E850" t="str">
            <v>boysU14</v>
          </cell>
          <cell r="F850" t="str">
            <v>football</v>
          </cell>
          <cell r="G850" t="str">
            <v>boys</v>
          </cell>
          <cell r="H850">
            <v>12.993247757449661</v>
          </cell>
          <cell r="I850">
            <v>2.1928633536614517</v>
          </cell>
          <cell r="J850">
            <v>45635</v>
          </cell>
          <cell r="K850">
            <v>40088</v>
          </cell>
          <cell r="L850">
            <v>15.186111111111112</v>
          </cell>
        </row>
        <row r="851">
          <cell r="B851">
            <v>640</v>
          </cell>
          <cell r="C851" t="str">
            <v>round3</v>
          </cell>
          <cell r="D851">
            <v>0</v>
          </cell>
          <cell r="E851" t="str">
            <v>boysU14</v>
          </cell>
          <cell r="F851" t="str">
            <v>football</v>
          </cell>
          <cell r="G851" t="str">
            <v>boys</v>
          </cell>
          <cell r="H851">
            <v>109.55833333333334</v>
          </cell>
          <cell r="J851">
            <v>0</v>
          </cell>
          <cell r="K851">
            <v>40015</v>
          </cell>
          <cell r="L851">
            <v>109.55833333333334</v>
          </cell>
        </row>
        <row r="852">
          <cell r="B852">
            <v>641</v>
          </cell>
          <cell r="C852" t="str">
            <v>round3</v>
          </cell>
          <cell r="D852">
            <v>0</v>
          </cell>
          <cell r="E852" t="str">
            <v>boysU14</v>
          </cell>
          <cell r="F852" t="str">
            <v>football</v>
          </cell>
          <cell r="G852" t="str">
            <v>boys</v>
          </cell>
          <cell r="H852">
            <v>109.33611111111111</v>
          </cell>
          <cell r="J852">
            <v>0</v>
          </cell>
          <cell r="K852">
            <v>39934</v>
          </cell>
          <cell r="L852">
            <v>109.33611111111111</v>
          </cell>
        </row>
        <row r="853">
          <cell r="B853">
            <v>642</v>
          </cell>
          <cell r="C853" t="str">
            <v>round3</v>
          </cell>
          <cell r="D853">
            <v>2009</v>
          </cell>
          <cell r="E853" t="str">
            <v>boysU14</v>
          </cell>
          <cell r="F853" t="str">
            <v>football</v>
          </cell>
          <cell r="G853" t="str">
            <v>boys</v>
          </cell>
          <cell r="J853">
            <v>45635</v>
          </cell>
          <cell r="K853" t="e">
            <v>#N/A</v>
          </cell>
        </row>
        <row r="854">
          <cell r="B854">
            <v>643</v>
          </cell>
          <cell r="C854" t="str">
            <v>round3</v>
          </cell>
          <cell r="D854">
            <v>2009</v>
          </cell>
          <cell r="E854" t="str">
            <v>boysU14</v>
          </cell>
          <cell r="F854" t="str">
            <v>football</v>
          </cell>
          <cell r="G854" t="str">
            <v>boys</v>
          </cell>
          <cell r="H854">
            <v>15.004320826805946</v>
          </cell>
          <cell r="I854">
            <v>0.55401250652738709</v>
          </cell>
          <cell r="J854">
            <v>45635</v>
          </cell>
          <cell r="K854">
            <v>39951</v>
          </cell>
          <cell r="L854">
            <v>15.558333333333334</v>
          </cell>
        </row>
        <row r="855">
          <cell r="B855">
            <v>644</v>
          </cell>
          <cell r="C855" t="str">
            <v>round3</v>
          </cell>
          <cell r="D855">
            <v>0</v>
          </cell>
          <cell r="E855" t="str">
            <v>boysU18</v>
          </cell>
          <cell r="F855" t="str">
            <v>football</v>
          </cell>
          <cell r="G855" t="str">
            <v>boys</v>
          </cell>
          <cell r="H855">
            <v>105.10555555555555</v>
          </cell>
          <cell r="J855">
            <v>0</v>
          </cell>
          <cell r="K855">
            <v>38391</v>
          </cell>
          <cell r="L855">
            <v>105.10555555555555</v>
          </cell>
        </row>
        <row r="856">
          <cell r="B856">
            <v>645</v>
          </cell>
          <cell r="C856" t="str">
            <v>round3</v>
          </cell>
          <cell r="D856">
            <v>0</v>
          </cell>
          <cell r="E856" t="str">
            <v>boysU18</v>
          </cell>
          <cell r="F856" t="str">
            <v>football</v>
          </cell>
          <cell r="G856" t="str">
            <v>boys</v>
          </cell>
          <cell r="H856">
            <v>105.17222222222222</v>
          </cell>
          <cell r="J856">
            <v>0</v>
          </cell>
          <cell r="K856">
            <v>38413</v>
          </cell>
          <cell r="L856">
            <v>105.17222222222222</v>
          </cell>
        </row>
        <row r="857">
          <cell r="B857">
            <v>1155</v>
          </cell>
          <cell r="C857" t="str">
            <v>round3</v>
          </cell>
          <cell r="D857">
            <v>2009</v>
          </cell>
          <cell r="E857" t="str">
            <v>boysU14</v>
          </cell>
          <cell r="F857" t="str">
            <v>football</v>
          </cell>
          <cell r="G857" t="str">
            <v>boys</v>
          </cell>
          <cell r="J857">
            <v>45635</v>
          </cell>
          <cell r="K857">
            <v>39992</v>
          </cell>
        </row>
        <row r="858">
          <cell r="B858">
            <v>1156</v>
          </cell>
          <cell r="C858" t="str">
            <v>round3</v>
          </cell>
          <cell r="D858">
            <v>0</v>
          </cell>
          <cell r="E858" t="str">
            <v>boysU14</v>
          </cell>
          <cell r="F858" t="str">
            <v>football</v>
          </cell>
          <cell r="G858" t="str">
            <v>boys</v>
          </cell>
          <cell r="J858">
            <v>0</v>
          </cell>
          <cell r="K858">
            <v>40028</v>
          </cell>
        </row>
        <row r="859">
          <cell r="B859">
            <v>1157</v>
          </cell>
          <cell r="C859" t="str">
            <v>round3</v>
          </cell>
          <cell r="D859">
            <v>0</v>
          </cell>
          <cell r="E859" t="str">
            <v>boysU14</v>
          </cell>
          <cell r="F859" t="str">
            <v>football</v>
          </cell>
          <cell r="G859" t="str">
            <v>boys</v>
          </cell>
          <cell r="J859">
            <v>0</v>
          </cell>
          <cell r="K859">
            <v>40029</v>
          </cell>
        </row>
        <row r="860">
          <cell r="B860">
            <v>600</v>
          </cell>
          <cell r="C860" t="str">
            <v>round3</v>
          </cell>
          <cell r="D860">
            <v>2009</v>
          </cell>
          <cell r="E860" t="str">
            <v>girlsU14</v>
          </cell>
          <cell r="F860" t="str">
            <v>football</v>
          </cell>
          <cell r="G860" t="str">
            <v>girls</v>
          </cell>
          <cell r="H860">
            <v>13.169215902046238</v>
          </cell>
          <cell r="I860">
            <v>2.2141174312870953</v>
          </cell>
          <cell r="J860">
            <v>45609</v>
          </cell>
          <cell r="K860">
            <v>39989</v>
          </cell>
          <cell r="L860">
            <v>15.383333333333333</v>
          </cell>
        </row>
        <row r="861">
          <cell r="B861">
            <v>601</v>
          </cell>
          <cell r="C861" t="str">
            <v>round3</v>
          </cell>
          <cell r="D861">
            <v>2009</v>
          </cell>
          <cell r="E861" t="str">
            <v>girlsU14</v>
          </cell>
          <cell r="F861" t="str">
            <v>football</v>
          </cell>
          <cell r="G861" t="str">
            <v>girls</v>
          </cell>
          <cell r="H861">
            <v>11.883500563518517</v>
          </cell>
          <cell r="I861">
            <v>3.2387216587037049</v>
          </cell>
          <cell r="J861">
            <v>45609</v>
          </cell>
          <cell r="K861">
            <v>40085</v>
          </cell>
          <cell r="L861">
            <v>15.122222222222222</v>
          </cell>
        </row>
        <row r="862">
          <cell r="B862">
            <v>602</v>
          </cell>
          <cell r="C862" t="str">
            <v>round3</v>
          </cell>
          <cell r="D862">
            <v>0</v>
          </cell>
          <cell r="E862" t="str">
            <v>girlsU14</v>
          </cell>
          <cell r="F862" t="str">
            <v>football</v>
          </cell>
          <cell r="G862" t="str">
            <v>girls</v>
          </cell>
          <cell r="H862">
            <v>109.69444444444444</v>
          </cell>
          <cell r="J862">
            <v>0</v>
          </cell>
          <cell r="K862">
            <v>40066</v>
          </cell>
          <cell r="L862">
            <v>109.69444444444444</v>
          </cell>
        </row>
        <row r="863">
          <cell r="B863">
            <v>603</v>
          </cell>
          <cell r="C863" t="str">
            <v>round3</v>
          </cell>
          <cell r="D863">
            <v>2009</v>
          </cell>
          <cell r="E863" t="str">
            <v>girlsU14</v>
          </cell>
          <cell r="F863" t="str">
            <v>football</v>
          </cell>
          <cell r="G863" t="str">
            <v>girls</v>
          </cell>
          <cell r="H863">
            <v>12.304785219444975</v>
          </cell>
          <cell r="I863">
            <v>2.6785481138883576</v>
          </cell>
          <cell r="J863">
            <v>45609</v>
          </cell>
          <cell r="K863">
            <v>40136</v>
          </cell>
          <cell r="L863">
            <v>14.983333333333333</v>
          </cell>
        </row>
        <row r="864">
          <cell r="B864">
            <v>604</v>
          </cell>
          <cell r="C864" t="str">
            <v>round3</v>
          </cell>
          <cell r="D864">
            <v>2009</v>
          </cell>
          <cell r="E864" t="str">
            <v>girlsU14</v>
          </cell>
          <cell r="F864" t="str">
            <v>football</v>
          </cell>
          <cell r="G864" t="str">
            <v>girls</v>
          </cell>
          <cell r="H864">
            <v>12.777325111494646</v>
          </cell>
          <cell r="I864">
            <v>2.9754526662831324</v>
          </cell>
          <cell r="J864">
            <v>45609</v>
          </cell>
          <cell r="K864">
            <v>39856</v>
          </cell>
          <cell r="L864">
            <v>15.752777777777778</v>
          </cell>
        </row>
        <row r="865">
          <cell r="B865">
            <v>651</v>
          </cell>
          <cell r="C865" t="str">
            <v>round3</v>
          </cell>
          <cell r="D865">
            <v>2009</v>
          </cell>
          <cell r="E865" t="str">
            <v>boysU14</v>
          </cell>
          <cell r="F865" t="str">
            <v>football</v>
          </cell>
          <cell r="G865" t="str">
            <v>boys</v>
          </cell>
          <cell r="H865">
            <v>13.984012004727273</v>
          </cell>
          <cell r="I865">
            <v>1.2076546619393933</v>
          </cell>
          <cell r="J865">
            <v>45610</v>
          </cell>
          <cell r="K865">
            <v>40061</v>
          </cell>
          <cell r="L865">
            <v>15.191666666666666</v>
          </cell>
        </row>
        <row r="866">
          <cell r="B866">
            <v>652</v>
          </cell>
          <cell r="C866" t="str">
            <v>round3</v>
          </cell>
          <cell r="D866">
            <v>0</v>
          </cell>
          <cell r="E866" t="str">
            <v>boysU14</v>
          </cell>
          <cell r="F866" t="str">
            <v>football</v>
          </cell>
          <cell r="G866" t="str">
            <v>boys</v>
          </cell>
          <cell r="H866">
            <v>109.58611111111111</v>
          </cell>
          <cell r="J866">
            <v>0</v>
          </cell>
          <cell r="K866">
            <v>40025</v>
          </cell>
          <cell r="L866">
            <v>109.58611111111111</v>
          </cell>
        </row>
        <row r="867">
          <cell r="B867">
            <v>653</v>
          </cell>
          <cell r="C867" t="str">
            <v>round3</v>
          </cell>
          <cell r="D867">
            <v>0</v>
          </cell>
          <cell r="E867" t="str">
            <v>boysU14</v>
          </cell>
          <cell r="F867" t="str">
            <v>football</v>
          </cell>
          <cell r="G867" t="str">
            <v>boys</v>
          </cell>
          <cell r="H867">
            <v>109.47777777777777</v>
          </cell>
          <cell r="J867">
            <v>0</v>
          </cell>
          <cell r="K867">
            <v>39986</v>
          </cell>
          <cell r="L867">
            <v>109.47777777777777</v>
          </cell>
        </row>
        <row r="868">
          <cell r="B868">
            <v>654</v>
          </cell>
          <cell r="C868" t="str">
            <v>round3</v>
          </cell>
          <cell r="D868">
            <v>0</v>
          </cell>
          <cell r="E868" t="e">
            <v>#N/A</v>
          </cell>
          <cell r="F868" t="e">
            <v>#N/A</v>
          </cell>
          <cell r="G868" t="e">
            <v>#N/A</v>
          </cell>
          <cell r="J868">
            <v>0</v>
          </cell>
          <cell r="K868">
            <v>0</v>
          </cell>
        </row>
        <row r="869">
          <cell r="B869">
            <v>655</v>
          </cell>
          <cell r="C869" t="str">
            <v>round3</v>
          </cell>
          <cell r="D869">
            <v>2009</v>
          </cell>
          <cell r="E869" t="str">
            <v>boysU14</v>
          </cell>
          <cell r="F869" t="str">
            <v>football</v>
          </cell>
          <cell r="G869" t="str">
            <v>boys</v>
          </cell>
          <cell r="H869">
            <v>13.552100664192947</v>
          </cell>
          <cell r="I869">
            <v>2.1256771135848296</v>
          </cell>
          <cell r="J869">
            <v>45610</v>
          </cell>
          <cell r="K869">
            <v>39882</v>
          </cell>
          <cell r="L869">
            <v>15.677777777777777</v>
          </cell>
        </row>
        <row r="870">
          <cell r="B870">
            <v>656</v>
          </cell>
          <cell r="C870" t="str">
            <v>round3</v>
          </cell>
          <cell r="D870">
            <v>2009</v>
          </cell>
          <cell r="E870" t="str">
            <v>boysU14</v>
          </cell>
          <cell r="F870" t="str">
            <v>football</v>
          </cell>
          <cell r="G870" t="str">
            <v>boys</v>
          </cell>
          <cell r="H870">
            <v>13.529526233234028</v>
          </cell>
          <cell r="I870">
            <v>1.7510293223215263</v>
          </cell>
          <cell r="J870">
            <v>45610</v>
          </cell>
          <cell r="K870">
            <v>40028</v>
          </cell>
          <cell r="L870">
            <v>15.280555555555555</v>
          </cell>
        </row>
        <row r="871">
          <cell r="B871">
            <v>657</v>
          </cell>
          <cell r="C871" t="str">
            <v>round3</v>
          </cell>
          <cell r="D871">
            <v>2009</v>
          </cell>
          <cell r="E871" t="str">
            <v>boysU14</v>
          </cell>
          <cell r="F871" t="str">
            <v>football</v>
          </cell>
          <cell r="G871" t="str">
            <v>boys</v>
          </cell>
          <cell r="H871">
            <v>13.629823966592255</v>
          </cell>
          <cell r="I871">
            <v>1.5812871445188559</v>
          </cell>
          <cell r="J871">
            <v>45610</v>
          </cell>
          <cell r="K871">
            <v>40053</v>
          </cell>
          <cell r="L871">
            <v>15.21111111111111</v>
          </cell>
        </row>
        <row r="872">
          <cell r="B872">
            <v>658</v>
          </cell>
          <cell r="C872" t="str">
            <v>round3</v>
          </cell>
          <cell r="D872">
            <v>2009</v>
          </cell>
          <cell r="E872" t="str">
            <v>boysU14</v>
          </cell>
          <cell r="F872" t="str">
            <v>football</v>
          </cell>
          <cell r="G872" t="str">
            <v>boys</v>
          </cell>
          <cell r="H872">
            <v>14.443956796486646</v>
          </cell>
          <cell r="I872">
            <v>1.022709870180021</v>
          </cell>
          <cell r="J872">
            <v>45610</v>
          </cell>
          <cell r="K872">
            <v>39959</v>
          </cell>
          <cell r="L872">
            <v>15.466666666666667</v>
          </cell>
        </row>
        <row r="873">
          <cell r="B873">
            <v>659</v>
          </cell>
          <cell r="C873" t="str">
            <v>round3</v>
          </cell>
          <cell r="D873">
            <v>0</v>
          </cell>
          <cell r="E873" t="str">
            <v>boysU14</v>
          </cell>
          <cell r="F873" t="str">
            <v>football</v>
          </cell>
          <cell r="G873" t="str">
            <v>boys</v>
          </cell>
          <cell r="H873">
            <v>109.09722222222223</v>
          </cell>
          <cell r="J873">
            <v>0</v>
          </cell>
          <cell r="K873">
            <v>39849</v>
          </cell>
          <cell r="L873">
            <v>109.09722222222223</v>
          </cell>
        </row>
        <row r="874">
          <cell r="B874">
            <v>660</v>
          </cell>
          <cell r="C874" t="str">
            <v>round3</v>
          </cell>
          <cell r="D874">
            <v>0</v>
          </cell>
          <cell r="E874" t="str">
            <v>boysU14</v>
          </cell>
          <cell r="F874" t="str">
            <v>football</v>
          </cell>
          <cell r="G874" t="str">
            <v>boys</v>
          </cell>
          <cell r="H874">
            <v>109.05555555555556</v>
          </cell>
          <cell r="J874">
            <v>0</v>
          </cell>
          <cell r="K874">
            <v>39833</v>
          </cell>
          <cell r="L874">
            <v>109.05555555555556</v>
          </cell>
        </row>
        <row r="875">
          <cell r="B875">
            <v>661</v>
          </cell>
          <cell r="C875" t="str">
            <v>round3</v>
          </cell>
          <cell r="D875">
            <v>2009</v>
          </cell>
          <cell r="E875" t="str">
            <v>boysU14</v>
          </cell>
          <cell r="F875" t="str">
            <v>football</v>
          </cell>
          <cell r="G875" t="str">
            <v>boys</v>
          </cell>
          <cell r="H875">
            <v>14.233488355640612</v>
          </cell>
          <cell r="I875">
            <v>0.98040053324827769</v>
          </cell>
          <cell r="J875">
            <v>45610</v>
          </cell>
          <cell r="K875">
            <v>40052</v>
          </cell>
          <cell r="L875">
            <v>15.213888888888889</v>
          </cell>
        </row>
        <row r="876">
          <cell r="B876">
            <v>662</v>
          </cell>
          <cell r="C876" t="str">
            <v>round3</v>
          </cell>
          <cell r="D876">
            <v>2009</v>
          </cell>
          <cell r="E876" t="str">
            <v>boysU14</v>
          </cell>
          <cell r="F876" t="str">
            <v>football</v>
          </cell>
          <cell r="G876" t="str">
            <v>boys</v>
          </cell>
          <cell r="H876">
            <v>13.975632466747477</v>
          </cell>
          <cell r="I876">
            <v>1.4465897554747449</v>
          </cell>
          <cell r="J876">
            <v>45610</v>
          </cell>
          <cell r="K876">
            <v>39976</v>
          </cell>
          <cell r="L876">
            <v>15.422222222222222</v>
          </cell>
        </row>
        <row r="877">
          <cell r="B877">
            <v>663</v>
          </cell>
          <cell r="C877" t="str">
            <v>round3</v>
          </cell>
          <cell r="D877">
            <v>2009</v>
          </cell>
          <cell r="E877" t="str">
            <v>boysU14</v>
          </cell>
          <cell r="F877" t="str">
            <v>football</v>
          </cell>
          <cell r="G877" t="str">
            <v>boys</v>
          </cell>
          <cell r="H877">
            <v>13.458623284899501</v>
          </cell>
          <cell r="I877">
            <v>1.8885989373227212</v>
          </cell>
          <cell r="J877">
            <v>45610</v>
          </cell>
          <cell r="K877">
            <v>40003</v>
          </cell>
          <cell r="L877">
            <v>15.347222222222221</v>
          </cell>
        </row>
        <row r="878">
          <cell r="B878">
            <v>664</v>
          </cell>
          <cell r="C878" t="str">
            <v>round3</v>
          </cell>
          <cell r="D878">
            <v>2009</v>
          </cell>
          <cell r="E878" t="str">
            <v>boysU14</v>
          </cell>
          <cell r="F878" t="str">
            <v>football</v>
          </cell>
          <cell r="G878" t="str">
            <v>boys</v>
          </cell>
          <cell r="H878">
            <v>15.111111111111111</v>
          </cell>
          <cell r="J878">
            <v>45610</v>
          </cell>
          <cell r="K878">
            <v>40090</v>
          </cell>
          <cell r="L878">
            <v>15.111111111111111</v>
          </cell>
        </row>
        <row r="879">
          <cell r="B879">
            <v>665</v>
          </cell>
          <cell r="C879" t="str">
            <v>round3</v>
          </cell>
          <cell r="D879">
            <v>2009</v>
          </cell>
          <cell r="E879" t="str">
            <v>boysU14</v>
          </cell>
          <cell r="F879" t="str">
            <v>football</v>
          </cell>
          <cell r="G879" t="str">
            <v>boys</v>
          </cell>
          <cell r="H879">
            <v>13.013685386924038</v>
          </cell>
          <cell r="I879">
            <v>2.6529812797426278</v>
          </cell>
          <cell r="J879">
            <v>45610</v>
          </cell>
          <cell r="K879">
            <v>39886</v>
          </cell>
          <cell r="L879">
            <v>15.666666666666666</v>
          </cell>
        </row>
        <row r="880">
          <cell r="B880">
            <v>666</v>
          </cell>
          <cell r="C880" t="str">
            <v>round3</v>
          </cell>
          <cell r="D880">
            <v>0</v>
          </cell>
          <cell r="E880" t="str">
            <v>boysU14</v>
          </cell>
          <cell r="F880" t="str">
            <v>football</v>
          </cell>
          <cell r="G880" t="str">
            <v>boys</v>
          </cell>
          <cell r="H880">
            <v>0</v>
          </cell>
          <cell r="J880">
            <v>0</v>
          </cell>
          <cell r="K880">
            <v>39893</v>
          </cell>
        </row>
        <row r="881">
          <cell r="B881">
            <v>667</v>
          </cell>
          <cell r="C881" t="str">
            <v>round3</v>
          </cell>
          <cell r="D881">
            <v>0</v>
          </cell>
          <cell r="E881" t="str">
            <v>boysU14</v>
          </cell>
          <cell r="F881" t="str">
            <v>football</v>
          </cell>
          <cell r="G881" t="str">
            <v>boys</v>
          </cell>
          <cell r="H881">
            <v>0</v>
          </cell>
          <cell r="J881">
            <v>0</v>
          </cell>
          <cell r="K881">
            <v>39852</v>
          </cell>
        </row>
        <row r="882">
          <cell r="B882">
            <v>9100</v>
          </cell>
          <cell r="C882" t="str">
            <v>round3</v>
          </cell>
          <cell r="D882">
            <v>2009</v>
          </cell>
          <cell r="E882" t="str">
            <v>boysU14</v>
          </cell>
          <cell r="F882" t="str">
            <v>football</v>
          </cell>
          <cell r="G882" t="str">
            <v>boys</v>
          </cell>
          <cell r="J882">
            <v>45610</v>
          </cell>
          <cell r="K882">
            <v>39814</v>
          </cell>
        </row>
        <row r="883">
          <cell r="B883">
            <v>9101</v>
          </cell>
          <cell r="C883" t="str">
            <v>round3</v>
          </cell>
          <cell r="D883">
            <v>2009</v>
          </cell>
          <cell r="E883" t="str">
            <v>boysU14</v>
          </cell>
          <cell r="F883" t="str">
            <v>football</v>
          </cell>
          <cell r="G883" t="str">
            <v>boys</v>
          </cell>
          <cell r="J883">
            <v>45610</v>
          </cell>
          <cell r="K883">
            <v>39907</v>
          </cell>
        </row>
        <row r="884">
          <cell r="B884">
            <v>9102</v>
          </cell>
          <cell r="C884" t="str">
            <v>round3</v>
          </cell>
          <cell r="D884">
            <v>2009</v>
          </cell>
          <cell r="E884" t="str">
            <v>boysU14</v>
          </cell>
          <cell r="F884" t="str">
            <v>football</v>
          </cell>
          <cell r="G884" t="str">
            <v>boys</v>
          </cell>
          <cell r="J884">
            <v>45610</v>
          </cell>
          <cell r="K884">
            <v>40068</v>
          </cell>
        </row>
        <row r="885">
          <cell r="B885">
            <v>9103</v>
          </cell>
          <cell r="C885" t="str">
            <v>round3</v>
          </cell>
          <cell r="D885">
            <v>2009</v>
          </cell>
          <cell r="E885" t="str">
            <v>boysU14</v>
          </cell>
          <cell r="F885" t="str">
            <v>football</v>
          </cell>
          <cell r="G885" t="str">
            <v>boys</v>
          </cell>
          <cell r="J885">
            <v>45610</v>
          </cell>
          <cell r="K885">
            <v>40173</v>
          </cell>
        </row>
        <row r="886">
          <cell r="B886">
            <v>9104</v>
          </cell>
          <cell r="C886" t="str">
            <v>round3</v>
          </cell>
          <cell r="D886">
            <v>0</v>
          </cell>
          <cell r="E886" t="e">
            <v>#N/A</v>
          </cell>
          <cell r="F886" t="e">
            <v>#N/A</v>
          </cell>
          <cell r="G886" t="e">
            <v>#N/A</v>
          </cell>
          <cell r="J886">
            <v>0</v>
          </cell>
          <cell r="K886">
            <v>39935</v>
          </cell>
        </row>
        <row r="887">
          <cell r="B887">
            <v>1122</v>
          </cell>
          <cell r="C887" t="str">
            <v>round2</v>
          </cell>
          <cell r="D887">
            <v>2007</v>
          </cell>
          <cell r="E887" t="str">
            <v>boysU16</v>
          </cell>
          <cell r="F887" t="str">
            <v>football</v>
          </cell>
          <cell r="G887" t="str">
            <v>boys</v>
          </cell>
          <cell r="H887">
            <v>26.122111111111114</v>
          </cell>
          <cell r="I887">
            <v>-9.2360000000000007</v>
          </cell>
          <cell r="J887">
            <v>45250</v>
          </cell>
          <cell r="K887">
            <v>39083</v>
          </cell>
          <cell r="L887">
            <v>16.886111111111113</v>
          </cell>
        </row>
        <row r="888">
          <cell r="B888">
            <v>1123</v>
          </cell>
          <cell r="C888" t="str">
            <v>round2</v>
          </cell>
          <cell r="D888">
            <v>2007</v>
          </cell>
          <cell r="E888" t="str">
            <v>boysU16</v>
          </cell>
          <cell r="F888" t="str">
            <v>football</v>
          </cell>
          <cell r="G888" t="str">
            <v>boys</v>
          </cell>
          <cell r="H888">
            <v>26.122111111111114</v>
          </cell>
          <cell r="I888">
            <v>-9.2360000000000007</v>
          </cell>
          <cell r="J888">
            <v>45250</v>
          </cell>
          <cell r="K888">
            <v>39083</v>
          </cell>
          <cell r="L888">
            <v>16.886111111111113</v>
          </cell>
        </row>
        <row r="889">
          <cell r="B889">
            <v>1155</v>
          </cell>
          <cell r="C889" t="str">
            <v>round2</v>
          </cell>
          <cell r="D889">
            <v>2009</v>
          </cell>
          <cell r="E889" t="str">
            <v>boysU14</v>
          </cell>
          <cell r="F889" t="str">
            <v>football</v>
          </cell>
          <cell r="G889" t="str">
            <v>boys</v>
          </cell>
          <cell r="H889">
            <v>13.544899750073061</v>
          </cell>
          <cell r="I889">
            <v>0.87176691659360617</v>
          </cell>
          <cell r="J889">
            <v>45258</v>
          </cell>
          <cell r="K889">
            <v>39992</v>
          </cell>
          <cell r="L889">
            <v>14.416666666666666</v>
          </cell>
        </row>
        <row r="890">
          <cell r="B890">
            <v>1156</v>
          </cell>
          <cell r="C890" t="str">
            <v>round2</v>
          </cell>
          <cell r="D890">
            <v>2009</v>
          </cell>
          <cell r="E890" t="str">
            <v>boysU14</v>
          </cell>
          <cell r="F890" t="str">
            <v>football</v>
          </cell>
          <cell r="G890" t="str">
            <v>boys</v>
          </cell>
          <cell r="H890">
            <v>13.558656672879188</v>
          </cell>
          <cell r="I890">
            <v>0.76078777156525679</v>
          </cell>
          <cell r="J890">
            <v>45258</v>
          </cell>
          <cell r="K890">
            <v>40028</v>
          </cell>
          <cell r="L890">
            <v>14.319444444444445</v>
          </cell>
        </row>
        <row r="891">
          <cell r="B891">
            <v>1157</v>
          </cell>
          <cell r="C891" t="str">
            <v>round2</v>
          </cell>
          <cell r="D891">
            <v>2009</v>
          </cell>
          <cell r="E891" t="str">
            <v>boysU14</v>
          </cell>
          <cell r="F891" t="str">
            <v>football</v>
          </cell>
          <cell r="G891" t="str">
            <v>boys</v>
          </cell>
          <cell r="H891">
            <v>14.170306937650405</v>
          </cell>
          <cell r="I891">
            <v>0.14635972901626126</v>
          </cell>
          <cell r="J891">
            <v>45258</v>
          </cell>
          <cell r="K891">
            <v>40029</v>
          </cell>
          <cell r="L891">
            <v>14.316666666666666</v>
          </cell>
        </row>
        <row r="892">
          <cell r="B892">
            <v>9100</v>
          </cell>
          <cell r="C892" t="str">
            <v>round2</v>
          </cell>
          <cell r="D892">
            <v>2009</v>
          </cell>
          <cell r="E892" t="str">
            <v>boysU14</v>
          </cell>
          <cell r="F892" t="str">
            <v>football</v>
          </cell>
          <cell r="G892" t="str">
            <v>boys</v>
          </cell>
          <cell r="H892">
            <v>14.735978182000002</v>
          </cell>
          <cell r="I892">
            <v>0.21402181799999809</v>
          </cell>
          <cell r="J892">
            <v>45273</v>
          </cell>
          <cell r="K892">
            <v>39814</v>
          </cell>
          <cell r="L892">
            <v>14.95</v>
          </cell>
        </row>
        <row r="893">
          <cell r="B893">
            <v>9101</v>
          </cell>
          <cell r="C893" t="str">
            <v>round2</v>
          </cell>
          <cell r="D893">
            <v>2009</v>
          </cell>
          <cell r="E893" t="str">
            <v>boysU14</v>
          </cell>
          <cell r="F893" t="str">
            <v>football</v>
          </cell>
          <cell r="G893" t="str">
            <v>boys</v>
          </cell>
          <cell r="H893">
            <v>12.982233719931632</v>
          </cell>
          <cell r="I893">
            <v>1.7094329467350351</v>
          </cell>
          <cell r="J893">
            <v>45273</v>
          </cell>
          <cell r="K893">
            <v>39907</v>
          </cell>
          <cell r="L893">
            <v>14.691666666666666</v>
          </cell>
        </row>
        <row r="894">
          <cell r="B894">
            <v>9102</v>
          </cell>
          <cell r="C894" t="str">
            <v>round2</v>
          </cell>
          <cell r="D894">
            <v>2009</v>
          </cell>
          <cell r="E894" t="str">
            <v>boysU14</v>
          </cell>
          <cell r="F894" t="str">
            <v>football</v>
          </cell>
          <cell r="G894" t="str">
            <v>boys</v>
          </cell>
          <cell r="H894">
            <v>12.817327258641413</v>
          </cell>
          <cell r="I894">
            <v>1.4354505191363653</v>
          </cell>
          <cell r="J894">
            <v>45273</v>
          </cell>
          <cell r="K894">
            <v>40068</v>
          </cell>
          <cell r="L894">
            <v>14.252777777777778</v>
          </cell>
        </row>
        <row r="895">
          <cell r="B895">
            <v>9103</v>
          </cell>
          <cell r="C895" t="str">
            <v>round2</v>
          </cell>
          <cell r="D895">
            <v>2009</v>
          </cell>
          <cell r="E895" t="str">
            <v>boysU14</v>
          </cell>
          <cell r="F895" t="str">
            <v>football</v>
          </cell>
          <cell r="G895" t="str">
            <v>boys</v>
          </cell>
          <cell r="H895">
            <v>13.347749056616859</v>
          </cell>
          <cell r="I895">
            <v>0.61613983227202962</v>
          </cell>
          <cell r="J895">
            <v>45273</v>
          </cell>
          <cell r="K895">
            <v>40173</v>
          </cell>
          <cell r="L895">
            <v>13.963888888888889</v>
          </cell>
        </row>
        <row r="896">
          <cell r="B896">
            <v>800</v>
          </cell>
          <cell r="C896" t="str">
            <v>round2</v>
          </cell>
          <cell r="D896">
            <v>2008</v>
          </cell>
          <cell r="E896" t="str">
            <v>girlsU16</v>
          </cell>
          <cell r="F896" t="str">
            <v>handball</v>
          </cell>
          <cell r="G896" t="str">
            <v>girls</v>
          </cell>
          <cell r="H896">
            <v>24.867666666666665</v>
          </cell>
          <cell r="I896">
            <v>-9.3759999999999994</v>
          </cell>
          <cell r="J896">
            <v>45453</v>
          </cell>
          <cell r="K896">
            <v>39795</v>
          </cell>
          <cell r="L896">
            <v>15.491666666666667</v>
          </cell>
        </row>
        <row r="897">
          <cell r="B897">
            <v>801</v>
          </cell>
          <cell r="C897" t="str">
            <v>round2</v>
          </cell>
          <cell r="D897">
            <v>2008</v>
          </cell>
          <cell r="E897" t="str">
            <v>girlsU16</v>
          </cell>
          <cell r="F897" t="str">
            <v>handball</v>
          </cell>
          <cell r="G897" t="str">
            <v>girls</v>
          </cell>
          <cell r="H897">
            <v>24.964888888888886</v>
          </cell>
          <cell r="I897">
            <v>-9.3759999999999994</v>
          </cell>
          <cell r="J897">
            <v>45453</v>
          </cell>
          <cell r="K897">
            <v>39760</v>
          </cell>
          <cell r="L897">
            <v>15.588888888888889</v>
          </cell>
        </row>
        <row r="898">
          <cell r="B898">
            <v>802</v>
          </cell>
          <cell r="C898" t="str">
            <v>round2</v>
          </cell>
          <cell r="D898">
            <v>2008</v>
          </cell>
          <cell r="E898" t="str">
            <v>girlsU16</v>
          </cell>
          <cell r="F898" t="str">
            <v>handball</v>
          </cell>
          <cell r="G898" t="str">
            <v>girls</v>
          </cell>
          <cell r="H898">
            <v>25.798222222222222</v>
          </cell>
          <cell r="I898">
            <v>-9.3759999999999994</v>
          </cell>
          <cell r="J898">
            <v>45453</v>
          </cell>
          <cell r="K898">
            <v>39455</v>
          </cell>
          <cell r="L898">
            <v>16.422222222222221</v>
          </cell>
        </row>
        <row r="899">
          <cell r="B899">
            <v>803</v>
          </cell>
          <cell r="C899" t="str">
            <v>round2</v>
          </cell>
          <cell r="D899">
            <v>2008</v>
          </cell>
          <cell r="E899" t="str">
            <v>girlsU16</v>
          </cell>
          <cell r="F899" t="str">
            <v>handball</v>
          </cell>
          <cell r="G899" t="str">
            <v>girls</v>
          </cell>
          <cell r="H899">
            <v>25.281555555555556</v>
          </cell>
          <cell r="I899">
            <v>-9.3759999999999994</v>
          </cell>
          <cell r="J899">
            <v>45453</v>
          </cell>
          <cell r="K899">
            <v>39643</v>
          </cell>
          <cell r="L899">
            <v>15.905555555555555</v>
          </cell>
        </row>
        <row r="900">
          <cell r="B900">
            <v>804</v>
          </cell>
          <cell r="C900" t="str">
            <v>round2</v>
          </cell>
          <cell r="D900">
            <v>2008</v>
          </cell>
          <cell r="E900" t="str">
            <v>girlsU16</v>
          </cell>
          <cell r="F900" t="str">
            <v>handball</v>
          </cell>
          <cell r="G900" t="str">
            <v>girls</v>
          </cell>
          <cell r="H900">
            <v>25.451000000000001</v>
          </cell>
          <cell r="I900">
            <v>-9.3759999999999994</v>
          </cell>
          <cell r="J900">
            <v>45453</v>
          </cell>
          <cell r="K900">
            <v>39581</v>
          </cell>
          <cell r="L900">
            <v>16.074999999999999</v>
          </cell>
        </row>
        <row r="901">
          <cell r="B901">
            <v>805</v>
          </cell>
          <cell r="C901" t="str">
            <v>round2</v>
          </cell>
          <cell r="D901">
            <v>2008</v>
          </cell>
          <cell r="E901" t="str">
            <v>girlsU16</v>
          </cell>
          <cell r="F901" t="str">
            <v>handball</v>
          </cell>
          <cell r="G901" t="str">
            <v>girls</v>
          </cell>
          <cell r="H901">
            <v>24.895444444444443</v>
          </cell>
          <cell r="I901">
            <v>-9.3759999999999994</v>
          </cell>
          <cell r="J901">
            <v>45453</v>
          </cell>
          <cell r="K901">
            <v>39785</v>
          </cell>
          <cell r="L901">
            <v>15.519444444444444</v>
          </cell>
        </row>
        <row r="902">
          <cell r="B902">
            <v>806</v>
          </cell>
          <cell r="C902" t="str">
            <v>round2</v>
          </cell>
          <cell r="D902">
            <v>0</v>
          </cell>
          <cell r="E902">
            <v>0</v>
          </cell>
          <cell r="F902" t="str">
            <v>handball</v>
          </cell>
          <cell r="G902" t="str">
            <v>girls</v>
          </cell>
          <cell r="H902">
            <v>133.82044444444443</v>
          </cell>
          <cell r="I902">
            <v>-9.3759999999999994</v>
          </cell>
          <cell r="J902">
            <v>45453</v>
          </cell>
          <cell r="K902">
            <v>0</v>
          </cell>
          <cell r="L902">
            <v>124.44444444444444</v>
          </cell>
        </row>
        <row r="903">
          <cell r="B903">
            <v>807</v>
          </cell>
          <cell r="C903" t="str">
            <v>round2</v>
          </cell>
          <cell r="D903">
            <v>2008</v>
          </cell>
          <cell r="E903" t="str">
            <v>girlsU16</v>
          </cell>
          <cell r="F903" t="str">
            <v>handball</v>
          </cell>
          <cell r="G903" t="str">
            <v>girls</v>
          </cell>
          <cell r="H903">
            <v>25.676000000000002</v>
          </cell>
          <cell r="I903">
            <v>-9.3759999999999994</v>
          </cell>
          <cell r="J903">
            <v>45453</v>
          </cell>
          <cell r="K903">
            <v>39500</v>
          </cell>
          <cell r="L903">
            <v>16.3</v>
          </cell>
        </row>
        <row r="904">
          <cell r="B904">
            <v>808</v>
          </cell>
          <cell r="C904" t="str">
            <v>round2</v>
          </cell>
          <cell r="D904">
            <v>2008</v>
          </cell>
          <cell r="E904" t="str">
            <v>girlsU16</v>
          </cell>
          <cell r="F904" t="str">
            <v>handball</v>
          </cell>
          <cell r="G904" t="str">
            <v>girls</v>
          </cell>
          <cell r="H904">
            <v>25.576000000000001</v>
          </cell>
          <cell r="I904">
            <v>-9.3759999999999994</v>
          </cell>
          <cell r="J904">
            <v>45453</v>
          </cell>
          <cell r="K904">
            <v>39535</v>
          </cell>
          <cell r="L904">
            <v>16.2</v>
          </cell>
        </row>
        <row r="905">
          <cell r="C905" t="str">
            <v>round2</v>
          </cell>
          <cell r="D905">
            <v>0</v>
          </cell>
          <cell r="E905" t="e">
            <v>#N/A</v>
          </cell>
          <cell r="F905" t="e">
            <v>#N/A</v>
          </cell>
          <cell r="G905" t="e">
            <v>#N/A</v>
          </cell>
          <cell r="H905" t="e">
            <v>#N/A</v>
          </cell>
          <cell r="I905">
            <v>0</v>
          </cell>
          <cell r="J905">
            <v>0</v>
          </cell>
          <cell r="K905" t="e">
            <v>#N/A</v>
          </cell>
          <cell r="L905" t="e">
            <v>#N/A</v>
          </cell>
        </row>
        <row r="906">
          <cell r="B906">
            <v>810</v>
          </cell>
          <cell r="C906" t="str">
            <v>round2</v>
          </cell>
          <cell r="D906">
            <v>2008</v>
          </cell>
          <cell r="E906" t="str">
            <v>girlsU16</v>
          </cell>
          <cell r="F906" t="str">
            <v>handball</v>
          </cell>
          <cell r="G906" t="str">
            <v>girls</v>
          </cell>
          <cell r="H906">
            <v>13.241016194765773</v>
          </cell>
          <cell r="I906">
            <v>2.9089838052342247</v>
          </cell>
          <cell r="J906">
            <v>45453</v>
          </cell>
          <cell r="K906">
            <v>39554</v>
          </cell>
          <cell r="L906">
            <v>16.149999999999999</v>
          </cell>
        </row>
        <row r="907">
          <cell r="B907">
            <v>811</v>
          </cell>
          <cell r="C907" t="str">
            <v>round2</v>
          </cell>
          <cell r="D907">
            <v>2008</v>
          </cell>
          <cell r="E907" t="str">
            <v>girlsU16</v>
          </cell>
          <cell r="F907" t="str">
            <v>handball</v>
          </cell>
          <cell r="G907" t="str">
            <v>girls</v>
          </cell>
          <cell r="H907">
            <v>12.001065074923858</v>
          </cell>
          <cell r="I907">
            <v>3.5267127028539198</v>
          </cell>
          <cell r="J907">
            <v>45453</v>
          </cell>
          <cell r="K907">
            <v>39782</v>
          </cell>
          <cell r="L907">
            <v>15.527777777777779</v>
          </cell>
        </row>
        <row r="908">
          <cell r="B908">
            <v>812</v>
          </cell>
          <cell r="C908" t="str">
            <v>round2</v>
          </cell>
          <cell r="D908">
            <v>2008</v>
          </cell>
          <cell r="E908" t="str">
            <v>girlsU16</v>
          </cell>
          <cell r="F908" t="str">
            <v>handball</v>
          </cell>
          <cell r="G908" t="str">
            <v>girls</v>
          </cell>
          <cell r="H908">
            <v>25.437111111111108</v>
          </cell>
          <cell r="I908">
            <v>-9.3759999999999994</v>
          </cell>
          <cell r="J908">
            <v>45453</v>
          </cell>
          <cell r="K908">
            <v>39586</v>
          </cell>
          <cell r="L908">
            <v>16.06111111111111</v>
          </cell>
        </row>
        <row r="909">
          <cell r="B909">
            <v>813</v>
          </cell>
          <cell r="C909" t="str">
            <v>round2</v>
          </cell>
          <cell r="D909">
            <v>2008</v>
          </cell>
          <cell r="E909" t="str">
            <v>girlsU16</v>
          </cell>
          <cell r="F909" t="str">
            <v>handball</v>
          </cell>
          <cell r="G909" t="str">
            <v>girls</v>
          </cell>
          <cell r="H909">
            <v>24.826000000000001</v>
          </cell>
          <cell r="I909">
            <v>-9.3759999999999994</v>
          </cell>
          <cell r="J909">
            <v>45453</v>
          </cell>
          <cell r="K909">
            <v>39810</v>
          </cell>
          <cell r="L909">
            <v>15.45</v>
          </cell>
        </row>
        <row r="910">
          <cell r="B910">
            <v>814</v>
          </cell>
          <cell r="C910" t="str">
            <v>round2</v>
          </cell>
          <cell r="D910">
            <v>2008</v>
          </cell>
          <cell r="E910" t="str">
            <v>girlsU16</v>
          </cell>
          <cell r="F910" t="str">
            <v>handball</v>
          </cell>
          <cell r="G910" t="str">
            <v>girls</v>
          </cell>
          <cell r="H910">
            <v>12.603440753055093</v>
          </cell>
          <cell r="I910">
            <v>3.7132259136115735</v>
          </cell>
          <cell r="J910">
            <v>45453</v>
          </cell>
          <cell r="K910">
            <v>39494</v>
          </cell>
          <cell r="L910">
            <v>16.316666666666666</v>
          </cell>
        </row>
        <row r="911">
          <cell r="B911">
            <v>815</v>
          </cell>
          <cell r="C911" t="str">
            <v>round2</v>
          </cell>
          <cell r="D911">
            <v>2008</v>
          </cell>
          <cell r="E911" t="str">
            <v>girlsU16</v>
          </cell>
          <cell r="F911" t="str">
            <v>handball</v>
          </cell>
          <cell r="G911" t="str">
            <v>girls</v>
          </cell>
          <cell r="H911">
            <v>25.339888888888886</v>
          </cell>
          <cell r="I911">
            <v>-9.3759999999999994</v>
          </cell>
          <cell r="J911">
            <v>45453</v>
          </cell>
          <cell r="K911">
            <v>39622</v>
          </cell>
          <cell r="L911">
            <v>15.963888888888889</v>
          </cell>
        </row>
        <row r="912">
          <cell r="B912">
            <v>816</v>
          </cell>
          <cell r="C912" t="str">
            <v>round2</v>
          </cell>
          <cell r="D912">
            <v>2008</v>
          </cell>
          <cell r="E912" t="str">
            <v>girlsU16</v>
          </cell>
          <cell r="F912" t="str">
            <v>handball</v>
          </cell>
          <cell r="G912" t="str">
            <v>girls</v>
          </cell>
          <cell r="H912">
            <v>25.803777777777775</v>
          </cell>
          <cell r="I912">
            <v>-9.3759999999999994</v>
          </cell>
          <cell r="J912">
            <v>45453</v>
          </cell>
          <cell r="K912">
            <v>39453</v>
          </cell>
          <cell r="L912">
            <v>16.427777777777777</v>
          </cell>
        </row>
        <row r="913">
          <cell r="B913">
            <v>817</v>
          </cell>
          <cell r="C913" t="str">
            <v>round2</v>
          </cell>
          <cell r="D913">
            <v>2008</v>
          </cell>
          <cell r="E913" t="str">
            <v>girlsU16</v>
          </cell>
          <cell r="F913" t="str">
            <v>handball</v>
          </cell>
          <cell r="G913" t="str">
            <v>girls</v>
          </cell>
          <cell r="H913">
            <v>25.548222222222222</v>
          </cell>
          <cell r="I913">
            <v>-9.3759999999999994</v>
          </cell>
          <cell r="J913">
            <v>45453</v>
          </cell>
          <cell r="K913">
            <v>39546</v>
          </cell>
          <cell r="L913">
            <v>16.172222222222221</v>
          </cell>
        </row>
        <row r="914">
          <cell r="B914">
            <v>818</v>
          </cell>
          <cell r="C914" t="str">
            <v>round2</v>
          </cell>
          <cell r="D914">
            <v>2008</v>
          </cell>
          <cell r="E914" t="str">
            <v>girlsU16</v>
          </cell>
          <cell r="F914" t="str">
            <v>handball</v>
          </cell>
          <cell r="G914" t="str">
            <v>girls</v>
          </cell>
          <cell r="H914">
            <v>25.33711111111111</v>
          </cell>
          <cell r="I914">
            <v>-9.3759999999999994</v>
          </cell>
          <cell r="J914">
            <v>45453</v>
          </cell>
          <cell r="K914">
            <v>39623</v>
          </cell>
          <cell r="L914">
            <v>15.96111111111111</v>
          </cell>
        </row>
        <row r="915">
          <cell r="B915">
            <v>819</v>
          </cell>
          <cell r="C915" t="str">
            <v>round2</v>
          </cell>
          <cell r="D915">
            <v>2008</v>
          </cell>
          <cell r="E915" t="str">
            <v>girlsU16</v>
          </cell>
          <cell r="F915" t="str">
            <v>handball</v>
          </cell>
          <cell r="G915" t="str">
            <v>girls</v>
          </cell>
          <cell r="H915">
            <v>12.868297113917732</v>
          </cell>
          <cell r="I915">
            <v>2.8817028860822682</v>
          </cell>
          <cell r="J915">
            <v>45453</v>
          </cell>
          <cell r="K915">
            <v>39701</v>
          </cell>
          <cell r="L915">
            <v>15.75</v>
          </cell>
        </row>
        <row r="916">
          <cell r="B916">
            <v>820</v>
          </cell>
          <cell r="C916" t="str">
            <v>round2</v>
          </cell>
          <cell r="D916">
            <v>2008</v>
          </cell>
          <cell r="E916" t="str">
            <v>girlsU16</v>
          </cell>
          <cell r="F916" t="str">
            <v>handball</v>
          </cell>
          <cell r="G916" t="str">
            <v>girls</v>
          </cell>
          <cell r="H916">
            <v>25.189888888888888</v>
          </cell>
          <cell r="I916">
            <v>-9.3759999999999994</v>
          </cell>
          <cell r="J916">
            <v>45453</v>
          </cell>
          <cell r="K916">
            <v>39677</v>
          </cell>
          <cell r="L916">
            <v>15.813888888888888</v>
          </cell>
        </row>
        <row r="917">
          <cell r="B917">
            <v>821</v>
          </cell>
          <cell r="C917" t="str">
            <v>round2</v>
          </cell>
          <cell r="D917">
            <v>2008</v>
          </cell>
          <cell r="E917" t="str">
            <v>girlsU16</v>
          </cell>
          <cell r="F917" t="str">
            <v>handball</v>
          </cell>
          <cell r="G917" t="str">
            <v>girls</v>
          </cell>
          <cell r="H917">
            <v>25.548222222222222</v>
          </cell>
          <cell r="I917">
            <v>-9.3759999999999994</v>
          </cell>
          <cell r="J917">
            <v>45453</v>
          </cell>
          <cell r="K917">
            <v>39546</v>
          </cell>
          <cell r="L917">
            <v>16.172222222222221</v>
          </cell>
        </row>
        <row r="918">
          <cell r="B918">
            <v>822</v>
          </cell>
          <cell r="C918" t="str">
            <v>round2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133.82044444444443</v>
          </cell>
          <cell r="I918">
            <v>-9.3759999999999994</v>
          </cell>
          <cell r="J918">
            <v>45453</v>
          </cell>
          <cell r="K918">
            <v>0</v>
          </cell>
          <cell r="L918">
            <v>124.44444444444444</v>
          </cell>
        </row>
        <row r="919">
          <cell r="B919">
            <v>823</v>
          </cell>
          <cell r="C919" t="str">
            <v>round2</v>
          </cell>
          <cell r="D919">
            <v>2008</v>
          </cell>
          <cell r="E919" t="str">
            <v>girlsU16</v>
          </cell>
          <cell r="F919" t="str">
            <v>handball</v>
          </cell>
          <cell r="G919" t="str">
            <v>girls</v>
          </cell>
          <cell r="H919">
            <v>12.583632363130057</v>
          </cell>
          <cell r="I919">
            <v>3.752478747981054</v>
          </cell>
          <cell r="J919">
            <v>45453</v>
          </cell>
          <cell r="K919">
            <v>39487</v>
          </cell>
          <cell r="L919">
            <v>16.336111111111112</v>
          </cell>
        </row>
        <row r="920">
          <cell r="B920">
            <v>824</v>
          </cell>
          <cell r="C920" t="str">
            <v>round2</v>
          </cell>
          <cell r="D920">
            <v>0</v>
          </cell>
          <cell r="E920" t="str">
            <v>girlsU16</v>
          </cell>
          <cell r="F920" t="str">
            <v>handball</v>
          </cell>
          <cell r="G920" t="str">
            <v>girls</v>
          </cell>
          <cell r="H920" t="e">
            <v>#VALUE!</v>
          </cell>
          <cell r="I920">
            <v>0</v>
          </cell>
          <cell r="J920">
            <v>45453</v>
          </cell>
          <cell r="K920" t="str">
            <v>sluttet</v>
          </cell>
          <cell r="L920" t="e">
            <v>#VALUE!</v>
          </cell>
        </row>
        <row r="921">
          <cell r="B921">
            <v>825</v>
          </cell>
          <cell r="C921" t="str">
            <v>round2</v>
          </cell>
          <cell r="D921">
            <v>2008</v>
          </cell>
          <cell r="E921" t="str">
            <v>girlsU16</v>
          </cell>
          <cell r="F921" t="str">
            <v>handball</v>
          </cell>
          <cell r="G921" t="str">
            <v>girls</v>
          </cell>
          <cell r="H921">
            <v>25.423222222222222</v>
          </cell>
          <cell r="I921">
            <v>-9.3759999999999994</v>
          </cell>
          <cell r="J921">
            <v>45453</v>
          </cell>
          <cell r="K921">
            <v>39591</v>
          </cell>
          <cell r="L921">
            <v>16.047222222222221</v>
          </cell>
        </row>
        <row r="922">
          <cell r="B922">
            <v>826</v>
          </cell>
          <cell r="C922" t="str">
            <v>round2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133.82044444444443</v>
          </cell>
          <cell r="I922">
            <v>-9.3759999999999994</v>
          </cell>
          <cell r="J922">
            <v>45453</v>
          </cell>
          <cell r="K922">
            <v>0</v>
          </cell>
          <cell r="L922">
            <v>124.44444444444444</v>
          </cell>
        </row>
        <row r="923">
          <cell r="B923">
            <v>827</v>
          </cell>
          <cell r="C923" t="str">
            <v>round2</v>
          </cell>
          <cell r="D923">
            <v>2008</v>
          </cell>
          <cell r="E923" t="str">
            <v>girlsU16</v>
          </cell>
          <cell r="F923" t="str">
            <v>handball</v>
          </cell>
          <cell r="G923" t="str">
            <v>girls</v>
          </cell>
          <cell r="H923">
            <v>12.80824672154858</v>
          </cell>
          <cell r="I923">
            <v>3.5723088340069773</v>
          </cell>
          <cell r="J923">
            <v>45453</v>
          </cell>
          <cell r="K923">
            <v>39470</v>
          </cell>
          <cell r="L923">
            <v>16.380555555555556</v>
          </cell>
        </row>
        <row r="924">
          <cell r="B924">
            <v>828</v>
          </cell>
          <cell r="C924" t="str">
            <v>round2</v>
          </cell>
          <cell r="D924">
            <v>2008</v>
          </cell>
          <cell r="E924" t="str">
            <v>girlsU16</v>
          </cell>
          <cell r="F924" t="str">
            <v>handball</v>
          </cell>
          <cell r="G924" t="str">
            <v>girls</v>
          </cell>
          <cell r="H924">
            <v>25.57877777777778</v>
          </cell>
          <cell r="I924">
            <v>-9.3759999999999994</v>
          </cell>
          <cell r="J924">
            <v>45453</v>
          </cell>
          <cell r="K924">
            <v>39534</v>
          </cell>
          <cell r="L924">
            <v>16.202777777777779</v>
          </cell>
        </row>
        <row r="925">
          <cell r="B925">
            <v>829</v>
          </cell>
          <cell r="C925" t="str">
            <v>round2</v>
          </cell>
          <cell r="D925">
            <v>2008</v>
          </cell>
          <cell r="E925" t="str">
            <v>girlsU16</v>
          </cell>
          <cell r="F925" t="str">
            <v>handball</v>
          </cell>
          <cell r="G925" t="str">
            <v>girls</v>
          </cell>
          <cell r="H925">
            <v>11.832801506802848</v>
          </cell>
          <cell r="I925">
            <v>3.8227540487527074</v>
          </cell>
          <cell r="J925">
            <v>45453</v>
          </cell>
          <cell r="K925">
            <v>39735</v>
          </cell>
          <cell r="L925">
            <v>15.655555555555555</v>
          </cell>
        </row>
        <row r="926">
          <cell r="B926">
            <v>830</v>
          </cell>
          <cell r="C926" t="str">
            <v>round2</v>
          </cell>
          <cell r="D926">
            <v>2008</v>
          </cell>
          <cell r="E926" t="str">
            <v>girlsU16</v>
          </cell>
          <cell r="F926" t="str">
            <v>handball</v>
          </cell>
          <cell r="G926" t="str">
            <v>girls</v>
          </cell>
          <cell r="H926">
            <v>13.345277531690574</v>
          </cell>
          <cell r="I926">
            <v>3.0769446905316475</v>
          </cell>
          <cell r="J926">
            <v>45453</v>
          </cell>
          <cell r="K926">
            <v>39455</v>
          </cell>
          <cell r="L926">
            <v>16.422222222222221</v>
          </cell>
        </row>
        <row r="927">
          <cell r="B927">
            <v>4021</v>
          </cell>
          <cell r="C927" t="str">
            <v>round2</v>
          </cell>
          <cell r="D927">
            <v>2008</v>
          </cell>
          <cell r="E927" t="str">
            <v>girlsU16</v>
          </cell>
          <cell r="F927" t="str">
            <v>handball</v>
          </cell>
          <cell r="G927" t="str">
            <v>girls</v>
          </cell>
          <cell r="H927">
            <v>13.224869388</v>
          </cell>
          <cell r="I927">
            <v>2.7417972786666671</v>
          </cell>
          <cell r="J927">
            <v>45453</v>
          </cell>
          <cell r="K927">
            <v>39621</v>
          </cell>
          <cell r="L927">
            <v>15.966666666666667</v>
          </cell>
        </row>
        <row r="928">
          <cell r="B928">
            <v>4022</v>
          </cell>
          <cell r="C928" t="str">
            <v>round2</v>
          </cell>
          <cell r="D928">
            <v>2008</v>
          </cell>
          <cell r="E928" t="str">
            <v>girlsU16</v>
          </cell>
          <cell r="F928" t="str">
            <v>handball</v>
          </cell>
          <cell r="G928" t="str">
            <v>girls</v>
          </cell>
          <cell r="H928">
            <v>12.108753059611894</v>
          </cell>
          <cell r="I928">
            <v>3.8468024959436611</v>
          </cell>
          <cell r="J928">
            <v>45453</v>
          </cell>
          <cell r="K928">
            <v>39625</v>
          </cell>
          <cell r="L928">
            <v>15.955555555555556</v>
          </cell>
        </row>
        <row r="929">
          <cell r="B929">
            <v>4023</v>
          </cell>
          <cell r="C929" t="str">
            <v>round2</v>
          </cell>
          <cell r="D929">
            <v>2008</v>
          </cell>
          <cell r="E929" t="str">
            <v>girlsU16</v>
          </cell>
          <cell r="F929" t="str">
            <v>handball</v>
          </cell>
          <cell r="G929" t="str">
            <v>girls</v>
          </cell>
          <cell r="H929">
            <v>12.651482578269505</v>
          </cell>
          <cell r="I929">
            <v>3.3374063106193845</v>
          </cell>
          <cell r="J929">
            <v>45453</v>
          </cell>
          <cell r="K929">
            <v>39613</v>
          </cell>
          <cell r="L929">
            <v>15.988888888888889</v>
          </cell>
        </row>
        <row r="930">
          <cell r="B930">
            <v>4024</v>
          </cell>
          <cell r="C930" t="str">
            <v>round2</v>
          </cell>
          <cell r="D930">
            <v>2008</v>
          </cell>
          <cell r="E930" t="str">
            <v>girlsU16</v>
          </cell>
          <cell r="F930" t="str">
            <v>handball</v>
          </cell>
          <cell r="G930" t="str">
            <v>girls</v>
          </cell>
          <cell r="H930">
            <v>13.503666120375396</v>
          </cell>
          <cell r="I930">
            <v>2.8463338796246056</v>
          </cell>
          <cell r="J930">
            <v>45453</v>
          </cell>
          <cell r="K930">
            <v>39482</v>
          </cell>
          <cell r="L930">
            <v>16.350000000000001</v>
          </cell>
        </row>
        <row r="931">
          <cell r="B931">
            <v>865</v>
          </cell>
          <cell r="C931" t="str">
            <v>round2</v>
          </cell>
          <cell r="D931">
            <v>2008</v>
          </cell>
          <cell r="E931" t="str">
            <v>girlsU16</v>
          </cell>
          <cell r="F931" t="str">
            <v>handball</v>
          </cell>
          <cell r="G931" t="str">
            <v>girls</v>
          </cell>
          <cell r="H931">
            <v>12.486650209272609</v>
          </cell>
          <cell r="I931">
            <v>3.1605720129496127</v>
          </cell>
          <cell r="J931">
            <v>45435</v>
          </cell>
          <cell r="K931" t="str">
            <v>30.09.2008</v>
          </cell>
          <cell r="L931">
            <v>15.647222222222222</v>
          </cell>
        </row>
        <row r="932">
          <cell r="B932">
            <v>866</v>
          </cell>
          <cell r="C932" t="str">
            <v>round2</v>
          </cell>
          <cell r="D932">
            <v>2008</v>
          </cell>
          <cell r="E932" t="str">
            <v>girlsU16</v>
          </cell>
          <cell r="F932" t="str">
            <v>handball</v>
          </cell>
          <cell r="G932" t="str">
            <v>girls</v>
          </cell>
          <cell r="H932">
            <v>25.106555555555556</v>
          </cell>
          <cell r="I932">
            <v>-9.3759999999999994</v>
          </cell>
          <cell r="J932">
            <v>45435</v>
          </cell>
          <cell r="K932">
            <v>39691</v>
          </cell>
          <cell r="L932">
            <v>15.730555555555556</v>
          </cell>
        </row>
        <row r="933">
          <cell r="B933">
            <v>867</v>
          </cell>
          <cell r="C933" t="str">
            <v>round2</v>
          </cell>
          <cell r="D933">
            <v>2008</v>
          </cell>
          <cell r="E933" t="str">
            <v>girlsU16</v>
          </cell>
          <cell r="F933" t="str">
            <v>handball</v>
          </cell>
          <cell r="G933" t="str">
            <v>girls</v>
          </cell>
          <cell r="H933" t="e">
            <v>#VALUE!</v>
          </cell>
          <cell r="I933">
            <v>0</v>
          </cell>
          <cell r="J933">
            <v>45435</v>
          </cell>
          <cell r="K933" t="str">
            <v>sluttet</v>
          </cell>
          <cell r="L933" t="e">
            <v>#VALUE!</v>
          </cell>
        </row>
        <row r="934">
          <cell r="B934">
            <v>868</v>
          </cell>
          <cell r="C934" t="str">
            <v>round2</v>
          </cell>
          <cell r="D934">
            <v>2008</v>
          </cell>
          <cell r="E934" t="str">
            <v>girlsU16</v>
          </cell>
          <cell r="F934" t="str">
            <v>handball</v>
          </cell>
          <cell r="G934" t="str">
            <v>girls</v>
          </cell>
          <cell r="H934">
            <v>13.307720002070324</v>
          </cell>
          <cell r="I934">
            <v>2.2145022201518976</v>
          </cell>
          <cell r="J934">
            <v>45435</v>
          </cell>
          <cell r="K934">
            <v>39767</v>
          </cell>
          <cell r="L934">
            <v>15.522222222222222</v>
          </cell>
        </row>
        <row r="935">
          <cell r="B935">
            <v>869</v>
          </cell>
          <cell r="C935" t="str">
            <v>round2</v>
          </cell>
          <cell r="D935">
            <v>2008</v>
          </cell>
          <cell r="E935" t="str">
            <v>girlsU16</v>
          </cell>
          <cell r="F935" t="str">
            <v>handball</v>
          </cell>
          <cell r="G935" t="str">
            <v>girls</v>
          </cell>
          <cell r="H935">
            <v>25.178777777777775</v>
          </cell>
          <cell r="I935">
            <v>-9.3759999999999994</v>
          </cell>
          <cell r="J935">
            <v>45435</v>
          </cell>
          <cell r="K935">
            <v>39664</v>
          </cell>
          <cell r="L935">
            <v>15.802777777777777</v>
          </cell>
        </row>
        <row r="936">
          <cell r="B936">
            <v>870</v>
          </cell>
          <cell r="C936" t="str">
            <v>round2</v>
          </cell>
          <cell r="D936">
            <v>2008</v>
          </cell>
          <cell r="E936" t="str">
            <v>girlsU16</v>
          </cell>
          <cell r="F936" t="str">
            <v>handball</v>
          </cell>
          <cell r="G936" t="str">
            <v>girls</v>
          </cell>
          <cell r="H936">
            <v>12.132642510183537</v>
          </cell>
          <cell r="I936">
            <v>3.7979130453720189</v>
          </cell>
          <cell r="J936">
            <v>45435</v>
          </cell>
          <cell r="K936" t="str">
            <v>18.06.2008</v>
          </cell>
          <cell r="L936">
            <v>15.930555555555555</v>
          </cell>
        </row>
        <row r="937">
          <cell r="B937">
            <v>871</v>
          </cell>
          <cell r="C937" t="str">
            <v>round2</v>
          </cell>
          <cell r="D937">
            <v>2008</v>
          </cell>
          <cell r="E937" t="str">
            <v>girlsU16</v>
          </cell>
          <cell r="F937" t="str">
            <v>handball</v>
          </cell>
          <cell r="G937" t="str">
            <v>girls</v>
          </cell>
          <cell r="H937">
            <v>12.439054517999999</v>
          </cell>
          <cell r="I937">
            <v>3.1998343708888899</v>
          </cell>
          <cell r="J937">
            <v>45435</v>
          </cell>
          <cell r="K937" t="str">
            <v>03.10.2008</v>
          </cell>
          <cell r="L937">
            <v>15.638888888888889</v>
          </cell>
        </row>
        <row r="938">
          <cell r="B938">
            <v>872</v>
          </cell>
          <cell r="C938" t="str">
            <v>round2</v>
          </cell>
          <cell r="D938">
            <v>2008</v>
          </cell>
          <cell r="E938" t="str">
            <v>girlsU16</v>
          </cell>
          <cell r="F938" t="str">
            <v>handball</v>
          </cell>
          <cell r="G938" t="str">
            <v>girls</v>
          </cell>
          <cell r="H938">
            <v>12.842530232896683</v>
          </cell>
          <cell r="I938">
            <v>3.2046919893255374</v>
          </cell>
          <cell r="J938">
            <v>45435</v>
          </cell>
          <cell r="K938" t="str">
            <v>06.05.2008</v>
          </cell>
          <cell r="L938">
            <v>16.047222222222221</v>
          </cell>
        </row>
        <row r="939">
          <cell r="B939">
            <v>873</v>
          </cell>
          <cell r="C939" t="str">
            <v>round2</v>
          </cell>
          <cell r="D939">
            <v>2008</v>
          </cell>
          <cell r="E939" t="str">
            <v>girlsU16</v>
          </cell>
          <cell r="F939" t="str">
            <v>handball</v>
          </cell>
          <cell r="G939" t="str">
            <v>girls</v>
          </cell>
          <cell r="H939">
            <v>12.839531998000002</v>
          </cell>
          <cell r="I939">
            <v>3.3604680019999984</v>
          </cell>
          <cell r="J939">
            <v>45435</v>
          </cell>
          <cell r="K939" t="str">
            <v>11.03.2008</v>
          </cell>
          <cell r="L939">
            <v>16.2</v>
          </cell>
        </row>
        <row r="940">
          <cell r="B940">
            <v>874</v>
          </cell>
          <cell r="C940" t="str">
            <v>round2</v>
          </cell>
          <cell r="D940">
            <v>2008</v>
          </cell>
          <cell r="E940" t="str">
            <v>girlsU16</v>
          </cell>
          <cell r="F940" t="str">
            <v>handball</v>
          </cell>
          <cell r="G940" t="str">
            <v>girls</v>
          </cell>
          <cell r="H940">
            <v>12.536349729490547</v>
          </cell>
          <cell r="I940">
            <v>3.1858724927316735</v>
          </cell>
          <cell r="J940">
            <v>45435</v>
          </cell>
          <cell r="K940">
            <v>39694</v>
          </cell>
          <cell r="L940">
            <v>15.722222222222221</v>
          </cell>
        </row>
        <row r="941">
          <cell r="B941">
            <v>875</v>
          </cell>
          <cell r="C941" t="str">
            <v>round2</v>
          </cell>
          <cell r="D941">
            <v>2008</v>
          </cell>
          <cell r="E941" t="str">
            <v>girlsU16</v>
          </cell>
          <cell r="F941" t="str">
            <v>handball</v>
          </cell>
          <cell r="G941" t="str">
            <v>girls</v>
          </cell>
          <cell r="H941">
            <v>12.854816829202381</v>
          </cell>
          <cell r="I941">
            <v>3.5312942819087318</v>
          </cell>
          <cell r="J941">
            <v>45435</v>
          </cell>
          <cell r="K941" t="str">
            <v>04.01.2008</v>
          </cell>
          <cell r="L941">
            <v>16.386111111111113</v>
          </cell>
        </row>
        <row r="942">
          <cell r="B942">
            <v>876</v>
          </cell>
          <cell r="C942" t="str">
            <v>round2</v>
          </cell>
          <cell r="D942">
            <v>2008</v>
          </cell>
          <cell r="E942" t="str">
            <v>girlsU16</v>
          </cell>
          <cell r="F942" t="str">
            <v>handball</v>
          </cell>
          <cell r="G942" t="str">
            <v>girls</v>
          </cell>
          <cell r="H942">
            <v>12.988046081911412</v>
          </cell>
          <cell r="I942">
            <v>2.9925094736441444</v>
          </cell>
          <cell r="J942">
            <v>45435</v>
          </cell>
          <cell r="K942" t="str">
            <v>30.05.2008</v>
          </cell>
          <cell r="L942">
            <v>15.980555555555556</v>
          </cell>
        </row>
        <row r="943">
          <cell r="B943">
            <v>877</v>
          </cell>
          <cell r="C943" t="str">
            <v>round2</v>
          </cell>
          <cell r="D943">
            <v>2008</v>
          </cell>
          <cell r="E943" t="str">
            <v>girlsU16</v>
          </cell>
          <cell r="F943" t="str">
            <v>handball</v>
          </cell>
          <cell r="G943" t="str">
            <v>girls</v>
          </cell>
          <cell r="H943">
            <v>12.758941703000001</v>
          </cell>
          <cell r="I943">
            <v>3.3271694081111112</v>
          </cell>
          <cell r="J943">
            <v>45435</v>
          </cell>
          <cell r="K943" t="str">
            <v>22.04.2008</v>
          </cell>
          <cell r="L943">
            <v>16.086111111111112</v>
          </cell>
        </row>
        <row r="944">
          <cell r="B944">
            <v>878</v>
          </cell>
          <cell r="C944" t="str">
            <v>round2</v>
          </cell>
          <cell r="D944">
            <v>2008</v>
          </cell>
          <cell r="E944" t="str">
            <v>girlsU16</v>
          </cell>
          <cell r="F944" t="str">
            <v>handball</v>
          </cell>
          <cell r="G944" t="str">
            <v>girls</v>
          </cell>
          <cell r="H944">
            <v>12.182712239842774</v>
          </cell>
          <cell r="I944">
            <v>3.8061766490461149</v>
          </cell>
          <cell r="J944">
            <v>45435</v>
          </cell>
          <cell r="K944" t="str">
            <v>27.05.2008</v>
          </cell>
          <cell r="L944">
            <v>15.988888888888889</v>
          </cell>
        </row>
        <row r="945">
          <cell r="B945">
            <v>879</v>
          </cell>
          <cell r="C945" t="str">
            <v>round2</v>
          </cell>
          <cell r="D945">
            <v>2008</v>
          </cell>
          <cell r="E945" t="str">
            <v>girlsU16</v>
          </cell>
          <cell r="F945" t="str">
            <v>handball</v>
          </cell>
          <cell r="G945" t="str">
            <v>girls</v>
          </cell>
          <cell r="H945">
            <v>12.456676415101448</v>
          </cell>
          <cell r="I945">
            <v>3.8711013626763306</v>
          </cell>
          <cell r="J945">
            <v>45435</v>
          </cell>
          <cell r="K945" t="str">
            <v>25.01.2008</v>
          </cell>
          <cell r="L945">
            <v>16.327777777777779</v>
          </cell>
        </row>
        <row r="946">
          <cell r="B946">
            <v>880</v>
          </cell>
          <cell r="C946" t="str">
            <v>round2</v>
          </cell>
          <cell r="D946">
            <v>2008</v>
          </cell>
          <cell r="E946" t="str">
            <v>girlsU16</v>
          </cell>
          <cell r="F946" t="str">
            <v>handball</v>
          </cell>
          <cell r="G946" t="str">
            <v>girls</v>
          </cell>
          <cell r="H946">
            <v>25.195444444444444</v>
          </cell>
          <cell r="I946">
            <v>-9.3759999999999994</v>
          </cell>
          <cell r="J946">
            <v>45435</v>
          </cell>
          <cell r="K946" t="str">
            <v>28.07.2008</v>
          </cell>
          <cell r="L946">
            <v>15.819444444444445</v>
          </cell>
        </row>
        <row r="947">
          <cell r="B947">
            <v>881</v>
          </cell>
          <cell r="C947" t="str">
            <v>round2</v>
          </cell>
          <cell r="D947">
            <v>2008</v>
          </cell>
          <cell r="E947" t="str">
            <v>girlsU16</v>
          </cell>
          <cell r="F947" t="str">
            <v>handball</v>
          </cell>
          <cell r="G947" t="str">
            <v>girls</v>
          </cell>
          <cell r="H947">
            <v>12.829436560762071</v>
          </cell>
          <cell r="I947">
            <v>3.398341217015707</v>
          </cell>
          <cell r="J947">
            <v>45435</v>
          </cell>
          <cell r="K947" t="str">
            <v>01.03.2008</v>
          </cell>
          <cell r="L947">
            <v>16.227777777777778</v>
          </cell>
        </row>
        <row r="948">
          <cell r="B948">
            <v>882</v>
          </cell>
          <cell r="C948" t="str">
            <v>round2</v>
          </cell>
          <cell r="D948">
            <v>2008</v>
          </cell>
          <cell r="E948" t="str">
            <v>girlsU16</v>
          </cell>
          <cell r="F948" t="str">
            <v>handball</v>
          </cell>
          <cell r="G948" t="str">
            <v>girls</v>
          </cell>
          <cell r="H948">
            <v>12.311350254485379</v>
          </cell>
          <cell r="I948">
            <v>3.4942053010701755</v>
          </cell>
          <cell r="J948">
            <v>45435</v>
          </cell>
          <cell r="K948" t="str">
            <v>03.08.2008</v>
          </cell>
          <cell r="L948">
            <v>15.805555555555555</v>
          </cell>
        </row>
        <row r="949">
          <cell r="B949">
            <v>9999</v>
          </cell>
          <cell r="C949" t="str">
            <v>round2</v>
          </cell>
          <cell r="D949">
            <v>2008</v>
          </cell>
          <cell r="E949" t="str">
            <v>girlsU16</v>
          </cell>
          <cell r="F949" t="str">
            <v>handball</v>
          </cell>
          <cell r="G949" t="str">
            <v>girls</v>
          </cell>
          <cell r="H949" t="e">
            <v>#N/A</v>
          </cell>
          <cell r="I949">
            <v>0</v>
          </cell>
          <cell r="J949">
            <v>45435</v>
          </cell>
          <cell r="K949" t="e">
            <v>#N/A</v>
          </cell>
          <cell r="L949" t="e">
            <v>#N/A</v>
          </cell>
        </row>
        <row r="950">
          <cell r="B950">
            <v>9998</v>
          </cell>
          <cell r="C950" t="str">
            <v>round2</v>
          </cell>
          <cell r="D950">
            <v>2008</v>
          </cell>
          <cell r="E950" t="str">
            <v>girlsU16</v>
          </cell>
          <cell r="F950" t="str">
            <v>handball</v>
          </cell>
          <cell r="G950" t="str">
            <v>girls</v>
          </cell>
          <cell r="H950">
            <v>12.361947965348804</v>
          </cell>
          <cell r="I950">
            <v>3.9519409235400853</v>
          </cell>
          <cell r="J950">
            <v>45435</v>
          </cell>
          <cell r="K950" t="str">
            <v>31.01.2008</v>
          </cell>
          <cell r="L950">
            <v>16.31388888888889</v>
          </cell>
        </row>
        <row r="951">
          <cell r="B951">
            <v>919</v>
          </cell>
          <cell r="C951" t="str">
            <v>round2</v>
          </cell>
          <cell r="D951">
            <v>2006</v>
          </cell>
          <cell r="E951" t="str">
            <v>girlsU18</v>
          </cell>
          <cell r="F951" t="str">
            <v>handball</v>
          </cell>
          <cell r="G951" t="str">
            <v>girls</v>
          </cell>
          <cell r="H951">
            <v>13.691694701556795</v>
          </cell>
          <cell r="I951">
            <v>4.6221941873320942</v>
          </cell>
          <cell r="J951">
            <v>45460</v>
          </cell>
          <cell r="K951">
            <v>38772</v>
          </cell>
          <cell r="L951">
            <v>18.31388888888889</v>
          </cell>
        </row>
        <row r="952">
          <cell r="B952">
            <v>920</v>
          </cell>
          <cell r="C952" t="str">
            <v>round2</v>
          </cell>
          <cell r="D952">
            <v>2006</v>
          </cell>
          <cell r="E952" t="str">
            <v>girlsU18</v>
          </cell>
          <cell r="F952" t="str">
            <v>handball</v>
          </cell>
          <cell r="G952" t="str">
            <v>girls</v>
          </cell>
          <cell r="H952">
            <v>27.495444444444445</v>
          </cell>
          <cell r="I952">
            <v>-9.3759999999999994</v>
          </cell>
          <cell r="J952">
            <v>45460</v>
          </cell>
          <cell r="K952">
            <v>38841</v>
          </cell>
          <cell r="L952">
            <v>18.119444444444444</v>
          </cell>
        </row>
        <row r="953">
          <cell r="B953">
            <v>921</v>
          </cell>
          <cell r="C953" t="str">
            <v>round2</v>
          </cell>
          <cell r="D953">
            <v>2006</v>
          </cell>
          <cell r="E953" t="str">
            <v>girlsU18</v>
          </cell>
          <cell r="F953" t="str">
            <v>handball</v>
          </cell>
          <cell r="G953" t="str">
            <v>girls</v>
          </cell>
          <cell r="H953">
            <v>13.350345508895542</v>
          </cell>
          <cell r="I953">
            <v>4.2552100466600127</v>
          </cell>
          <cell r="J953">
            <v>45460</v>
          </cell>
          <cell r="K953">
            <v>39030</v>
          </cell>
          <cell r="L953">
            <v>17.605555555555554</v>
          </cell>
        </row>
        <row r="954">
          <cell r="B954">
            <v>922</v>
          </cell>
          <cell r="C954" t="str">
            <v>round2</v>
          </cell>
          <cell r="D954">
            <v>2006</v>
          </cell>
          <cell r="E954" t="str">
            <v>girlsU18</v>
          </cell>
          <cell r="F954" t="str">
            <v>handball</v>
          </cell>
          <cell r="G954" t="str">
            <v>girls</v>
          </cell>
          <cell r="H954">
            <v>27.228777777777779</v>
          </cell>
          <cell r="I954">
            <v>-9.3759999999999994</v>
          </cell>
          <cell r="J954">
            <v>45460</v>
          </cell>
          <cell r="K954">
            <v>38939</v>
          </cell>
          <cell r="L954">
            <v>17.852777777777778</v>
          </cell>
        </row>
        <row r="955">
          <cell r="B955">
            <v>923</v>
          </cell>
          <cell r="C955" t="str">
            <v>round2</v>
          </cell>
          <cell r="D955">
            <v>2006</v>
          </cell>
          <cell r="E955" t="str">
            <v>girlsU18</v>
          </cell>
          <cell r="F955" t="str">
            <v>handball</v>
          </cell>
          <cell r="G955" t="str">
            <v>girls</v>
          </cell>
          <cell r="H955">
            <v>27.750999999999998</v>
          </cell>
          <cell r="I955">
            <v>-9.3759999999999994</v>
          </cell>
          <cell r="J955">
            <v>45460</v>
          </cell>
          <cell r="K955">
            <v>38750</v>
          </cell>
          <cell r="L955">
            <v>18.375</v>
          </cell>
        </row>
        <row r="956">
          <cell r="B956">
            <v>924</v>
          </cell>
          <cell r="C956" t="str">
            <v>round2</v>
          </cell>
          <cell r="D956">
            <v>2006</v>
          </cell>
          <cell r="E956" t="str">
            <v>girlsU18</v>
          </cell>
          <cell r="F956" t="str">
            <v>handball</v>
          </cell>
          <cell r="G956" t="str">
            <v>girls</v>
          </cell>
          <cell r="H956">
            <v>27.398222222222223</v>
          </cell>
          <cell r="I956">
            <v>-9.3759999999999994</v>
          </cell>
          <cell r="J956">
            <v>45460</v>
          </cell>
          <cell r="K956">
            <v>38877</v>
          </cell>
          <cell r="L956">
            <v>18.022222222222222</v>
          </cell>
        </row>
        <row r="957">
          <cell r="B957">
            <v>925</v>
          </cell>
          <cell r="C957" t="str">
            <v>round2</v>
          </cell>
          <cell r="D957">
            <v>2006</v>
          </cell>
          <cell r="E957" t="str">
            <v>girlsU18</v>
          </cell>
          <cell r="F957" t="str">
            <v>handball</v>
          </cell>
          <cell r="G957" t="str">
            <v>girls</v>
          </cell>
          <cell r="H957">
            <v>27.173222222222222</v>
          </cell>
          <cell r="I957">
            <v>-9.3759999999999994</v>
          </cell>
          <cell r="J957">
            <v>45460</v>
          </cell>
          <cell r="K957">
            <v>38960</v>
          </cell>
          <cell r="L957">
            <v>17.797222222222221</v>
          </cell>
        </row>
        <row r="958">
          <cell r="B958">
            <v>926</v>
          </cell>
          <cell r="C958" t="str">
            <v>round2</v>
          </cell>
          <cell r="D958">
            <v>2006</v>
          </cell>
          <cell r="E958" t="str">
            <v>girlsU18</v>
          </cell>
          <cell r="F958" t="str">
            <v>handball</v>
          </cell>
          <cell r="G958" t="str">
            <v>girls</v>
          </cell>
          <cell r="H958">
            <v>27.731555555555552</v>
          </cell>
          <cell r="I958">
            <v>-9.3759999999999994</v>
          </cell>
          <cell r="J958">
            <v>45460</v>
          </cell>
          <cell r="K958">
            <v>38757</v>
          </cell>
          <cell r="L958">
            <v>18.355555555555554</v>
          </cell>
        </row>
        <row r="959">
          <cell r="B959">
            <v>927</v>
          </cell>
          <cell r="C959" t="str">
            <v>round2</v>
          </cell>
          <cell r="D959">
            <v>2006</v>
          </cell>
          <cell r="E959" t="str">
            <v>girlsU18</v>
          </cell>
          <cell r="F959" t="str">
            <v>handball</v>
          </cell>
          <cell r="G959" t="str">
            <v>girls</v>
          </cell>
          <cell r="H959">
            <v>27.742666666666665</v>
          </cell>
          <cell r="I959">
            <v>-9.3759999999999994</v>
          </cell>
          <cell r="J959">
            <v>45460</v>
          </cell>
          <cell r="K959">
            <v>38753</v>
          </cell>
          <cell r="L959">
            <v>18.366666666666667</v>
          </cell>
        </row>
        <row r="960">
          <cell r="B960">
            <v>928</v>
          </cell>
          <cell r="C960" t="str">
            <v>round2</v>
          </cell>
          <cell r="D960">
            <v>2006</v>
          </cell>
          <cell r="E960" t="str">
            <v>girlsU18</v>
          </cell>
          <cell r="F960" t="str">
            <v>handball</v>
          </cell>
          <cell r="G960" t="str">
            <v>girls</v>
          </cell>
          <cell r="H960">
            <v>26.853777777777779</v>
          </cell>
          <cell r="I960">
            <v>-9.3759999999999994</v>
          </cell>
          <cell r="J960">
            <v>45460</v>
          </cell>
          <cell r="K960">
            <v>39076</v>
          </cell>
          <cell r="L960">
            <v>17.477777777777778</v>
          </cell>
        </row>
        <row r="961">
          <cell r="B961">
            <v>929</v>
          </cell>
          <cell r="C961" t="str">
            <v>round2</v>
          </cell>
          <cell r="D961">
            <v>2006</v>
          </cell>
          <cell r="E961" t="str">
            <v>girlsU18</v>
          </cell>
          <cell r="F961" t="str">
            <v>handball</v>
          </cell>
          <cell r="G961" t="str">
            <v>girls</v>
          </cell>
          <cell r="H961">
            <v>27.667666666666669</v>
          </cell>
          <cell r="I961">
            <v>-9.3759999999999994</v>
          </cell>
          <cell r="J961">
            <v>45460</v>
          </cell>
          <cell r="K961">
            <v>38778</v>
          </cell>
          <cell r="L961">
            <v>18.291666666666668</v>
          </cell>
        </row>
        <row r="962">
          <cell r="B962">
            <v>930</v>
          </cell>
          <cell r="C962" t="str">
            <v>round2</v>
          </cell>
          <cell r="D962">
            <v>2006</v>
          </cell>
          <cell r="E962" t="str">
            <v>girlsU18</v>
          </cell>
          <cell r="F962" t="str">
            <v>handball</v>
          </cell>
          <cell r="G962" t="str">
            <v>girls</v>
          </cell>
          <cell r="H962">
            <v>13.503561441695918</v>
          </cell>
          <cell r="I962">
            <v>4.7769941138596366</v>
          </cell>
          <cell r="J962">
            <v>45460</v>
          </cell>
          <cell r="K962">
            <v>38782</v>
          </cell>
          <cell r="L962">
            <v>18.280555555555555</v>
          </cell>
        </row>
        <row r="963">
          <cell r="B963">
            <v>5051</v>
          </cell>
          <cell r="C963" t="str">
            <v>round2</v>
          </cell>
          <cell r="D963">
            <v>2006</v>
          </cell>
          <cell r="E963" t="str">
            <v>girlsU18</v>
          </cell>
          <cell r="F963" t="str">
            <v>handball</v>
          </cell>
          <cell r="G963" t="str">
            <v>girls</v>
          </cell>
          <cell r="H963" t="e">
            <v>#N/A</v>
          </cell>
          <cell r="I963">
            <v>0</v>
          </cell>
          <cell r="J963">
            <v>45460</v>
          </cell>
          <cell r="K963" t="e">
            <v>#N/A</v>
          </cell>
          <cell r="L963" t="e">
            <v>#N/A</v>
          </cell>
        </row>
        <row r="964">
          <cell r="B964">
            <v>5052</v>
          </cell>
          <cell r="C964" t="str">
            <v>round2</v>
          </cell>
          <cell r="D964">
            <v>2007</v>
          </cell>
          <cell r="E964">
            <v>0</v>
          </cell>
          <cell r="F964" t="str">
            <v>handball</v>
          </cell>
          <cell r="G964" t="str">
            <v>girls</v>
          </cell>
          <cell r="H964" t="e">
            <v>#N/A</v>
          </cell>
          <cell r="I964">
            <v>0</v>
          </cell>
          <cell r="J964">
            <v>45460</v>
          </cell>
          <cell r="K964" t="e">
            <v>#N/A</v>
          </cell>
          <cell r="L964" t="e">
            <v>#N/A</v>
          </cell>
        </row>
        <row r="965">
          <cell r="B965">
            <v>950</v>
          </cell>
          <cell r="C965" t="str">
            <v>round2</v>
          </cell>
          <cell r="D965">
            <v>2008</v>
          </cell>
          <cell r="E965" t="str">
            <v>boysU16</v>
          </cell>
          <cell r="F965" t="str">
            <v>handball</v>
          </cell>
          <cell r="G965" t="str">
            <v>boys</v>
          </cell>
          <cell r="H965">
            <v>25.31377777777778</v>
          </cell>
          <cell r="I965">
            <v>-9.2360000000000007</v>
          </cell>
          <cell r="J965">
            <v>45442</v>
          </cell>
          <cell r="K965">
            <v>39570</v>
          </cell>
          <cell r="L965">
            <v>16.077777777777779</v>
          </cell>
        </row>
        <row r="966">
          <cell r="B966">
            <v>951</v>
          </cell>
          <cell r="C966" t="str">
            <v>round2</v>
          </cell>
          <cell r="D966">
            <v>2008</v>
          </cell>
          <cell r="E966" t="str">
            <v>boysU16</v>
          </cell>
          <cell r="F966" t="str">
            <v>handball</v>
          </cell>
          <cell r="G966" t="str">
            <v>boys</v>
          </cell>
          <cell r="H966">
            <v>25.158222222222221</v>
          </cell>
          <cell r="I966">
            <v>-9.2360000000000007</v>
          </cell>
          <cell r="J966">
            <v>45442</v>
          </cell>
          <cell r="K966" t="str">
            <v>28.06.2008</v>
          </cell>
          <cell r="L966">
            <v>15.922222222222222</v>
          </cell>
        </row>
        <row r="967">
          <cell r="B967">
            <v>952</v>
          </cell>
          <cell r="C967" t="str">
            <v>round2</v>
          </cell>
          <cell r="D967">
            <v>2008</v>
          </cell>
          <cell r="E967" t="str">
            <v>boysU16</v>
          </cell>
          <cell r="F967" t="str">
            <v>handball</v>
          </cell>
          <cell r="G967" t="str">
            <v>boys</v>
          </cell>
          <cell r="H967">
            <v>13.4765474858659</v>
          </cell>
          <cell r="I967">
            <v>2.6762302919118786</v>
          </cell>
          <cell r="J967">
            <v>45442</v>
          </cell>
          <cell r="K967" t="str">
            <v>05.04.2008</v>
          </cell>
          <cell r="L967">
            <v>16.152777777777779</v>
          </cell>
        </row>
        <row r="968">
          <cell r="B968">
            <v>953</v>
          </cell>
          <cell r="C968" t="str">
            <v>round2</v>
          </cell>
          <cell r="D968">
            <v>2008</v>
          </cell>
          <cell r="E968" t="str">
            <v>boysU16</v>
          </cell>
          <cell r="F968" t="str">
            <v>handball</v>
          </cell>
          <cell r="G968" t="str">
            <v>boys</v>
          </cell>
          <cell r="H968">
            <v>13.059492906259885</v>
          </cell>
          <cell r="I968">
            <v>3.1377293159623378</v>
          </cell>
          <cell r="J968">
            <v>45442</v>
          </cell>
          <cell r="K968" t="str">
            <v>19.03.2008</v>
          </cell>
          <cell r="L968">
            <v>16.197222222222223</v>
          </cell>
        </row>
        <row r="969">
          <cell r="B969">
            <v>954</v>
          </cell>
          <cell r="C969" t="str">
            <v>round2</v>
          </cell>
          <cell r="D969">
            <v>2008</v>
          </cell>
          <cell r="E969" t="str">
            <v>boysU16</v>
          </cell>
          <cell r="F969" t="str">
            <v>handball</v>
          </cell>
          <cell r="G969" t="str">
            <v>boys</v>
          </cell>
          <cell r="H969">
            <v>25.130444444444443</v>
          </cell>
          <cell r="I969">
            <v>-9.2360000000000007</v>
          </cell>
          <cell r="J969">
            <v>45442</v>
          </cell>
          <cell r="K969">
            <v>39637</v>
          </cell>
          <cell r="L969">
            <v>15.894444444444444</v>
          </cell>
        </row>
        <row r="970">
          <cell r="B970">
            <v>955</v>
          </cell>
          <cell r="C970" t="str">
            <v>round2</v>
          </cell>
          <cell r="D970">
            <v>2008</v>
          </cell>
          <cell r="E970" t="str">
            <v>boysU16</v>
          </cell>
          <cell r="F970" t="str">
            <v>handball</v>
          </cell>
          <cell r="G970" t="str">
            <v>boys</v>
          </cell>
          <cell r="H970">
            <v>13.596257002427405</v>
          </cell>
          <cell r="I970">
            <v>2.4287429975725927</v>
          </cell>
          <cell r="J970">
            <v>45442</v>
          </cell>
          <cell r="K970" t="str">
            <v>21.05.2008</v>
          </cell>
          <cell r="L970">
            <v>16.024999999999999</v>
          </cell>
        </row>
        <row r="971">
          <cell r="B971">
            <v>956</v>
          </cell>
          <cell r="C971" t="str">
            <v>round2</v>
          </cell>
          <cell r="D971">
            <v>2008</v>
          </cell>
          <cell r="E971" t="str">
            <v>boysU16</v>
          </cell>
          <cell r="F971" t="str">
            <v>handball</v>
          </cell>
          <cell r="G971" t="str">
            <v>boys</v>
          </cell>
          <cell r="H971">
            <v>13.877347861523926</v>
          </cell>
          <cell r="I971">
            <v>1.683763249587185</v>
          </cell>
          <cell r="J971">
            <v>45442</v>
          </cell>
          <cell r="K971" t="str">
            <v>08.11.2008</v>
          </cell>
          <cell r="L971">
            <v>15.561111111111112</v>
          </cell>
        </row>
        <row r="972">
          <cell r="B972">
            <v>957</v>
          </cell>
          <cell r="C972" t="str">
            <v>round2</v>
          </cell>
          <cell r="D972">
            <v>2008</v>
          </cell>
          <cell r="E972" t="str">
            <v>boysU16</v>
          </cell>
          <cell r="F972" t="str">
            <v>handball</v>
          </cell>
          <cell r="G972" t="str">
            <v>boys</v>
          </cell>
          <cell r="H972">
            <v>12.611052793489899</v>
          </cell>
          <cell r="I972">
            <v>3.2195027620656567</v>
          </cell>
          <cell r="J972">
            <v>45442</v>
          </cell>
          <cell r="K972" t="str">
            <v>01.08.2008</v>
          </cell>
          <cell r="L972">
            <v>15.830555555555556</v>
          </cell>
        </row>
        <row r="973">
          <cell r="B973">
            <v>958</v>
          </cell>
          <cell r="C973" t="str">
            <v>round2</v>
          </cell>
          <cell r="D973">
            <v>2008</v>
          </cell>
          <cell r="E973" t="str">
            <v>boysU16</v>
          </cell>
          <cell r="F973" t="str">
            <v>handball</v>
          </cell>
          <cell r="G973" t="str">
            <v>boys</v>
          </cell>
          <cell r="H973">
            <v>14.580263222832665</v>
          </cell>
          <cell r="I973">
            <v>1.7752923327228893</v>
          </cell>
          <cell r="J973">
            <v>45442</v>
          </cell>
          <cell r="K973" t="str">
            <v>22.01.2008</v>
          </cell>
          <cell r="L973">
            <v>16.355555555555554</v>
          </cell>
        </row>
        <row r="974">
          <cell r="B974">
            <v>959</v>
          </cell>
          <cell r="C974" t="str">
            <v>round2</v>
          </cell>
          <cell r="D974">
            <v>2008</v>
          </cell>
          <cell r="E974" t="str">
            <v>boysU16</v>
          </cell>
          <cell r="F974" t="str">
            <v>handball</v>
          </cell>
          <cell r="G974" t="str">
            <v>boys</v>
          </cell>
          <cell r="H974">
            <v>25.472111111111111</v>
          </cell>
          <cell r="I974">
            <v>-9.2360000000000007</v>
          </cell>
          <cell r="J974">
            <v>45442</v>
          </cell>
          <cell r="K974" t="str">
            <v>05.03.2008</v>
          </cell>
          <cell r="L974">
            <v>16.236111111111111</v>
          </cell>
        </row>
        <row r="975">
          <cell r="B975">
            <v>960</v>
          </cell>
          <cell r="C975" t="str">
            <v>round2</v>
          </cell>
          <cell r="D975">
            <v>2008</v>
          </cell>
          <cell r="E975" t="str">
            <v>boysU16</v>
          </cell>
          <cell r="F975" t="str">
            <v>handball</v>
          </cell>
          <cell r="G975" t="str">
            <v>boys</v>
          </cell>
          <cell r="H975">
            <v>13.702256213756252</v>
          </cell>
          <cell r="I975">
            <v>2.3032993417993048</v>
          </cell>
          <cell r="J975">
            <v>45442</v>
          </cell>
          <cell r="K975" t="str">
            <v>28.05.2008</v>
          </cell>
          <cell r="L975">
            <v>16.005555555555556</v>
          </cell>
        </row>
        <row r="976">
          <cell r="B976">
            <v>961</v>
          </cell>
          <cell r="C976" t="str">
            <v>round2</v>
          </cell>
          <cell r="D976">
            <v>2008</v>
          </cell>
          <cell r="E976" t="str">
            <v>boysU16</v>
          </cell>
          <cell r="F976" t="str">
            <v>handball</v>
          </cell>
          <cell r="G976" t="str">
            <v>boys</v>
          </cell>
          <cell r="H976">
            <v>24.772111111111112</v>
          </cell>
          <cell r="I976">
            <v>-9.2360000000000007</v>
          </cell>
          <cell r="J976">
            <v>45442</v>
          </cell>
          <cell r="K976" t="str">
            <v>17.11.2008</v>
          </cell>
          <cell r="L976">
            <v>15.536111111111111</v>
          </cell>
        </row>
        <row r="977">
          <cell r="B977">
            <v>962</v>
          </cell>
          <cell r="C977" t="str">
            <v>round2</v>
          </cell>
          <cell r="D977">
            <v>2008</v>
          </cell>
          <cell r="E977" t="str">
            <v>boysU16</v>
          </cell>
          <cell r="F977" t="str">
            <v>handball</v>
          </cell>
          <cell r="G977" t="str">
            <v>boys</v>
          </cell>
          <cell r="H977">
            <v>25.052666666666667</v>
          </cell>
          <cell r="I977">
            <v>-9.2360000000000007</v>
          </cell>
          <cell r="J977">
            <v>45442</v>
          </cell>
          <cell r="K977" t="str">
            <v>06.08.2008</v>
          </cell>
          <cell r="L977">
            <v>15.816666666666666</v>
          </cell>
        </row>
        <row r="978">
          <cell r="B978">
            <v>963</v>
          </cell>
          <cell r="C978" t="str">
            <v>round2</v>
          </cell>
          <cell r="D978">
            <v>2008</v>
          </cell>
          <cell r="E978" t="str">
            <v>boysU16</v>
          </cell>
          <cell r="F978" t="str">
            <v>handball</v>
          </cell>
          <cell r="G978" t="str">
            <v>boys</v>
          </cell>
          <cell r="H978">
            <v>14.279394109444182</v>
          </cell>
          <cell r="I978">
            <v>1.220605890555819</v>
          </cell>
          <cell r="J978">
            <v>45442</v>
          </cell>
          <cell r="K978" t="str">
            <v>30.11.2008</v>
          </cell>
          <cell r="L978">
            <v>15.5</v>
          </cell>
        </row>
        <row r="979">
          <cell r="B979">
            <v>964</v>
          </cell>
          <cell r="C979" t="str">
            <v>round2</v>
          </cell>
          <cell r="D979">
            <v>2008</v>
          </cell>
          <cell r="E979" t="str">
            <v>boysU16</v>
          </cell>
          <cell r="F979" t="str">
            <v>handball</v>
          </cell>
          <cell r="G979" t="str">
            <v>boys</v>
          </cell>
          <cell r="H979">
            <v>25.233222222222224</v>
          </cell>
          <cell r="I979">
            <v>-9.2360000000000007</v>
          </cell>
          <cell r="J979">
            <v>45442</v>
          </cell>
          <cell r="K979" t="str">
            <v>01.06.2008</v>
          </cell>
          <cell r="L979">
            <v>15.997222222222222</v>
          </cell>
        </row>
        <row r="980">
          <cell r="B980">
            <v>965</v>
          </cell>
          <cell r="C980" t="str">
            <v>round2</v>
          </cell>
          <cell r="D980">
            <v>2008</v>
          </cell>
          <cell r="E980" t="str">
            <v>boysU16</v>
          </cell>
          <cell r="F980" t="str">
            <v>handball</v>
          </cell>
          <cell r="G980" t="str">
            <v>boys</v>
          </cell>
          <cell r="H980">
            <v>25.230444444444444</v>
          </cell>
          <cell r="I980">
            <v>-9.2360000000000007</v>
          </cell>
          <cell r="J980">
            <v>45442</v>
          </cell>
          <cell r="K980" t="str">
            <v>02.06.2008</v>
          </cell>
          <cell r="L980">
            <v>15.994444444444444</v>
          </cell>
        </row>
        <row r="981">
          <cell r="B981">
            <v>966</v>
          </cell>
          <cell r="C981" t="str">
            <v>round2</v>
          </cell>
          <cell r="D981">
            <v>2008</v>
          </cell>
          <cell r="E981" t="str">
            <v>boysU16</v>
          </cell>
          <cell r="F981" t="str">
            <v>handball</v>
          </cell>
          <cell r="G981" t="str">
            <v>boys</v>
          </cell>
          <cell r="H981">
            <v>24.913777777777778</v>
          </cell>
          <cell r="I981">
            <v>-9.2360000000000007</v>
          </cell>
          <cell r="J981">
            <v>45442</v>
          </cell>
          <cell r="K981">
            <v>39717</v>
          </cell>
          <cell r="L981">
            <v>15.677777777777777</v>
          </cell>
        </row>
        <row r="982">
          <cell r="B982">
            <v>967</v>
          </cell>
          <cell r="C982" t="str">
            <v>round2</v>
          </cell>
          <cell r="D982">
            <v>2008</v>
          </cell>
          <cell r="E982" t="str">
            <v>boysU16</v>
          </cell>
          <cell r="F982" t="str">
            <v>handball</v>
          </cell>
          <cell r="G982" t="str">
            <v>boys</v>
          </cell>
          <cell r="H982">
            <v>25.233222222222224</v>
          </cell>
          <cell r="I982">
            <v>-9.2360000000000007</v>
          </cell>
          <cell r="J982">
            <v>45442</v>
          </cell>
          <cell r="K982" t="str">
            <v>01.06.2008</v>
          </cell>
          <cell r="L982">
            <v>15.997222222222222</v>
          </cell>
        </row>
        <row r="983">
          <cell r="B983">
            <v>968</v>
          </cell>
          <cell r="C983" t="str">
            <v>round2</v>
          </cell>
          <cell r="D983">
            <v>2008</v>
          </cell>
          <cell r="E983" t="str">
            <v>boysU16</v>
          </cell>
          <cell r="F983" t="str">
            <v>handball</v>
          </cell>
          <cell r="G983" t="str">
            <v>boys</v>
          </cell>
          <cell r="H983">
            <v>25.085999999999999</v>
          </cell>
          <cell r="I983">
            <v>-9.2360000000000007</v>
          </cell>
          <cell r="J983">
            <v>45442</v>
          </cell>
          <cell r="K983" t="str">
            <v>24.07.2008</v>
          </cell>
          <cell r="L983">
            <v>15.85</v>
          </cell>
        </row>
        <row r="984">
          <cell r="B984">
            <v>969</v>
          </cell>
          <cell r="C984" t="str">
            <v>round2</v>
          </cell>
          <cell r="D984">
            <v>2008</v>
          </cell>
          <cell r="E984" t="str">
            <v>boysU16</v>
          </cell>
          <cell r="F984" t="str">
            <v>handball</v>
          </cell>
          <cell r="G984" t="str">
            <v>boys</v>
          </cell>
          <cell r="H984">
            <v>25.516555555555556</v>
          </cell>
          <cell r="I984">
            <v>-9.2360000000000007</v>
          </cell>
          <cell r="J984">
            <v>45442</v>
          </cell>
          <cell r="K984" t="str">
            <v>19.02.2008</v>
          </cell>
          <cell r="L984">
            <v>16.280555555555555</v>
          </cell>
        </row>
        <row r="985">
          <cell r="B985">
            <v>970</v>
          </cell>
          <cell r="C985" t="str">
            <v>round2</v>
          </cell>
          <cell r="D985">
            <v>2008</v>
          </cell>
          <cell r="E985" t="str">
            <v>boysU16</v>
          </cell>
          <cell r="F985" t="str">
            <v>handball</v>
          </cell>
          <cell r="G985" t="str">
            <v>boys</v>
          </cell>
          <cell r="H985">
            <v>14.303678659280671</v>
          </cell>
          <cell r="I985">
            <v>1.9185435629415515</v>
          </cell>
          <cell r="J985">
            <v>45442</v>
          </cell>
          <cell r="K985" t="str">
            <v>10.03.2008</v>
          </cell>
          <cell r="L985">
            <v>16.222222222222221</v>
          </cell>
        </row>
        <row r="986">
          <cell r="B986">
            <v>971</v>
          </cell>
          <cell r="C986" t="str">
            <v>round2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 t="e">
            <v>#N/A</v>
          </cell>
          <cell r="I986">
            <v>0</v>
          </cell>
          <cell r="J986">
            <v>0</v>
          </cell>
          <cell r="K986" t="e">
            <v>#N/A</v>
          </cell>
          <cell r="L986" t="e">
            <v>#N/A</v>
          </cell>
        </row>
        <row r="987">
          <cell r="B987">
            <v>2001</v>
          </cell>
          <cell r="C987" t="str">
            <v>round2</v>
          </cell>
          <cell r="D987">
            <v>2010</v>
          </cell>
          <cell r="E987" t="str">
            <v>boysU14</v>
          </cell>
          <cell r="F987" t="str">
            <v>handball</v>
          </cell>
          <cell r="G987" t="str">
            <v>boys</v>
          </cell>
          <cell r="H987">
            <v>14.554129800167356</v>
          </cell>
          <cell r="I987">
            <v>-0.15135202238957712</v>
          </cell>
          <cell r="J987">
            <v>45443</v>
          </cell>
          <cell r="K987" t="str">
            <v>06.01.2010</v>
          </cell>
          <cell r="L987">
            <v>14.402777777777779</v>
          </cell>
        </row>
        <row r="988">
          <cell r="B988">
            <v>2002</v>
          </cell>
          <cell r="C988" t="str">
            <v>round2</v>
          </cell>
          <cell r="D988">
            <v>2010</v>
          </cell>
          <cell r="E988" t="str">
            <v>boysU14</v>
          </cell>
          <cell r="F988" t="str">
            <v>handball</v>
          </cell>
          <cell r="G988" t="str">
            <v>boys</v>
          </cell>
          <cell r="H988">
            <v>13.876800499229645</v>
          </cell>
          <cell r="I988">
            <v>-0.27402272145186668</v>
          </cell>
          <cell r="J988">
            <v>45443</v>
          </cell>
          <cell r="K988" t="str">
            <v>24.10.2010</v>
          </cell>
          <cell r="L988">
            <v>13.602777777777778</v>
          </cell>
        </row>
        <row r="989">
          <cell r="B989">
            <v>2003</v>
          </cell>
          <cell r="C989" t="str">
            <v>round2</v>
          </cell>
          <cell r="D989">
            <v>2010</v>
          </cell>
          <cell r="E989" t="str">
            <v>boysU14</v>
          </cell>
          <cell r="F989" t="str">
            <v>handball</v>
          </cell>
          <cell r="G989" t="str">
            <v>boys</v>
          </cell>
          <cell r="H989">
            <v>13.279599351465812</v>
          </cell>
          <cell r="I989">
            <v>0.86762287075640976</v>
          </cell>
          <cell r="J989">
            <v>45443</v>
          </cell>
          <cell r="K989" t="str">
            <v>08.04.2010</v>
          </cell>
          <cell r="L989">
            <v>14.147222222222222</v>
          </cell>
        </row>
        <row r="990">
          <cell r="B990">
            <v>2004</v>
          </cell>
          <cell r="C990" t="str">
            <v>round2</v>
          </cell>
          <cell r="D990">
            <v>2010</v>
          </cell>
          <cell r="E990" t="str">
            <v>boysU14</v>
          </cell>
          <cell r="F990" t="str">
            <v>handball</v>
          </cell>
          <cell r="G990" t="str">
            <v>boys</v>
          </cell>
          <cell r="H990">
            <v>13.791480118585367</v>
          </cell>
          <cell r="I990">
            <v>0.33351988141463285</v>
          </cell>
          <cell r="J990">
            <v>45443</v>
          </cell>
          <cell r="K990" t="str">
            <v>16.04.2010</v>
          </cell>
          <cell r="L990">
            <v>14.125</v>
          </cell>
        </row>
        <row r="991">
          <cell r="B991">
            <v>2005</v>
          </cell>
          <cell r="C991" t="str">
            <v>round2</v>
          </cell>
          <cell r="D991">
            <v>2010</v>
          </cell>
          <cell r="E991" t="str">
            <v>boysU14</v>
          </cell>
          <cell r="F991" t="str">
            <v>handball</v>
          </cell>
          <cell r="G991" t="str">
            <v>boys</v>
          </cell>
          <cell r="H991">
            <v>74.479394930047931</v>
          </cell>
          <cell r="I991">
            <v>49.940049514396513</v>
          </cell>
          <cell r="J991">
            <v>45443</v>
          </cell>
          <cell r="K991">
            <v>0</v>
          </cell>
          <cell r="L991">
            <v>124.41944444444445</v>
          </cell>
        </row>
        <row r="992">
          <cell r="B992">
            <v>2006</v>
          </cell>
          <cell r="C992" t="str">
            <v>round2</v>
          </cell>
          <cell r="D992">
            <v>2010</v>
          </cell>
          <cell r="E992" t="str">
            <v>boysU14</v>
          </cell>
          <cell r="F992" t="str">
            <v>handball</v>
          </cell>
          <cell r="G992" t="str">
            <v>boys</v>
          </cell>
          <cell r="H992">
            <v>12.94319993454187</v>
          </cell>
          <cell r="I992">
            <v>0.70124450990257414</v>
          </cell>
          <cell r="J992">
            <v>45443</v>
          </cell>
          <cell r="K992" t="str">
            <v>09.10.2010</v>
          </cell>
          <cell r="L992">
            <v>13.644444444444444</v>
          </cell>
        </row>
        <row r="993">
          <cell r="B993">
            <v>2007</v>
          </cell>
          <cell r="C993" t="str">
            <v>round2</v>
          </cell>
          <cell r="D993">
            <v>2010</v>
          </cell>
          <cell r="E993" t="str">
            <v>boysU14</v>
          </cell>
          <cell r="F993" t="str">
            <v>handball</v>
          </cell>
          <cell r="G993" t="str">
            <v>boys</v>
          </cell>
          <cell r="H993">
            <v>133.65544444444444</v>
          </cell>
          <cell r="I993">
            <v>-9.2360000000000007</v>
          </cell>
          <cell r="J993">
            <v>45443</v>
          </cell>
          <cell r="K993">
            <v>0</v>
          </cell>
          <cell r="L993">
            <v>124.41944444444445</v>
          </cell>
        </row>
        <row r="994">
          <cell r="B994">
            <v>2008</v>
          </cell>
          <cell r="C994" t="str">
            <v>round2</v>
          </cell>
          <cell r="D994">
            <v>2010</v>
          </cell>
          <cell r="E994" t="str">
            <v>boysU14</v>
          </cell>
          <cell r="F994" t="str">
            <v>handball</v>
          </cell>
          <cell r="G994" t="str">
            <v>boys</v>
          </cell>
          <cell r="H994">
            <v>133.65544444444444</v>
          </cell>
          <cell r="I994">
            <v>-9.2360000000000007</v>
          </cell>
          <cell r="J994">
            <v>45443</v>
          </cell>
          <cell r="K994">
            <v>0</v>
          </cell>
          <cell r="L994">
            <v>124.41944444444445</v>
          </cell>
        </row>
        <row r="995">
          <cell r="B995">
            <v>2009</v>
          </cell>
          <cell r="C995" t="str">
            <v>round2</v>
          </cell>
          <cell r="D995">
            <v>2010</v>
          </cell>
          <cell r="E995" t="str">
            <v>boysU14</v>
          </cell>
          <cell r="F995" t="str">
            <v>handball</v>
          </cell>
          <cell r="G995" t="str">
            <v>boys</v>
          </cell>
          <cell r="H995">
            <v>14.457022002420562</v>
          </cell>
          <cell r="I995">
            <v>-0.71535533575389376</v>
          </cell>
          <cell r="J995">
            <v>45443</v>
          </cell>
          <cell r="K995" t="str">
            <v>04.09.2010</v>
          </cell>
          <cell r="L995">
            <v>13.741666666666667</v>
          </cell>
        </row>
        <row r="996">
          <cell r="B996">
            <v>2010</v>
          </cell>
          <cell r="C996" t="str">
            <v>round2</v>
          </cell>
          <cell r="D996">
            <v>2010</v>
          </cell>
          <cell r="E996" t="str">
            <v>boysU14</v>
          </cell>
          <cell r="F996" t="str">
            <v>handball</v>
          </cell>
          <cell r="G996" t="str">
            <v>boys</v>
          </cell>
          <cell r="H996">
            <v>133.65544444444444</v>
          </cell>
          <cell r="I996">
            <v>-9.2360000000000007</v>
          </cell>
          <cell r="J996">
            <v>45443</v>
          </cell>
          <cell r="K996">
            <v>0</v>
          </cell>
          <cell r="L996">
            <v>124.41944444444445</v>
          </cell>
        </row>
        <row r="997">
          <cell r="B997">
            <v>2011</v>
          </cell>
          <cell r="C997" t="str">
            <v>round2</v>
          </cell>
          <cell r="D997">
            <v>2010</v>
          </cell>
          <cell r="E997" t="str">
            <v>boysU14</v>
          </cell>
          <cell r="F997" t="str">
            <v>handball</v>
          </cell>
          <cell r="G997" t="str">
            <v>boys</v>
          </cell>
          <cell r="H997">
            <v>12.851588326237165</v>
          </cell>
          <cell r="I997">
            <v>1.1928561182072799</v>
          </cell>
          <cell r="J997">
            <v>45443</v>
          </cell>
          <cell r="K997" t="str">
            <v>15.05.2010</v>
          </cell>
          <cell r="L997">
            <v>14.044444444444444</v>
          </cell>
        </row>
        <row r="998">
          <cell r="B998">
            <v>2012</v>
          </cell>
          <cell r="C998" t="str">
            <v>round2</v>
          </cell>
          <cell r="D998">
            <v>2010</v>
          </cell>
          <cell r="E998" t="str">
            <v>boysU14</v>
          </cell>
          <cell r="F998" t="str">
            <v>handball</v>
          </cell>
          <cell r="G998" t="str">
            <v>boys</v>
          </cell>
          <cell r="H998">
            <v>14.530894627238096</v>
          </cell>
          <cell r="I998">
            <v>-0.8197835161269853</v>
          </cell>
          <cell r="J998">
            <v>45443</v>
          </cell>
          <cell r="K998" t="str">
            <v>15.09.2010</v>
          </cell>
          <cell r="L998">
            <v>13.71111111111111</v>
          </cell>
        </row>
        <row r="999">
          <cell r="B999">
            <v>2013</v>
          </cell>
          <cell r="C999" t="str">
            <v>round2</v>
          </cell>
          <cell r="D999">
            <v>2010</v>
          </cell>
          <cell r="E999" t="str">
            <v>boysU14</v>
          </cell>
          <cell r="F999" t="str">
            <v>handball</v>
          </cell>
          <cell r="G999" t="str">
            <v>boys</v>
          </cell>
          <cell r="H999">
            <v>14.090374652011821</v>
          </cell>
          <cell r="I999">
            <v>-7.6485763122931649E-2</v>
          </cell>
          <cell r="J999">
            <v>45443</v>
          </cell>
          <cell r="K999" t="str">
            <v>26.05.2010</v>
          </cell>
          <cell r="L999">
            <v>14.013888888888889</v>
          </cell>
        </row>
        <row r="1000">
          <cell r="B1000">
            <v>2014</v>
          </cell>
          <cell r="C1000" t="str">
            <v>round2</v>
          </cell>
          <cell r="D1000">
            <v>2010</v>
          </cell>
          <cell r="E1000" t="str">
            <v>boysU14</v>
          </cell>
          <cell r="F1000" t="str">
            <v>handball</v>
          </cell>
          <cell r="G1000" t="str">
            <v>boys</v>
          </cell>
          <cell r="H1000">
            <v>133.65544444444444</v>
          </cell>
          <cell r="I1000">
            <v>-9.2360000000000007</v>
          </cell>
          <cell r="J1000">
            <v>45443</v>
          </cell>
          <cell r="K1000">
            <v>0</v>
          </cell>
          <cell r="L1000">
            <v>124.41944444444445</v>
          </cell>
        </row>
        <row r="1001">
          <cell r="B1001">
            <v>2015</v>
          </cell>
          <cell r="C1001" t="str">
            <v>round2</v>
          </cell>
          <cell r="D1001">
            <v>2010</v>
          </cell>
          <cell r="E1001" t="str">
            <v>boysU14</v>
          </cell>
          <cell r="F1001" t="str">
            <v>handball</v>
          </cell>
          <cell r="G1001" t="str">
            <v>boys</v>
          </cell>
          <cell r="H1001">
            <v>14.162692616181818</v>
          </cell>
          <cell r="I1001">
            <v>-5.7137060626261338E-2</v>
          </cell>
          <cell r="J1001">
            <v>45443</v>
          </cell>
          <cell r="K1001" t="str">
            <v>23.04.2010</v>
          </cell>
          <cell r="L1001">
            <v>14.105555555555556</v>
          </cell>
        </row>
        <row r="1002">
          <cell r="B1002">
            <v>2016</v>
          </cell>
          <cell r="C1002" t="str">
            <v>round2</v>
          </cell>
          <cell r="D1002">
            <v>2010</v>
          </cell>
          <cell r="E1002" t="str">
            <v>boysU14</v>
          </cell>
          <cell r="F1002" t="str">
            <v>handball</v>
          </cell>
          <cell r="G1002" t="str">
            <v>boys</v>
          </cell>
          <cell r="H1002">
            <v>14.455619988727717</v>
          </cell>
          <cell r="I1002">
            <v>-0.20284221094993926</v>
          </cell>
          <cell r="J1002">
            <v>45443</v>
          </cell>
          <cell r="K1002" t="str">
            <v>28.02.2010</v>
          </cell>
          <cell r="L1002">
            <v>14.252777777777778</v>
          </cell>
        </row>
        <row r="1003">
          <cell r="B1003">
            <v>2017</v>
          </cell>
          <cell r="C1003" t="str">
            <v>round2</v>
          </cell>
          <cell r="D1003">
            <v>2010</v>
          </cell>
          <cell r="E1003" t="str">
            <v>boysU14</v>
          </cell>
          <cell r="F1003" t="str">
            <v>handball</v>
          </cell>
          <cell r="G1003" t="str">
            <v>boys</v>
          </cell>
          <cell r="H1003">
            <v>13.255141608853471</v>
          </cell>
          <cell r="I1003">
            <v>0.91152505781319526</v>
          </cell>
          <cell r="J1003">
            <v>45443</v>
          </cell>
          <cell r="K1003" t="str">
            <v>31.03.2010</v>
          </cell>
          <cell r="L1003">
            <v>14.166666666666666</v>
          </cell>
        </row>
        <row r="1004">
          <cell r="B1004">
            <v>2018</v>
          </cell>
          <cell r="C1004" t="str">
            <v>round2</v>
          </cell>
          <cell r="D1004">
            <v>2010</v>
          </cell>
          <cell r="E1004" t="str">
            <v>boysU14</v>
          </cell>
          <cell r="F1004" t="str">
            <v>handball</v>
          </cell>
          <cell r="G1004" t="str">
            <v>boys</v>
          </cell>
          <cell r="H1004">
            <v>14.358687187162602</v>
          </cell>
          <cell r="I1004">
            <v>-0.64202052049593561</v>
          </cell>
          <cell r="J1004">
            <v>45443</v>
          </cell>
          <cell r="K1004" t="str">
            <v>13.09.2010</v>
          </cell>
          <cell r="L1004">
            <v>13.716666666666667</v>
          </cell>
        </row>
        <row r="1005">
          <cell r="B1005">
            <v>835</v>
          </cell>
          <cell r="C1005" t="str">
            <v>round2</v>
          </cell>
          <cell r="D1005">
            <v>2010</v>
          </cell>
          <cell r="E1005" t="str">
            <v>girlsU14</v>
          </cell>
          <cell r="F1005" t="str">
            <v>handball</v>
          </cell>
          <cell r="G1005" t="str">
            <v>girls</v>
          </cell>
          <cell r="H1005">
            <v>11.763019554955655</v>
          </cell>
          <cell r="I1005">
            <v>2.0730915561554548</v>
          </cell>
          <cell r="J1005">
            <v>45412</v>
          </cell>
          <cell r="K1005">
            <v>40358</v>
          </cell>
          <cell r="L1005">
            <v>13.83611111111111</v>
          </cell>
        </row>
        <row r="1006">
          <cell r="B1006">
            <v>836</v>
          </cell>
          <cell r="C1006" t="str">
            <v>round2</v>
          </cell>
          <cell r="D1006">
            <v>2010</v>
          </cell>
          <cell r="E1006" t="str">
            <v>girlsU14</v>
          </cell>
          <cell r="F1006" t="str">
            <v>handball</v>
          </cell>
          <cell r="G1006" t="str">
            <v>girls</v>
          </cell>
          <cell r="H1006">
            <v>12.825886641965999</v>
          </cell>
          <cell r="I1006">
            <v>1.2880022469228893</v>
          </cell>
          <cell r="J1006">
            <v>45412</v>
          </cell>
          <cell r="K1006">
            <v>40256</v>
          </cell>
          <cell r="L1006">
            <v>14.113888888888889</v>
          </cell>
        </row>
        <row r="1007">
          <cell r="B1007">
            <v>837</v>
          </cell>
          <cell r="C1007" t="str">
            <v>round2</v>
          </cell>
          <cell r="D1007">
            <v>2010</v>
          </cell>
          <cell r="E1007" t="str">
            <v>girlsU14</v>
          </cell>
          <cell r="F1007" t="str">
            <v>handball</v>
          </cell>
          <cell r="G1007" t="str">
            <v>girls</v>
          </cell>
          <cell r="H1007">
            <v>12.266401508184606</v>
          </cell>
          <cell r="I1007">
            <v>1.3030429362598397</v>
          </cell>
          <cell r="J1007">
            <v>45412</v>
          </cell>
          <cell r="K1007">
            <v>40456</v>
          </cell>
          <cell r="L1007">
            <v>13.569444444444445</v>
          </cell>
        </row>
        <row r="1008">
          <cell r="B1008">
            <v>838</v>
          </cell>
          <cell r="C1008" t="str">
            <v>round2</v>
          </cell>
          <cell r="D1008">
            <v>2010</v>
          </cell>
          <cell r="E1008" t="str">
            <v>girlsU14</v>
          </cell>
          <cell r="F1008" t="str">
            <v>handball</v>
          </cell>
          <cell r="G1008" t="str">
            <v>girls</v>
          </cell>
          <cell r="H1008">
            <v>12.142397336840121</v>
          </cell>
          <cell r="I1008">
            <v>1.4270471076043243</v>
          </cell>
          <cell r="J1008">
            <v>45412</v>
          </cell>
          <cell r="K1008">
            <v>40456</v>
          </cell>
          <cell r="L1008">
            <v>13.569444444444445</v>
          </cell>
        </row>
        <row r="1009">
          <cell r="B1009">
            <v>839</v>
          </cell>
          <cell r="C1009" t="str">
            <v>round2</v>
          </cell>
          <cell r="D1009">
            <v>2010</v>
          </cell>
          <cell r="E1009" t="str">
            <v>girlsU14</v>
          </cell>
          <cell r="F1009" t="str">
            <v>handball</v>
          </cell>
          <cell r="G1009" t="str">
            <v>girls</v>
          </cell>
          <cell r="H1009">
            <v>22.989888888888888</v>
          </cell>
          <cell r="I1009">
            <v>-9.3759999999999994</v>
          </cell>
          <cell r="J1009">
            <v>45412</v>
          </cell>
          <cell r="K1009">
            <v>40440</v>
          </cell>
          <cell r="L1009">
            <v>13.613888888888889</v>
          </cell>
        </row>
        <row r="1010">
          <cell r="B1010">
            <v>840</v>
          </cell>
          <cell r="C1010" t="str">
            <v>round2</v>
          </cell>
          <cell r="D1010">
            <v>2010</v>
          </cell>
          <cell r="E1010" t="str">
            <v>girlsU14</v>
          </cell>
          <cell r="F1010" t="str">
            <v>handball</v>
          </cell>
          <cell r="G1010" t="str">
            <v>girls</v>
          </cell>
          <cell r="H1010">
            <v>11.291002005044412</v>
          </cell>
          <cell r="I1010">
            <v>2.2089979949555887</v>
          </cell>
          <cell r="J1010">
            <v>45412</v>
          </cell>
          <cell r="K1010">
            <v>40481</v>
          </cell>
          <cell r="L1010">
            <v>13.5</v>
          </cell>
        </row>
        <row r="1011">
          <cell r="B1011">
            <v>841</v>
          </cell>
          <cell r="C1011" t="str">
            <v>round2</v>
          </cell>
          <cell r="D1011">
            <v>2010</v>
          </cell>
          <cell r="E1011" t="str">
            <v>girlsU14</v>
          </cell>
          <cell r="F1011" t="str">
            <v>handball</v>
          </cell>
          <cell r="G1011" t="str">
            <v>girls</v>
          </cell>
          <cell r="H1011">
            <v>23.362111111111112</v>
          </cell>
          <cell r="I1011">
            <v>-9.3759999999999994</v>
          </cell>
          <cell r="J1011">
            <v>45412</v>
          </cell>
          <cell r="K1011">
            <v>40303</v>
          </cell>
          <cell r="L1011">
            <v>13.986111111111111</v>
          </cell>
        </row>
        <row r="1012">
          <cell r="B1012">
            <v>842</v>
          </cell>
          <cell r="C1012" t="str">
            <v>round2</v>
          </cell>
          <cell r="D1012">
            <v>2010</v>
          </cell>
          <cell r="E1012" t="str">
            <v>girlsU14</v>
          </cell>
          <cell r="F1012" t="str">
            <v>handball</v>
          </cell>
          <cell r="G1012" t="str">
            <v>girls</v>
          </cell>
          <cell r="H1012">
            <v>23.187111111111111</v>
          </cell>
          <cell r="I1012">
            <v>-9.3759999999999994</v>
          </cell>
          <cell r="J1012">
            <v>45412</v>
          </cell>
          <cell r="K1012">
            <v>40367</v>
          </cell>
          <cell r="L1012">
            <v>13.811111111111112</v>
          </cell>
        </row>
        <row r="1013">
          <cell r="B1013">
            <v>843</v>
          </cell>
          <cell r="C1013" t="str">
            <v>round2</v>
          </cell>
          <cell r="D1013">
            <v>2010</v>
          </cell>
          <cell r="E1013" t="str">
            <v>girlsU14</v>
          </cell>
          <cell r="F1013" t="str">
            <v>handball</v>
          </cell>
          <cell r="G1013" t="str">
            <v>girls</v>
          </cell>
          <cell r="H1013">
            <v>23.667666666666666</v>
          </cell>
          <cell r="I1013">
            <v>-9.3759999999999994</v>
          </cell>
          <cell r="J1013">
            <v>45412</v>
          </cell>
          <cell r="K1013">
            <v>40193</v>
          </cell>
          <cell r="L1013">
            <v>14.291666666666666</v>
          </cell>
        </row>
        <row r="1014">
          <cell r="B1014">
            <v>844</v>
          </cell>
          <cell r="C1014" t="str">
            <v>round2</v>
          </cell>
          <cell r="D1014">
            <v>2010</v>
          </cell>
          <cell r="E1014" t="str">
            <v>girlsU14</v>
          </cell>
          <cell r="F1014" t="str">
            <v>handball</v>
          </cell>
          <cell r="G1014" t="str">
            <v>girls</v>
          </cell>
          <cell r="H1014">
            <v>12.076782478666665</v>
          </cell>
          <cell r="I1014">
            <v>2.2398841880000004</v>
          </cell>
          <cell r="J1014">
            <v>45412</v>
          </cell>
          <cell r="K1014">
            <v>40184</v>
          </cell>
          <cell r="L1014">
            <v>14.316666666666666</v>
          </cell>
        </row>
        <row r="1015">
          <cell r="B1015">
            <v>845</v>
          </cell>
          <cell r="C1015" t="str">
            <v>round2</v>
          </cell>
          <cell r="D1015">
            <v>2010</v>
          </cell>
          <cell r="E1015" t="str">
            <v>girlsU14</v>
          </cell>
          <cell r="F1015" t="str">
            <v>handball</v>
          </cell>
          <cell r="G1015" t="str">
            <v>girls</v>
          </cell>
          <cell r="H1015">
            <v>23.098222222222219</v>
          </cell>
          <cell r="I1015">
            <v>-9.3759999999999994</v>
          </cell>
          <cell r="J1015">
            <v>45412</v>
          </cell>
          <cell r="K1015">
            <v>40400</v>
          </cell>
          <cell r="L1015">
            <v>13.722222222222221</v>
          </cell>
        </row>
        <row r="1016">
          <cell r="B1016">
            <v>846</v>
          </cell>
          <cell r="C1016" t="str">
            <v>round2</v>
          </cell>
          <cell r="D1016">
            <v>2010</v>
          </cell>
          <cell r="E1016" t="str">
            <v>girlsU14</v>
          </cell>
          <cell r="F1016" t="str">
            <v>handball</v>
          </cell>
          <cell r="G1016" t="str">
            <v>girls</v>
          </cell>
          <cell r="H1016">
            <v>12.868755016117996</v>
          </cell>
          <cell r="I1016">
            <v>1.3534672061042261</v>
          </cell>
          <cell r="J1016">
            <v>45412</v>
          </cell>
          <cell r="K1016">
            <v>40219</v>
          </cell>
          <cell r="L1016">
            <v>14.222222222222221</v>
          </cell>
        </row>
        <row r="1017">
          <cell r="B1017">
            <v>847</v>
          </cell>
          <cell r="C1017" t="str">
            <v>round2</v>
          </cell>
          <cell r="D1017">
            <v>2010</v>
          </cell>
          <cell r="E1017" t="str">
            <v>girlsU14</v>
          </cell>
          <cell r="F1017" t="str">
            <v>handball</v>
          </cell>
          <cell r="G1017" t="str">
            <v>girls</v>
          </cell>
          <cell r="H1017">
            <v>12.560307715585857</v>
          </cell>
          <cell r="I1017">
            <v>1.5535811733030314</v>
          </cell>
          <cell r="J1017">
            <v>45412</v>
          </cell>
          <cell r="K1017">
            <v>40256</v>
          </cell>
          <cell r="L1017">
            <v>14.113888888888889</v>
          </cell>
        </row>
        <row r="1018">
          <cell r="B1018">
            <v>848</v>
          </cell>
          <cell r="C1018" t="str">
            <v>round2</v>
          </cell>
          <cell r="D1018">
            <v>2010</v>
          </cell>
          <cell r="E1018" t="str">
            <v>girlsU14</v>
          </cell>
          <cell r="F1018" t="str">
            <v>handball</v>
          </cell>
          <cell r="G1018" t="str">
            <v>girls</v>
          </cell>
          <cell r="H1018">
            <v>11.851682254201849</v>
          </cell>
          <cell r="I1018">
            <v>1.8149844124648169</v>
          </cell>
          <cell r="J1018">
            <v>45412</v>
          </cell>
          <cell r="K1018">
            <v>40421</v>
          </cell>
          <cell r="L1018">
            <v>13.666666666666666</v>
          </cell>
        </row>
        <row r="1019">
          <cell r="B1019">
            <v>849</v>
          </cell>
          <cell r="C1019" t="str">
            <v>round2</v>
          </cell>
          <cell r="D1019">
            <v>2010</v>
          </cell>
          <cell r="E1019" t="str">
            <v>girlsU14</v>
          </cell>
          <cell r="F1019" t="str">
            <v>handball</v>
          </cell>
          <cell r="G1019" t="str">
            <v>girls</v>
          </cell>
          <cell r="H1019">
            <v>12.011236537243919</v>
          </cell>
          <cell r="I1019">
            <v>2.0276523516449703</v>
          </cell>
          <cell r="J1019">
            <v>45412</v>
          </cell>
          <cell r="K1019">
            <v>40284</v>
          </cell>
          <cell r="L1019">
            <v>14.03888888888889</v>
          </cell>
        </row>
        <row r="1020">
          <cell r="B1020">
            <v>850</v>
          </cell>
          <cell r="C1020" t="str">
            <v>round2</v>
          </cell>
          <cell r="D1020">
            <v>2010</v>
          </cell>
          <cell r="E1020" t="str">
            <v>girlsU14</v>
          </cell>
          <cell r="F1020" t="str">
            <v>handball</v>
          </cell>
          <cell r="G1020" t="str">
            <v>girls</v>
          </cell>
          <cell r="H1020">
            <v>12.324780386647797</v>
          </cell>
          <cell r="I1020">
            <v>1.4113307244633133</v>
          </cell>
          <cell r="J1020">
            <v>45412</v>
          </cell>
          <cell r="K1020">
            <v>40395</v>
          </cell>
          <cell r="L1020">
            <v>13.736111111111111</v>
          </cell>
        </row>
        <row r="1021">
          <cell r="B1021">
            <v>851</v>
          </cell>
          <cell r="C1021" t="str">
            <v>round2</v>
          </cell>
          <cell r="D1021">
            <v>2010</v>
          </cell>
          <cell r="E1021" t="str">
            <v>girlsU14</v>
          </cell>
          <cell r="F1021" t="str">
            <v>handball</v>
          </cell>
          <cell r="G1021" t="str">
            <v>girls</v>
          </cell>
          <cell r="H1021">
            <v>12.349400688549785</v>
          </cell>
          <cell r="I1021">
            <v>1.3422659781168804</v>
          </cell>
          <cell r="J1021">
            <v>45412</v>
          </cell>
          <cell r="K1021">
            <v>40411</v>
          </cell>
          <cell r="L1021">
            <v>13.691666666666666</v>
          </cell>
        </row>
        <row r="1022">
          <cell r="B1022">
            <v>852</v>
          </cell>
          <cell r="C1022" t="str">
            <v>round2</v>
          </cell>
          <cell r="D1022">
            <v>2010</v>
          </cell>
          <cell r="E1022" t="str">
            <v>girlsU14</v>
          </cell>
          <cell r="F1022" t="str">
            <v>handball</v>
          </cell>
          <cell r="G1022" t="str">
            <v>girls</v>
          </cell>
          <cell r="H1022">
            <v>11.83071081319912</v>
          </cell>
          <cell r="I1022">
            <v>1.5748447423564347</v>
          </cell>
          <cell r="J1022">
            <v>45412</v>
          </cell>
          <cell r="K1022">
            <v>40516</v>
          </cell>
          <cell r="L1022">
            <v>13.405555555555555</v>
          </cell>
        </row>
        <row r="1023">
          <cell r="B1023">
            <v>853</v>
          </cell>
          <cell r="C1023" t="str">
            <v>round2</v>
          </cell>
          <cell r="D1023">
            <v>2010</v>
          </cell>
          <cell r="E1023" t="str">
            <v>girlsU14</v>
          </cell>
          <cell r="F1023" t="str">
            <v>handball</v>
          </cell>
          <cell r="G1023" t="str">
            <v>girls</v>
          </cell>
          <cell r="H1023">
            <v>23.389888888888891</v>
          </cell>
          <cell r="I1023">
            <v>-9.3759999999999994</v>
          </cell>
          <cell r="J1023">
            <v>45412</v>
          </cell>
          <cell r="K1023">
            <v>40293</v>
          </cell>
          <cell r="L1023">
            <v>14.013888888888889</v>
          </cell>
        </row>
        <row r="1024">
          <cell r="B1024">
            <v>854</v>
          </cell>
          <cell r="C1024" t="str">
            <v>round2</v>
          </cell>
          <cell r="D1024">
            <v>2010</v>
          </cell>
          <cell r="E1024" t="str">
            <v>girlsU14</v>
          </cell>
          <cell r="F1024" t="str">
            <v>handball</v>
          </cell>
          <cell r="G1024" t="str">
            <v>girls</v>
          </cell>
          <cell r="H1024">
            <v>11.660025043270537</v>
          </cell>
          <cell r="I1024">
            <v>1.8871971789516868</v>
          </cell>
          <cell r="J1024">
            <v>45412</v>
          </cell>
          <cell r="K1024">
            <v>40464</v>
          </cell>
          <cell r="L1024">
            <v>13.547222222222222</v>
          </cell>
        </row>
        <row r="1025">
          <cell r="B1025">
            <v>855</v>
          </cell>
          <cell r="C1025" t="str">
            <v>round2</v>
          </cell>
          <cell r="D1025">
            <v>2010</v>
          </cell>
          <cell r="E1025" t="str">
            <v>girlsU14</v>
          </cell>
          <cell r="F1025" t="str">
            <v>handball</v>
          </cell>
          <cell r="G1025" t="str">
            <v>girls</v>
          </cell>
          <cell r="H1025">
            <v>23.303777777777775</v>
          </cell>
          <cell r="I1025">
            <v>-9.3759999999999994</v>
          </cell>
          <cell r="J1025">
            <v>45412</v>
          </cell>
          <cell r="K1025">
            <v>40324</v>
          </cell>
          <cell r="L1025">
            <v>13.927777777777777</v>
          </cell>
        </row>
        <row r="1026">
          <cell r="B1026">
            <v>856</v>
          </cell>
          <cell r="C1026" t="str">
            <v>round2</v>
          </cell>
          <cell r="D1026">
            <v>2010</v>
          </cell>
          <cell r="E1026" t="str">
            <v>girlsU14</v>
          </cell>
          <cell r="F1026" t="str">
            <v>handball</v>
          </cell>
          <cell r="G1026" t="str">
            <v>girls</v>
          </cell>
          <cell r="H1026">
            <v>23.573222222222221</v>
          </cell>
          <cell r="I1026">
            <v>-9.3759999999999994</v>
          </cell>
          <cell r="J1026">
            <v>45412</v>
          </cell>
          <cell r="K1026">
            <v>40228</v>
          </cell>
          <cell r="L1026">
            <v>14.197222222222223</v>
          </cell>
        </row>
        <row r="1027">
          <cell r="B1027">
            <v>857</v>
          </cell>
          <cell r="C1027" t="str">
            <v>round2</v>
          </cell>
          <cell r="D1027">
            <v>2010</v>
          </cell>
          <cell r="E1027" t="str">
            <v>girlsU14</v>
          </cell>
          <cell r="F1027" t="str">
            <v>handball</v>
          </cell>
          <cell r="G1027" t="str">
            <v>girls</v>
          </cell>
          <cell r="H1027">
            <v>11.48433142693464</v>
          </cell>
          <cell r="I1027">
            <v>2.0628907952875823</v>
          </cell>
          <cell r="J1027">
            <v>45412</v>
          </cell>
          <cell r="K1027">
            <v>40464</v>
          </cell>
          <cell r="L1027">
            <v>13.547222222222222</v>
          </cell>
        </row>
        <row r="1028">
          <cell r="B1028">
            <v>858</v>
          </cell>
          <cell r="C1028" t="str">
            <v>round2</v>
          </cell>
          <cell r="D1028">
            <v>2010</v>
          </cell>
          <cell r="E1028" t="str">
            <v>girlsU14</v>
          </cell>
          <cell r="F1028" t="str">
            <v>handball</v>
          </cell>
          <cell r="G1028" t="str">
            <v>girls</v>
          </cell>
          <cell r="H1028">
            <v>12.206441529188035</v>
          </cell>
          <cell r="I1028">
            <v>1.6630029152564081</v>
          </cell>
          <cell r="J1028">
            <v>45412</v>
          </cell>
          <cell r="K1028">
            <v>40346</v>
          </cell>
          <cell r="L1028">
            <v>13.869444444444444</v>
          </cell>
        </row>
        <row r="1029">
          <cell r="B1029">
            <v>859</v>
          </cell>
          <cell r="C1029" t="str">
            <v>round2</v>
          </cell>
          <cell r="D1029">
            <v>2010</v>
          </cell>
          <cell r="E1029" t="str">
            <v>girlsU14</v>
          </cell>
          <cell r="F1029" t="str">
            <v>handball</v>
          </cell>
          <cell r="G1029" t="str">
            <v>girls</v>
          </cell>
          <cell r="H1029">
            <v>12.091989118640225</v>
          </cell>
          <cell r="I1029">
            <v>2.049677548026442</v>
          </cell>
          <cell r="J1029">
            <v>45412</v>
          </cell>
          <cell r="K1029">
            <v>40246</v>
          </cell>
          <cell r="L1029">
            <v>14.141666666666667</v>
          </cell>
        </row>
        <row r="1030">
          <cell r="B1030">
            <v>860</v>
          </cell>
          <cell r="C1030" t="str">
            <v>round2</v>
          </cell>
          <cell r="D1030">
            <v>2010</v>
          </cell>
          <cell r="E1030" t="str">
            <v>girlsU14</v>
          </cell>
          <cell r="F1030" t="str">
            <v>handball</v>
          </cell>
          <cell r="G1030" t="str">
            <v>girls</v>
          </cell>
          <cell r="H1030">
            <v>22.809333333333335</v>
          </cell>
          <cell r="I1030">
            <v>-9.3759999999999994</v>
          </cell>
          <cell r="J1030">
            <v>45412</v>
          </cell>
          <cell r="K1030">
            <v>40506</v>
          </cell>
          <cell r="L1030">
            <v>13.433333333333334</v>
          </cell>
        </row>
        <row r="1031">
          <cell r="B1031">
            <v>861</v>
          </cell>
          <cell r="C1031" t="str">
            <v>round2</v>
          </cell>
          <cell r="D1031">
            <v>2010</v>
          </cell>
          <cell r="E1031" t="str">
            <v>girlsU14</v>
          </cell>
          <cell r="F1031" t="str">
            <v>handball</v>
          </cell>
          <cell r="G1031" t="str">
            <v>girls</v>
          </cell>
          <cell r="H1031">
            <v>12.194691166085619</v>
          </cell>
          <cell r="I1031">
            <v>1.3414199450254936</v>
          </cell>
          <cell r="J1031">
            <v>45412</v>
          </cell>
          <cell r="K1031">
            <v>40468</v>
          </cell>
          <cell r="L1031">
            <v>13.536111111111111</v>
          </cell>
        </row>
        <row r="1032">
          <cell r="B1032">
            <v>862</v>
          </cell>
          <cell r="C1032" t="str">
            <v>round2</v>
          </cell>
          <cell r="D1032">
            <v>2010</v>
          </cell>
          <cell r="E1032" t="str">
            <v>girlsU14</v>
          </cell>
          <cell r="F1032" t="str">
            <v>handball</v>
          </cell>
          <cell r="G1032" t="str">
            <v>girls</v>
          </cell>
          <cell r="H1032">
            <v>12.283334454028193</v>
          </cell>
          <cell r="I1032">
            <v>2.0472211015273634</v>
          </cell>
          <cell r="J1032">
            <v>45412</v>
          </cell>
          <cell r="K1032">
            <v>40179</v>
          </cell>
          <cell r="L1032">
            <v>14.330555555555556</v>
          </cell>
        </row>
        <row r="1033">
          <cell r="B1033">
            <v>123456</v>
          </cell>
          <cell r="C1033" t="str">
            <v>round2</v>
          </cell>
          <cell r="D1033">
            <v>2010</v>
          </cell>
          <cell r="E1033" t="str">
            <v>girlsU14</v>
          </cell>
          <cell r="F1033" t="str">
            <v>handball</v>
          </cell>
          <cell r="G1033" t="str">
            <v>girls</v>
          </cell>
          <cell r="H1033">
            <v>12.462539845099414</v>
          </cell>
          <cell r="I1033">
            <v>1.2152379326783622</v>
          </cell>
          <cell r="J1033">
            <v>45412</v>
          </cell>
          <cell r="K1033" t="str">
            <v>26.08.2010</v>
          </cell>
          <cell r="L1033">
            <v>13.677777777777777</v>
          </cell>
        </row>
        <row r="1034">
          <cell r="B1034">
            <v>123457</v>
          </cell>
          <cell r="C1034" t="str">
            <v>round2</v>
          </cell>
          <cell r="D1034">
            <v>2010</v>
          </cell>
          <cell r="E1034" t="str">
            <v>girlsU14</v>
          </cell>
          <cell r="F1034" t="str">
            <v>handball</v>
          </cell>
          <cell r="G1034" t="str">
            <v>girls</v>
          </cell>
          <cell r="H1034">
            <v>11.93676117287818</v>
          </cell>
          <cell r="I1034">
            <v>1.7604610493440425</v>
          </cell>
          <cell r="J1034">
            <v>45412</v>
          </cell>
          <cell r="K1034" t="str">
            <v>19.08.2010</v>
          </cell>
          <cell r="L1034">
            <v>13.697222222222223</v>
          </cell>
        </row>
        <row r="1035">
          <cell r="B1035">
            <v>123458</v>
          </cell>
          <cell r="C1035" t="str">
            <v>round2</v>
          </cell>
          <cell r="D1035">
            <v>2010</v>
          </cell>
          <cell r="E1035" t="str">
            <v>girlsU14</v>
          </cell>
          <cell r="F1035" t="str">
            <v>handball</v>
          </cell>
          <cell r="G1035" t="str">
            <v>girls</v>
          </cell>
          <cell r="H1035">
            <v>11.432645999052134</v>
          </cell>
          <cell r="I1035">
            <v>1.9173540009478658</v>
          </cell>
          <cell r="J1035">
            <v>45412</v>
          </cell>
          <cell r="K1035">
            <v>40536</v>
          </cell>
          <cell r="L1035">
            <v>13.35</v>
          </cell>
        </row>
        <row r="1036">
          <cell r="B1036">
            <v>123459</v>
          </cell>
          <cell r="C1036" t="str">
            <v>round2</v>
          </cell>
          <cell r="D1036">
            <v>2010</v>
          </cell>
          <cell r="E1036" t="str">
            <v>girlsU14</v>
          </cell>
          <cell r="F1036" t="str">
            <v>handball</v>
          </cell>
          <cell r="G1036" t="str">
            <v>girls</v>
          </cell>
          <cell r="H1036">
            <v>22.96211111111111</v>
          </cell>
          <cell r="I1036">
            <v>-9.3759999999999994</v>
          </cell>
          <cell r="J1036">
            <v>45412</v>
          </cell>
          <cell r="K1036">
            <v>40450</v>
          </cell>
          <cell r="L1036">
            <v>13.58611111111111</v>
          </cell>
        </row>
        <row r="1037">
          <cell r="B1037">
            <v>123450</v>
          </cell>
          <cell r="C1037" t="str">
            <v>round2</v>
          </cell>
          <cell r="D1037">
            <v>2010</v>
          </cell>
          <cell r="E1037" t="str">
            <v>girlsU14</v>
          </cell>
          <cell r="F1037" t="str">
            <v>handball</v>
          </cell>
          <cell r="G1037" t="str">
            <v>girls</v>
          </cell>
          <cell r="H1037">
            <v>12.915241568735423</v>
          </cell>
          <cell r="I1037">
            <v>1.2069806534867982</v>
          </cell>
          <cell r="J1037">
            <v>45412</v>
          </cell>
          <cell r="K1037">
            <v>40253</v>
          </cell>
          <cell r="L1037">
            <v>14.122222222222222</v>
          </cell>
        </row>
        <row r="1038">
          <cell r="B1038">
            <v>123451</v>
          </cell>
          <cell r="C1038" t="str">
            <v>round2</v>
          </cell>
          <cell r="D1038">
            <v>2010</v>
          </cell>
          <cell r="E1038" t="str">
            <v>girlsU14</v>
          </cell>
          <cell r="F1038" t="str">
            <v>handball</v>
          </cell>
          <cell r="G1038" t="str">
            <v>girls</v>
          </cell>
          <cell r="H1038">
            <v>133.70933333333332</v>
          </cell>
          <cell r="I1038">
            <v>-9.3759999999999994</v>
          </cell>
          <cell r="J1038">
            <v>45412</v>
          </cell>
          <cell r="K1038">
            <v>0</v>
          </cell>
          <cell r="L1038">
            <v>124.33333333333333</v>
          </cell>
        </row>
        <row r="1039">
          <cell r="B1039">
            <v>123452</v>
          </cell>
          <cell r="C1039" t="str">
            <v>round2</v>
          </cell>
          <cell r="D1039">
            <v>2010</v>
          </cell>
          <cell r="E1039" t="str">
            <v>girlsU14</v>
          </cell>
          <cell r="F1039" t="str">
            <v>handball</v>
          </cell>
          <cell r="G1039" t="str">
            <v>girls</v>
          </cell>
          <cell r="H1039">
            <v>133.70933333333332</v>
          </cell>
          <cell r="I1039">
            <v>-9.3759999999999994</v>
          </cell>
          <cell r="J1039">
            <v>45412</v>
          </cell>
          <cell r="K1039">
            <v>0</v>
          </cell>
          <cell r="L1039">
            <v>124.33333333333333</v>
          </cell>
        </row>
        <row r="1040">
          <cell r="B1040">
            <v>123453</v>
          </cell>
          <cell r="C1040" t="str">
            <v>round2</v>
          </cell>
          <cell r="D1040">
            <v>2010</v>
          </cell>
          <cell r="E1040" t="str">
            <v>girlsU14</v>
          </cell>
          <cell r="F1040" t="str">
            <v>handball</v>
          </cell>
          <cell r="G1040" t="str">
            <v>girls</v>
          </cell>
          <cell r="H1040">
            <v>133.70933333333332</v>
          </cell>
          <cell r="I1040">
            <v>-9.3759999999999994</v>
          </cell>
          <cell r="J1040">
            <v>45412</v>
          </cell>
          <cell r="K1040">
            <v>0</v>
          </cell>
          <cell r="L1040">
            <v>124.33333333333333</v>
          </cell>
        </row>
        <row r="1041">
          <cell r="B1041">
            <v>123454</v>
          </cell>
          <cell r="C1041" t="str">
            <v>round2</v>
          </cell>
          <cell r="D1041">
            <v>2010</v>
          </cell>
          <cell r="E1041" t="str">
            <v>girlsU14</v>
          </cell>
          <cell r="F1041" t="str">
            <v>handball</v>
          </cell>
          <cell r="G1041" t="str">
            <v>girls</v>
          </cell>
          <cell r="H1041">
            <v>12.326080552466125</v>
          </cell>
          <cell r="I1041">
            <v>2.0044750030894303</v>
          </cell>
          <cell r="J1041">
            <v>45412</v>
          </cell>
          <cell r="K1041">
            <v>40179</v>
          </cell>
          <cell r="L1041">
            <v>14.330555555555556</v>
          </cell>
        </row>
        <row r="1042">
          <cell r="B1042">
            <v>885</v>
          </cell>
          <cell r="C1042" t="str">
            <v>round2</v>
          </cell>
          <cell r="D1042">
            <v>2010</v>
          </cell>
          <cell r="E1042" t="str">
            <v>girlsU14</v>
          </cell>
          <cell r="F1042" t="str">
            <v>handball</v>
          </cell>
          <cell r="G1042" t="str">
            <v>girls</v>
          </cell>
          <cell r="H1042">
            <v>12.278309461652119</v>
          </cell>
          <cell r="I1042">
            <v>1.2161349827923245</v>
          </cell>
          <cell r="J1042">
            <v>45420</v>
          </cell>
          <cell r="K1042" t="str">
            <v>10.11.2010</v>
          </cell>
          <cell r="L1042">
            <v>13.494444444444444</v>
          </cell>
        </row>
        <row r="1043">
          <cell r="B1043">
            <v>886</v>
          </cell>
          <cell r="C1043" t="str">
            <v>round2</v>
          </cell>
          <cell r="D1043">
            <v>2010</v>
          </cell>
          <cell r="E1043" t="str">
            <v>girlsU14</v>
          </cell>
          <cell r="F1043" t="str">
            <v>handball</v>
          </cell>
          <cell r="G1043" t="str">
            <v>girls</v>
          </cell>
          <cell r="H1043">
            <v>11.826111529386585</v>
          </cell>
          <cell r="I1043">
            <v>2.1572218039467472</v>
          </cell>
          <cell r="J1043">
            <v>45420</v>
          </cell>
          <cell r="K1043" t="str">
            <v>14.05.2010</v>
          </cell>
          <cell r="L1043">
            <v>13.983333333333333</v>
          </cell>
        </row>
        <row r="1044">
          <cell r="B1044">
            <v>887</v>
          </cell>
          <cell r="C1044" t="str">
            <v>round2</v>
          </cell>
          <cell r="D1044">
            <v>2010</v>
          </cell>
          <cell r="E1044" t="str">
            <v>girlsU14</v>
          </cell>
          <cell r="F1044" t="str">
            <v>handball</v>
          </cell>
          <cell r="G1044" t="str">
            <v>girls</v>
          </cell>
          <cell r="H1044">
            <v>12.530075333825392</v>
          </cell>
          <cell r="I1044">
            <v>1.2310357772857186</v>
          </cell>
          <cell r="J1044">
            <v>45420</v>
          </cell>
          <cell r="K1044">
            <v>40394</v>
          </cell>
          <cell r="L1044">
            <v>13.761111111111111</v>
          </cell>
        </row>
        <row r="1045">
          <cell r="B1045">
            <v>888</v>
          </cell>
          <cell r="C1045" t="str">
            <v>round2</v>
          </cell>
          <cell r="D1045">
            <v>2010</v>
          </cell>
          <cell r="E1045" t="str">
            <v>girlsU14</v>
          </cell>
          <cell r="F1045" t="str">
            <v>handball</v>
          </cell>
          <cell r="G1045" t="str">
            <v>girls</v>
          </cell>
          <cell r="H1045">
            <v>23.676000000000002</v>
          </cell>
          <cell r="I1045">
            <v>-9.3759999999999994</v>
          </cell>
          <cell r="J1045">
            <v>45420</v>
          </cell>
          <cell r="K1045" t="str">
            <v>20.01.2010</v>
          </cell>
          <cell r="L1045">
            <v>14.3</v>
          </cell>
        </row>
        <row r="1046">
          <cell r="B1046">
            <v>889</v>
          </cell>
          <cell r="C1046" t="str">
            <v>round2</v>
          </cell>
          <cell r="D1046">
            <v>2010</v>
          </cell>
          <cell r="E1046" t="str">
            <v>girlsU14</v>
          </cell>
          <cell r="F1046" t="str">
            <v>handball</v>
          </cell>
          <cell r="G1046" t="str">
            <v>girls</v>
          </cell>
          <cell r="H1046">
            <v>12.464896272584722</v>
          </cell>
          <cell r="I1046">
            <v>1.7239926163041659</v>
          </cell>
          <cell r="J1046">
            <v>45420</v>
          </cell>
          <cell r="K1046" t="str">
            <v>28.02.2010</v>
          </cell>
          <cell r="L1046">
            <v>14.188888888888888</v>
          </cell>
        </row>
        <row r="1047">
          <cell r="B1047">
            <v>890</v>
          </cell>
          <cell r="C1047" t="str">
            <v>round2</v>
          </cell>
          <cell r="D1047">
            <v>2010</v>
          </cell>
          <cell r="E1047" t="str">
            <v>girlsU14</v>
          </cell>
          <cell r="F1047" t="str">
            <v>handball</v>
          </cell>
          <cell r="G1047" t="str">
            <v>girls</v>
          </cell>
          <cell r="H1047">
            <v>23.620444444444445</v>
          </cell>
          <cell r="I1047">
            <v>-9.3759999999999994</v>
          </cell>
          <cell r="J1047">
            <v>45420</v>
          </cell>
          <cell r="K1047" t="str">
            <v>10.02.2010</v>
          </cell>
          <cell r="L1047">
            <v>14.244444444444444</v>
          </cell>
        </row>
        <row r="1048">
          <cell r="B1048">
            <v>891</v>
          </cell>
          <cell r="C1048" t="str">
            <v>round2</v>
          </cell>
          <cell r="D1048">
            <v>2010</v>
          </cell>
          <cell r="E1048" t="str">
            <v>girlsU14</v>
          </cell>
          <cell r="F1048" t="str">
            <v>handball</v>
          </cell>
          <cell r="G1048" t="str">
            <v>girls</v>
          </cell>
          <cell r="H1048">
            <v>23.206555555555553</v>
          </cell>
          <cell r="I1048">
            <v>-9.3759999999999994</v>
          </cell>
          <cell r="J1048">
            <v>45420</v>
          </cell>
          <cell r="K1048" t="str">
            <v>09.07.2010</v>
          </cell>
          <cell r="L1048">
            <v>13.830555555555556</v>
          </cell>
        </row>
        <row r="1049">
          <cell r="B1049">
            <v>892</v>
          </cell>
          <cell r="C1049" t="str">
            <v>round2</v>
          </cell>
          <cell r="D1049">
            <v>2010</v>
          </cell>
          <cell r="E1049" t="str">
            <v>girlsU14</v>
          </cell>
          <cell r="F1049" t="str">
            <v>handball</v>
          </cell>
          <cell r="G1049" t="str">
            <v>girls</v>
          </cell>
          <cell r="H1049">
            <v>11.799443814444844</v>
          </cell>
          <cell r="I1049">
            <v>1.7144450744440449</v>
          </cell>
          <cell r="J1049">
            <v>45420</v>
          </cell>
          <cell r="K1049" t="str">
            <v>03.11.2010</v>
          </cell>
          <cell r="L1049">
            <v>13.513888888888889</v>
          </cell>
        </row>
        <row r="1050">
          <cell r="B1050">
            <v>893</v>
          </cell>
          <cell r="C1050" t="str">
            <v>round2</v>
          </cell>
          <cell r="D1050">
            <v>2010</v>
          </cell>
          <cell r="E1050" t="str">
            <v>girlsU14</v>
          </cell>
          <cell r="F1050" t="str">
            <v>handball</v>
          </cell>
          <cell r="G1050" t="str">
            <v>girls</v>
          </cell>
          <cell r="H1050">
            <v>12.147068838002202</v>
          </cell>
          <cell r="I1050">
            <v>1.3862644953311305</v>
          </cell>
          <cell r="J1050">
            <v>45420</v>
          </cell>
          <cell r="K1050" t="str">
            <v>26.10.2010</v>
          </cell>
          <cell r="L1050">
            <v>13.533333333333333</v>
          </cell>
        </row>
        <row r="1051">
          <cell r="B1051">
            <v>894</v>
          </cell>
          <cell r="C1051" t="str">
            <v>round2</v>
          </cell>
          <cell r="D1051">
            <v>2010</v>
          </cell>
          <cell r="E1051" t="str">
            <v>girlsU14</v>
          </cell>
          <cell r="F1051" t="str">
            <v>handball</v>
          </cell>
          <cell r="G1051" t="str">
            <v>girls</v>
          </cell>
          <cell r="H1051">
            <v>11.852834356075174</v>
          </cell>
          <cell r="I1051">
            <v>2.0804989772581592</v>
          </cell>
          <cell r="J1051">
            <v>45420</v>
          </cell>
          <cell r="K1051" t="str">
            <v>02.06.2010</v>
          </cell>
          <cell r="L1051">
            <v>13.933333333333334</v>
          </cell>
        </row>
        <row r="1052">
          <cell r="B1052">
            <v>895</v>
          </cell>
          <cell r="C1052" t="str">
            <v>round2</v>
          </cell>
          <cell r="D1052">
            <v>2010</v>
          </cell>
          <cell r="E1052" t="str">
            <v>girlsU14</v>
          </cell>
          <cell r="F1052" t="str">
            <v>handball</v>
          </cell>
          <cell r="G1052" t="str">
            <v>girls</v>
          </cell>
          <cell r="H1052">
            <v>12.432270532555556</v>
          </cell>
          <cell r="I1052">
            <v>1.3288405785555555</v>
          </cell>
          <cell r="J1052">
            <v>45420</v>
          </cell>
          <cell r="K1052">
            <v>40394</v>
          </cell>
          <cell r="L1052">
            <v>13.761111111111111</v>
          </cell>
        </row>
        <row r="1053">
          <cell r="B1053">
            <v>896</v>
          </cell>
          <cell r="C1053" t="str">
            <v>round2</v>
          </cell>
          <cell r="D1053">
            <v>2010</v>
          </cell>
          <cell r="E1053" t="str">
            <v>girlsU14</v>
          </cell>
          <cell r="F1053" t="str">
            <v>handball</v>
          </cell>
          <cell r="G1053" t="str">
            <v>girls</v>
          </cell>
          <cell r="H1053">
            <v>11.836396449792575</v>
          </cell>
          <cell r="I1053">
            <v>2.0080479946518701</v>
          </cell>
          <cell r="J1053">
            <v>45420</v>
          </cell>
          <cell r="K1053">
            <v>40363</v>
          </cell>
          <cell r="L1053">
            <v>13.844444444444445</v>
          </cell>
        </row>
        <row r="1054">
          <cell r="B1054">
            <v>897</v>
          </cell>
          <cell r="C1054" t="str">
            <v>round2</v>
          </cell>
          <cell r="D1054">
            <v>2010</v>
          </cell>
          <cell r="E1054" t="str">
            <v>girlsU14</v>
          </cell>
          <cell r="F1054" t="str">
            <v>handball</v>
          </cell>
          <cell r="G1054" t="str">
            <v>girls</v>
          </cell>
          <cell r="H1054">
            <v>11.582394812716799</v>
          </cell>
          <cell r="I1054">
            <v>2.1537162983943112</v>
          </cell>
          <cell r="J1054">
            <v>45420</v>
          </cell>
          <cell r="K1054">
            <v>40403</v>
          </cell>
          <cell r="L1054">
            <v>13.736111111111111</v>
          </cell>
        </row>
        <row r="1055">
          <cell r="B1055">
            <v>898</v>
          </cell>
          <cell r="C1055" t="str">
            <v>round2</v>
          </cell>
          <cell r="D1055">
            <v>2010</v>
          </cell>
          <cell r="E1055" t="str">
            <v>girlsU14</v>
          </cell>
          <cell r="F1055" t="str">
            <v>handball</v>
          </cell>
          <cell r="G1055" t="str">
            <v>girls</v>
          </cell>
          <cell r="H1055">
            <v>12.386845882100683</v>
          </cell>
          <cell r="I1055">
            <v>1.8131541178993156</v>
          </cell>
          <cell r="J1055">
            <v>45420</v>
          </cell>
          <cell r="K1055" t="str">
            <v>26.02.2010</v>
          </cell>
          <cell r="L1055">
            <v>14.2</v>
          </cell>
        </row>
        <row r="1056">
          <cell r="B1056">
            <v>899</v>
          </cell>
          <cell r="C1056" t="str">
            <v>round2</v>
          </cell>
          <cell r="D1056">
            <v>2010</v>
          </cell>
          <cell r="E1056" t="str">
            <v>girlsU14</v>
          </cell>
          <cell r="F1056" t="str">
            <v>handball</v>
          </cell>
          <cell r="G1056" t="str">
            <v>girls</v>
          </cell>
          <cell r="J1056">
            <v>45420</v>
          </cell>
          <cell r="K1056">
            <v>0</v>
          </cell>
        </row>
        <row r="1057">
          <cell r="B1057">
            <v>900</v>
          </cell>
          <cell r="C1057" t="str">
            <v>round2</v>
          </cell>
          <cell r="D1057">
            <v>2010</v>
          </cell>
          <cell r="E1057" t="str">
            <v>girlsU14</v>
          </cell>
          <cell r="F1057" t="str">
            <v>handball</v>
          </cell>
          <cell r="G1057" t="str">
            <v>girls</v>
          </cell>
          <cell r="H1057">
            <v>12.047436221209988</v>
          </cell>
          <cell r="I1057">
            <v>1.4803415565677893</v>
          </cell>
          <cell r="J1057">
            <v>45420</v>
          </cell>
          <cell r="K1057" t="str">
            <v>28.10.2010</v>
          </cell>
          <cell r="L1057">
            <v>13.527777777777779</v>
          </cell>
        </row>
        <row r="1058">
          <cell r="B1058">
            <v>901</v>
          </cell>
          <cell r="C1058" t="str">
            <v>round2</v>
          </cell>
          <cell r="D1058">
            <v>2010</v>
          </cell>
          <cell r="E1058" t="str">
            <v>girlsU14</v>
          </cell>
          <cell r="F1058" t="str">
            <v>handball</v>
          </cell>
          <cell r="G1058" t="str">
            <v>girls</v>
          </cell>
          <cell r="H1058">
            <v>23.581555555555553</v>
          </cell>
          <cell r="I1058">
            <v>-9.3759999999999994</v>
          </cell>
          <cell r="J1058">
            <v>45420</v>
          </cell>
          <cell r="K1058" t="str">
            <v>24.02.2010</v>
          </cell>
          <cell r="L1058">
            <v>14.205555555555556</v>
          </cell>
        </row>
        <row r="1059">
          <cell r="B1059">
            <v>902</v>
          </cell>
          <cell r="C1059" t="str">
            <v>round2</v>
          </cell>
          <cell r="D1059">
            <v>2010</v>
          </cell>
          <cell r="E1059" t="str">
            <v>girlsU14</v>
          </cell>
          <cell r="F1059" t="str">
            <v>handball</v>
          </cell>
          <cell r="G1059" t="str">
            <v>girls</v>
          </cell>
          <cell r="H1059">
            <v>11.558341827279353</v>
          </cell>
          <cell r="I1059">
            <v>2.6916581727206479</v>
          </cell>
          <cell r="J1059">
            <v>45420</v>
          </cell>
          <cell r="K1059">
            <v>40217</v>
          </cell>
          <cell r="L1059">
            <v>14.25</v>
          </cell>
        </row>
        <row r="1060">
          <cell r="B1060">
            <v>903</v>
          </cell>
          <cell r="C1060" t="str">
            <v>round2</v>
          </cell>
          <cell r="D1060">
            <v>2010</v>
          </cell>
          <cell r="E1060" t="str">
            <v>girlsU14</v>
          </cell>
          <cell r="F1060" t="str">
            <v>handball</v>
          </cell>
          <cell r="G1060" t="str">
            <v>girls</v>
          </cell>
          <cell r="H1060">
            <v>12.10071284015876</v>
          </cell>
          <cell r="I1060">
            <v>2.1076204931745748</v>
          </cell>
          <cell r="J1060">
            <v>45420</v>
          </cell>
          <cell r="K1060">
            <v>40232</v>
          </cell>
          <cell r="L1060">
            <v>14.208333333333334</v>
          </cell>
        </row>
        <row r="1061">
          <cell r="B1061">
            <v>904</v>
          </cell>
          <cell r="C1061" t="str">
            <v>round2</v>
          </cell>
          <cell r="D1061">
            <v>2010</v>
          </cell>
          <cell r="E1061" t="str">
            <v>girlsU14</v>
          </cell>
          <cell r="F1061" t="str">
            <v>handball</v>
          </cell>
          <cell r="G1061" t="str">
            <v>girls</v>
          </cell>
          <cell r="H1061">
            <v>11.9541855649342</v>
          </cell>
          <cell r="I1061">
            <v>1.4041477683991319</v>
          </cell>
          <cell r="J1061">
            <v>45420</v>
          </cell>
          <cell r="K1061" t="str">
            <v>29.12.2010</v>
          </cell>
          <cell r="L1061">
            <v>13.358333333333333</v>
          </cell>
        </row>
        <row r="1062">
          <cell r="B1062">
            <v>905</v>
          </cell>
          <cell r="C1062" t="str">
            <v>round2</v>
          </cell>
          <cell r="D1062">
            <v>2010</v>
          </cell>
          <cell r="E1062" t="str">
            <v>girlsU14</v>
          </cell>
          <cell r="F1062" t="str">
            <v>handball</v>
          </cell>
          <cell r="G1062" t="str">
            <v>girls</v>
          </cell>
          <cell r="H1062">
            <v>11.813480021472685</v>
          </cell>
          <cell r="I1062">
            <v>2.0031866451939822</v>
          </cell>
          <cell r="J1062">
            <v>45420</v>
          </cell>
          <cell r="K1062" t="str">
            <v>14.07.2010</v>
          </cell>
          <cell r="L1062">
            <v>13.816666666666666</v>
          </cell>
        </row>
        <row r="1063">
          <cell r="B1063">
            <v>906</v>
          </cell>
          <cell r="C1063" t="str">
            <v>round2</v>
          </cell>
          <cell r="D1063">
            <v>2010</v>
          </cell>
          <cell r="E1063" t="str">
            <v>girlsU14</v>
          </cell>
          <cell r="F1063" t="str">
            <v>handball</v>
          </cell>
          <cell r="G1063" t="str">
            <v>girls</v>
          </cell>
          <cell r="H1063">
            <v>11.565664066022599</v>
          </cell>
          <cell r="I1063">
            <v>2.7371137117551787</v>
          </cell>
          <cell r="J1063">
            <v>45420</v>
          </cell>
          <cell r="K1063">
            <v>40197</v>
          </cell>
          <cell r="L1063">
            <v>14.302777777777777</v>
          </cell>
        </row>
        <row r="1064">
          <cell r="B1064">
            <v>907</v>
          </cell>
          <cell r="C1064" t="str">
            <v>round2</v>
          </cell>
          <cell r="D1064">
            <v>2010</v>
          </cell>
          <cell r="E1064" t="str">
            <v>girlsU14</v>
          </cell>
          <cell r="F1064" t="str">
            <v>handball</v>
          </cell>
          <cell r="G1064" t="str">
            <v>girls</v>
          </cell>
          <cell r="H1064">
            <v>22.823222222222221</v>
          </cell>
          <cell r="I1064">
            <v>-9.3759999999999994</v>
          </cell>
          <cell r="J1064">
            <v>45420</v>
          </cell>
          <cell r="K1064">
            <v>40509</v>
          </cell>
          <cell r="L1064">
            <v>13.447222222222223</v>
          </cell>
        </row>
        <row r="1065">
          <cell r="B1065">
            <v>908</v>
          </cell>
          <cell r="C1065" t="str">
            <v>round2</v>
          </cell>
          <cell r="D1065">
            <v>2010</v>
          </cell>
          <cell r="E1065" t="str">
            <v>girlsU14</v>
          </cell>
          <cell r="F1065" t="str">
            <v>handball</v>
          </cell>
          <cell r="G1065" t="str">
            <v>girls</v>
          </cell>
          <cell r="H1065">
            <v>23.384333333333331</v>
          </cell>
          <cell r="I1065">
            <v>-9.3759999999999994</v>
          </cell>
          <cell r="J1065">
            <v>45420</v>
          </cell>
          <cell r="K1065">
            <v>40303</v>
          </cell>
          <cell r="L1065">
            <v>14.008333333333333</v>
          </cell>
        </row>
        <row r="1066">
          <cell r="B1066">
            <v>909</v>
          </cell>
          <cell r="C1066" t="str">
            <v>round2</v>
          </cell>
          <cell r="D1066">
            <v>2010</v>
          </cell>
          <cell r="E1066" t="str">
            <v>girlsU14</v>
          </cell>
          <cell r="F1066" t="str">
            <v>handball</v>
          </cell>
          <cell r="G1066" t="str">
            <v>girls</v>
          </cell>
          <cell r="H1066">
            <v>22.912111111111109</v>
          </cell>
          <cell r="I1066">
            <v>-9.3759999999999994</v>
          </cell>
          <cell r="J1066">
            <v>45420</v>
          </cell>
          <cell r="K1066" t="str">
            <v>25.10.2010</v>
          </cell>
          <cell r="L1066">
            <v>13.536111111111111</v>
          </cell>
        </row>
        <row r="1067">
          <cell r="B1067">
            <v>910</v>
          </cell>
          <cell r="C1067" t="str">
            <v>round2</v>
          </cell>
          <cell r="D1067">
            <v>2010</v>
          </cell>
          <cell r="E1067" t="str">
            <v>girlsU14</v>
          </cell>
          <cell r="F1067" t="str">
            <v>handball</v>
          </cell>
          <cell r="G1067" t="str">
            <v>girls</v>
          </cell>
          <cell r="H1067">
            <v>11.916710870611112</v>
          </cell>
          <cell r="I1067">
            <v>1.8638446849444437</v>
          </cell>
          <cell r="J1067">
            <v>45420</v>
          </cell>
          <cell r="K1067" t="str">
            <v>27.07.2010</v>
          </cell>
          <cell r="L1067">
            <v>13.780555555555555</v>
          </cell>
        </row>
        <row r="1068">
          <cell r="B1068">
            <v>911</v>
          </cell>
          <cell r="C1068" t="str">
            <v>round2</v>
          </cell>
          <cell r="D1068">
            <v>2010</v>
          </cell>
          <cell r="E1068" t="str">
            <v>girlsU14</v>
          </cell>
          <cell r="F1068" t="str">
            <v>handball</v>
          </cell>
          <cell r="G1068" t="str">
            <v>girls</v>
          </cell>
          <cell r="H1068">
            <v>22.764888888888891</v>
          </cell>
          <cell r="I1068">
            <v>-9.3759999999999994</v>
          </cell>
          <cell r="J1068">
            <v>45420</v>
          </cell>
          <cell r="K1068" t="str">
            <v>18.12.2010</v>
          </cell>
          <cell r="L1068">
            <v>13.388888888888889</v>
          </cell>
        </row>
        <row r="1069">
          <cell r="B1069">
            <v>912</v>
          </cell>
          <cell r="C1069" t="str">
            <v>round2</v>
          </cell>
          <cell r="D1069">
            <v>2010</v>
          </cell>
          <cell r="E1069" t="str">
            <v>girlsU14</v>
          </cell>
          <cell r="F1069" t="str">
            <v>handball</v>
          </cell>
          <cell r="G1069" t="str">
            <v>girls</v>
          </cell>
          <cell r="H1069">
            <v>12.08562818409214</v>
          </cell>
          <cell r="I1069">
            <v>1.9088162603523022</v>
          </cell>
          <cell r="J1069">
            <v>45420</v>
          </cell>
          <cell r="K1069">
            <v>40308</v>
          </cell>
          <cell r="L1069">
            <v>13.994444444444444</v>
          </cell>
        </row>
        <row r="1070">
          <cell r="B1070">
            <v>913</v>
          </cell>
          <cell r="C1070" t="str">
            <v>round2</v>
          </cell>
          <cell r="D1070">
            <v>2010</v>
          </cell>
          <cell r="E1070" t="str">
            <v>girlsU14</v>
          </cell>
          <cell r="F1070" t="str">
            <v>handball</v>
          </cell>
          <cell r="G1070" t="str">
            <v>girls</v>
          </cell>
          <cell r="H1070">
            <v>11.685757700404803</v>
          </cell>
          <cell r="I1070">
            <v>2.4225756329285284</v>
          </cell>
          <cell r="J1070">
            <v>45420</v>
          </cell>
          <cell r="K1070" t="str">
            <v>29.03.2010</v>
          </cell>
          <cell r="L1070">
            <v>14.108333333333333</v>
          </cell>
        </row>
        <row r="1071">
          <cell r="B1071">
            <v>914</v>
          </cell>
          <cell r="C1071" t="str">
            <v>round2</v>
          </cell>
          <cell r="D1071">
            <v>2010</v>
          </cell>
          <cell r="E1071" t="str">
            <v>girlsU14</v>
          </cell>
          <cell r="F1071" t="str">
            <v>handball</v>
          </cell>
          <cell r="G1071" t="str">
            <v>girls</v>
          </cell>
          <cell r="H1071">
            <v>11.322965838378787</v>
          </cell>
          <cell r="I1071">
            <v>2.1187008282878796</v>
          </cell>
          <cell r="J1071">
            <v>45420</v>
          </cell>
          <cell r="K1071" t="str">
            <v>29.11.2010</v>
          </cell>
          <cell r="L1071">
            <v>13.441666666666666</v>
          </cell>
        </row>
        <row r="1072">
          <cell r="B1072">
            <v>915</v>
          </cell>
          <cell r="C1072" t="str">
            <v>round2</v>
          </cell>
          <cell r="D1072">
            <v>2010</v>
          </cell>
          <cell r="E1072" t="str">
            <v>girlsU14</v>
          </cell>
          <cell r="F1072" t="str">
            <v>handball</v>
          </cell>
          <cell r="G1072" t="str">
            <v>girls</v>
          </cell>
          <cell r="H1072">
            <v>22.789888888888889</v>
          </cell>
          <cell r="I1072">
            <v>-9.3759999999999994</v>
          </cell>
          <cell r="J1072">
            <v>45420</v>
          </cell>
          <cell r="K1072">
            <v>40521</v>
          </cell>
          <cell r="L1072">
            <v>13.41388888888889</v>
          </cell>
        </row>
        <row r="1073">
          <cell r="B1073">
            <v>916</v>
          </cell>
          <cell r="C1073" t="str">
            <v>round2</v>
          </cell>
          <cell r="D1073">
            <v>2010</v>
          </cell>
          <cell r="E1073" t="str">
            <v>girlsU14</v>
          </cell>
          <cell r="F1073" t="str">
            <v>handball</v>
          </cell>
          <cell r="G1073" t="str">
            <v>girls</v>
          </cell>
          <cell r="H1073">
            <v>12.41410864166563</v>
          </cell>
          <cell r="I1073">
            <v>1.3970024694454828</v>
          </cell>
          <cell r="J1073">
            <v>45420</v>
          </cell>
          <cell r="K1073">
            <v>40375</v>
          </cell>
          <cell r="L1073">
            <v>13.811111111111112</v>
          </cell>
        </row>
        <row r="1074">
          <cell r="B1074">
            <v>4005</v>
          </cell>
          <cell r="C1074" t="str">
            <v>round2</v>
          </cell>
          <cell r="D1074">
            <v>2010</v>
          </cell>
          <cell r="E1074" t="str">
            <v>girlsU14</v>
          </cell>
          <cell r="F1074" t="str">
            <v>handball</v>
          </cell>
          <cell r="G1074" t="str">
            <v>girls</v>
          </cell>
          <cell r="H1074">
            <v>12.154729909363635</v>
          </cell>
          <cell r="I1074">
            <v>2.159158979525253</v>
          </cell>
          <cell r="J1074">
            <v>45420</v>
          </cell>
          <cell r="K1074">
            <v>40193</v>
          </cell>
          <cell r="L1074">
            <v>14.313888888888888</v>
          </cell>
        </row>
        <row r="1075">
          <cell r="B1075">
            <v>4006</v>
          </cell>
          <cell r="C1075" t="str">
            <v>round2</v>
          </cell>
          <cell r="D1075">
            <v>2010</v>
          </cell>
          <cell r="E1075" t="str">
            <v>girlsU14</v>
          </cell>
          <cell r="F1075" t="str">
            <v>handball</v>
          </cell>
          <cell r="G1075" t="str">
            <v>girls</v>
          </cell>
          <cell r="H1075">
            <v>11.945521741313726</v>
          </cell>
          <cell r="I1075">
            <v>2.3711449253529406</v>
          </cell>
          <cell r="J1075">
            <v>45420</v>
          </cell>
          <cell r="K1075">
            <v>40192</v>
          </cell>
          <cell r="L1075">
            <v>14.316666666666666</v>
          </cell>
        </row>
        <row r="1076">
          <cell r="B1076">
            <v>931</v>
          </cell>
          <cell r="C1076" t="str">
            <v>round2</v>
          </cell>
          <cell r="D1076">
            <v>2006</v>
          </cell>
          <cell r="E1076" t="str">
            <v>boysU18</v>
          </cell>
          <cell r="F1076" t="str">
            <v>handball</v>
          </cell>
          <cell r="G1076" t="str">
            <v>boys</v>
          </cell>
          <cell r="H1076">
            <v>14.434568460327124</v>
          </cell>
          <cell r="I1076">
            <v>3.1043204285617625</v>
          </cell>
          <cell r="J1076">
            <v>45460</v>
          </cell>
          <cell r="K1076">
            <v>39054</v>
          </cell>
          <cell r="L1076">
            <v>17.538888888888888</v>
          </cell>
        </row>
        <row r="1077">
          <cell r="B1077">
            <v>932</v>
          </cell>
          <cell r="C1077" t="str">
            <v>round2</v>
          </cell>
          <cell r="D1077">
            <v>2006</v>
          </cell>
          <cell r="E1077" t="str">
            <v>boysU18</v>
          </cell>
          <cell r="F1077" t="str">
            <v>handball</v>
          </cell>
          <cell r="G1077" t="str">
            <v>boys</v>
          </cell>
          <cell r="H1077">
            <v>27.694333333333333</v>
          </cell>
          <cell r="I1077">
            <v>-9.2360000000000007</v>
          </cell>
          <cell r="J1077">
            <v>45460</v>
          </cell>
          <cell r="K1077">
            <v>38719</v>
          </cell>
          <cell r="L1077">
            <v>18.458333333333332</v>
          </cell>
        </row>
        <row r="1078">
          <cell r="B1078">
            <v>933</v>
          </cell>
          <cell r="C1078" t="str">
            <v>round2</v>
          </cell>
          <cell r="D1078">
            <v>2006</v>
          </cell>
          <cell r="E1078" t="str">
            <v>boysU18</v>
          </cell>
          <cell r="F1078" t="str">
            <v>handball</v>
          </cell>
          <cell r="G1078" t="str">
            <v>boys</v>
          </cell>
          <cell r="H1078">
            <v>13.980315486112307</v>
          </cell>
          <cell r="I1078">
            <v>4.214128958332136</v>
          </cell>
          <cell r="J1078">
            <v>45460</v>
          </cell>
          <cell r="K1078">
            <v>38814</v>
          </cell>
          <cell r="L1078">
            <v>18.194444444444443</v>
          </cell>
        </row>
        <row r="1079">
          <cell r="B1079">
            <v>934</v>
          </cell>
          <cell r="C1079" t="str">
            <v>round2</v>
          </cell>
          <cell r="D1079">
            <v>2005</v>
          </cell>
          <cell r="E1079">
            <v>0</v>
          </cell>
          <cell r="F1079" t="str">
            <v>handball</v>
          </cell>
          <cell r="G1079" t="str">
            <v>boys</v>
          </cell>
          <cell r="H1079">
            <v>28.669333333333334</v>
          </cell>
          <cell r="I1079">
            <v>-9.2360000000000007</v>
          </cell>
          <cell r="J1079">
            <v>45460</v>
          </cell>
          <cell r="K1079">
            <v>38363</v>
          </cell>
          <cell r="L1079">
            <v>19.433333333333334</v>
          </cell>
        </row>
        <row r="1080">
          <cell r="B1080">
            <v>935</v>
          </cell>
          <cell r="C1080" t="str">
            <v>round2</v>
          </cell>
          <cell r="D1080">
            <v>2006</v>
          </cell>
          <cell r="E1080" t="str">
            <v>boysU18</v>
          </cell>
          <cell r="F1080" t="str">
            <v>handball</v>
          </cell>
          <cell r="G1080" t="str">
            <v>boys</v>
          </cell>
          <cell r="H1080">
            <v>15.663956485956168</v>
          </cell>
          <cell r="I1080">
            <v>2.3749324029327195</v>
          </cell>
          <cell r="J1080">
            <v>45460</v>
          </cell>
          <cell r="K1080">
            <v>38871</v>
          </cell>
          <cell r="L1080">
            <v>18.038888888888888</v>
          </cell>
        </row>
        <row r="1081">
          <cell r="B1081">
            <v>936</v>
          </cell>
          <cell r="C1081" t="str">
            <v>round2</v>
          </cell>
          <cell r="D1081">
            <v>2006</v>
          </cell>
          <cell r="E1081" t="str">
            <v>boysU18</v>
          </cell>
          <cell r="F1081" t="str">
            <v>handball</v>
          </cell>
          <cell r="G1081" t="str">
            <v>boys</v>
          </cell>
          <cell r="H1081">
            <v>27.586000000000002</v>
          </cell>
          <cell r="I1081">
            <v>-9.2360000000000007</v>
          </cell>
          <cell r="J1081">
            <v>45460</v>
          </cell>
          <cell r="K1081">
            <v>38759</v>
          </cell>
          <cell r="L1081">
            <v>18.350000000000001</v>
          </cell>
        </row>
        <row r="1082">
          <cell r="B1082">
            <v>937</v>
          </cell>
          <cell r="C1082" t="str">
            <v>round2</v>
          </cell>
          <cell r="D1082">
            <v>2006</v>
          </cell>
          <cell r="E1082" t="str">
            <v>boysU18</v>
          </cell>
          <cell r="F1082" t="str">
            <v>handball</v>
          </cell>
          <cell r="G1082" t="str">
            <v>boys</v>
          </cell>
          <cell r="H1082">
            <v>27.005444444444446</v>
          </cell>
          <cell r="I1082">
            <v>-9.2360000000000007</v>
          </cell>
          <cell r="J1082">
            <v>45460</v>
          </cell>
          <cell r="K1082">
            <v>38970</v>
          </cell>
          <cell r="L1082">
            <v>17.769444444444446</v>
          </cell>
        </row>
        <row r="1083">
          <cell r="B1083">
            <v>938</v>
          </cell>
          <cell r="C1083" t="str">
            <v>round2</v>
          </cell>
          <cell r="D1083">
            <v>2006</v>
          </cell>
          <cell r="E1083" t="str">
            <v>boysU18</v>
          </cell>
          <cell r="F1083" t="str">
            <v>handball</v>
          </cell>
          <cell r="G1083" t="str">
            <v>boys</v>
          </cell>
          <cell r="H1083">
            <v>26.866555555555557</v>
          </cell>
          <cell r="I1083">
            <v>-9.2360000000000007</v>
          </cell>
          <cell r="J1083">
            <v>45460</v>
          </cell>
          <cell r="K1083">
            <v>39021</v>
          </cell>
          <cell r="L1083">
            <v>17.630555555555556</v>
          </cell>
        </row>
        <row r="1084">
          <cell r="B1084">
            <v>939</v>
          </cell>
          <cell r="C1084" t="str">
            <v>round2</v>
          </cell>
          <cell r="D1084">
            <v>2006</v>
          </cell>
          <cell r="E1084" t="str">
            <v>boysU18</v>
          </cell>
          <cell r="F1084" t="str">
            <v>handball</v>
          </cell>
          <cell r="G1084" t="str">
            <v>boys</v>
          </cell>
          <cell r="H1084">
            <v>27.116555555555557</v>
          </cell>
          <cell r="I1084">
            <v>-9.2360000000000007</v>
          </cell>
          <cell r="J1084">
            <v>45460</v>
          </cell>
          <cell r="K1084">
            <v>38929</v>
          </cell>
          <cell r="L1084">
            <v>17.880555555555556</v>
          </cell>
        </row>
        <row r="1085">
          <cell r="B1085">
            <v>940</v>
          </cell>
          <cell r="C1085" t="str">
            <v>round2</v>
          </cell>
          <cell r="D1085">
            <v>2005</v>
          </cell>
          <cell r="E1085">
            <v>0</v>
          </cell>
          <cell r="F1085" t="str">
            <v>handball</v>
          </cell>
          <cell r="G1085" t="str">
            <v>boys</v>
          </cell>
          <cell r="H1085">
            <v>28.224888888888888</v>
          </cell>
          <cell r="I1085">
            <v>-9.2360000000000007</v>
          </cell>
          <cell r="J1085">
            <v>45460</v>
          </cell>
          <cell r="K1085">
            <v>38524</v>
          </cell>
          <cell r="L1085">
            <v>18.988888888888887</v>
          </cell>
        </row>
        <row r="1086">
          <cell r="B1086">
            <v>941</v>
          </cell>
          <cell r="C1086" t="str">
            <v>round2</v>
          </cell>
          <cell r="D1086">
            <v>0</v>
          </cell>
          <cell r="E1086" t="str">
            <v>boysU18</v>
          </cell>
          <cell r="F1086" t="str">
            <v>handball</v>
          </cell>
          <cell r="G1086" t="str">
            <v>boys</v>
          </cell>
          <cell r="H1086">
            <v>13.961414903003295</v>
          </cell>
          <cell r="I1086">
            <v>4.43302954144115</v>
          </cell>
          <cell r="J1086">
            <v>45460</v>
          </cell>
          <cell r="K1086">
            <v>38742</v>
          </cell>
          <cell r="L1086">
            <v>18.394444444444446</v>
          </cell>
        </row>
        <row r="1087">
          <cell r="B1087">
            <v>813</v>
          </cell>
          <cell r="C1087" t="str">
            <v>round3</v>
          </cell>
          <cell r="D1087">
            <v>2008</v>
          </cell>
          <cell r="E1087" t="str">
            <v>girlsU16</v>
          </cell>
          <cell r="F1087" t="str">
            <v>handball</v>
          </cell>
          <cell r="G1087" t="str">
            <v>girls</v>
          </cell>
          <cell r="H1087">
            <v>13.161763385378531</v>
          </cell>
          <cell r="I1087">
            <v>3.2493477257325809</v>
          </cell>
          <cell r="J1087">
            <v>45803</v>
          </cell>
          <cell r="K1087">
            <v>39810</v>
          </cell>
          <cell r="L1087">
            <v>16.411111111111111</v>
          </cell>
        </row>
        <row r="1088">
          <cell r="B1088">
            <v>819</v>
          </cell>
          <cell r="C1088" t="str">
            <v>round3</v>
          </cell>
          <cell r="D1088">
            <v>2008</v>
          </cell>
          <cell r="E1088" t="str">
            <v>girlsU16</v>
          </cell>
          <cell r="F1088" t="str">
            <v>handball</v>
          </cell>
          <cell r="G1088" t="str">
            <v>girls</v>
          </cell>
          <cell r="H1088">
            <v>13.333104396497973</v>
          </cell>
          <cell r="I1088">
            <v>3.3780067146131394</v>
          </cell>
          <cell r="J1088">
            <v>45803</v>
          </cell>
          <cell r="K1088">
            <v>39701</v>
          </cell>
          <cell r="L1088">
            <v>16.711111111111112</v>
          </cell>
        </row>
        <row r="1089">
          <cell r="B1089">
            <v>823</v>
          </cell>
          <cell r="C1089" t="str">
            <v>round3</v>
          </cell>
          <cell r="D1089">
            <v>2008</v>
          </cell>
          <cell r="E1089" t="str">
            <v>girlsU16</v>
          </cell>
          <cell r="F1089" t="str">
            <v>handball</v>
          </cell>
          <cell r="G1089" t="str">
            <v>girls</v>
          </cell>
          <cell r="H1089">
            <v>13.011262591608302</v>
          </cell>
          <cell r="I1089">
            <v>4.2859596306139185</v>
          </cell>
          <cell r="J1089">
            <v>45803</v>
          </cell>
          <cell r="K1089">
            <v>39487</v>
          </cell>
          <cell r="L1089">
            <v>17.297222222222221</v>
          </cell>
        </row>
        <row r="1090">
          <cell r="B1090">
            <v>829</v>
          </cell>
          <cell r="C1090" t="str">
            <v>round3</v>
          </cell>
          <cell r="D1090">
            <v>2008</v>
          </cell>
          <cell r="E1090" t="str">
            <v>girlsU16</v>
          </cell>
          <cell r="F1090" t="str">
            <v>handball</v>
          </cell>
          <cell r="G1090" t="str">
            <v>girls</v>
          </cell>
          <cell r="H1090">
            <v>12.195757276012621</v>
          </cell>
          <cell r="I1090">
            <v>4.420909390654046</v>
          </cell>
          <cell r="J1090">
            <v>45803</v>
          </cell>
          <cell r="K1090">
            <v>39735</v>
          </cell>
          <cell r="L1090">
            <v>16.616666666666667</v>
          </cell>
        </row>
        <row r="1091">
          <cell r="B1091">
            <v>830</v>
          </cell>
          <cell r="C1091" t="str">
            <v>round3</v>
          </cell>
          <cell r="D1091">
            <v>2008</v>
          </cell>
          <cell r="E1091" t="str">
            <v>girlsU16</v>
          </cell>
          <cell r="F1091" t="str">
            <v>handball</v>
          </cell>
          <cell r="G1091" t="str">
            <v>girls</v>
          </cell>
          <cell r="H1091">
            <v>13.665603481095296</v>
          </cell>
          <cell r="I1091">
            <v>3.7177298522380373</v>
          </cell>
          <cell r="J1091">
            <v>45803</v>
          </cell>
          <cell r="K1091">
            <v>39455</v>
          </cell>
          <cell r="L1091">
            <v>17.383333333333333</v>
          </cell>
        </row>
        <row r="1092">
          <cell r="B1092">
            <v>835</v>
          </cell>
          <cell r="C1092" t="str">
            <v>round3</v>
          </cell>
          <cell r="D1092">
            <v>2010</v>
          </cell>
          <cell r="E1092" t="str">
            <v>girlsU14</v>
          </cell>
          <cell r="F1092" t="str">
            <v>handball</v>
          </cell>
          <cell r="G1092" t="str">
            <v>girls</v>
          </cell>
          <cell r="H1092">
            <v>11.97128094984507</v>
          </cell>
          <cell r="I1092">
            <v>2.9203857168215963</v>
          </cell>
          <cell r="J1092">
            <v>45797</v>
          </cell>
          <cell r="K1092">
            <v>40358</v>
          </cell>
          <cell r="L1092">
            <v>14.891666666666667</v>
          </cell>
        </row>
        <row r="1093">
          <cell r="B1093">
            <v>836</v>
          </cell>
          <cell r="C1093" t="str">
            <v>round3</v>
          </cell>
          <cell r="D1093">
            <v>2010</v>
          </cell>
          <cell r="E1093" t="str">
            <v>girlsU14</v>
          </cell>
          <cell r="F1093" t="str">
            <v>handball</v>
          </cell>
          <cell r="G1093" t="str">
            <v>girls</v>
          </cell>
          <cell r="H1093">
            <v>13.087538855933772</v>
          </cell>
          <cell r="I1093">
            <v>2.0819055885106721</v>
          </cell>
          <cell r="J1093">
            <v>45797</v>
          </cell>
          <cell r="K1093">
            <v>40256</v>
          </cell>
          <cell r="L1093">
            <v>15.169444444444444</v>
          </cell>
        </row>
        <row r="1094">
          <cell r="B1094">
            <v>837</v>
          </cell>
          <cell r="C1094" t="str">
            <v>round3</v>
          </cell>
          <cell r="D1094">
            <v>2010</v>
          </cell>
          <cell r="E1094" t="str">
            <v>girlsU14</v>
          </cell>
          <cell r="F1094" t="str">
            <v>handball</v>
          </cell>
          <cell r="G1094" t="str">
            <v>girls</v>
          </cell>
          <cell r="H1094">
            <v>12.575055569869884</v>
          </cell>
          <cell r="I1094">
            <v>2.0499444301301164</v>
          </cell>
          <cell r="J1094">
            <v>45797</v>
          </cell>
          <cell r="K1094">
            <v>40456</v>
          </cell>
          <cell r="L1094">
            <v>14.625</v>
          </cell>
        </row>
        <row r="1095">
          <cell r="B1095">
            <v>838</v>
          </cell>
          <cell r="C1095" t="str">
            <v>round3</v>
          </cell>
          <cell r="D1095">
            <v>2010</v>
          </cell>
          <cell r="E1095" t="str">
            <v>girlsU14</v>
          </cell>
          <cell r="F1095" t="str">
            <v>handball</v>
          </cell>
          <cell r="G1095" t="str">
            <v>girls</v>
          </cell>
          <cell r="H1095">
            <v>12.516674995930694</v>
          </cell>
          <cell r="I1095">
            <v>2.108325004069306</v>
          </cell>
          <cell r="J1095">
            <v>45797</v>
          </cell>
          <cell r="K1095">
            <v>40456</v>
          </cell>
          <cell r="L1095">
            <v>14.625</v>
          </cell>
        </row>
        <row r="1096">
          <cell r="B1096">
            <v>840</v>
          </cell>
          <cell r="C1096" t="str">
            <v>round3</v>
          </cell>
          <cell r="D1096">
            <v>2010</v>
          </cell>
          <cell r="E1096" t="str">
            <v>girlsU14</v>
          </cell>
          <cell r="F1096" t="str">
            <v>handball</v>
          </cell>
          <cell r="G1096" t="str">
            <v>girls</v>
          </cell>
          <cell r="H1096">
            <v>11.54751987207684</v>
          </cell>
          <cell r="I1096">
            <v>3.008035683478715</v>
          </cell>
          <cell r="J1096">
            <v>45797</v>
          </cell>
          <cell r="K1096">
            <v>40481</v>
          </cell>
          <cell r="L1096">
            <v>14.555555555555555</v>
          </cell>
        </row>
        <row r="1097">
          <cell r="B1097">
            <v>844</v>
          </cell>
          <cell r="C1097" t="str">
            <v>round3</v>
          </cell>
          <cell r="D1097">
            <v>2010</v>
          </cell>
          <cell r="E1097" t="str">
            <v>girlsU14</v>
          </cell>
          <cell r="F1097" t="str">
            <v>handball</v>
          </cell>
          <cell r="G1097" t="str">
            <v>girls</v>
          </cell>
          <cell r="H1097">
            <v>12.412591349666666</v>
          </cell>
          <cell r="I1097">
            <v>2.9596308725555556</v>
          </cell>
          <cell r="J1097">
            <v>45797</v>
          </cell>
          <cell r="K1097">
            <v>40184</v>
          </cell>
          <cell r="L1097">
            <v>15.372222222222222</v>
          </cell>
        </row>
        <row r="1098">
          <cell r="B1098">
            <v>847</v>
          </cell>
          <cell r="C1098" t="str">
            <v>round3</v>
          </cell>
          <cell r="D1098">
            <v>2010</v>
          </cell>
          <cell r="E1098" t="str">
            <v>girlsU14</v>
          </cell>
          <cell r="F1098" t="str">
            <v>handball</v>
          </cell>
          <cell r="G1098" t="str">
            <v>girls</v>
          </cell>
          <cell r="H1098">
            <v>13.052848443087292</v>
          </cell>
          <cell r="I1098">
            <v>2.1165960013571525</v>
          </cell>
          <cell r="J1098">
            <v>45797</v>
          </cell>
          <cell r="K1098">
            <v>40256</v>
          </cell>
          <cell r="L1098">
            <v>15.169444444444444</v>
          </cell>
        </row>
        <row r="1099">
          <cell r="B1099">
            <v>848</v>
          </cell>
          <cell r="C1099" t="str">
            <v>round3</v>
          </cell>
          <cell r="D1099">
            <v>2010</v>
          </cell>
          <cell r="E1099" t="str">
            <v>girlsU14</v>
          </cell>
          <cell r="F1099" t="str">
            <v>handball</v>
          </cell>
          <cell r="G1099" t="str">
            <v>girls</v>
          </cell>
          <cell r="H1099">
            <v>12.15293050315389</v>
          </cell>
          <cell r="I1099">
            <v>2.5692917190683309</v>
          </cell>
          <cell r="J1099">
            <v>45797</v>
          </cell>
          <cell r="K1099">
            <v>40421</v>
          </cell>
          <cell r="L1099">
            <v>14.722222222222221</v>
          </cell>
        </row>
        <row r="1100">
          <cell r="B1100">
            <v>849</v>
          </cell>
          <cell r="C1100" t="str">
            <v>round3</v>
          </cell>
          <cell r="D1100">
            <v>2010</v>
          </cell>
          <cell r="E1100" t="str">
            <v>girlsU14</v>
          </cell>
          <cell r="F1100" t="str">
            <v>handball</v>
          </cell>
          <cell r="G1100" t="str">
            <v>girls</v>
          </cell>
          <cell r="H1100">
            <v>12.024601839222223</v>
          </cell>
          <cell r="I1100">
            <v>3.0698426052222221</v>
          </cell>
          <cell r="J1100">
            <v>45797</v>
          </cell>
          <cell r="K1100">
            <v>40284</v>
          </cell>
          <cell r="L1100">
            <v>15.094444444444445</v>
          </cell>
        </row>
        <row r="1101">
          <cell r="B1101">
            <v>851</v>
          </cell>
          <cell r="C1101" t="str">
            <v>round3</v>
          </cell>
          <cell r="D1101">
            <v>2010</v>
          </cell>
          <cell r="E1101" t="str">
            <v>girlsU14</v>
          </cell>
          <cell r="F1101" t="str">
            <v>handball</v>
          </cell>
          <cell r="G1101" t="str">
            <v>girls</v>
          </cell>
          <cell r="H1101">
            <v>12.693290787826086</v>
          </cell>
          <cell r="I1101">
            <v>2.0539314343961346</v>
          </cell>
          <cell r="J1101">
            <v>45797</v>
          </cell>
          <cell r="K1101">
            <v>40411</v>
          </cell>
          <cell r="L1101">
            <v>14.747222222222222</v>
          </cell>
        </row>
        <row r="1102">
          <cell r="B1102">
            <v>852</v>
          </cell>
          <cell r="C1102" t="str">
            <v>round3</v>
          </cell>
          <cell r="D1102">
            <v>2010</v>
          </cell>
          <cell r="E1102" t="str">
            <v>girlsU14</v>
          </cell>
          <cell r="F1102" t="str">
            <v>handball</v>
          </cell>
          <cell r="G1102" t="str">
            <v>girls</v>
          </cell>
          <cell r="H1102">
            <v>12.199202982466728</v>
          </cell>
          <cell r="I1102">
            <v>2.2619081286443827</v>
          </cell>
          <cell r="J1102">
            <v>45797</v>
          </cell>
          <cell r="K1102">
            <v>40516</v>
          </cell>
          <cell r="L1102">
            <v>14.46111111111111</v>
          </cell>
        </row>
        <row r="1103">
          <cell r="B1103">
            <v>859</v>
          </cell>
          <cell r="C1103" t="str">
            <v>round3</v>
          </cell>
          <cell r="D1103">
            <v>2010</v>
          </cell>
          <cell r="E1103" t="str">
            <v>girlsU14</v>
          </cell>
          <cell r="F1103" t="str">
            <v>handball</v>
          </cell>
          <cell r="G1103" t="str">
            <v>girls</v>
          </cell>
          <cell r="H1103">
            <v>12.428555240031447</v>
          </cell>
          <cell r="I1103">
            <v>2.7686669821907759</v>
          </cell>
          <cell r="J1103">
            <v>45797</v>
          </cell>
          <cell r="K1103">
            <v>40246</v>
          </cell>
          <cell r="L1103">
            <v>15.197222222222223</v>
          </cell>
        </row>
        <row r="1104">
          <cell r="B1104">
            <v>865</v>
          </cell>
          <cell r="C1104" t="str">
            <v>round3</v>
          </cell>
          <cell r="D1104">
            <v>2008</v>
          </cell>
          <cell r="E1104" t="str">
            <v>girlsU16</v>
          </cell>
          <cell r="F1104" t="str">
            <v>handball</v>
          </cell>
          <cell r="G1104" t="str">
            <v>girls</v>
          </cell>
          <cell r="H1104">
            <v>12.882570555458178</v>
          </cell>
          <cell r="I1104">
            <v>3.7729850000973766</v>
          </cell>
          <cell r="J1104">
            <v>45803</v>
          </cell>
          <cell r="K1104" t="str">
            <v>30.09.2008</v>
          </cell>
          <cell r="L1104">
            <v>16.655555555555555</v>
          </cell>
        </row>
        <row r="1105">
          <cell r="B1105">
            <v>868</v>
          </cell>
          <cell r="C1105" t="str">
            <v>round3</v>
          </cell>
          <cell r="D1105">
            <v>2008</v>
          </cell>
          <cell r="E1105" t="str">
            <v>girlsU16</v>
          </cell>
          <cell r="F1105" t="str">
            <v>handball</v>
          </cell>
          <cell r="G1105" t="str">
            <v>girls</v>
          </cell>
          <cell r="H1105">
            <v>13.557633863225972</v>
          </cell>
          <cell r="I1105">
            <v>2.9729216923295838</v>
          </cell>
          <cell r="J1105">
            <v>45803</v>
          </cell>
          <cell r="K1105">
            <v>39767</v>
          </cell>
          <cell r="L1105">
            <v>16.530555555555555</v>
          </cell>
        </row>
        <row r="1106">
          <cell r="B1106">
            <v>870</v>
          </cell>
          <cell r="C1106" t="str">
            <v>round3</v>
          </cell>
          <cell r="D1106">
            <v>2008</v>
          </cell>
          <cell r="E1106" t="str">
            <v>girlsU16</v>
          </cell>
          <cell r="F1106" t="str">
            <v>handball</v>
          </cell>
          <cell r="G1106" t="str">
            <v>girls</v>
          </cell>
          <cell r="H1106">
            <v>12.547413213335794</v>
          </cell>
          <cell r="I1106">
            <v>4.3914756755530968</v>
          </cell>
          <cell r="J1106">
            <v>45803</v>
          </cell>
          <cell r="K1106" t="str">
            <v>18.06.2008</v>
          </cell>
          <cell r="L1106">
            <v>16.93888888888889</v>
          </cell>
        </row>
        <row r="1107">
          <cell r="B1107">
            <v>872</v>
          </cell>
          <cell r="C1107" t="str">
            <v>round3</v>
          </cell>
          <cell r="D1107">
            <v>2008</v>
          </cell>
          <cell r="E1107" t="str">
            <v>girlsU16</v>
          </cell>
          <cell r="F1107" t="str">
            <v>handball</v>
          </cell>
          <cell r="G1107" t="str">
            <v>girls</v>
          </cell>
          <cell r="H1107">
            <v>13.256170437207548</v>
          </cell>
          <cell r="I1107">
            <v>3.7993851183480096</v>
          </cell>
          <cell r="J1107">
            <v>45803</v>
          </cell>
          <cell r="K1107" t="str">
            <v>06.05.2008</v>
          </cell>
          <cell r="L1107">
            <v>17.055555555555557</v>
          </cell>
        </row>
        <row r="1108">
          <cell r="B1108">
            <v>874</v>
          </cell>
          <cell r="C1108" t="str">
            <v>round3</v>
          </cell>
          <cell r="D1108">
            <v>2008</v>
          </cell>
          <cell r="E1108" t="str">
            <v>girlsU16</v>
          </cell>
          <cell r="F1108" t="str">
            <v>handball</v>
          </cell>
          <cell r="G1108" t="str">
            <v>girls</v>
          </cell>
          <cell r="H1108">
            <v>12.96305363579458</v>
          </cell>
          <cell r="I1108">
            <v>3.7675019197609734</v>
          </cell>
          <cell r="J1108">
            <v>45803</v>
          </cell>
          <cell r="K1108">
            <v>39694</v>
          </cell>
          <cell r="L1108">
            <v>16.730555555555554</v>
          </cell>
        </row>
        <row r="1109">
          <cell r="B1109">
            <v>875</v>
          </cell>
          <cell r="C1109" t="str">
            <v>round3</v>
          </cell>
          <cell r="D1109">
            <v>2008</v>
          </cell>
          <cell r="E1109" t="str">
            <v>girlsU16</v>
          </cell>
          <cell r="F1109" t="str">
            <v>handball</v>
          </cell>
          <cell r="G1109" t="str">
            <v>girls</v>
          </cell>
          <cell r="H1109">
            <v>13.254359463603867</v>
          </cell>
          <cell r="I1109">
            <v>4.1400849808405784</v>
          </cell>
          <cell r="J1109">
            <v>45803</v>
          </cell>
          <cell r="K1109" t="str">
            <v>04.01.2008</v>
          </cell>
          <cell r="L1109">
            <v>17.394444444444446</v>
          </cell>
        </row>
        <row r="1110">
          <cell r="B1110">
            <v>876</v>
          </cell>
          <cell r="C1110" t="str">
            <v>round3</v>
          </cell>
          <cell r="D1110">
            <v>2008</v>
          </cell>
          <cell r="E1110" t="str">
            <v>girlsU16</v>
          </cell>
          <cell r="F1110" t="str">
            <v>handball</v>
          </cell>
          <cell r="G1110" t="str">
            <v>girls</v>
          </cell>
          <cell r="H1110">
            <v>13.319997093420325</v>
          </cell>
          <cell r="I1110">
            <v>3.6688917954685629</v>
          </cell>
          <cell r="J1110">
            <v>45803</v>
          </cell>
          <cell r="K1110" t="str">
            <v>30.05.2008</v>
          </cell>
          <cell r="L1110">
            <v>16.988888888888887</v>
          </cell>
        </row>
        <row r="1111">
          <cell r="B1111">
            <v>878</v>
          </cell>
          <cell r="C1111" t="str">
            <v>round3</v>
          </cell>
          <cell r="D1111">
            <v>2008</v>
          </cell>
          <cell r="E1111" t="str">
            <v>girlsU16</v>
          </cell>
          <cell r="F1111" t="str">
            <v>handball</v>
          </cell>
          <cell r="G1111" t="str">
            <v>girls</v>
          </cell>
          <cell r="H1111">
            <v>12.67336400353549</v>
          </cell>
          <cell r="I1111">
            <v>4.323858218686734</v>
          </cell>
          <cell r="J1111">
            <v>45803</v>
          </cell>
          <cell r="K1111" t="str">
            <v>27.05.2008</v>
          </cell>
          <cell r="L1111">
            <v>16.997222222222224</v>
          </cell>
        </row>
        <row r="1112">
          <cell r="B1112">
            <v>880</v>
          </cell>
          <cell r="C1112" t="str">
            <v>round3</v>
          </cell>
          <cell r="D1112">
            <v>2008</v>
          </cell>
          <cell r="E1112" t="str">
            <v>girlsU16</v>
          </cell>
          <cell r="F1112" t="str">
            <v>handball</v>
          </cell>
          <cell r="G1112" t="str">
            <v>girls</v>
          </cell>
          <cell r="H1112">
            <v>13.021223978457376</v>
          </cell>
          <cell r="I1112">
            <v>3.8065537993204024</v>
          </cell>
          <cell r="J1112">
            <v>45803</v>
          </cell>
          <cell r="K1112" t="str">
            <v>28.07.2008</v>
          </cell>
          <cell r="L1112">
            <v>16.827777777777779</v>
          </cell>
        </row>
        <row r="1113">
          <cell r="B1113">
            <v>881</v>
          </cell>
          <cell r="C1113" t="str">
            <v>round3</v>
          </cell>
          <cell r="D1113">
            <v>2008</v>
          </cell>
          <cell r="E1113" t="str">
            <v>girlsU16</v>
          </cell>
          <cell r="F1113" t="str">
            <v>handball</v>
          </cell>
          <cell r="G1113" t="str">
            <v>girls</v>
          </cell>
          <cell r="H1113">
            <v>13.261190422991803</v>
          </cell>
          <cell r="I1113">
            <v>3.9749206881193073</v>
          </cell>
          <cell r="J1113">
            <v>45803</v>
          </cell>
          <cell r="K1113" t="str">
            <v>01.03.2008</v>
          </cell>
          <cell r="L1113">
            <v>17.236111111111111</v>
          </cell>
        </row>
        <row r="1114">
          <cell r="B1114">
            <v>885</v>
          </cell>
          <cell r="C1114" t="str">
            <v>round3</v>
          </cell>
          <cell r="D1114">
            <v>2010</v>
          </cell>
          <cell r="E1114" t="str">
            <v>girlsU14</v>
          </cell>
          <cell r="F1114" t="str">
            <v>handball</v>
          </cell>
          <cell r="G1114" t="str">
            <v>girls</v>
          </cell>
          <cell r="H1114">
            <v>12.554063166119402</v>
          </cell>
          <cell r="I1114">
            <v>1.9709368338805979</v>
          </cell>
          <cell r="J1114">
            <v>45796</v>
          </cell>
          <cell r="K1114" t="str">
            <v>10.11.2010</v>
          </cell>
          <cell r="L1114">
            <v>14.525</v>
          </cell>
        </row>
        <row r="1115">
          <cell r="B1115">
            <v>886</v>
          </cell>
          <cell r="C1115" t="str">
            <v>round3</v>
          </cell>
          <cell r="D1115">
            <v>2010</v>
          </cell>
          <cell r="E1115" t="str">
            <v>girlsU14</v>
          </cell>
          <cell r="F1115" t="str">
            <v>handball</v>
          </cell>
          <cell r="G1115" t="str">
            <v>girls</v>
          </cell>
          <cell r="H1115">
            <v>12.105840632393939</v>
          </cell>
          <cell r="I1115">
            <v>2.9080482564949501</v>
          </cell>
          <cell r="J1115">
            <v>45796</v>
          </cell>
          <cell r="K1115" t="str">
            <v>14.05.2010</v>
          </cell>
          <cell r="L1115">
            <v>15.013888888888889</v>
          </cell>
        </row>
        <row r="1116">
          <cell r="B1116">
            <v>887</v>
          </cell>
          <cell r="C1116" t="str">
            <v>round3</v>
          </cell>
          <cell r="D1116">
            <v>2010</v>
          </cell>
          <cell r="E1116" t="str">
            <v>girlsU14</v>
          </cell>
          <cell r="F1116" t="str">
            <v>handball</v>
          </cell>
          <cell r="G1116" t="str">
            <v>girls</v>
          </cell>
          <cell r="H1116">
            <v>12.60757433150483</v>
          </cell>
          <cell r="I1116">
            <v>2.1840923351618353</v>
          </cell>
          <cell r="J1116">
            <v>45796</v>
          </cell>
          <cell r="K1116">
            <v>40394</v>
          </cell>
          <cell r="L1116">
            <v>14.791666666666666</v>
          </cell>
        </row>
        <row r="1117">
          <cell r="B1117">
            <v>892</v>
          </cell>
          <cell r="C1117" t="str">
            <v>round3</v>
          </cell>
          <cell r="D1117">
            <v>2010</v>
          </cell>
          <cell r="E1117" t="str">
            <v>girlsU14</v>
          </cell>
          <cell r="F1117" t="str">
            <v>handball</v>
          </cell>
          <cell r="G1117" t="str">
            <v>girls</v>
          </cell>
          <cell r="H1117">
            <v>12.164341681170288</v>
          </cell>
          <cell r="I1117">
            <v>2.3801027632741567</v>
          </cell>
          <cell r="J1117">
            <v>45796</v>
          </cell>
          <cell r="K1117" t="str">
            <v>03.11.2010</v>
          </cell>
          <cell r="L1117">
            <v>14.544444444444444</v>
          </cell>
        </row>
        <row r="1118">
          <cell r="B1118">
            <v>897</v>
          </cell>
          <cell r="C1118" t="str">
            <v>round3</v>
          </cell>
          <cell r="D1118">
            <v>2010</v>
          </cell>
          <cell r="E1118" t="str">
            <v>girlsU14</v>
          </cell>
          <cell r="F1118" t="str">
            <v>handball</v>
          </cell>
          <cell r="G1118" t="str">
            <v>girls</v>
          </cell>
          <cell r="H1118">
            <v>11.803219595531388</v>
          </cell>
          <cell r="I1118">
            <v>2.9634470711352798</v>
          </cell>
          <cell r="J1118">
            <v>45796</v>
          </cell>
          <cell r="K1118">
            <v>40403</v>
          </cell>
          <cell r="L1118">
            <v>14.766666666666667</v>
          </cell>
        </row>
        <row r="1119">
          <cell r="B1119">
            <v>899</v>
          </cell>
          <cell r="C1119" t="str">
            <v>round3</v>
          </cell>
          <cell r="D1119">
            <v>2010</v>
          </cell>
          <cell r="E1119" t="str">
            <v>girlsU14</v>
          </cell>
          <cell r="F1119" t="str">
            <v>handball</v>
          </cell>
          <cell r="G1119" t="str">
            <v>girls</v>
          </cell>
          <cell r="H1119">
            <v>69.070881949533202</v>
          </cell>
          <cell r="I1119">
            <v>56.315229161577896</v>
          </cell>
          <cell r="J1119">
            <v>45796</v>
          </cell>
          <cell r="L1119">
            <v>125.38611111111111</v>
          </cell>
        </row>
        <row r="1120">
          <cell r="B1120">
            <v>900</v>
          </cell>
          <cell r="C1120" t="str">
            <v>round3</v>
          </cell>
          <cell r="D1120">
            <v>2010</v>
          </cell>
          <cell r="E1120" t="str">
            <v>girlsU14</v>
          </cell>
          <cell r="F1120" t="str">
            <v>handball</v>
          </cell>
          <cell r="G1120" t="str">
            <v>girls</v>
          </cell>
          <cell r="H1120">
            <v>12.269475636106566</v>
          </cell>
          <cell r="I1120">
            <v>2.288857697226768</v>
          </cell>
          <cell r="J1120">
            <v>45796</v>
          </cell>
          <cell r="K1120" t="str">
            <v>28.10.2010</v>
          </cell>
          <cell r="L1120">
            <v>14.558333333333334</v>
          </cell>
        </row>
        <row r="1121">
          <cell r="B1121">
            <v>902</v>
          </cell>
          <cell r="C1121" t="str">
            <v>round3</v>
          </cell>
          <cell r="D1121">
            <v>2010</v>
          </cell>
          <cell r="E1121" t="str">
            <v>girlsU14</v>
          </cell>
          <cell r="F1121" t="str">
            <v>handball</v>
          </cell>
          <cell r="G1121" t="str">
            <v>girls</v>
          </cell>
          <cell r="H1121">
            <v>11.993472141842325</v>
          </cell>
          <cell r="I1121">
            <v>3.2870834137132294</v>
          </cell>
          <cell r="J1121">
            <v>45796</v>
          </cell>
          <cell r="K1121">
            <v>40217</v>
          </cell>
          <cell r="L1121">
            <v>15.280555555555555</v>
          </cell>
        </row>
        <row r="1122">
          <cell r="B1122">
            <v>903</v>
          </cell>
          <cell r="C1122" t="str">
            <v>round3</v>
          </cell>
          <cell r="D1122">
            <v>2010</v>
          </cell>
          <cell r="E1122" t="str">
            <v>girlsU14</v>
          </cell>
          <cell r="F1122" t="str">
            <v>handball</v>
          </cell>
          <cell r="G1122" t="str">
            <v>girls</v>
          </cell>
          <cell r="H1122">
            <v>12.607601889513001</v>
          </cell>
          <cell r="I1122">
            <v>2.6312869993758876</v>
          </cell>
          <cell r="J1122">
            <v>45796</v>
          </cell>
          <cell r="K1122">
            <v>40232</v>
          </cell>
          <cell r="L1122">
            <v>15.238888888888889</v>
          </cell>
        </row>
        <row r="1123">
          <cell r="B1123">
            <v>904</v>
          </cell>
          <cell r="C1123" t="str">
            <v>round3</v>
          </cell>
          <cell r="D1123">
            <v>2010</v>
          </cell>
          <cell r="E1123" t="str">
            <v>girlsU14</v>
          </cell>
          <cell r="F1123" t="str">
            <v>handball</v>
          </cell>
          <cell r="G1123" t="str">
            <v>girls</v>
          </cell>
          <cell r="H1123">
            <v>12.352305468555556</v>
          </cell>
          <cell r="I1123">
            <v>2.0365834203333337</v>
          </cell>
          <cell r="J1123">
            <v>45796</v>
          </cell>
          <cell r="K1123" t="str">
            <v>29.12.2010</v>
          </cell>
          <cell r="L1123">
            <v>14.388888888888889</v>
          </cell>
        </row>
        <row r="1124">
          <cell r="B1124">
            <v>905</v>
          </cell>
          <cell r="C1124" t="str">
            <v>round3</v>
          </cell>
          <cell r="D1124">
            <v>2010</v>
          </cell>
          <cell r="E1124" t="str">
            <v>girlsU14</v>
          </cell>
          <cell r="F1124" t="str">
            <v>handball</v>
          </cell>
          <cell r="G1124" t="str">
            <v>girls</v>
          </cell>
          <cell r="H1124">
            <v>12.14207953220809</v>
          </cell>
          <cell r="I1124">
            <v>2.7051426900141311</v>
          </cell>
          <cell r="J1124">
            <v>45796</v>
          </cell>
          <cell r="K1124" t="str">
            <v>14.07.2010</v>
          </cell>
          <cell r="L1124">
            <v>14.847222222222221</v>
          </cell>
        </row>
        <row r="1125">
          <cell r="B1125">
            <v>906</v>
          </cell>
          <cell r="C1125" t="str">
            <v>round3</v>
          </cell>
          <cell r="D1125">
            <v>2010</v>
          </cell>
          <cell r="E1125" t="str">
            <v>girlsU14</v>
          </cell>
          <cell r="F1125" t="str">
            <v>handball</v>
          </cell>
          <cell r="G1125" t="str">
            <v>girls</v>
          </cell>
          <cell r="H1125">
            <v>11.975480657138576</v>
          </cell>
          <cell r="I1125">
            <v>3.3578526761947578</v>
          </cell>
          <cell r="J1125">
            <v>45796</v>
          </cell>
          <cell r="K1125">
            <v>40197</v>
          </cell>
          <cell r="L1125">
            <v>15.333333333333334</v>
          </cell>
        </row>
        <row r="1126">
          <cell r="B1126">
            <v>913</v>
          </cell>
          <cell r="C1126" t="str">
            <v>round3</v>
          </cell>
          <cell r="D1126">
            <v>2010</v>
          </cell>
          <cell r="E1126" t="str">
            <v>girlsU14</v>
          </cell>
          <cell r="F1126" t="str">
            <v>handball</v>
          </cell>
          <cell r="G1126" t="str">
            <v>girls</v>
          </cell>
          <cell r="H1126">
            <v>12.121936010067184</v>
          </cell>
          <cell r="I1126">
            <v>3.0169528788217059</v>
          </cell>
          <cell r="J1126">
            <v>45796</v>
          </cell>
          <cell r="K1126" t="str">
            <v>29.03.2010</v>
          </cell>
          <cell r="L1126">
            <v>15.138888888888889</v>
          </cell>
        </row>
        <row r="1127">
          <cell r="B1127">
            <v>914</v>
          </cell>
          <cell r="C1127" t="str">
            <v>round3</v>
          </cell>
          <cell r="D1127">
            <v>2010</v>
          </cell>
          <cell r="E1127" t="str">
            <v>girlsU14</v>
          </cell>
          <cell r="F1127" t="str">
            <v>handball</v>
          </cell>
          <cell r="G1127" t="str">
            <v>girls</v>
          </cell>
          <cell r="H1127">
            <v>11.474278792696163</v>
          </cell>
          <cell r="I1127">
            <v>2.9979434295260581</v>
          </cell>
          <cell r="J1127">
            <v>45796</v>
          </cell>
          <cell r="K1127" t="str">
            <v>29.11.2010</v>
          </cell>
          <cell r="L1127">
            <v>14.472222222222221</v>
          </cell>
        </row>
        <row r="1128">
          <cell r="B1128">
            <v>4005</v>
          </cell>
          <cell r="C1128" t="str">
            <v>round3</v>
          </cell>
          <cell r="D1128">
            <v>2010</v>
          </cell>
          <cell r="E1128" t="str">
            <v>girlsU14</v>
          </cell>
          <cell r="F1128" t="str">
            <v>handball</v>
          </cell>
          <cell r="G1128" t="str">
            <v>girls</v>
          </cell>
          <cell r="H1128">
            <v>12.651820638220316</v>
          </cell>
          <cell r="I1128">
            <v>2.6926238062241286</v>
          </cell>
          <cell r="J1128">
            <v>45796</v>
          </cell>
          <cell r="K1128">
            <v>40193</v>
          </cell>
          <cell r="L1128">
            <v>15.344444444444445</v>
          </cell>
        </row>
        <row r="1129">
          <cell r="B1129">
            <v>1155</v>
          </cell>
          <cell r="C1129" t="str">
            <v>round3</v>
          </cell>
          <cell r="D1129">
            <v>2009</v>
          </cell>
          <cell r="E1129" t="str">
            <v>boysU14</v>
          </cell>
          <cell r="F1129" t="str">
            <v>football</v>
          </cell>
          <cell r="G1129" t="str">
            <v>boys</v>
          </cell>
          <cell r="H1129">
            <v>13.431417903858094</v>
          </cell>
          <cell r="I1129">
            <v>2.0158043183641299</v>
          </cell>
          <cell r="J1129">
            <v>45635</v>
          </cell>
          <cell r="K1129">
            <v>39992</v>
          </cell>
          <cell r="L1129">
            <v>15.447222222222223</v>
          </cell>
        </row>
        <row r="1130">
          <cell r="B1130">
            <v>2002</v>
          </cell>
          <cell r="C1130" t="str">
            <v>round3</v>
          </cell>
          <cell r="D1130">
            <v>2010</v>
          </cell>
          <cell r="E1130" t="str">
            <v>boysU14</v>
          </cell>
          <cell r="F1130" t="str">
            <v>handball</v>
          </cell>
          <cell r="G1130" t="str">
            <v>boys</v>
          </cell>
          <cell r="H1130">
            <v>13.570527770011694</v>
          </cell>
          <cell r="I1130">
            <v>1.0072500077660829</v>
          </cell>
          <cell r="J1130">
            <v>45799</v>
          </cell>
          <cell r="K1130" t="str">
            <v>24.10.2010</v>
          </cell>
          <cell r="L1130">
            <v>14.577777777777778</v>
          </cell>
        </row>
        <row r="1131">
          <cell r="B1131">
            <v>2003</v>
          </cell>
          <cell r="C1131" t="str">
            <v>round3</v>
          </cell>
          <cell r="D1131">
            <v>2010</v>
          </cell>
          <cell r="E1131" t="str">
            <v>boysU14</v>
          </cell>
          <cell r="F1131" t="str">
            <v>handball</v>
          </cell>
          <cell r="G1131" t="str">
            <v>boys</v>
          </cell>
          <cell r="H1131">
            <v>13.315447946958745</v>
          </cell>
          <cell r="I1131">
            <v>1.8067742752634768</v>
          </cell>
          <cell r="J1131">
            <v>45799</v>
          </cell>
          <cell r="K1131" t="str">
            <v>08.04.2010</v>
          </cell>
          <cell r="L1131">
            <v>15.122222222222222</v>
          </cell>
        </row>
        <row r="1132">
          <cell r="B1132">
            <v>2005</v>
          </cell>
          <cell r="C1132" t="str">
            <v>round3</v>
          </cell>
          <cell r="D1132">
            <v>2010</v>
          </cell>
          <cell r="E1132" t="str">
            <v>boysU14</v>
          </cell>
          <cell r="F1132" t="str">
            <v>handball</v>
          </cell>
          <cell r="G1132" t="str">
            <v>boys</v>
          </cell>
          <cell r="H1132">
            <v>69.756128273685306</v>
          </cell>
          <cell r="I1132">
            <v>55.638316170759133</v>
          </cell>
          <cell r="J1132">
            <v>45799</v>
          </cell>
          <cell r="K1132">
            <v>0</v>
          </cell>
          <cell r="L1132">
            <v>125.39444444444445</v>
          </cell>
        </row>
        <row r="1133">
          <cell r="B1133">
            <v>2006</v>
          </cell>
          <cell r="C1133" t="str">
            <v>round3</v>
          </cell>
          <cell r="D1133">
            <v>2010</v>
          </cell>
          <cell r="E1133" t="str">
            <v>boysU14</v>
          </cell>
          <cell r="F1133" t="str">
            <v>handball</v>
          </cell>
          <cell r="G1133" t="str">
            <v>boys</v>
          </cell>
          <cell r="H1133">
            <v>13.088338793189966</v>
          </cell>
          <cell r="I1133">
            <v>1.5311056512544789</v>
          </cell>
          <cell r="J1133">
            <v>45799</v>
          </cell>
          <cell r="K1133" t="str">
            <v>09.10.2010</v>
          </cell>
          <cell r="L1133">
            <v>14.619444444444444</v>
          </cell>
        </row>
        <row r="1134">
          <cell r="B1134">
            <v>2009</v>
          </cell>
          <cell r="C1134" t="str">
            <v>round3</v>
          </cell>
          <cell r="D1134">
            <v>2010</v>
          </cell>
          <cell r="E1134" t="str">
            <v>boysU14</v>
          </cell>
          <cell r="F1134" t="str">
            <v>handball</v>
          </cell>
          <cell r="G1134" t="str">
            <v>boys</v>
          </cell>
          <cell r="H1134">
            <v>14.566116373913978</v>
          </cell>
          <cell r="I1134">
            <v>0.15055029275268828</v>
          </cell>
          <cell r="J1134">
            <v>45799</v>
          </cell>
          <cell r="K1134" t="str">
            <v>04.09.2010</v>
          </cell>
          <cell r="L1134">
            <v>14.716666666666667</v>
          </cell>
        </row>
        <row r="1135">
          <cell r="B1135">
            <v>2011</v>
          </cell>
          <cell r="C1135" t="str">
            <v>round3</v>
          </cell>
          <cell r="D1135">
            <v>2010</v>
          </cell>
          <cell r="E1135" t="str">
            <v>boysU14</v>
          </cell>
          <cell r="F1135" t="str">
            <v>handball</v>
          </cell>
          <cell r="G1135" t="str">
            <v>boys</v>
          </cell>
          <cell r="H1135">
            <v>12.898546357106969</v>
          </cell>
          <cell r="I1135">
            <v>2.120898087337475</v>
          </cell>
          <cell r="J1135">
            <v>45799</v>
          </cell>
          <cell r="K1135" t="str">
            <v>15.05.2010</v>
          </cell>
          <cell r="L1135">
            <v>15.019444444444444</v>
          </cell>
        </row>
        <row r="1136">
          <cell r="B1136">
            <v>2013</v>
          </cell>
          <cell r="C1136" t="str">
            <v>round3</v>
          </cell>
          <cell r="D1136">
            <v>2010</v>
          </cell>
          <cell r="E1136" t="str">
            <v>boysU14</v>
          </cell>
          <cell r="F1136" t="str">
            <v>handball</v>
          </cell>
          <cell r="G1136" t="str">
            <v>boys</v>
          </cell>
          <cell r="H1136">
            <v>13.942319164313364</v>
          </cell>
          <cell r="I1136">
            <v>1.0465697245755243</v>
          </cell>
          <cell r="J1136">
            <v>45799</v>
          </cell>
          <cell r="K1136" t="str">
            <v>26.05.2010</v>
          </cell>
          <cell r="L1136">
            <v>14.988888888888889</v>
          </cell>
        </row>
        <row r="1137">
          <cell r="B1137">
            <v>2016</v>
          </cell>
          <cell r="C1137" t="str">
            <v>round3</v>
          </cell>
          <cell r="D1137">
            <v>2010</v>
          </cell>
          <cell r="E1137" t="str">
            <v>boysU14</v>
          </cell>
          <cell r="F1137" t="str">
            <v>handball</v>
          </cell>
          <cell r="G1137" t="str">
            <v>boys</v>
          </cell>
          <cell r="H1137">
            <v>14.251258603408269</v>
          </cell>
          <cell r="I1137">
            <v>0.97651917436950852</v>
          </cell>
          <cell r="J1137">
            <v>45799</v>
          </cell>
          <cell r="K1137" t="str">
            <v>28.02.2010</v>
          </cell>
          <cell r="L1137">
            <v>15.227777777777778</v>
          </cell>
        </row>
        <row r="1138">
          <cell r="B1138">
            <v>2017</v>
          </cell>
          <cell r="C1138" t="str">
            <v>round3</v>
          </cell>
          <cell r="D1138">
            <v>2010</v>
          </cell>
          <cell r="E1138" t="str">
            <v>boysU14</v>
          </cell>
          <cell r="F1138" t="str">
            <v>handball</v>
          </cell>
          <cell r="G1138" t="str">
            <v>boys</v>
          </cell>
          <cell r="H1138">
            <v>13.328889535245901</v>
          </cell>
          <cell r="I1138">
            <v>1.8155549091985423</v>
          </cell>
          <cell r="J1138">
            <v>45799</v>
          </cell>
          <cell r="K1138" t="str">
            <v>31.03.2010</v>
          </cell>
          <cell r="L1138">
            <v>15.144444444444444</v>
          </cell>
        </row>
        <row r="1139">
          <cell r="B1139">
            <v>2018</v>
          </cell>
          <cell r="C1139" t="str">
            <v>round3</v>
          </cell>
          <cell r="D1139">
            <v>2010</v>
          </cell>
          <cell r="E1139" t="str">
            <v>boysU14</v>
          </cell>
          <cell r="F1139" t="str">
            <v>handball</v>
          </cell>
          <cell r="G1139" t="str">
            <v>boys</v>
          </cell>
          <cell r="H1139">
            <v>14.398105279206177</v>
          </cell>
          <cell r="I1139">
            <v>0.29356138746048932</v>
          </cell>
          <cell r="J1139">
            <v>45799</v>
          </cell>
          <cell r="K1139" t="str">
            <v>13.09.2010</v>
          </cell>
          <cell r="L1139">
            <v>14.691666666666666</v>
          </cell>
        </row>
        <row r="1140">
          <cell r="B1140">
            <v>2100</v>
          </cell>
          <cell r="C1140" t="str">
            <v>round3</v>
          </cell>
          <cell r="D1140">
            <v>2011</v>
          </cell>
          <cell r="E1140" t="str">
            <v>boysU14</v>
          </cell>
          <cell r="F1140" t="str">
            <v>handball</v>
          </cell>
          <cell r="G1140" t="str">
            <v>boys</v>
          </cell>
          <cell r="H1140">
            <v>13.76900735672973</v>
          </cell>
          <cell r="I1140">
            <v>0.16710375438138192</v>
          </cell>
          <cell r="J1140">
            <v>45799</v>
          </cell>
          <cell r="K1140" t="str">
            <v>15.06.2011</v>
          </cell>
          <cell r="L1140">
            <v>13.936111111111112</v>
          </cell>
        </row>
        <row r="1141">
          <cell r="B1141">
            <v>2200</v>
          </cell>
          <cell r="C1141" t="str">
            <v>round3</v>
          </cell>
          <cell r="D1141">
            <v>2011</v>
          </cell>
          <cell r="E1141" t="str">
            <v>boysU14</v>
          </cell>
          <cell r="F1141" t="str">
            <v>handball</v>
          </cell>
          <cell r="G1141" t="str">
            <v>boys</v>
          </cell>
          <cell r="H1141">
            <v>14.235005129522516</v>
          </cell>
          <cell r="I1141">
            <v>0.15666153714415165</v>
          </cell>
          <cell r="J1141">
            <v>45799</v>
          </cell>
          <cell r="K1141" t="str">
            <v>1.1.2011</v>
          </cell>
          <cell r="L1141">
            <v>14.391666666666667</v>
          </cell>
        </row>
        <row r="1142">
          <cell r="B1142">
            <v>4021</v>
          </cell>
          <cell r="C1142" t="str">
            <v>round3</v>
          </cell>
          <cell r="D1142">
            <v>2008</v>
          </cell>
          <cell r="E1142" t="str">
            <v>girlsU16</v>
          </cell>
          <cell r="F1142" t="str">
            <v>handball</v>
          </cell>
          <cell r="G1142" t="str">
            <v>girls</v>
          </cell>
          <cell r="H1142">
            <v>13.589158734150539</v>
          </cell>
          <cell r="I1142">
            <v>3.3386190436272383</v>
          </cell>
          <cell r="J1142">
            <v>45803</v>
          </cell>
          <cell r="K1142">
            <v>39621</v>
          </cell>
          <cell r="L1142">
            <v>16.927777777777777</v>
          </cell>
        </row>
        <row r="1143">
          <cell r="B1143">
            <v>4022</v>
          </cell>
          <cell r="C1143" t="str">
            <v>round3</v>
          </cell>
          <cell r="D1143">
            <v>2008</v>
          </cell>
          <cell r="E1143" t="str">
            <v>girlsU16</v>
          </cell>
          <cell r="F1143" t="str">
            <v>handball</v>
          </cell>
          <cell r="G1143" t="str">
            <v>girls</v>
          </cell>
          <cell r="H1143">
            <v>12.453936825942789</v>
          </cell>
          <cell r="I1143">
            <v>4.4627298407238793</v>
          </cell>
          <cell r="J1143">
            <v>45803</v>
          </cell>
          <cell r="K1143">
            <v>39625</v>
          </cell>
          <cell r="L1143">
            <v>16.916666666666668</v>
          </cell>
        </row>
        <row r="1144">
          <cell r="B1144">
            <v>9100</v>
          </cell>
          <cell r="C1144" t="str">
            <v>round3</v>
          </cell>
          <cell r="D1144">
            <v>2009</v>
          </cell>
          <cell r="E1144" t="str">
            <v>boysU14</v>
          </cell>
          <cell r="F1144" t="str">
            <v>football</v>
          </cell>
          <cell r="G1144" t="str">
            <v>boys</v>
          </cell>
          <cell r="H1144">
            <v>15.018168204847425</v>
          </cell>
          <cell r="I1144">
            <v>0.85127623959701859</v>
          </cell>
          <cell r="J1144">
            <v>45610</v>
          </cell>
          <cell r="K1144">
            <v>39814</v>
          </cell>
          <cell r="L1144">
            <v>15.869444444444444</v>
          </cell>
        </row>
        <row r="1145">
          <cell r="B1145">
            <v>9101</v>
          </cell>
          <cell r="C1145" t="str">
            <v>round3</v>
          </cell>
          <cell r="D1145">
            <v>2009</v>
          </cell>
          <cell r="E1145" t="str">
            <v>boysU14</v>
          </cell>
          <cell r="F1145" t="str">
            <v>football</v>
          </cell>
          <cell r="G1145" t="str">
            <v>boys</v>
          </cell>
          <cell r="H1145">
            <v>13.021339478666667</v>
          </cell>
          <cell r="I1145">
            <v>2.5897716324444446</v>
          </cell>
          <cell r="J1145">
            <v>45610</v>
          </cell>
          <cell r="K1145">
            <v>39907</v>
          </cell>
          <cell r="L1145">
            <v>15.611111111111111</v>
          </cell>
        </row>
        <row r="1146">
          <cell r="B1146">
            <v>9102</v>
          </cell>
          <cell r="C1146" t="str">
            <v>round3</v>
          </cell>
          <cell r="D1146">
            <v>2009</v>
          </cell>
          <cell r="E1146" t="str">
            <v>boysU14</v>
          </cell>
          <cell r="F1146" t="str">
            <v>football</v>
          </cell>
          <cell r="G1146" t="str">
            <v>boys</v>
          </cell>
          <cell r="H1146">
            <v>13.049288318124962</v>
          </cell>
          <cell r="I1146">
            <v>2.1229339040972617</v>
          </cell>
          <cell r="J1146">
            <v>45610</v>
          </cell>
          <cell r="K1146">
            <v>40068</v>
          </cell>
          <cell r="L1146">
            <v>15.172222222222222</v>
          </cell>
        </row>
        <row r="1147">
          <cell r="B1147">
            <v>9103</v>
          </cell>
          <cell r="C1147" t="str">
            <v>round3</v>
          </cell>
          <cell r="D1147">
            <v>2009</v>
          </cell>
          <cell r="E1147" t="str">
            <v>boysU14</v>
          </cell>
          <cell r="F1147" t="str">
            <v>football</v>
          </cell>
          <cell r="G1147" t="str">
            <v>boys</v>
          </cell>
          <cell r="H1147">
            <v>13.193220704273543</v>
          </cell>
          <cell r="I1147">
            <v>1.690112629059791</v>
          </cell>
          <cell r="J1147">
            <v>45610</v>
          </cell>
          <cell r="K1147">
            <v>40173</v>
          </cell>
          <cell r="L1147">
            <v>14.883333333333333</v>
          </cell>
        </row>
        <row r="1148">
          <cell r="B1148">
            <v>9998</v>
          </cell>
          <cell r="C1148" t="str">
            <v>round3</v>
          </cell>
          <cell r="D1148">
            <v>2008</v>
          </cell>
          <cell r="E1148" t="str">
            <v>girlsU16</v>
          </cell>
          <cell r="F1148" t="str">
            <v>handball</v>
          </cell>
          <cell r="G1148" t="str">
            <v>girls</v>
          </cell>
          <cell r="H1148">
            <v>12.785140208479403</v>
          </cell>
          <cell r="I1148">
            <v>4.5370820137428201</v>
          </cell>
          <cell r="J1148">
            <v>45803</v>
          </cell>
          <cell r="K1148" t="str">
            <v>31.01.2008</v>
          </cell>
          <cell r="L1148">
            <v>17.322222222222223</v>
          </cell>
        </row>
        <row r="1149">
          <cell r="B1149">
            <v>123453</v>
          </cell>
          <cell r="C1149" t="str">
            <v>round3</v>
          </cell>
          <cell r="D1149">
            <v>2010</v>
          </cell>
          <cell r="E1149" t="str">
            <v>girlsU14</v>
          </cell>
          <cell r="F1149" t="str">
            <v>handball</v>
          </cell>
          <cell r="G1149" t="str">
            <v>girls</v>
          </cell>
          <cell r="H1149">
            <v>62.170830374378106</v>
          </cell>
          <cell r="I1149">
            <v>63.21805851451078</v>
          </cell>
          <cell r="J1149">
            <v>45797</v>
          </cell>
          <cell r="K1149">
            <v>0</v>
          </cell>
          <cell r="L1149">
            <v>125.38888888888889</v>
          </cell>
        </row>
        <row r="1150">
          <cell r="B1150">
            <v>971</v>
          </cell>
          <cell r="C1150" t="str">
            <v>round3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 t="e">
            <v>#N/A</v>
          </cell>
          <cell r="I1150">
            <v>0</v>
          </cell>
          <cell r="J1150">
            <v>0</v>
          </cell>
          <cell r="K1150" t="e">
            <v>#N/A</v>
          </cell>
          <cell r="L1150" t="e">
            <v>#N/A</v>
          </cell>
        </row>
        <row r="1151">
          <cell r="B1151">
            <v>1155</v>
          </cell>
          <cell r="C1151" t="str">
            <v>round3</v>
          </cell>
          <cell r="D1151">
            <v>2009</v>
          </cell>
          <cell r="E1151" t="str">
            <v>boysU14</v>
          </cell>
          <cell r="F1151" t="str">
            <v>football</v>
          </cell>
          <cell r="G1151" t="str">
            <v>boys</v>
          </cell>
          <cell r="H1151">
            <v>13.431417903858094</v>
          </cell>
          <cell r="I1151">
            <v>2.0158043183641299</v>
          </cell>
          <cell r="J1151">
            <v>45635</v>
          </cell>
          <cell r="K1151">
            <v>39992</v>
          </cell>
          <cell r="L1151">
            <v>15.447222222222223</v>
          </cell>
        </row>
        <row r="1152">
          <cell r="B1152">
            <v>1156</v>
          </cell>
          <cell r="C1152" t="str">
            <v>round3</v>
          </cell>
          <cell r="D1152">
            <v>0</v>
          </cell>
          <cell r="E1152" t="str">
            <v>boysU14</v>
          </cell>
          <cell r="F1152" t="str">
            <v>football</v>
          </cell>
          <cell r="G1152" t="str">
            <v>boys</v>
          </cell>
          <cell r="H1152">
            <v>118.82766666666667</v>
          </cell>
          <cell r="I1152">
            <v>-9.2360000000000007</v>
          </cell>
          <cell r="J1152">
            <v>0</v>
          </cell>
          <cell r="K1152">
            <v>40028</v>
          </cell>
          <cell r="L1152">
            <v>109.59166666666667</v>
          </cell>
        </row>
        <row r="1153">
          <cell r="B1153">
            <v>1157</v>
          </cell>
          <cell r="C1153" t="str">
            <v>round3</v>
          </cell>
          <cell r="D1153">
            <v>0</v>
          </cell>
          <cell r="E1153" t="str">
            <v>boysU14</v>
          </cell>
          <cell r="F1153" t="str">
            <v>football</v>
          </cell>
          <cell r="G1153" t="str">
            <v>boys</v>
          </cell>
          <cell r="H1153">
            <v>118.83044444444445</v>
          </cell>
          <cell r="I1153">
            <v>-9.2360000000000007</v>
          </cell>
          <cell r="J1153">
            <v>0</v>
          </cell>
          <cell r="K1153">
            <v>40029</v>
          </cell>
          <cell r="L1153">
            <v>109.59444444444445</v>
          </cell>
        </row>
        <row r="1154">
          <cell r="B1154">
            <v>9100</v>
          </cell>
          <cell r="C1154" t="str">
            <v>round3</v>
          </cell>
          <cell r="D1154">
            <v>2009</v>
          </cell>
          <cell r="E1154" t="str">
            <v>boysU14</v>
          </cell>
          <cell r="F1154" t="str">
            <v>football</v>
          </cell>
          <cell r="G1154" t="str">
            <v>boys</v>
          </cell>
          <cell r="H1154">
            <v>15.018168204847425</v>
          </cell>
          <cell r="I1154">
            <v>0.85127623959701859</v>
          </cell>
          <cell r="J1154">
            <v>45610</v>
          </cell>
          <cell r="K1154">
            <v>39814</v>
          </cell>
          <cell r="L1154">
            <v>15.869444444444444</v>
          </cell>
        </row>
        <row r="1155">
          <cell r="B1155">
            <v>9101</v>
          </cell>
          <cell r="C1155" t="str">
            <v>round3</v>
          </cell>
          <cell r="D1155">
            <v>2009</v>
          </cell>
          <cell r="E1155" t="str">
            <v>boysU14</v>
          </cell>
          <cell r="F1155" t="str">
            <v>football</v>
          </cell>
          <cell r="G1155" t="str">
            <v>boys</v>
          </cell>
          <cell r="H1155">
            <v>13.021339478666667</v>
          </cell>
          <cell r="I1155">
            <v>2.5897716324444446</v>
          </cell>
          <cell r="J1155">
            <v>45610</v>
          </cell>
          <cell r="K1155">
            <v>39907</v>
          </cell>
          <cell r="L1155">
            <v>15.611111111111111</v>
          </cell>
        </row>
        <row r="1156">
          <cell r="B1156">
            <v>9102</v>
          </cell>
          <cell r="C1156" t="str">
            <v>round3</v>
          </cell>
          <cell r="D1156">
            <v>2009</v>
          </cell>
          <cell r="E1156" t="str">
            <v>boysU14</v>
          </cell>
          <cell r="F1156" t="str">
            <v>football</v>
          </cell>
          <cell r="G1156" t="str">
            <v>boys</v>
          </cell>
          <cell r="H1156">
            <v>13.049288318124962</v>
          </cell>
          <cell r="I1156">
            <v>2.1229339040972617</v>
          </cell>
          <cell r="J1156">
            <v>45610</v>
          </cell>
          <cell r="K1156">
            <v>40068</v>
          </cell>
          <cell r="L1156">
            <v>15.172222222222222</v>
          </cell>
        </row>
        <row r="1157">
          <cell r="B1157">
            <v>9103</v>
          </cell>
          <cell r="C1157" t="str">
            <v>round3</v>
          </cell>
          <cell r="D1157">
            <v>2009</v>
          </cell>
          <cell r="E1157" t="str">
            <v>boysU14</v>
          </cell>
          <cell r="F1157" t="str">
            <v>football</v>
          </cell>
          <cell r="G1157" t="str">
            <v>boys</v>
          </cell>
          <cell r="H1157">
            <v>13.193220704273543</v>
          </cell>
          <cell r="I1157">
            <v>1.690112629059791</v>
          </cell>
          <cell r="J1157">
            <v>45610</v>
          </cell>
          <cell r="K1157">
            <v>40173</v>
          </cell>
          <cell r="L1157">
            <v>14.883333333333333</v>
          </cell>
        </row>
        <row r="1158">
          <cell r="C1158" t="str">
            <v>round3</v>
          </cell>
          <cell r="D1158">
            <v>0</v>
          </cell>
          <cell r="E1158" t="e">
            <v>#N/A</v>
          </cell>
          <cell r="F1158" t="e">
            <v>#N/A</v>
          </cell>
          <cell r="G1158" t="e">
            <v>#N/A</v>
          </cell>
          <cell r="H1158" t="e">
            <v>#N/A</v>
          </cell>
          <cell r="I1158">
            <v>0</v>
          </cell>
          <cell r="J1158">
            <v>0</v>
          </cell>
          <cell r="K1158" t="e">
            <v>#N/A</v>
          </cell>
          <cell r="L1158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rs Martin Tingelstad" id="{0266098F-C3E2-404A-81DE-B71F095937DB}" userId="S::larsmt@nih.no::4e5871c7-e7e0-483c-8fd6-d09aa694371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410B1-0DF6-4DF6-8F4A-3DE4A4B6DB5C}" name="paper3" displayName="paper3" ref="A1:CY1104" totalsRowShown="0" headerRowDxfId="104" dataDxfId="103" headerRowCellStyle="Normal 12" dataCellStyle="Normal 12">
  <autoFilter ref="A1:CY1104" xr:uid="{1CA66047-77FD-4975-97D8-8596DE8A2160}"/>
  <tableColumns count="103">
    <tableColumn id="1" xr3:uid="{CBF0C819-DCBC-4567-B351-E46203B85A54}" name="id" dataDxfId="102" dataCellStyle="Normal 12"/>
    <tableColumn id="2" xr3:uid="{A2D90691-EE9E-43A8-BF26-C58055F3DF74}" name="FP2" dataDxfId="101" dataCellStyle="Normal 12"/>
    <tableColumn id="3" xr3:uid="{94A7E14E-8EBD-44E7-BD89-4968A32A385D}" name="Dominant fot" dataDxfId="100" dataCellStyle="Normal 12"/>
    <tableColumn id="4" xr3:uid="{75308234-B759-4E40-A640-6CA43AAD8FBF}" name="time" dataDxfId="99" dataCellStyle="Normal 12"/>
    <tableColumn id="5" xr3:uid="{E8B4A04D-B01A-4A7D-899A-E81E80F8CD0B}" name="date" dataDxfId="98" dataCellStyle="Normal 12"/>
    <tableColumn id="6" xr3:uid="{7D1FADEF-D676-42B5-BC94-1DF3D6A76FDD}" name="sport" dataDxfId="97" dataCellStyle="Normal 12"/>
    <tableColumn id="7" xr3:uid="{ABC8D8B2-9756-441A-BDF7-C28EEF953423}" name="sex" dataDxfId="96" dataCellStyle="Normal 12"/>
    <tableColumn id="8" xr3:uid="{0EB14511-2D38-423F-8493-C0A5D085426A}" name="year" dataDxfId="95" dataCellStyle="Normal 12"/>
    <tableColumn id="9" xr3:uid="{F1D05F89-93BC-4FDC-A701-51421C13EFA3}" name="ageg" dataDxfId="94" dataCellStyle="Normal 12"/>
    <tableColumn id="10" xr3:uid="{6DF6B074-DF44-4446-AE03-BA2AA56E9803}" name="group" dataDxfId="93" dataCellStyle="Normal 12"/>
    <tableColumn id="11" xr3:uid="{CDA531FB-1958-4217-B516-79DACB4C7C10}" name="Høyde 1" dataDxfId="92" dataCellStyle="Normal 12"/>
    <tableColumn id="12" xr3:uid="{55E47D58-0B02-43BB-9BFB-0312CB3036C1}" name="Høyde 2" dataDxfId="91" dataCellStyle="Normal 12"/>
    <tableColumn id="13" xr3:uid="{D984DCED-430F-45B1-8036-47D10032D8C3}" name="Høyde 3" dataDxfId="90" dataCellStyle="Normal 12"/>
    <tableColumn id="14" xr3:uid="{CD3A617F-9447-47D1-9F21-FE119B4F1B2D}" name="Sittende høyde 1" dataDxfId="89" dataCellStyle="Normal 12"/>
    <tableColumn id="15" xr3:uid="{7F58BED5-4B2D-489C-9BBC-9C5B2E8F43C7}" name="Sittende høyde 2" dataDxfId="88" dataCellStyle="Normal 12"/>
    <tableColumn id="16" xr3:uid="{E9C2F0F3-B232-4E37-888D-69BAF0C4E762}" name="Sittende høyde 3" dataDxfId="87" dataCellStyle="Normal 12"/>
    <tableColumn id="17" xr3:uid="{C8F4BFB8-BA5C-4B8B-8DB5-04B2A7097BC7}" name="Vekt 1" dataDxfId="86" dataCellStyle="Normal 12"/>
    <tableColumn id="18" xr3:uid="{A6C9A4DF-E6B6-454E-A16C-3E5573E9033A}" name="Vekt 2" dataDxfId="85" dataCellStyle="Normal 12"/>
    <tableColumn id="19" xr3:uid="{46A9C2ED-2AEA-4D4B-9B01-090BB7378E46}" name="Vekt 3" dataDxfId="84" dataCellStyle="Normal 12"/>
    <tableColumn id="20" xr3:uid="{A8DAF82E-9810-4108-9810-E7793A699EEC}" name="height" dataDxfId="83" dataCellStyle="Normal 12"/>
    <tableColumn id="21" xr3:uid="{453194E4-4E21-4439-A216-A3B1EDA9FF96}" name="sittingheight" dataDxfId="82" dataCellStyle="Normal 12"/>
    <tableColumn id="22" xr3:uid="{85CD65AE-6724-4994-989A-211B071E02CA}" name="leglength" dataDxfId="81" dataCellStyle="Normal 12"/>
    <tableColumn id="23" xr3:uid="{CE55CAAA-6EC1-4E2D-8281-514286A2DE6D}" name="bodymass" dataDxfId="80" dataCellStyle="Normal 12"/>
    <tableColumn id="24" xr3:uid="{08791544-4094-4A6D-BB53-E4671A07BBB7}" name="phv" dataDxfId="79" dataCellStyle="Normal 12"/>
    <tableColumn id="25" xr3:uid="{93A5213A-D8CC-4AC7-9406-3D417FD8D92D}" name="10m1" dataDxfId="78" dataCellStyle="Normal 12"/>
    <tableColumn id="26" xr3:uid="{858F88AC-E5AA-4CA9-9E46-437625442121}" name="20m1" dataDxfId="77" dataCellStyle="Normal 12"/>
    <tableColumn id="27" xr3:uid="{7C17F17A-915A-41AE-BCAE-1855A7343AF1}" name="30m1" dataDxfId="76" dataCellStyle="Normal 12"/>
    <tableColumn id="28" xr3:uid="{60494472-D108-4200-8D99-E6A17615FFE9}" name="10m2" dataDxfId="75" dataCellStyle="Normal 12"/>
    <tableColumn id="29" xr3:uid="{D973658A-7110-43FC-A889-CD1AC72D67FB}" name="20m2" dataDxfId="74" dataCellStyle="Normal 12"/>
    <tableColumn id="30" xr3:uid="{33B7E040-AD2B-42F7-95D9-BBB5B91004F4}" name="30m2" dataDxfId="73" dataCellStyle="Normal 12"/>
    <tableColumn id="31" xr3:uid="{F5110560-03A6-4AFE-A827-5A49CDEAC711}" name="10m3" dataDxfId="72" dataCellStyle="Normal 12"/>
    <tableColumn id="32" xr3:uid="{0378208F-4D4D-42E7-8859-E6E1085BF3D3}" name="20m3" dataDxfId="71" dataCellStyle="Normal 12"/>
    <tableColumn id="33" xr3:uid="{7B55C7E7-B340-4602-BDAA-7CEE770DB94F}" name="30m3" dataDxfId="70" dataCellStyle="Normal 12"/>
    <tableColumn id="34" xr3:uid="{E6F14F82-C868-4F3D-ACC8-67D9A9808F2D}" name="sprint10" dataDxfId="69" dataCellStyle="Normal 12"/>
    <tableColumn id="35" xr3:uid="{3FC2D718-3033-42BE-96F9-4243CA046513}" name="sprint20" dataDxfId="68" dataCellStyle="Normal 12"/>
    <tableColumn id="36" xr3:uid="{0210375F-82C9-46E5-9B44-E7ADC0D620DE}" name="sprint30" dataDxfId="67" dataCellStyle="Normal 12"/>
    <tableColumn id="37" xr3:uid="{A930FCE3-774F-4070-8F61-B4BC596DF0B4}" name="topspeed" dataDxfId="66" dataCellStyle="Normal 12"/>
    <tableColumn id="38" xr3:uid="{08E12E71-4DD5-4FE1-A71D-5D08AC955053}" name="Agility dominant 1" dataDxfId="65" dataCellStyle="Normal 12"/>
    <tableColumn id="39" xr3:uid="{97073FDD-6FEC-4F08-8950-2F335880E524}" name="Agility dominant 2" dataDxfId="64" dataCellStyle="Normal 12"/>
    <tableColumn id="40" xr3:uid="{54481807-F0CA-49A2-B186-304143339077}" name="Agility ikke-dominant 1" dataDxfId="63" dataCellStyle="Normal 12"/>
    <tableColumn id="41" xr3:uid="{78E670DE-070B-406E-83C7-07CF171BF48A}" name="Agility ikke-dominant 2" dataDxfId="62" dataCellStyle="Normal 12"/>
    <tableColumn id="42" xr3:uid="{710053B0-DA69-4D2E-81E7-DD4B62D7E356}" name="cod" dataDxfId="61" dataCellStyle="Normal 12"/>
    <tableColumn id="43" xr3:uid="{A2669C78-8179-41DF-BF26-AE92F31A412A}" name="Agility dominant (s)" dataDxfId="60" dataCellStyle="Normal 12"/>
    <tableColumn id="44" xr3:uid="{2C7992E4-2DB0-42BF-9EFE-E090838D9755}" name="Agility ikke-dominant (s)" dataDxfId="59" dataCellStyle="Normal 12"/>
    <tableColumn id="45" xr3:uid="{5862A9B9-5CAD-4E7A-B6E1-72E026EA77A0}" name="Spenst 1" dataDxfId="58" dataCellStyle="Normal 12"/>
    <tableColumn id="46" xr3:uid="{5EB4A6AC-C63D-495F-9531-4EC49FB6010E}" name="Spenst 2" dataDxfId="57" dataCellStyle="Normal 12"/>
    <tableColumn id="47" xr3:uid="{D6E1E93C-BD4A-4603-B0DE-D7015D89B403}" name="Spenst 3" dataDxfId="56" dataCellStyle="Normal 12"/>
    <tableColumn id="48" xr3:uid="{1FC07F78-90DF-411A-9F6A-17E6F45EBB0B}" name="Spenst 4" dataDxfId="55" dataCellStyle="Normal 12"/>
    <tableColumn id="49" xr3:uid="{821C9431-234E-4777-B408-62469BE0A0D3}" name="Spenst 5" dataDxfId="54" dataCellStyle="Normal 12"/>
    <tableColumn id="50" xr3:uid="{A2541B28-B09A-4934-98F6-6EAA40D55DE6}" name="cmj" dataDxfId="53" dataCellStyle="Normal 12"/>
    <tableColumn id="51" xr3:uid="{BBEF97B1-1E58-4CF9-8652-4EC69FD872FB}" name="Kommentar" dataDxfId="52" dataCellStyle="Normal 12"/>
    <tableColumn id="52" xr3:uid="{50167075-FB39-4F44-BF15-5D8F7507A525}" name="Seteposisjon" dataDxfId="51" dataCellStyle="Normal 12"/>
    <tableColumn id="53" xr3:uid="{12447107-989C-475F-8653-B5167C97CAFA}" name="RM-utgang" dataDxfId="50" dataCellStyle="Normal 12"/>
    <tableColumn id="54" xr3:uid="{F2CF4F71-348D-423C-BCE2-6CF0FE795399}" name="Reps" dataDxfId="49" dataCellStyle="Normal 12"/>
    <tableColumn id="55" xr3:uid="{6FC60312-CB59-4461-8412-4636F47E72FD}" name="RM-siste rep" dataDxfId="48" dataCellStyle="Normal 12"/>
    <tableColumn id="56" xr3:uid="{2DAA0F8E-83BE-4C76-88AD-A9CEC93F5F2F}" name="Kraft ikke-dominant" dataDxfId="47" dataCellStyle="Normal 12"/>
    <tableColumn id="57" xr3:uid="{E5168DAD-D69F-43E7-9D4E-840B41C63D34}" name="Kraft dominant" dataDxfId="46" dataCellStyle="Normal 12"/>
    <tableColumn id="58" xr3:uid="{0DA37245-F609-482D-A418-41966E8EBD1C}" name="Kraft èn fot" dataDxfId="45" dataCellStyle="Normal 12"/>
    <tableColumn id="59" xr3:uid="{FE12E5B1-C640-4D1B-8872-E38BFD33F519}" name="Pwr ikke-dominant" dataDxfId="44" dataCellStyle="Normal 12"/>
    <tableColumn id="60" xr3:uid="{817C6ACB-016B-4A3C-8E73-C5F71A83D61B}" name="Pwr dominant" dataDxfId="43" dataCellStyle="Normal 12"/>
    <tableColumn id="61" xr3:uid="{8257C23F-3167-441D-A1F3-4D832278D3A2}" name="totforce" dataDxfId="42" dataCellStyle="Normal 12"/>
    <tableColumn id="62" xr3:uid="{39007A33-E71A-48DC-ACD3-F825593B19F2}" name="totpwr" dataDxfId="41" dataCellStyle="Normal 12"/>
    <tableColumn id="63" xr3:uid="{5720F3D3-BF48-48FD-A817-011C44338389}" name="Sideforskjell kraft" dataDxfId="40" dataCellStyle="Normal 12"/>
    <tableColumn id="64" xr3:uid="{C9145DE4-C634-490A-963B-715AA693FE8E}" name="Sideforskjell pwr" dataDxfId="39" dataCellStyle="Normal 12"/>
    <tableColumn id="65" xr3:uid="{F723A385-169A-4D2A-9145-743CC2639369}" name="relforce" dataDxfId="38" dataCellStyle="Normal 12"/>
    <tableColumn id="66" xr3:uid="{23197078-D8CF-4406-BF6E-2638BD464238}" name="relpwr" dataDxfId="37" dataCellStyle="Normal 12"/>
    <tableColumn id="67" xr3:uid="{40C6FBA5-FCC6-4D62-94EE-941D46300141}" name="Hamstring beste" dataDxfId="36" dataCellStyle="Normal 12"/>
    <tableColumn id="68" xr3:uid="{1E80AA78-FB21-4F05-B032-95CE685C6C81}" name="Hamstring ikke-dominant" dataDxfId="35" dataCellStyle="Normal 12"/>
    <tableColumn id="69" xr3:uid="{9A3927A6-D058-4EBC-B637-AB7B909E121D}" name="Hamstring dominant" dataDxfId="34" dataCellStyle="Normal 12"/>
    <tableColumn id="70" xr3:uid="{900B2D75-B748-41E5-8194-E76A111CC295}" name="Sideforskjell hamstring (%)" dataDxfId="33" dataCellStyle="Normal 12"/>
    <tableColumn id="71" xr3:uid="{FB5F3111-8242-451A-8DEA-615103F995D3}" name="relhams" dataDxfId="32" dataCellStyle="Normal 12"/>
    <tableColumn id="72" xr3:uid="{28C1E788-8E44-4F7C-9C2E-94FC694980B6}" name="Adduksjon ikke-dominant" dataDxfId="31" dataCellStyle="Normal 12"/>
    <tableColumn id="73" xr3:uid="{F7E9C7D9-4B02-4953-928E-4F2C78B05BBC}" name="Adduksjon dominant" dataDxfId="30" dataCellStyle="Normal 12"/>
    <tableColumn id="74" xr3:uid="{01CB2F7F-B5FA-48CA-BF5E-2602F009C226}" name="Abduksjon ikke-dominant" dataDxfId="29" dataCellStyle="Normal 12"/>
    <tableColumn id="75" xr3:uid="{3A9C75CA-DD6E-4D50-94EC-0BE1ABC9D9E7}" name="Abduksjon dominant" dataDxfId="28" dataCellStyle="Normal 12"/>
    <tableColumn id="76" xr3:uid="{6BBC9187-E91A-477D-93C9-6FB681D8AE22}" name="Sideforskjell add" dataDxfId="27" dataCellStyle="Normal 12"/>
    <tableColumn id="77" xr3:uid="{A560FEA4-C94D-46F6-8DCE-03A2567E36F9}" name="Sideforskjell abd" dataDxfId="26" dataCellStyle="Normal 12"/>
    <tableColumn id="78" xr3:uid="{825B1C01-DE25-4CB1-BF1F-96BDD61504F0}" name="Ratio add:abd høyre " dataDxfId="25" dataCellStyle="Normal 12"/>
    <tableColumn id="79" xr3:uid="{06BB9592-5B93-4BD0-A5BC-FBDB920DE1C9}" name="Ratio add:abd venstre" dataDxfId="24" dataCellStyle="Normal 12"/>
    <tableColumn id="80" xr3:uid="{E63936E2-993F-4637-9733-330F76DC6DF9}" name="reladd" dataDxfId="23" dataCellStyle="Normal 12"/>
    <tableColumn id="81" xr3:uid="{0A445B16-9232-48F3-BE45-F90BA685ED2F}" name="relabd" dataDxfId="22" dataCellStyle="Normal 12"/>
    <tableColumn id="82" xr3:uid="{29D7FBB0-161A-45AC-865D-01570F014A36}" name="ir" dataDxfId="21" dataCellStyle="Normal 12"/>
    <tableColumn id="83" xr3:uid="{3C904675-9294-465E-B190-B78E0127556A}" name="erot" dataDxfId="20" dataCellStyle="Normal 12"/>
    <tableColumn id="84" xr3:uid="{33E23D7C-73F1-4E29-B025-074C3D7D9B01}" name="relir" dataDxfId="19" dataCellStyle="Normal 12"/>
    <tableColumn id="85" xr3:uid="{FB222773-A9C7-4AFF-916C-1C2849A02603}" name="reler" dataDxfId="18" dataCellStyle="Normal 12"/>
    <tableColumn id="86" xr3:uid="{4DE39927-1016-442E-8346-6FD42554B793}" name="Ratio ER:IR" dataDxfId="17" dataCellStyle="Normal 12"/>
    <tableColumn id="87" xr3:uid="{E787B546-A781-4057-A638-FBCA663EE6F8}" name="YYIR nivå" dataDxfId="16" dataCellStyle="Normal 12"/>
    <tableColumn id="88" xr3:uid="{06A65ECD-1A91-44E6-8E83-95EA67748F96}" name="yyir" dataDxfId="15" dataCellStyle="Normal 12"/>
    <tableColumn id="89" xr3:uid="{1C8E1CB7-D274-416E-8E76-2B647284F799}" name="Sal" dataDxfId="14" dataCellStyle="Normal 12"/>
    <tableColumn id="90" xr3:uid="{1F998765-20E2-48ED-A330-680A7DC00FF6}" name="Lean mass" dataDxfId="13" dataCellStyle="Normal 12"/>
    <tableColumn id="91" xr3:uid="{84A880DA-F79E-49EA-BD1F-2F98265F2CAC}" name="Lean mass (kg)" dataDxfId="12" dataCellStyle="Normal 12"/>
    <tableColumn id="92" xr3:uid="{A3B16CCC-CAA0-4F9B-B74E-7CAD64D0870C}" name="ADD beste" dataDxfId="11" dataCellStyle="Normal 12"/>
    <tableColumn id="93" xr3:uid="{77E46CFB-2499-4B48-A679-50E59112ED49}" name="ABD beste" dataDxfId="10" dataCellStyle="Normal 12"/>
    <tableColumn id="94" xr3:uid="{7563A759-EFAA-492F-BCAB-F377AA689499}" name="age" dataDxfId="9" dataCellStyle="Normal 12"/>
    <tableColumn id="95" xr3:uid="{E70B4EC2-8B69-46DE-8261-E491EC6F3F61}" name="Leg lean mass" dataDxfId="8" dataCellStyle="Normal 12"/>
    <tableColumn id="96" xr3:uid="{73FF289F-719E-49CC-B735-CB44BA7C2681}" name="meanadd" dataDxfId="7" dataCellStyle="Normal 12"/>
    <tableColumn id="97" xr3:uid="{54F10CB4-2802-46A5-A293-6D25A0D7AD3D}" name="meanabd" dataDxfId="6" dataCellStyle="Normal 12"/>
    <tableColumn id="98" xr3:uid="{0EDAC6AF-7672-417D-A6E1-0A67FC81F332}" name="meanhams" dataDxfId="5" dataCellStyle="Normal 12"/>
    <tableColumn id="100" xr3:uid="{2319EFAA-A4EA-4A23-A083-0910487BEE6B}" name="10m_korr" dataDxfId="4" dataCellStyle="Normal 12"/>
    <tableColumn id="103" xr3:uid="{55EB1A5D-E036-420C-AD0C-FFB50E7ACD49}" name="30m_korr" dataDxfId="3" dataCellStyle="Normal 12"/>
    <tableColumn id="102" xr3:uid="{9BC047FB-419A-4740-9FB3-E6D451303D75}" name="cod_korr" dataDxfId="2" dataCellStyle="Normal 12"/>
    <tableColumn id="101" xr3:uid="{67FB25A4-0FE2-40C4-81A0-4985E098CFC8}" name="cmj_korr" dataDxfId="1" dataCellStyle="Normal 12"/>
    <tableColumn id="99" xr3:uid="{1FBD6DA8-CBF5-4BBE-A0F6-309858D0FFF1}" name="posisjon" dataDxfId="0" dataCellStyle="Normal 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5" dT="2025-02-13T06:13:02.18" personId="{0266098F-C3E2-404A-81DE-B71F095937DB}" id="{232E23FA-D01D-4253-A56F-BC2542760CE5}">
    <text>Skada</text>
  </threadedComment>
  <threadedComment ref="A58" dT="2025-02-13T06:13:08.15" personId="{0266098F-C3E2-404A-81DE-B71F095937DB}" id="{F2B90FD2-0922-4042-A0FB-9AEDC5EB0831}">
    <text>skada</text>
  </threadedComment>
  <threadedComment ref="A60" dT="2025-02-13T06:13:14.42" personId="{0266098F-C3E2-404A-81DE-B71F095937DB}" id="{12BA9928-57D4-4B27-B5A2-954AB34E9943}">
    <text>Skada</text>
  </threadedComment>
  <threadedComment ref="A550" dT="2025-02-13T06:13:18.54" personId="{0266098F-C3E2-404A-81DE-B71F095937DB}" id="{DF7BD3AA-575B-4CE1-9C5B-C6AAC03694F2}">
    <text>Skada</text>
  </threadedComment>
  <threadedComment ref="A650" dT="2025-02-13T06:13:23.11" personId="{0266098F-C3E2-404A-81DE-B71F095937DB}" id="{A4F205C5-9294-4AB3-B4F1-62C499877F66}">
    <text>Skada</text>
  </threadedComment>
  <threadedComment ref="A960" dT="2025-02-13T06:16:11.31" personId="{0266098F-C3E2-404A-81DE-B71F095937DB}" id="{1F9F1666-92BF-4590-8280-FFB2314A7BBB}">
    <text>skade</text>
  </threadedComment>
  <threadedComment ref="A987" dT="2025-02-13T06:13:33.21" personId="{0266098F-C3E2-404A-81DE-B71F095937DB}" id="{B82EF599-3DA5-4D1B-8385-A4F9FD11BF79}">
    <text>Skada leddbånd kne</text>
  </threadedComment>
  <threadedComment ref="AB1044" dT="2025-09-11T10:06:28.49" personId="{0266098F-C3E2-404A-81DE-B71F095937DB}" id="{2EEAD454-2C72-4044-BBFA-887345B01634}">
    <text>1,403'</text>
  </threadedComment>
  <threadedComment ref="AB1078" dT="2025-09-11T10:06:35.94" personId="{0266098F-C3E2-404A-81DE-B71F095937DB}" id="{CB9AB9C6-8AB7-426E-8027-00D4ADA020C3}">
    <text>1,364'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46D7-0111-47A0-92E6-5DBAF0BF19F4}">
  <sheetPr>
    <tabColor rgb="FFFF0000"/>
  </sheetPr>
  <dimension ref="A1:EG1126"/>
  <sheetViews>
    <sheetView tabSelected="1" zoomScale="85" zoomScaleNormal="85" workbookViewId="0">
      <pane xSplit="1" topLeftCell="B1" activePane="topRight" state="frozen"/>
      <selection pane="topRight" activeCell="B1" sqref="B1"/>
    </sheetView>
  </sheetViews>
  <sheetFormatPr baseColWidth="10" defaultRowHeight="15"/>
  <cols>
    <col min="1" max="1" width="8.42578125" bestFit="1" customWidth="1"/>
    <col min="2" max="2" width="10" bestFit="1" customWidth="1"/>
    <col min="3" max="3" width="17.7109375" bestFit="1" customWidth="1"/>
    <col min="4" max="4" width="12" bestFit="1" customWidth="1"/>
    <col min="5" max="5" width="12.42578125" bestFit="1" customWidth="1"/>
    <col min="6" max="6" width="10.42578125" bestFit="1" customWidth="1"/>
    <col min="7" max="7" width="10.7109375" bestFit="1" customWidth="1"/>
    <col min="8" max="8" width="11.85546875" bestFit="1" customWidth="1"/>
    <col min="9" max="9" width="14.140625" bestFit="1" customWidth="1"/>
    <col min="10" max="10" width="12.28515625" bestFit="1" customWidth="1"/>
    <col min="11" max="13" width="13.140625" bestFit="1" customWidth="1"/>
    <col min="14" max="16" width="21.140625" bestFit="1" customWidth="1"/>
    <col min="17" max="20" width="11.42578125" bestFit="1" customWidth="1"/>
    <col min="21" max="21" width="19.28515625" bestFit="1" customWidth="1"/>
    <col min="22" max="22" width="19.7109375" bestFit="1" customWidth="1"/>
    <col min="23" max="23" width="9.7109375" bestFit="1" customWidth="1"/>
    <col min="24" max="24" width="9.42578125" bestFit="1" customWidth="1"/>
    <col min="25" max="25" width="19.42578125" bestFit="1" customWidth="1"/>
    <col min="26" max="27" width="11.28515625" bestFit="1" customWidth="1"/>
    <col min="28" max="28" width="22.28515625" bestFit="1" customWidth="1"/>
    <col min="29" max="30" width="11.28515625" bestFit="1" customWidth="1"/>
    <col min="31" max="31" width="12.7109375" bestFit="1" customWidth="1"/>
    <col min="32" max="33" width="11.28515625" bestFit="1" customWidth="1"/>
    <col min="34" max="36" width="14" bestFit="1" customWidth="1"/>
    <col min="37" max="37" width="21.42578125" bestFit="1" customWidth="1"/>
    <col min="38" max="38" width="25.7109375" bestFit="1" customWidth="1"/>
    <col min="39" max="39" width="22.42578125" bestFit="1" customWidth="1"/>
    <col min="40" max="41" width="27.140625" bestFit="1" customWidth="1"/>
    <col min="42" max="42" width="17.140625" bestFit="1" customWidth="1"/>
    <col min="43" max="43" width="23.85546875" bestFit="1" customWidth="1"/>
    <col min="44" max="44" width="28.42578125" bestFit="1" customWidth="1"/>
    <col min="45" max="45" width="18.42578125" bestFit="1" customWidth="1"/>
    <col min="46" max="48" width="13.42578125" bestFit="1" customWidth="1"/>
    <col min="49" max="49" width="25.42578125" bestFit="1" customWidth="1"/>
    <col min="50" max="50" width="16.42578125" bestFit="1" customWidth="1"/>
    <col min="51" max="51" width="29.140625" customWidth="1"/>
    <col min="52" max="52" width="30.42578125" bestFit="1" customWidth="1"/>
    <col min="53" max="53" width="15.85546875" bestFit="1" customWidth="1"/>
    <col min="54" max="54" width="13.7109375" customWidth="1"/>
    <col min="55" max="55" width="17.42578125" bestFit="1" customWidth="1"/>
    <col min="56" max="56" width="23.85546875" bestFit="1" customWidth="1"/>
    <col min="57" max="57" width="19.28515625" bestFit="1" customWidth="1"/>
    <col min="58" max="58" width="16" bestFit="1" customWidth="1"/>
    <col min="59" max="59" width="22.85546875" bestFit="1" customWidth="1"/>
    <col min="60" max="60" width="18.28515625" bestFit="1" customWidth="1"/>
    <col min="61" max="61" width="14.42578125" bestFit="1" customWidth="1"/>
    <col min="62" max="62" width="16.140625" bestFit="1" customWidth="1"/>
    <col min="63" max="63" width="21.85546875" bestFit="1" customWidth="1"/>
    <col min="64" max="64" width="21" bestFit="1" customWidth="1"/>
    <col min="65" max="65" width="26.28515625" bestFit="1" customWidth="1"/>
    <col min="66" max="66" width="28.140625" bestFit="1" customWidth="1"/>
    <col min="67" max="67" width="21" bestFit="1" customWidth="1"/>
    <col min="68" max="68" width="29.140625" bestFit="1" customWidth="1"/>
    <col min="69" max="69" width="24.42578125" bestFit="1" customWidth="1"/>
    <col min="70" max="70" width="30.42578125" bestFit="1" customWidth="1"/>
    <col min="71" max="71" width="26.42578125" bestFit="1" customWidth="1"/>
    <col min="72" max="72" width="29.140625" bestFit="1" customWidth="1"/>
    <col min="73" max="73" width="24.42578125" bestFit="1" customWidth="1"/>
    <col min="74" max="74" width="29.140625" bestFit="1" customWidth="1"/>
    <col min="75" max="75" width="24.42578125" bestFit="1" customWidth="1"/>
    <col min="76" max="77" width="21" bestFit="1" customWidth="1"/>
    <col min="78" max="78" width="24.85546875" bestFit="1" customWidth="1"/>
    <col min="79" max="79" width="26.140625" bestFit="1" customWidth="1"/>
    <col min="80" max="81" width="22.28515625" bestFit="1" customWidth="1"/>
    <col min="82" max="82" width="16.7109375" bestFit="1" customWidth="1"/>
    <col min="83" max="83" width="17.42578125" bestFit="1" customWidth="1"/>
    <col min="84" max="84" width="26.42578125" bestFit="1" customWidth="1"/>
    <col min="85" max="85" width="27" bestFit="1" customWidth="1"/>
    <col min="86" max="86" width="15.85546875" bestFit="1" customWidth="1"/>
    <col min="87" max="87" width="18.85546875" bestFit="1" customWidth="1"/>
    <col min="88" max="88" width="22" bestFit="1" customWidth="1"/>
    <col min="89" max="89" width="20.42578125" bestFit="1" customWidth="1"/>
    <col min="90" max="90" width="15.42578125" bestFit="1" customWidth="1"/>
    <col min="91" max="91" width="19.42578125" bestFit="1" customWidth="1"/>
    <col min="92" max="92" width="15.42578125" bestFit="1" customWidth="1"/>
    <col min="93" max="93" width="15.28515625" bestFit="1" customWidth="1"/>
    <col min="94" max="94" width="9.140625" bestFit="1" customWidth="1"/>
    <col min="95" max="95" width="18.85546875" bestFit="1" customWidth="1"/>
    <col min="96" max="96" width="15.42578125" bestFit="1" customWidth="1"/>
    <col min="97" max="97" width="15.28515625" bestFit="1" customWidth="1"/>
    <col min="98" max="98" width="20.7109375" bestFit="1" customWidth="1"/>
    <col min="99" max="99" width="16.85546875" bestFit="1" customWidth="1"/>
    <col min="100" max="101" width="16.85546875" customWidth="1"/>
    <col min="102" max="102" width="13.85546875" bestFit="1" customWidth="1"/>
    <col min="103" max="103" width="15.28515625" bestFit="1" customWidth="1"/>
    <col min="104" max="104" width="14" bestFit="1" customWidth="1"/>
    <col min="105" max="106" width="15" bestFit="1" customWidth="1"/>
  </cols>
  <sheetData>
    <row r="1" spans="1:107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10" t="s">
        <v>17</v>
      </c>
      <c r="S1" s="11" t="s">
        <v>18</v>
      </c>
      <c r="T1" s="12" t="s">
        <v>19</v>
      </c>
      <c r="U1" s="13" t="s">
        <v>20</v>
      </c>
      <c r="V1" s="14" t="s">
        <v>21</v>
      </c>
      <c r="W1" s="15" t="s">
        <v>22</v>
      </c>
      <c r="X1" s="16" t="s">
        <v>23</v>
      </c>
      <c r="Y1" s="17" t="s">
        <v>24</v>
      </c>
      <c r="Z1" s="3" t="s">
        <v>25</v>
      </c>
      <c r="AA1" s="18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19" t="s">
        <v>33</v>
      </c>
      <c r="AI1" s="19" t="s">
        <v>34</v>
      </c>
      <c r="AJ1" s="20" t="s">
        <v>35</v>
      </c>
      <c r="AK1" s="21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22" t="s">
        <v>42</v>
      </c>
      <c r="AR1" s="22" t="s">
        <v>43</v>
      </c>
      <c r="AS1" s="17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23" t="s">
        <v>49</v>
      </c>
      <c r="AY1" s="3" t="s">
        <v>50</v>
      </c>
      <c r="AZ1" s="17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24" t="s">
        <v>60</v>
      </c>
      <c r="BJ1" s="24" t="s">
        <v>61</v>
      </c>
      <c r="BK1" s="25" t="s">
        <v>62</v>
      </c>
      <c r="BL1" s="25" t="s">
        <v>63</v>
      </c>
      <c r="BM1" s="25" t="s">
        <v>64</v>
      </c>
      <c r="BN1" s="26" t="s">
        <v>65</v>
      </c>
      <c r="BO1" s="27" t="s">
        <v>66</v>
      </c>
      <c r="BP1" s="17" t="s">
        <v>67</v>
      </c>
      <c r="BQ1" s="3" t="s">
        <v>68</v>
      </c>
      <c r="BR1" s="28" t="s">
        <v>69</v>
      </c>
      <c r="BS1" s="29" t="s">
        <v>70</v>
      </c>
      <c r="BT1" s="17" t="s">
        <v>71</v>
      </c>
      <c r="BU1" s="3" t="s">
        <v>72</v>
      </c>
      <c r="BV1" s="3" t="s">
        <v>73</v>
      </c>
      <c r="BW1" s="3" t="s">
        <v>74</v>
      </c>
      <c r="BX1" s="30" t="s">
        <v>75</v>
      </c>
      <c r="BY1" s="30" t="s">
        <v>76</v>
      </c>
      <c r="BZ1" s="31" t="s">
        <v>77</v>
      </c>
      <c r="CA1" s="30" t="s">
        <v>78</v>
      </c>
      <c r="CB1" s="30" t="s">
        <v>79</v>
      </c>
      <c r="CC1" s="30" t="s">
        <v>80</v>
      </c>
      <c r="CD1" s="32" t="s">
        <v>81</v>
      </c>
      <c r="CE1" s="33" t="s">
        <v>82</v>
      </c>
      <c r="CF1" s="34" t="s">
        <v>83</v>
      </c>
      <c r="CG1" s="34" t="s">
        <v>84</v>
      </c>
      <c r="CH1" s="34" t="s">
        <v>85</v>
      </c>
      <c r="CI1" s="35" t="s">
        <v>86</v>
      </c>
      <c r="CJ1" s="36" t="s">
        <v>87</v>
      </c>
      <c r="CK1" s="4" t="s">
        <v>88</v>
      </c>
      <c r="CL1" s="37" t="s">
        <v>89</v>
      </c>
      <c r="CM1" s="37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/>
      <c r="DA1" s="3"/>
    </row>
    <row r="2" spans="1:107" ht="15.95" customHeight="1">
      <c r="A2" s="3">
        <v>101</v>
      </c>
      <c r="B2" s="38" t="s">
        <v>103</v>
      </c>
      <c r="C2" s="3" t="s">
        <v>104</v>
      </c>
      <c r="D2" s="3" t="s">
        <v>105</v>
      </c>
      <c r="E2" s="39">
        <v>44466</v>
      </c>
      <c r="F2" s="3" t="s">
        <v>106</v>
      </c>
      <c r="G2" s="3" t="s">
        <v>107</v>
      </c>
      <c r="H2" s="40">
        <v>2008</v>
      </c>
      <c r="I2" s="40" t="s">
        <v>108</v>
      </c>
      <c r="J2" s="40" t="s">
        <v>109</v>
      </c>
      <c r="K2" s="3">
        <v>149.6</v>
      </c>
      <c r="L2" s="3">
        <v>150</v>
      </c>
      <c r="M2" s="3">
        <v>150</v>
      </c>
      <c r="N2" s="3">
        <v>132.9</v>
      </c>
      <c r="O2" s="3">
        <v>132.9</v>
      </c>
      <c r="P2" s="3"/>
      <c r="Q2" s="3">
        <v>40.799999999999997</v>
      </c>
      <c r="R2" s="3">
        <v>40.799999999999997</v>
      </c>
      <c r="S2" s="41"/>
      <c r="T2" s="42">
        <v>149.86666666666667</v>
      </c>
      <c r="U2" s="42">
        <f>AVERAGE(paper3[[#This Row],[Sittende høyde 1]:[Sittende høyde 3]])-56.2</f>
        <v>76.7</v>
      </c>
      <c r="V2" s="12">
        <f>paper3[[#This Row],[height]]-paper3[[#This Row],[sittingheight]]</f>
        <v>73.166666666666671</v>
      </c>
      <c r="W2" s="42">
        <v>40.799999999999997</v>
      </c>
      <c r="X2" s="43" cm="1">
        <f t="array" ref="X2">INDEX([1]!phvny[yphv], MATCH(1, (paper3[[#This Row],[id]]=[1]!phvny[id])*(paper3[[#This Row],[time]]=[1]!phvny[time]), 0))</f>
        <v>0.6483903034677736</v>
      </c>
      <c r="Y2" s="3">
        <v>2.1800000000000002</v>
      </c>
      <c r="Z2" s="3">
        <v>3.74</v>
      </c>
      <c r="AA2" s="3">
        <v>5.34</v>
      </c>
      <c r="AB2" s="3">
        <v>2.11</v>
      </c>
      <c r="AC2" s="3">
        <v>3.67</v>
      </c>
      <c r="AD2" s="3">
        <v>5.22</v>
      </c>
      <c r="AE2" s="3">
        <v>2.2000000000000002</v>
      </c>
      <c r="AF2" s="3">
        <v>3.8</v>
      </c>
      <c r="AG2" s="3">
        <v>5.39</v>
      </c>
      <c r="AH2" s="44">
        <v>2.11</v>
      </c>
      <c r="AI2" s="45">
        <v>3.67</v>
      </c>
      <c r="AJ2" s="45">
        <v>5.22</v>
      </c>
      <c r="AK2" s="45">
        <v>6.4516129032258069</v>
      </c>
      <c r="AL2" s="3">
        <v>11.14</v>
      </c>
      <c r="AM2" s="3">
        <v>10.92</v>
      </c>
      <c r="AN2" s="3">
        <v>11.37</v>
      </c>
      <c r="AO2" s="46">
        <v>11.27</v>
      </c>
      <c r="AP2" s="46">
        <v>10.92</v>
      </c>
      <c r="AQ2" s="47">
        <v>10.92</v>
      </c>
      <c r="AR2" s="47">
        <v>11.27</v>
      </c>
      <c r="AS2" s="41">
        <v>23.63</v>
      </c>
      <c r="AT2" s="41">
        <v>24.46</v>
      </c>
      <c r="AU2" s="41">
        <v>23.27</v>
      </c>
      <c r="AV2" s="41"/>
      <c r="AW2" s="41"/>
      <c r="AX2" s="48">
        <v>24.46</v>
      </c>
      <c r="AY2" s="3"/>
      <c r="AZ2" s="3">
        <v>6</v>
      </c>
      <c r="BA2" s="3">
        <v>150</v>
      </c>
      <c r="BB2" s="3">
        <v>12</v>
      </c>
      <c r="BC2" s="3"/>
      <c r="BD2" s="40">
        <v>749.22372160293332</v>
      </c>
      <c r="BE2" s="40">
        <v>766.37971301418577</v>
      </c>
      <c r="BF2" s="40"/>
      <c r="BG2" s="40">
        <v>236.51250746946187</v>
      </c>
      <c r="BH2" s="40">
        <v>236.58384055712975</v>
      </c>
      <c r="BI2" s="49">
        <v>1515.6034346171191</v>
      </c>
      <c r="BJ2" s="49">
        <v>473.09634802659161</v>
      </c>
      <c r="BK2" s="50">
        <v>-2.2385758808486256E-2</v>
      </c>
      <c r="BL2" s="50">
        <v>-3.0151293300462179E-4</v>
      </c>
      <c r="BM2" s="51">
        <v>37.147143005321546</v>
      </c>
      <c r="BN2" s="51">
        <v>11.595498726141953</v>
      </c>
      <c r="BO2" s="52">
        <v>197.25</v>
      </c>
      <c r="BP2" s="40">
        <v>182.25</v>
      </c>
      <c r="BQ2" s="40">
        <v>197.25</v>
      </c>
      <c r="BR2" s="53">
        <v>-7.6045627376425839E-2</v>
      </c>
      <c r="BS2" s="54">
        <v>4.6507352941176476</v>
      </c>
      <c r="BT2" s="55">
        <v>94.25</v>
      </c>
      <c r="BU2" s="56">
        <v>106.5</v>
      </c>
      <c r="BV2" s="57">
        <v>96.75</v>
      </c>
      <c r="BW2" s="3">
        <v>95</v>
      </c>
      <c r="BX2" s="58">
        <v>-0.11502347417840375</v>
      </c>
      <c r="BY2" s="58">
        <v>1.8421052631578894E-2</v>
      </c>
      <c r="BZ2" s="59">
        <v>1.1210526315789473</v>
      </c>
      <c r="CA2" s="59">
        <v>0.97416020671834624</v>
      </c>
      <c r="CB2" s="59">
        <v>1.8000255310457516</v>
      </c>
      <c r="CC2" s="59">
        <v>1.7193270016339872</v>
      </c>
      <c r="CD2" s="60"/>
      <c r="CE2" s="60"/>
      <c r="CF2" s="61"/>
      <c r="CG2" s="61"/>
      <c r="CH2" s="61"/>
      <c r="CI2" s="41"/>
      <c r="CJ2" s="40"/>
      <c r="CK2" s="3"/>
      <c r="CL2" s="62"/>
      <c r="CM2" s="63" t="s">
        <v>110</v>
      </c>
      <c r="CN2" s="3">
        <v>106.5</v>
      </c>
      <c r="CO2" s="3">
        <v>96.75</v>
      </c>
      <c r="CP2" s="41">
        <v>13.733333333333333</v>
      </c>
      <c r="CQ2" s="3" t="s">
        <v>110</v>
      </c>
      <c r="CR2" s="40">
        <v>100.375</v>
      </c>
      <c r="CS2" s="40">
        <v>95.875</v>
      </c>
      <c r="CT2" s="40">
        <v>189.75</v>
      </c>
      <c r="CU2" s="40"/>
      <c r="CV2" s="40"/>
      <c r="CW2" s="40"/>
      <c r="CX2" s="40"/>
      <c r="CY2" s="40">
        <v>0</v>
      </c>
      <c r="CZ2" s="40"/>
      <c r="DA2" s="40"/>
    </row>
    <row r="3" spans="1:107" ht="15.95" customHeight="1">
      <c r="A3" s="3">
        <v>103</v>
      </c>
      <c r="B3" s="38" t="s">
        <v>103</v>
      </c>
      <c r="C3" s="3" t="s">
        <v>104</v>
      </c>
      <c r="D3" s="3" t="s">
        <v>105</v>
      </c>
      <c r="E3" s="39">
        <v>44466</v>
      </c>
      <c r="F3" s="3" t="s">
        <v>106</v>
      </c>
      <c r="G3" s="3" t="s">
        <v>107</v>
      </c>
      <c r="H3" s="40">
        <v>2008</v>
      </c>
      <c r="I3" s="40" t="s">
        <v>108</v>
      </c>
      <c r="J3" s="40" t="s">
        <v>109</v>
      </c>
      <c r="K3" s="3">
        <v>158.5</v>
      </c>
      <c r="L3" s="3">
        <v>158.80000000000001</v>
      </c>
      <c r="M3" s="3">
        <v>158.80000000000001</v>
      </c>
      <c r="N3" s="3">
        <v>134.6</v>
      </c>
      <c r="O3" s="3">
        <v>134.6</v>
      </c>
      <c r="P3" s="3">
        <v>134.69999999999999</v>
      </c>
      <c r="Q3" s="3">
        <v>46.4</v>
      </c>
      <c r="R3" s="3">
        <v>46.4</v>
      </c>
      <c r="S3" s="41"/>
      <c r="T3" s="42">
        <v>158.70000000000002</v>
      </c>
      <c r="U3" s="42">
        <f>AVERAGE(paper3[[#This Row],[Sittende høyde 1]:[Sittende høyde 3]])-56.2</f>
        <v>78.433333333333323</v>
      </c>
      <c r="V3" s="12">
        <f>paper3[[#This Row],[height]]-paper3[[#This Row],[sittingheight]]</f>
        <v>80.266666666666694</v>
      </c>
      <c r="W3" s="42">
        <v>46.4</v>
      </c>
      <c r="X3" s="43" cm="1">
        <f t="array" ref="X3">INDEX([1]!phvny[yphv], MATCH(1, (paper3[[#This Row],[id]]=[1]!phvny[id])*(paper3[[#This Row],[time]]=[1]!phvny[time]), 0))</f>
        <v>0.74442689996103795</v>
      </c>
      <c r="Y3" s="3">
        <v>2.15</v>
      </c>
      <c r="Z3" s="3">
        <v>3.63</v>
      </c>
      <c r="AA3" s="3">
        <v>5.07</v>
      </c>
      <c r="AB3" s="3">
        <v>2.11</v>
      </c>
      <c r="AC3" s="3">
        <v>3.58</v>
      </c>
      <c r="AD3" s="3">
        <v>5.04</v>
      </c>
      <c r="AE3" s="3">
        <v>2.15</v>
      </c>
      <c r="AF3" s="3">
        <v>3.64</v>
      </c>
      <c r="AG3" s="3">
        <v>5.12</v>
      </c>
      <c r="AH3" s="44">
        <v>2.11</v>
      </c>
      <c r="AI3" s="45">
        <v>3.58</v>
      </c>
      <c r="AJ3" s="45">
        <v>5.04</v>
      </c>
      <c r="AK3" s="45">
        <v>6.8493150684931505</v>
      </c>
      <c r="AL3" s="3">
        <v>10.62</v>
      </c>
      <c r="AM3" s="3">
        <v>10.72</v>
      </c>
      <c r="AN3" s="3">
        <v>11.15</v>
      </c>
      <c r="AO3" s="46"/>
      <c r="AP3" s="46">
        <v>10.62</v>
      </c>
      <c r="AQ3" s="47">
        <v>10.62</v>
      </c>
      <c r="AR3" s="47">
        <v>11.15</v>
      </c>
      <c r="AS3" s="41">
        <v>24.59</v>
      </c>
      <c r="AT3" s="41">
        <v>25.13</v>
      </c>
      <c r="AU3" s="41">
        <v>25.44</v>
      </c>
      <c r="AV3" s="41">
        <v>24.4</v>
      </c>
      <c r="AW3" s="41"/>
      <c r="AX3" s="48">
        <v>25.44</v>
      </c>
      <c r="AY3" s="3"/>
      <c r="AZ3" s="3">
        <v>8</v>
      </c>
      <c r="BA3" s="3">
        <v>170</v>
      </c>
      <c r="BB3" s="3">
        <v>13</v>
      </c>
      <c r="BC3" s="3"/>
      <c r="BD3" s="40">
        <v>881.66822850750009</v>
      </c>
      <c r="BE3" s="40">
        <v>840.75586609452876</v>
      </c>
      <c r="BF3" s="40"/>
      <c r="BG3" s="40">
        <v>283.95878902438699</v>
      </c>
      <c r="BH3" s="40">
        <v>257.39018009517088</v>
      </c>
      <c r="BI3" s="49">
        <v>1722.4240946020288</v>
      </c>
      <c r="BJ3" s="49">
        <v>541.34896911955786</v>
      </c>
      <c r="BK3" s="50">
        <v>4.866140584069556E-2</v>
      </c>
      <c r="BL3" s="50">
        <v>0.10322308690794757</v>
      </c>
      <c r="BM3" s="51">
        <v>37.121208935388552</v>
      </c>
      <c r="BN3" s="51">
        <v>11.667003644818058</v>
      </c>
      <c r="BO3" s="52">
        <v>230.75</v>
      </c>
      <c r="BP3" s="40">
        <v>230.75</v>
      </c>
      <c r="BQ3" s="40">
        <v>221</v>
      </c>
      <c r="BR3" s="53">
        <v>4.4117647058823595E-2</v>
      </c>
      <c r="BS3" s="54">
        <v>4.8679956896551726</v>
      </c>
      <c r="BT3" s="3">
        <v>98</v>
      </c>
      <c r="BU3" s="40">
        <v>98.5</v>
      </c>
      <c r="BV3" s="57"/>
      <c r="BW3" s="3"/>
      <c r="BX3" s="58">
        <v>-5.0761421319797106E-3</v>
      </c>
      <c r="BY3" s="58"/>
      <c r="BZ3" s="64"/>
      <c r="CA3" s="59"/>
      <c r="CB3" s="59">
        <v>1.6996120689655179</v>
      </c>
      <c r="CC3" s="59" t="s">
        <v>110</v>
      </c>
      <c r="CD3" s="60"/>
      <c r="CE3" s="60"/>
      <c r="CF3" s="61"/>
      <c r="CG3" s="61"/>
      <c r="CH3" s="61"/>
      <c r="CI3" s="41"/>
      <c r="CJ3" s="40"/>
      <c r="CK3" s="3"/>
      <c r="CL3" s="62"/>
      <c r="CM3" s="63" t="s">
        <v>110</v>
      </c>
      <c r="CN3" s="3">
        <v>98.5</v>
      </c>
      <c r="CO3" s="3"/>
      <c r="CP3" s="41">
        <v>13.074999999999999</v>
      </c>
      <c r="CQ3" s="3" t="s">
        <v>110</v>
      </c>
      <c r="CR3" s="40">
        <v>98.25</v>
      </c>
      <c r="CS3" s="40" t="s">
        <v>110</v>
      </c>
      <c r="CT3" s="40">
        <v>225.875</v>
      </c>
      <c r="CU3" s="40"/>
      <c r="CV3" s="40"/>
      <c r="CW3" s="40"/>
      <c r="CX3" s="40"/>
      <c r="CY3" s="40">
        <v>0</v>
      </c>
      <c r="CZ3" s="40"/>
      <c r="DA3" s="40"/>
    </row>
    <row r="4" spans="1:107" ht="15.95" customHeight="1">
      <c r="A4" s="3">
        <v>104</v>
      </c>
      <c r="B4" s="38" t="s">
        <v>103</v>
      </c>
      <c r="C4" s="3" t="s">
        <v>104</v>
      </c>
      <c r="D4" s="3" t="s">
        <v>105</v>
      </c>
      <c r="E4" s="39">
        <v>44466</v>
      </c>
      <c r="F4" s="3" t="s">
        <v>106</v>
      </c>
      <c r="G4" s="3" t="s">
        <v>107</v>
      </c>
      <c r="H4" s="40">
        <v>2008</v>
      </c>
      <c r="I4" s="40" t="s">
        <v>108</v>
      </c>
      <c r="J4" s="40" t="s">
        <v>109</v>
      </c>
      <c r="K4" s="3">
        <v>160.5</v>
      </c>
      <c r="L4" s="3">
        <v>160.5</v>
      </c>
      <c r="M4" s="3"/>
      <c r="N4" s="3">
        <v>139.5</v>
      </c>
      <c r="O4" s="3">
        <v>139.5</v>
      </c>
      <c r="P4" s="3"/>
      <c r="Q4" s="3">
        <v>54.8</v>
      </c>
      <c r="R4" s="3">
        <v>54.8</v>
      </c>
      <c r="S4" s="41"/>
      <c r="T4" s="42">
        <v>160.5</v>
      </c>
      <c r="U4" s="42">
        <f>AVERAGE(paper3[[#This Row],[Sittende høyde 1]:[Sittende høyde 3]])-56.2</f>
        <v>83.3</v>
      </c>
      <c r="V4" s="12">
        <f>paper3[[#This Row],[height]]-paper3[[#This Row],[sittingheight]]</f>
        <v>77.2</v>
      </c>
      <c r="W4" s="42">
        <v>54.8</v>
      </c>
      <c r="X4" s="43" cm="1">
        <f t="array" ref="X4">INDEX([1]!phvny[yphv], MATCH(1, (paper3[[#This Row],[id]]=[1]!phvny[id])*(paper3[[#This Row],[time]]=[1]!phvny[time]), 0))</f>
        <v>1.2423643298712355</v>
      </c>
      <c r="Y4" s="3">
        <v>2.04</v>
      </c>
      <c r="Z4" s="3">
        <v>3.51</v>
      </c>
      <c r="AA4" s="3">
        <v>4.9400000000000004</v>
      </c>
      <c r="AB4" s="3">
        <v>2.0299999999999998</v>
      </c>
      <c r="AC4" s="3">
        <v>3.48</v>
      </c>
      <c r="AD4" s="3">
        <v>4.9000000000000004</v>
      </c>
      <c r="AE4" s="3">
        <v>2.04</v>
      </c>
      <c r="AF4" s="3">
        <v>3.5</v>
      </c>
      <c r="AG4" s="3">
        <v>4.9000000000000004</v>
      </c>
      <c r="AH4" s="44">
        <v>2.0299999999999998</v>
      </c>
      <c r="AI4" s="45">
        <v>3.48</v>
      </c>
      <c r="AJ4" s="45">
        <v>4.9000000000000004</v>
      </c>
      <c r="AK4" s="45">
        <v>7.0422535211267583</v>
      </c>
      <c r="AL4" s="3">
        <v>10.52</v>
      </c>
      <c r="AM4" s="46"/>
      <c r="AN4" s="3">
        <v>10.63</v>
      </c>
      <c r="AO4" s="3">
        <v>10.37</v>
      </c>
      <c r="AP4" s="3">
        <v>10.37</v>
      </c>
      <c r="AQ4" s="47">
        <v>10.52</v>
      </c>
      <c r="AR4" s="47">
        <v>10.37</v>
      </c>
      <c r="AS4" s="41">
        <v>30.36</v>
      </c>
      <c r="AT4" s="41">
        <v>26.63</v>
      </c>
      <c r="AU4" s="41">
        <v>27.81</v>
      </c>
      <c r="AV4" s="41">
        <v>27.25</v>
      </c>
      <c r="AW4" s="41"/>
      <c r="AX4" s="48">
        <v>30.36</v>
      </c>
      <c r="AY4" s="3" t="s">
        <v>111</v>
      </c>
      <c r="AZ4" s="3">
        <v>7</v>
      </c>
      <c r="BA4" s="3">
        <v>185</v>
      </c>
      <c r="BB4" s="3">
        <v>11</v>
      </c>
      <c r="BC4" s="3"/>
      <c r="BD4" s="40">
        <v>1080.4707911291607</v>
      </c>
      <c r="BE4" s="40">
        <v>965.68071140378856</v>
      </c>
      <c r="BF4" s="40"/>
      <c r="BG4" s="40">
        <v>416.74078850486291</v>
      </c>
      <c r="BH4" s="40">
        <v>411.82163037929945</v>
      </c>
      <c r="BI4" s="49">
        <v>2046.1515025329493</v>
      </c>
      <c r="BJ4" s="49">
        <v>828.5624188841623</v>
      </c>
      <c r="BK4" s="50">
        <v>0.1188695998271565</v>
      </c>
      <c r="BL4" s="50">
        <v>1.1944875554576351E-2</v>
      </c>
      <c r="BM4" s="51">
        <v>37.338531068119515</v>
      </c>
      <c r="BN4" s="51">
        <v>15.119752169419021</v>
      </c>
      <c r="BO4" s="52">
        <v>280.75</v>
      </c>
      <c r="BP4" s="40">
        <v>258.75</v>
      </c>
      <c r="BQ4" s="40">
        <v>280.75</v>
      </c>
      <c r="BR4" s="53">
        <v>-7.8361531611754187E-2</v>
      </c>
      <c r="BS4" s="54">
        <v>4.9224452554744529</v>
      </c>
      <c r="BT4" s="3">
        <v>134.5</v>
      </c>
      <c r="BU4" s="40">
        <v>118</v>
      </c>
      <c r="BV4" s="3">
        <v>117.8</v>
      </c>
      <c r="BW4" s="3">
        <v>111.8</v>
      </c>
      <c r="BX4" s="58">
        <v>0.13983050847457634</v>
      </c>
      <c r="BY4" s="58">
        <v>5.3667262969588458E-2</v>
      </c>
      <c r="BZ4" s="64">
        <v>1.0554561717352415</v>
      </c>
      <c r="CA4" s="59">
        <v>1.1417657045840408</v>
      </c>
      <c r="CB4" s="59">
        <v>1.778558394160584</v>
      </c>
      <c r="CC4" s="59">
        <v>1.6172554744525549</v>
      </c>
      <c r="CD4" s="60"/>
      <c r="CE4" s="60"/>
      <c r="CF4" s="61"/>
      <c r="CG4" s="61"/>
      <c r="CH4" s="61"/>
      <c r="CI4" s="41">
        <v>14.2</v>
      </c>
      <c r="CJ4" s="40">
        <f>VLOOKUP(paper3[[#This Row],[YYIR nivå]],DB:DC,2)</f>
        <v>520</v>
      </c>
      <c r="CK4" s="3" t="s">
        <v>112</v>
      </c>
      <c r="CL4" s="62"/>
      <c r="CM4" s="63" t="s">
        <v>110</v>
      </c>
      <c r="CN4" s="3">
        <v>134.5</v>
      </c>
      <c r="CO4" s="3">
        <v>117.8</v>
      </c>
      <c r="CP4" s="41">
        <v>13.277777777777779</v>
      </c>
      <c r="CQ4" s="3" t="s">
        <v>110</v>
      </c>
      <c r="CR4" s="40">
        <v>126.25</v>
      </c>
      <c r="CS4" s="40">
        <v>114.8</v>
      </c>
      <c r="CT4" s="40">
        <v>269.75</v>
      </c>
      <c r="CU4" s="40"/>
      <c r="CV4" s="40"/>
      <c r="CW4" s="40"/>
      <c r="CX4" s="40"/>
      <c r="CY4" s="40">
        <v>0</v>
      </c>
      <c r="CZ4" s="40"/>
      <c r="DA4" s="40"/>
      <c r="DB4" s="65">
        <v>9.1</v>
      </c>
      <c r="DC4" s="65">
        <v>80</v>
      </c>
    </row>
    <row r="5" spans="1:107" ht="15.95" customHeight="1">
      <c r="A5" s="3">
        <v>105</v>
      </c>
      <c r="B5" s="38" t="s">
        <v>103</v>
      </c>
      <c r="C5" s="3"/>
      <c r="D5" s="3" t="s">
        <v>105</v>
      </c>
      <c r="E5" s="39">
        <v>44466</v>
      </c>
      <c r="F5" s="39" t="s">
        <v>106</v>
      </c>
      <c r="G5" s="39" t="s">
        <v>107</v>
      </c>
      <c r="H5" s="40">
        <v>2008</v>
      </c>
      <c r="I5" s="40" t="s">
        <v>108</v>
      </c>
      <c r="J5" s="40" t="s">
        <v>109</v>
      </c>
      <c r="K5" s="3">
        <v>159.80000000000001</v>
      </c>
      <c r="L5" s="3">
        <v>160.1</v>
      </c>
      <c r="M5" s="3">
        <v>160</v>
      </c>
      <c r="N5" s="3">
        <v>137.1</v>
      </c>
      <c r="O5" s="3">
        <v>137</v>
      </c>
      <c r="P5" s="3">
        <v>137</v>
      </c>
      <c r="Q5" s="3">
        <v>41</v>
      </c>
      <c r="R5" s="3">
        <v>41</v>
      </c>
      <c r="S5" s="41"/>
      <c r="T5" s="42">
        <v>159.96666666666667</v>
      </c>
      <c r="U5" s="42">
        <f>AVERAGE(paper3[[#This Row],[Sittende høyde 1]:[Sittende høyde 3]])-56.2</f>
        <v>80.833333333333329</v>
      </c>
      <c r="V5" s="12">
        <f>paper3[[#This Row],[height]]-paper3[[#This Row],[sittingheight]]</f>
        <v>79.13333333333334</v>
      </c>
      <c r="W5" s="42">
        <v>41</v>
      </c>
      <c r="X5" s="43" cm="1">
        <f t="array" ref="X5">INDEX([1]!phvny[yphv], MATCH(1, (paper3[[#This Row],[id]]=[1]!phvny[id])*(paper3[[#This Row],[time]]=[1]!phvny[time]), 0))</f>
        <v>0.76907710644134797</v>
      </c>
      <c r="Y5" s="3">
        <v>2.2200000000000002</v>
      </c>
      <c r="Z5" s="3">
        <v>3.8</v>
      </c>
      <c r="AA5" s="3">
        <v>5.35</v>
      </c>
      <c r="AB5" s="3">
        <v>2.25</v>
      </c>
      <c r="AC5" s="3">
        <v>3.85</v>
      </c>
      <c r="AD5" s="3">
        <v>5.45</v>
      </c>
      <c r="AE5" s="3">
        <v>2.2400000000000002</v>
      </c>
      <c r="AF5" s="3">
        <v>3.84</v>
      </c>
      <c r="AG5" s="3">
        <v>5.42</v>
      </c>
      <c r="AH5" s="44">
        <v>2.2200000000000002</v>
      </c>
      <c r="AI5" s="45">
        <v>3.8</v>
      </c>
      <c r="AJ5" s="45">
        <v>5.35</v>
      </c>
      <c r="AK5" s="45">
        <v>6.4516129032258069</v>
      </c>
      <c r="AL5" s="3">
        <v>11.42</v>
      </c>
      <c r="AM5" s="46">
        <v>11.22</v>
      </c>
      <c r="AN5" s="3">
        <v>11.28</v>
      </c>
      <c r="AO5" s="3">
        <v>11.23</v>
      </c>
      <c r="AP5" s="3">
        <v>11.22</v>
      </c>
      <c r="AQ5" s="47">
        <v>11.22</v>
      </c>
      <c r="AR5" s="47">
        <v>11.23</v>
      </c>
      <c r="AS5" s="41">
        <v>22.21</v>
      </c>
      <c r="AT5" s="41">
        <v>23.96</v>
      </c>
      <c r="AU5" s="41">
        <v>24.4</v>
      </c>
      <c r="AV5" s="41">
        <v>24.94</v>
      </c>
      <c r="AW5" s="41">
        <v>24.39</v>
      </c>
      <c r="AX5" s="48">
        <v>24.94</v>
      </c>
      <c r="AY5" s="3" t="s">
        <v>111</v>
      </c>
      <c r="AZ5" s="3">
        <v>7</v>
      </c>
      <c r="BA5" s="3">
        <v>170</v>
      </c>
      <c r="BB5" s="3">
        <v>7</v>
      </c>
      <c r="BC5" s="3"/>
      <c r="BD5" s="40">
        <v>669.8134829863219</v>
      </c>
      <c r="BE5" s="40">
        <v>629.83882398914216</v>
      </c>
      <c r="BF5" s="40"/>
      <c r="BG5" s="40">
        <v>244.35434839338291</v>
      </c>
      <c r="BH5" s="40">
        <v>251.42531211290805</v>
      </c>
      <c r="BI5" s="49">
        <v>1299.6523069754639</v>
      </c>
      <c r="BJ5" s="49">
        <v>495.77966050629095</v>
      </c>
      <c r="BK5" s="66">
        <v>-1.4414414414414378E-2</v>
      </c>
      <c r="BL5" s="66">
        <v>7.2568940493469292E-3</v>
      </c>
      <c r="BM5" s="51">
        <v>26.878048780487806</v>
      </c>
      <c r="BN5" s="51">
        <v>16.865853658536587</v>
      </c>
      <c r="BO5" s="52">
        <v>173.75</v>
      </c>
      <c r="BP5" s="49">
        <v>149</v>
      </c>
      <c r="BQ5" s="40">
        <v>173.75</v>
      </c>
      <c r="BR5" s="67">
        <v>-0.14244604316546761</v>
      </c>
      <c r="BS5" s="54">
        <v>3.9359756097560976</v>
      </c>
      <c r="BT5" s="68">
        <v>101.3</v>
      </c>
      <c r="BU5" s="69">
        <v>91.25</v>
      </c>
      <c r="BV5" s="3">
        <v>82.25</v>
      </c>
      <c r="BW5" s="3">
        <v>82.5</v>
      </c>
      <c r="BX5" s="70">
        <v>0.11013698630136992</v>
      </c>
      <c r="BY5" s="70">
        <v>-3.0303030303030498E-3</v>
      </c>
      <c r="BZ5" s="64">
        <v>1.106060606060606</v>
      </c>
      <c r="CA5" s="64">
        <v>1.2316109422492401</v>
      </c>
      <c r="CB5" s="59">
        <v>1.8581857723577238</v>
      </c>
      <c r="CC5" s="59">
        <v>1.5899044715447157</v>
      </c>
      <c r="CD5" s="59"/>
      <c r="CE5" s="59"/>
      <c r="CF5" s="61"/>
      <c r="CG5" s="61"/>
      <c r="CH5" s="71"/>
      <c r="CI5" s="41"/>
      <c r="CJ5" s="40"/>
      <c r="CK5" s="3"/>
      <c r="CL5" s="62"/>
      <c r="CM5" s="63" t="s">
        <v>110</v>
      </c>
      <c r="CN5" s="3">
        <v>101.3</v>
      </c>
      <c r="CO5" s="3">
        <v>82.5</v>
      </c>
      <c r="CP5" s="41">
        <v>12.97</v>
      </c>
      <c r="CQ5" s="3" t="s">
        <v>110</v>
      </c>
      <c r="CR5" s="40">
        <v>96.275000000000006</v>
      </c>
      <c r="CS5" s="40">
        <v>82.375</v>
      </c>
      <c r="CT5" s="40">
        <v>161.375</v>
      </c>
      <c r="CU5" s="40"/>
      <c r="CV5" s="40"/>
      <c r="CW5" s="40"/>
      <c r="CX5" s="40"/>
      <c r="CY5" s="40">
        <v>0</v>
      </c>
      <c r="CZ5" s="40"/>
      <c r="DA5" s="40"/>
      <c r="DB5" s="65">
        <v>11.1</v>
      </c>
      <c r="DC5" s="65">
        <v>120</v>
      </c>
    </row>
    <row r="6" spans="1:107" ht="15.95" customHeight="1">
      <c r="A6" s="3">
        <v>106</v>
      </c>
      <c r="B6" s="38" t="s">
        <v>103</v>
      </c>
      <c r="C6" s="3" t="s">
        <v>104</v>
      </c>
      <c r="D6" s="3" t="s">
        <v>105</v>
      </c>
      <c r="E6" s="39">
        <v>44466</v>
      </c>
      <c r="F6" s="3" t="s">
        <v>106</v>
      </c>
      <c r="G6" s="3" t="s">
        <v>107</v>
      </c>
      <c r="H6" s="40">
        <v>2008</v>
      </c>
      <c r="I6" s="40" t="s">
        <v>108</v>
      </c>
      <c r="J6" s="40" t="s">
        <v>109</v>
      </c>
      <c r="K6" s="3">
        <v>162.6</v>
      </c>
      <c r="L6" s="3">
        <v>162.1</v>
      </c>
      <c r="M6" s="3">
        <v>162.5</v>
      </c>
      <c r="N6" s="3">
        <v>142</v>
      </c>
      <c r="O6" s="3">
        <v>141.69999999999999</v>
      </c>
      <c r="P6" s="3">
        <v>142</v>
      </c>
      <c r="Q6" s="3">
        <v>53.3</v>
      </c>
      <c r="R6" s="3">
        <v>53.3</v>
      </c>
      <c r="S6" s="41"/>
      <c r="T6" s="42">
        <v>162.4</v>
      </c>
      <c r="U6" s="42">
        <f>AVERAGE(paper3[[#This Row],[Sittende høyde 1]:[Sittende høyde 3]])-56.2</f>
        <v>85.7</v>
      </c>
      <c r="V6" s="12">
        <f>paper3[[#This Row],[height]]-paper3[[#This Row],[sittingheight]]</f>
        <v>76.7</v>
      </c>
      <c r="W6" s="42">
        <v>53.3</v>
      </c>
      <c r="X6" s="43" cm="1">
        <f t="array" ref="X6">INDEX([1]!phvny[yphv], MATCH(1, (paper3[[#This Row],[id]]=[1]!phvny[id])*(paper3[[#This Row],[time]]=[1]!phvny[time]), 0))</f>
        <v>1.138287883565134</v>
      </c>
      <c r="Y6" s="3">
        <v>2.0099999999999998</v>
      </c>
      <c r="Z6" s="3">
        <v>3.4</v>
      </c>
      <c r="AA6" s="3">
        <v>4.74</v>
      </c>
      <c r="AB6" s="3">
        <v>1.99</v>
      </c>
      <c r="AC6" s="3">
        <v>3.37</v>
      </c>
      <c r="AD6" s="3">
        <v>4.72</v>
      </c>
      <c r="AE6" s="3">
        <v>2.02</v>
      </c>
      <c r="AF6" s="3">
        <v>3.42</v>
      </c>
      <c r="AG6" s="3">
        <v>4.76</v>
      </c>
      <c r="AH6" s="44">
        <v>1.99</v>
      </c>
      <c r="AI6" s="45">
        <v>3.37</v>
      </c>
      <c r="AJ6" s="45">
        <v>4.72</v>
      </c>
      <c r="AK6" s="45">
        <v>7.4074074074074092</v>
      </c>
      <c r="AL6" s="3">
        <v>10.88</v>
      </c>
      <c r="AM6" s="3">
        <v>11.01</v>
      </c>
      <c r="AN6" s="3">
        <v>11.24</v>
      </c>
      <c r="AO6" s="3">
        <v>11.13</v>
      </c>
      <c r="AP6" s="3">
        <v>10.88</v>
      </c>
      <c r="AQ6" s="47">
        <v>10.88</v>
      </c>
      <c r="AR6" s="47">
        <v>11.13</v>
      </c>
      <c r="AS6" s="41">
        <v>34.18</v>
      </c>
      <c r="AT6" s="41">
        <v>34.619999999999997</v>
      </c>
      <c r="AU6" s="41">
        <v>35.159999999999997</v>
      </c>
      <c r="AV6" s="41">
        <v>35.99</v>
      </c>
      <c r="AW6" s="41">
        <v>35.26</v>
      </c>
      <c r="AX6" s="48">
        <v>35.99</v>
      </c>
      <c r="AY6" s="3"/>
      <c r="AZ6" s="3">
        <v>8</v>
      </c>
      <c r="BA6" s="3">
        <v>185</v>
      </c>
      <c r="BB6" s="3">
        <v>16</v>
      </c>
      <c r="BC6" s="3"/>
      <c r="BD6" s="40">
        <v>1269.7443467595019</v>
      </c>
      <c r="BE6" s="40">
        <v>1210.4855996411711</v>
      </c>
      <c r="BF6" s="40"/>
      <c r="BG6" s="40">
        <v>497.13561057723416</v>
      </c>
      <c r="BH6" s="40">
        <v>489.30810213378959</v>
      </c>
      <c r="BI6" s="49">
        <v>2480.2299464006728</v>
      </c>
      <c r="BJ6" s="49">
        <v>986.44371271102375</v>
      </c>
      <c r="BK6" s="50">
        <v>4.8954524643578745E-2</v>
      </c>
      <c r="BL6" s="50">
        <v>1.5997095509578063E-2</v>
      </c>
      <c r="BM6" s="51">
        <v>46.533394866804372</v>
      </c>
      <c r="BN6" s="51">
        <v>18.507386730037972</v>
      </c>
      <c r="BO6" s="52">
        <v>289.5</v>
      </c>
      <c r="BP6" s="40">
        <v>276.5</v>
      </c>
      <c r="BQ6" s="40">
        <v>289.5</v>
      </c>
      <c r="BR6" s="53">
        <v>-4.4905008635578558E-2</v>
      </c>
      <c r="BS6" s="54">
        <v>5.3095684803001877</v>
      </c>
      <c r="BT6" s="3">
        <v>121.5</v>
      </c>
      <c r="BU6" s="40">
        <v>123.8</v>
      </c>
      <c r="BV6" s="3">
        <v>116</v>
      </c>
      <c r="BW6" s="3">
        <v>111.3</v>
      </c>
      <c r="BX6" s="58">
        <v>-1.8578352180936952E-2</v>
      </c>
      <c r="BY6" s="58">
        <v>4.2228212039532753E-2</v>
      </c>
      <c r="BZ6" s="64">
        <v>1.1123090745732256</v>
      </c>
      <c r="CA6" s="59">
        <v>1.0474137931034482</v>
      </c>
      <c r="CB6" s="59">
        <v>1.7649634146341466</v>
      </c>
      <c r="CC6" s="59">
        <v>1.6354512195121953</v>
      </c>
      <c r="CD6" s="72">
        <v>136</v>
      </c>
      <c r="CE6" s="60">
        <v>104.8</v>
      </c>
      <c r="CF6" s="61">
        <v>2.5515947467166979</v>
      </c>
      <c r="CG6" s="61">
        <v>1.9662288930581615</v>
      </c>
      <c r="CH6" s="61">
        <v>0.77058823529411768</v>
      </c>
      <c r="CI6" s="41"/>
      <c r="CJ6" s="40"/>
      <c r="CK6" s="3"/>
      <c r="CL6" s="62"/>
      <c r="CM6" s="63" t="s">
        <v>110</v>
      </c>
      <c r="CN6" s="3">
        <v>123.8</v>
      </c>
      <c r="CO6" s="3">
        <v>116</v>
      </c>
      <c r="CP6" s="41">
        <v>12.797222222222222</v>
      </c>
      <c r="CQ6" s="3" t="s">
        <v>110</v>
      </c>
      <c r="CR6" s="40">
        <v>122.65</v>
      </c>
      <c r="CS6" s="40">
        <v>113.65</v>
      </c>
      <c r="CT6" s="40">
        <v>283</v>
      </c>
      <c r="CU6" s="40"/>
      <c r="CV6" s="40"/>
      <c r="CW6" s="40"/>
      <c r="CX6" s="40"/>
      <c r="CY6" s="40">
        <v>0</v>
      </c>
      <c r="CZ6" s="40"/>
      <c r="DA6" s="40"/>
      <c r="DB6" s="65">
        <v>11.2</v>
      </c>
      <c r="DC6" s="65">
        <v>160</v>
      </c>
    </row>
    <row r="7" spans="1:107" ht="15.95" customHeight="1">
      <c r="A7" s="3">
        <v>108</v>
      </c>
      <c r="B7" s="38" t="s">
        <v>103</v>
      </c>
      <c r="C7" s="3" t="s">
        <v>104</v>
      </c>
      <c r="D7" s="3" t="s">
        <v>105</v>
      </c>
      <c r="E7" s="39">
        <v>44466</v>
      </c>
      <c r="F7" s="3" t="s">
        <v>106</v>
      </c>
      <c r="G7" s="3" t="s">
        <v>107</v>
      </c>
      <c r="H7" s="40">
        <v>2008</v>
      </c>
      <c r="I7" s="40" t="s">
        <v>108</v>
      </c>
      <c r="J7" s="40" t="s">
        <v>109</v>
      </c>
      <c r="K7" s="3">
        <v>162.69999999999999</v>
      </c>
      <c r="L7" s="3">
        <v>162.80000000000001</v>
      </c>
      <c r="M7" s="3"/>
      <c r="N7" s="3">
        <v>138.5</v>
      </c>
      <c r="O7" s="3">
        <v>138.5</v>
      </c>
      <c r="P7" s="3"/>
      <c r="Q7" s="3">
        <v>48.1</v>
      </c>
      <c r="R7" s="3">
        <v>48.1</v>
      </c>
      <c r="S7" s="41"/>
      <c r="T7" s="42">
        <v>162.75</v>
      </c>
      <c r="U7" s="42">
        <f>AVERAGE(paper3[[#This Row],[Sittende høyde 1]:[Sittende høyde 3]])-56.2</f>
        <v>82.3</v>
      </c>
      <c r="V7" s="12">
        <f>paper3[[#This Row],[height]]-paper3[[#This Row],[sittingheight]]</f>
        <v>80.45</v>
      </c>
      <c r="W7" s="42">
        <v>48.1</v>
      </c>
      <c r="X7" s="43" cm="1">
        <f t="array" ref="X7">INDEX([1]!phvny[yphv], MATCH(1, (paper3[[#This Row],[id]]=[1]!phvny[id])*(paper3[[#This Row],[time]]=[1]!phvny[time]), 0))</f>
        <v>1.0980492070268819</v>
      </c>
      <c r="Y7" s="3">
        <v>2.0699999999999998</v>
      </c>
      <c r="Z7" s="3">
        <v>3.55</v>
      </c>
      <c r="AA7" s="3">
        <v>5.05</v>
      </c>
      <c r="AB7" s="3">
        <v>2.12</v>
      </c>
      <c r="AC7" s="3">
        <v>3.66</v>
      </c>
      <c r="AD7" s="3">
        <v>5.13</v>
      </c>
      <c r="AE7" s="3">
        <v>2.09</v>
      </c>
      <c r="AF7" s="3">
        <v>3.62</v>
      </c>
      <c r="AG7" s="3">
        <v>5.16</v>
      </c>
      <c r="AH7" s="44">
        <v>2.0699999999999998</v>
      </c>
      <c r="AI7" s="45">
        <v>3.55</v>
      </c>
      <c r="AJ7" s="45">
        <v>5.05</v>
      </c>
      <c r="AK7" s="45">
        <v>6.666666666666667</v>
      </c>
      <c r="AL7" s="3">
        <v>11.64</v>
      </c>
      <c r="AM7" s="3">
        <v>11.46</v>
      </c>
      <c r="AN7" s="3">
        <v>11.35</v>
      </c>
      <c r="AO7" s="3">
        <v>11.3</v>
      </c>
      <c r="AP7" s="3">
        <v>11.3</v>
      </c>
      <c r="AQ7" s="47">
        <v>11.46</v>
      </c>
      <c r="AR7" s="47">
        <v>11.3</v>
      </c>
      <c r="AS7" s="41">
        <v>24.5</v>
      </c>
      <c r="AT7" s="41">
        <v>22.97</v>
      </c>
      <c r="AU7" s="41">
        <v>22.06</v>
      </c>
      <c r="AV7" s="41">
        <v>21.81</v>
      </c>
      <c r="AW7" s="41"/>
      <c r="AX7" s="48">
        <v>24.5</v>
      </c>
      <c r="AY7" s="3"/>
      <c r="AZ7" s="3">
        <v>7</v>
      </c>
      <c r="BA7" s="3">
        <v>170</v>
      </c>
      <c r="BB7" s="3">
        <v>9</v>
      </c>
      <c r="BC7" s="3"/>
      <c r="BD7" s="40">
        <v>739.28321643496349</v>
      </c>
      <c r="BE7" s="40">
        <v>658.67726130920187</v>
      </c>
      <c r="BF7" s="40"/>
      <c r="BG7" s="40">
        <v>314.52782690720483</v>
      </c>
      <c r="BH7" s="40">
        <v>326.86435882338708</v>
      </c>
      <c r="BI7" s="49">
        <v>1397.9604777441655</v>
      </c>
      <c r="BJ7" s="49">
        <v>641.3921857305919</v>
      </c>
      <c r="BK7" s="50">
        <v>0.122375493827656</v>
      </c>
      <c r="BL7" s="50">
        <v>-3.7742052882700494E-2</v>
      </c>
      <c r="BM7" s="51">
        <v>29.063627395928595</v>
      </c>
      <c r="BN7" s="51">
        <v>13.334556875895881</v>
      </c>
      <c r="BO7" s="52">
        <v>260.75</v>
      </c>
      <c r="BP7" s="40">
        <v>163.75</v>
      </c>
      <c r="BQ7" s="40">
        <v>260.75</v>
      </c>
      <c r="BR7" s="53">
        <v>-0.37200383509108337</v>
      </c>
      <c r="BS7" s="54">
        <v>4.4126819126819123</v>
      </c>
      <c r="BT7" s="3">
        <v>116.5</v>
      </c>
      <c r="BU7" s="40">
        <v>147.80000000000001</v>
      </c>
      <c r="BV7" s="3">
        <v>109.8</v>
      </c>
      <c r="BW7" s="3">
        <v>94.25</v>
      </c>
      <c r="BX7" s="58">
        <v>-0.21177266576454679</v>
      </c>
      <c r="BY7" s="58">
        <v>0.16498673740053049</v>
      </c>
      <c r="BZ7" s="64">
        <v>1.5681697612732097</v>
      </c>
      <c r="CA7" s="59">
        <v>1.0610200364298725</v>
      </c>
      <c r="CB7" s="59">
        <v>2.2102843035343036</v>
      </c>
      <c r="CC7" s="59">
        <v>1.7064264553014554</v>
      </c>
      <c r="CD7" s="60">
        <v>85</v>
      </c>
      <c r="CE7" s="60">
        <v>68.25</v>
      </c>
      <c r="CF7" s="61">
        <v>1.7671517671517671</v>
      </c>
      <c r="CG7" s="61">
        <v>1.4189189189189189</v>
      </c>
      <c r="CH7" s="61">
        <v>0.80294117647058816</v>
      </c>
      <c r="CI7" s="41"/>
      <c r="CJ7" s="40"/>
      <c r="CK7" s="3"/>
      <c r="CL7" s="62"/>
      <c r="CM7" s="63" t="s">
        <v>110</v>
      </c>
      <c r="CN7" s="3">
        <v>147.80000000000001</v>
      </c>
      <c r="CO7" s="3">
        <v>109.8</v>
      </c>
      <c r="CP7" s="41">
        <v>13.125</v>
      </c>
      <c r="CQ7" s="3" t="s">
        <v>110</v>
      </c>
      <c r="CR7" s="40">
        <v>132.15</v>
      </c>
      <c r="CS7" s="40">
        <v>102.02500000000001</v>
      </c>
      <c r="CT7" s="40">
        <v>212.25</v>
      </c>
      <c r="CU7" s="40"/>
      <c r="CV7" s="40"/>
      <c r="CW7" s="40"/>
      <c r="CX7" s="40"/>
      <c r="CY7" s="40">
        <v>0</v>
      </c>
      <c r="CZ7" s="40"/>
      <c r="DA7" s="40"/>
      <c r="DB7" s="65">
        <v>12.1</v>
      </c>
      <c r="DC7" s="65">
        <v>200</v>
      </c>
    </row>
    <row r="8" spans="1:107" ht="15.95" customHeight="1">
      <c r="A8" s="3">
        <v>109</v>
      </c>
      <c r="B8" s="38" t="s">
        <v>103</v>
      </c>
      <c r="C8" s="3" t="s">
        <v>104</v>
      </c>
      <c r="D8" s="3" t="s">
        <v>105</v>
      </c>
      <c r="E8" s="39">
        <v>44466</v>
      </c>
      <c r="F8" s="3" t="s">
        <v>106</v>
      </c>
      <c r="G8" s="3" t="s">
        <v>107</v>
      </c>
      <c r="H8" s="40">
        <v>2008</v>
      </c>
      <c r="I8" s="40" t="s">
        <v>108</v>
      </c>
      <c r="J8" s="40" t="s">
        <v>109</v>
      </c>
      <c r="K8" s="3">
        <v>175.3</v>
      </c>
      <c r="L8" s="3">
        <v>175.3</v>
      </c>
      <c r="M8" s="3"/>
      <c r="N8" s="3">
        <v>146</v>
      </c>
      <c r="O8" s="3">
        <v>145.9</v>
      </c>
      <c r="P8" s="3"/>
      <c r="Q8" s="3">
        <v>57</v>
      </c>
      <c r="R8" s="3">
        <v>57</v>
      </c>
      <c r="S8" s="41"/>
      <c r="T8" s="42">
        <v>175.3</v>
      </c>
      <c r="U8" s="42">
        <f>AVERAGE(paper3[[#This Row],[Sittende høyde 1]:[Sittende høyde 3]])-56.2</f>
        <v>89.749999999999986</v>
      </c>
      <c r="V8" s="12">
        <f>paper3[[#This Row],[height]]-paper3[[#This Row],[sittingheight]]</f>
        <v>85.550000000000026</v>
      </c>
      <c r="W8" s="42">
        <v>57</v>
      </c>
      <c r="X8" s="43" cm="1">
        <f t="array" ref="X8">INDEX([1]!phvny[yphv], MATCH(1, (paper3[[#This Row],[id]]=[1]!phvny[id])*(paper3[[#This Row],[time]]=[1]!phvny[time]), 0))</f>
        <v>2.2661520237854949</v>
      </c>
      <c r="Y8" s="3"/>
      <c r="Z8" s="3"/>
      <c r="AA8" s="3"/>
      <c r="AB8" s="3"/>
      <c r="AC8" s="3"/>
      <c r="AD8" s="3"/>
      <c r="AE8" s="3"/>
      <c r="AF8" s="3"/>
      <c r="AG8" s="3"/>
      <c r="AH8" s="44"/>
      <c r="AI8" s="45"/>
      <c r="AJ8" s="45"/>
      <c r="AK8" s="45"/>
      <c r="AL8" s="3"/>
      <c r="AM8" s="3"/>
      <c r="AN8" s="3"/>
      <c r="AO8" s="3"/>
      <c r="AP8" s="3"/>
      <c r="AQ8" s="47"/>
      <c r="AR8" s="47"/>
      <c r="AS8" s="41">
        <v>31.21</v>
      </c>
      <c r="AT8" s="41">
        <v>30.48</v>
      </c>
      <c r="AU8" s="41">
        <v>29.36</v>
      </c>
      <c r="AV8" s="41"/>
      <c r="AW8" s="41"/>
      <c r="AX8" s="48">
        <v>31.21</v>
      </c>
      <c r="AY8" s="3" t="s">
        <v>113</v>
      </c>
      <c r="AZ8" s="3"/>
      <c r="BA8" s="3"/>
      <c r="BB8" s="3"/>
      <c r="BC8" s="3"/>
      <c r="BD8" s="40"/>
      <c r="BE8" s="40"/>
      <c r="BF8" s="40"/>
      <c r="BG8" s="40"/>
      <c r="BH8" s="40"/>
      <c r="BI8" s="49"/>
      <c r="BJ8" s="49"/>
      <c r="BK8" s="50"/>
      <c r="BL8" s="50"/>
      <c r="BM8" s="51"/>
      <c r="BN8" s="51"/>
      <c r="BO8" s="52">
        <v>313.75</v>
      </c>
      <c r="BP8" s="40">
        <v>306</v>
      </c>
      <c r="BQ8" s="40">
        <v>313.75</v>
      </c>
      <c r="BR8" s="53">
        <v>-2.4701195219123506E-2</v>
      </c>
      <c r="BS8" s="54">
        <v>5.4364035087719298</v>
      </c>
      <c r="BT8" s="3"/>
      <c r="BU8" s="40"/>
      <c r="BV8" s="57"/>
      <c r="BW8" s="3"/>
      <c r="BX8" s="58"/>
      <c r="BY8" s="58"/>
      <c r="BZ8" s="64"/>
      <c r="CA8" s="59"/>
      <c r="CB8" s="59" t="s">
        <v>110</v>
      </c>
      <c r="CC8" s="59" t="s">
        <v>110</v>
      </c>
      <c r="CD8" s="60">
        <v>123.75</v>
      </c>
      <c r="CE8" s="60">
        <v>87.5</v>
      </c>
      <c r="CF8" s="61">
        <v>2.1710526315789473</v>
      </c>
      <c r="CG8" s="61">
        <v>1.5350877192982457</v>
      </c>
      <c r="CH8" s="61">
        <v>0.70707070707070718</v>
      </c>
      <c r="CI8" s="41"/>
      <c r="CJ8" s="40"/>
      <c r="CK8" s="3"/>
      <c r="CL8" s="62"/>
      <c r="CM8" s="63" t="s">
        <v>110</v>
      </c>
      <c r="CN8" s="3"/>
      <c r="CO8" s="3"/>
      <c r="CP8" s="41">
        <v>13.719444444444445</v>
      </c>
      <c r="CQ8" s="3" t="s">
        <v>110</v>
      </c>
      <c r="CR8" s="40" t="s">
        <v>110</v>
      </c>
      <c r="CS8" s="40" t="s">
        <v>110</v>
      </c>
      <c r="CT8" s="40">
        <v>309.875</v>
      </c>
      <c r="CU8" s="40"/>
      <c r="CV8" s="40"/>
      <c r="CW8" s="40"/>
      <c r="CX8" s="40"/>
      <c r="CY8" s="40">
        <v>0</v>
      </c>
      <c r="CZ8" s="40"/>
      <c r="DA8" s="40"/>
      <c r="DB8" s="65">
        <v>12.2</v>
      </c>
      <c r="DC8" s="65">
        <v>240</v>
      </c>
    </row>
    <row r="9" spans="1:107" ht="15.95" customHeight="1">
      <c r="A9" s="3">
        <v>110</v>
      </c>
      <c r="B9" s="38" t="s">
        <v>103</v>
      </c>
      <c r="C9" s="3" t="s">
        <v>104</v>
      </c>
      <c r="D9" s="3" t="s">
        <v>105</v>
      </c>
      <c r="E9" s="39">
        <v>44466</v>
      </c>
      <c r="F9" s="3" t="s">
        <v>106</v>
      </c>
      <c r="G9" s="3" t="s">
        <v>107</v>
      </c>
      <c r="H9" s="40">
        <v>2008</v>
      </c>
      <c r="I9" s="40" t="s">
        <v>108</v>
      </c>
      <c r="J9" s="40" t="s">
        <v>109</v>
      </c>
      <c r="K9" s="3">
        <v>157.19999999999999</v>
      </c>
      <c r="L9" s="3">
        <v>157.30000000000001</v>
      </c>
      <c r="M9" s="3"/>
      <c r="N9" s="3">
        <v>136.5</v>
      </c>
      <c r="O9" s="3">
        <v>136.19999999999999</v>
      </c>
      <c r="P9" s="3">
        <v>136.30000000000001</v>
      </c>
      <c r="Q9" s="3">
        <v>45.5</v>
      </c>
      <c r="R9" s="3">
        <v>45.5</v>
      </c>
      <c r="S9" s="41"/>
      <c r="T9" s="42">
        <v>157.25</v>
      </c>
      <c r="U9" s="42">
        <f>AVERAGE(paper3[[#This Row],[Sittende høyde 1]:[Sittende høyde 3]])-56.2</f>
        <v>80.13333333333334</v>
      </c>
      <c r="V9" s="12">
        <f>paper3[[#This Row],[height]]-paper3[[#This Row],[sittingheight]]</f>
        <v>77.11666666666666</v>
      </c>
      <c r="W9" s="42">
        <v>45.5</v>
      </c>
      <c r="X9" s="43" cm="1">
        <f t="array" ref="X9">INDEX([1]!phvny[yphv], MATCH(1, (paper3[[#This Row],[id]]=[1]!phvny[id])*(paper3[[#This Row],[time]]=[1]!phvny[time]), 0))</f>
        <v>1.1100226080077726</v>
      </c>
      <c r="Y9" s="3">
        <v>2.0099999999999998</v>
      </c>
      <c r="Z9" s="3">
        <v>3.47</v>
      </c>
      <c r="AA9" s="3">
        <v>4.95</v>
      </c>
      <c r="AB9" s="3">
        <v>2.04</v>
      </c>
      <c r="AC9" s="3">
        <v>3.52</v>
      </c>
      <c r="AD9" s="3">
        <v>5.0199999999999996</v>
      </c>
      <c r="AE9" s="3">
        <v>2.02</v>
      </c>
      <c r="AF9" s="3">
        <v>3.5</v>
      </c>
      <c r="AG9" s="3">
        <v>4.99</v>
      </c>
      <c r="AH9" s="44">
        <v>2.0099999999999998</v>
      </c>
      <c r="AI9" s="45">
        <v>3.47</v>
      </c>
      <c r="AJ9" s="45">
        <v>4.95</v>
      </c>
      <c r="AK9" s="45">
        <v>6.756756756756757</v>
      </c>
      <c r="AL9" s="3">
        <v>10.82</v>
      </c>
      <c r="AM9" s="3">
        <v>10.62</v>
      </c>
      <c r="AN9" s="46"/>
      <c r="AO9" s="3">
        <v>10.74</v>
      </c>
      <c r="AP9" s="3">
        <v>10.62</v>
      </c>
      <c r="AQ9" s="47">
        <v>10.62</v>
      </c>
      <c r="AR9" s="47">
        <v>10.74</v>
      </c>
      <c r="AS9" s="41">
        <v>24.7</v>
      </c>
      <c r="AT9" s="41">
        <v>28.96</v>
      </c>
      <c r="AU9" s="41">
        <v>28.52</v>
      </c>
      <c r="AV9" s="41"/>
      <c r="AW9" s="41"/>
      <c r="AX9" s="48">
        <v>28.96</v>
      </c>
      <c r="AY9" s="3"/>
      <c r="AZ9" s="3">
        <v>7</v>
      </c>
      <c r="BA9" s="3">
        <v>170</v>
      </c>
      <c r="BB9" s="3">
        <v>11</v>
      </c>
      <c r="BC9" s="3"/>
      <c r="BD9" s="40">
        <v>888.68758774735693</v>
      </c>
      <c r="BE9" s="40">
        <v>946.41024301867265</v>
      </c>
      <c r="BF9" s="40"/>
      <c r="BG9" s="40">
        <v>363.95001628809007</v>
      </c>
      <c r="BH9" s="40">
        <v>359.52915663411238</v>
      </c>
      <c r="BI9" s="49">
        <v>1835.0978307660296</v>
      </c>
      <c r="BJ9" s="49">
        <v>723.47917292220245</v>
      </c>
      <c r="BK9" s="50">
        <v>-6.0991156527642199E-2</v>
      </c>
      <c r="BL9" s="50">
        <v>1.2296247946523842E-2</v>
      </c>
      <c r="BM9" s="51">
        <v>40.331820456396251</v>
      </c>
      <c r="BN9" s="51">
        <v>15.900641163125329</v>
      </c>
      <c r="BO9" s="52">
        <v>195</v>
      </c>
      <c r="BP9" s="40">
        <v>185</v>
      </c>
      <c r="BQ9" s="40">
        <v>195</v>
      </c>
      <c r="BR9" s="53">
        <v>-5.1282051282051322E-2</v>
      </c>
      <c r="BS9" s="54">
        <v>4.1758241758241761</v>
      </c>
      <c r="BT9" s="3">
        <v>122.8</v>
      </c>
      <c r="BU9" s="40">
        <v>121.3</v>
      </c>
      <c r="BV9" s="3">
        <v>122.8</v>
      </c>
      <c r="BW9" s="3">
        <v>121.5</v>
      </c>
      <c r="BX9" s="58">
        <v>1.2366034624897049E-2</v>
      </c>
      <c r="BY9" s="58">
        <v>1.0699588477366184E-2</v>
      </c>
      <c r="BZ9" s="64">
        <v>0.99835390946502056</v>
      </c>
      <c r="CA9" s="59">
        <v>1</v>
      </c>
      <c r="CB9" s="59">
        <v>2.0685910256410254</v>
      </c>
      <c r="CC9" s="59">
        <v>2.0702858974358973</v>
      </c>
      <c r="CD9" s="60">
        <v>106</v>
      </c>
      <c r="CE9" s="60">
        <v>88</v>
      </c>
      <c r="CF9" s="61">
        <v>2.3296703296703298</v>
      </c>
      <c r="CG9" s="61">
        <v>1.9340659340659341</v>
      </c>
      <c r="CH9" s="61">
        <v>0.83018867924528295</v>
      </c>
      <c r="CI9" s="41">
        <v>14.5</v>
      </c>
      <c r="CJ9" s="40">
        <f>VLOOKUP(paper3[[#This Row],[YYIR nivå]],$DB:$DC,2)</f>
        <v>640</v>
      </c>
      <c r="CK9" s="3" t="s">
        <v>112</v>
      </c>
      <c r="CL9" s="62">
        <v>35496</v>
      </c>
      <c r="CM9" s="63">
        <v>35.496000000000002</v>
      </c>
      <c r="CN9" s="3">
        <v>122.8</v>
      </c>
      <c r="CO9" s="3">
        <v>122.8</v>
      </c>
      <c r="CP9" s="41">
        <v>13.733333333333333</v>
      </c>
      <c r="CQ9" s="3" t="s">
        <v>114</v>
      </c>
      <c r="CR9" s="40">
        <v>122.05</v>
      </c>
      <c r="CS9" s="40">
        <v>122.15</v>
      </c>
      <c r="CT9" s="40">
        <v>190</v>
      </c>
      <c r="CU9" s="40"/>
      <c r="CV9" s="40"/>
      <c r="CW9" s="40"/>
      <c r="CX9" s="40"/>
      <c r="CY9" s="40">
        <v>0</v>
      </c>
      <c r="CZ9" s="40"/>
      <c r="DA9" s="40"/>
      <c r="DB9" s="65">
        <v>12.3</v>
      </c>
      <c r="DC9" s="65">
        <v>280</v>
      </c>
    </row>
    <row r="10" spans="1:107" ht="15.95" customHeight="1">
      <c r="A10" s="3">
        <v>112</v>
      </c>
      <c r="B10" s="38" t="s">
        <v>103</v>
      </c>
      <c r="C10" s="3" t="s">
        <v>115</v>
      </c>
      <c r="D10" s="3" t="s">
        <v>105</v>
      </c>
      <c r="E10" s="39">
        <v>44469</v>
      </c>
      <c r="F10" s="3" t="s">
        <v>106</v>
      </c>
      <c r="G10" s="3" t="s">
        <v>107</v>
      </c>
      <c r="H10" s="40">
        <v>2006</v>
      </c>
      <c r="I10" s="40" t="s">
        <v>116</v>
      </c>
      <c r="J10" s="40" t="s">
        <v>117</v>
      </c>
      <c r="K10" s="3">
        <v>174.3</v>
      </c>
      <c r="L10" s="3">
        <v>174</v>
      </c>
      <c r="M10" s="3">
        <v>174</v>
      </c>
      <c r="N10" s="3" t="s">
        <v>118</v>
      </c>
      <c r="O10" s="3">
        <v>145.69999999999999</v>
      </c>
      <c r="P10" s="3">
        <v>145.69999999999999</v>
      </c>
      <c r="Q10" s="3">
        <v>59.5</v>
      </c>
      <c r="R10" s="3">
        <v>59.4</v>
      </c>
      <c r="S10" s="3"/>
      <c r="T10" s="42">
        <v>174.1</v>
      </c>
      <c r="U10" s="42">
        <f>AVERAGE(paper3[[#This Row],[Sittende høyde 1]:[Sittende høyde 3]])-56.2</f>
        <v>89.499999999999986</v>
      </c>
      <c r="V10" s="12">
        <f>paper3[[#This Row],[height]]-paper3[[#This Row],[sittingheight]]</f>
        <v>84.600000000000009</v>
      </c>
      <c r="W10" s="73">
        <v>59.45</v>
      </c>
      <c r="X10" s="43" cm="1">
        <f t="array" ref="X10">INDEX([1]!phvny[yphv], MATCH(1, (paper3[[#This Row],[id]]=[1]!phvny[id])*(paper3[[#This Row],[time]]=[1]!phvny[time]), 0))</f>
        <v>3.2251439640024877</v>
      </c>
      <c r="Y10" s="3">
        <v>2.2200000000000002</v>
      </c>
      <c r="Z10" s="3">
        <v>3.77</v>
      </c>
      <c r="AA10" s="3">
        <v>5.29</v>
      </c>
      <c r="AB10" s="3">
        <v>2.21</v>
      </c>
      <c r="AC10" s="3">
        <v>3.78</v>
      </c>
      <c r="AD10" s="3">
        <v>5.3</v>
      </c>
      <c r="AE10" s="3">
        <v>2.2400000000000002</v>
      </c>
      <c r="AF10" s="3">
        <v>3.82</v>
      </c>
      <c r="AG10" s="3">
        <v>5.35</v>
      </c>
      <c r="AH10" s="44">
        <v>2.21</v>
      </c>
      <c r="AI10" s="44">
        <v>3.77</v>
      </c>
      <c r="AJ10" s="44">
        <v>5.29</v>
      </c>
      <c r="AK10" s="45">
        <v>6.5789473684210522</v>
      </c>
      <c r="AL10" s="3">
        <v>11.19</v>
      </c>
      <c r="AM10" s="46"/>
      <c r="AN10" s="3">
        <v>11.3</v>
      </c>
      <c r="AO10" s="3"/>
      <c r="AP10" s="3">
        <v>11.19</v>
      </c>
      <c r="AQ10" s="47">
        <v>11.19</v>
      </c>
      <c r="AR10" s="47">
        <v>11.3</v>
      </c>
      <c r="AS10" s="3">
        <v>18.16</v>
      </c>
      <c r="AT10" s="3">
        <v>20.12</v>
      </c>
      <c r="AU10" s="3">
        <v>19.34</v>
      </c>
      <c r="AV10" s="3">
        <v>18.97</v>
      </c>
      <c r="AW10" s="3"/>
      <c r="AX10" s="48">
        <v>20.12</v>
      </c>
      <c r="AY10" s="3"/>
      <c r="AZ10" s="3" t="s">
        <v>119</v>
      </c>
      <c r="BA10" s="3">
        <v>240</v>
      </c>
      <c r="BB10" s="3">
        <v>6</v>
      </c>
      <c r="BC10" s="3"/>
      <c r="BD10" s="40">
        <v>728.93132120490179</v>
      </c>
      <c r="BE10" s="40">
        <v>716.00972700127761</v>
      </c>
      <c r="BF10" s="40"/>
      <c r="BG10" s="40">
        <v>260.82527253116041</v>
      </c>
      <c r="BH10" s="40">
        <v>290.5940454097161</v>
      </c>
      <c r="BI10" s="49">
        <v>1444.9410482061794</v>
      </c>
      <c r="BJ10" s="49">
        <v>551.41931794087645</v>
      </c>
      <c r="BK10" s="50">
        <v>1.8046674111175998E-2</v>
      </c>
      <c r="BL10" s="50">
        <v>-0.1024410972929054</v>
      </c>
      <c r="BM10" s="51">
        <v>24.284723499263521</v>
      </c>
      <c r="BN10" s="51">
        <v>9.267551562031537</v>
      </c>
      <c r="BO10" s="52">
        <v>273.3</v>
      </c>
      <c r="BP10" s="40">
        <v>273.3</v>
      </c>
      <c r="BQ10" s="40">
        <v>238.8</v>
      </c>
      <c r="BR10" s="67">
        <v>0.14447236180904532</v>
      </c>
      <c r="BS10" s="54">
        <v>4.3069806560134563</v>
      </c>
      <c r="BT10" s="3">
        <v>139</v>
      </c>
      <c r="BU10" s="40">
        <v>129</v>
      </c>
      <c r="BV10" s="3">
        <v>98</v>
      </c>
      <c r="BW10" s="3">
        <v>95</v>
      </c>
      <c r="BX10" s="58">
        <v>7.7519379844961156E-2</v>
      </c>
      <c r="BY10" s="58">
        <v>3.1578947368421151E-2</v>
      </c>
      <c r="BZ10" s="64">
        <v>1.3578947368421053</v>
      </c>
      <c r="CA10" s="59">
        <v>1.4183673469387754</v>
      </c>
      <c r="CB10" s="59">
        <v>1.9068797308662742</v>
      </c>
      <c r="CC10" s="59">
        <v>1.3732380151387722</v>
      </c>
      <c r="CD10" s="60">
        <v>91</v>
      </c>
      <c r="CE10" s="60">
        <v>75</v>
      </c>
      <c r="CF10" s="61">
        <v>1.5306980656013456</v>
      </c>
      <c r="CG10" s="61">
        <v>1.2615643397813288</v>
      </c>
      <c r="CH10" s="61">
        <v>0.82417582417582413</v>
      </c>
      <c r="CI10" s="41"/>
      <c r="CJ10" s="40"/>
      <c r="CK10" s="3"/>
      <c r="CL10" s="62"/>
      <c r="CM10" s="63" t="s">
        <v>110</v>
      </c>
      <c r="CN10" s="3">
        <v>139</v>
      </c>
      <c r="CO10" s="3">
        <v>98</v>
      </c>
      <c r="CP10" s="41">
        <v>15.519444444444444</v>
      </c>
      <c r="CQ10" s="3" t="s">
        <v>110</v>
      </c>
      <c r="CR10" s="40">
        <v>134</v>
      </c>
      <c r="CS10" s="40">
        <v>96.5</v>
      </c>
      <c r="CT10" s="40">
        <v>256.05</v>
      </c>
      <c r="CU10" s="40"/>
      <c r="CV10" s="40"/>
      <c r="CW10" s="40"/>
      <c r="CX10" s="40"/>
      <c r="CY10" s="40">
        <v>0</v>
      </c>
      <c r="CZ10" s="40"/>
      <c r="DA10" s="40"/>
      <c r="DB10" s="65">
        <v>13.1</v>
      </c>
      <c r="DC10" s="65">
        <v>320</v>
      </c>
    </row>
    <row r="11" spans="1:107" ht="15.95" customHeight="1">
      <c r="A11" s="3">
        <v>115</v>
      </c>
      <c r="B11" s="38" t="s">
        <v>103</v>
      </c>
      <c r="C11" s="3" t="s">
        <v>115</v>
      </c>
      <c r="D11" s="3" t="s">
        <v>105</v>
      </c>
      <c r="E11" s="39">
        <v>44469</v>
      </c>
      <c r="F11" s="3" t="s">
        <v>106</v>
      </c>
      <c r="G11" s="3" t="s">
        <v>107</v>
      </c>
      <c r="H11" s="40">
        <v>2006</v>
      </c>
      <c r="I11" s="40" t="s">
        <v>116</v>
      </c>
      <c r="J11" s="40" t="s">
        <v>117</v>
      </c>
      <c r="K11" s="3">
        <v>166.2</v>
      </c>
      <c r="L11" s="3">
        <v>166.3</v>
      </c>
      <c r="M11" s="3"/>
      <c r="N11" s="3">
        <v>140.19999999999999</v>
      </c>
      <c r="O11" s="3">
        <v>140</v>
      </c>
      <c r="P11" s="3"/>
      <c r="Q11" s="3">
        <v>57</v>
      </c>
      <c r="R11" s="3">
        <v>57</v>
      </c>
      <c r="S11" s="41"/>
      <c r="T11" s="42">
        <v>166.25</v>
      </c>
      <c r="U11" s="42">
        <f>AVERAGE(paper3[[#This Row],[Sittende høyde 1]:[Sittende høyde 3]])-56.2</f>
        <v>83.899999999999991</v>
      </c>
      <c r="V11" s="12">
        <f>paper3[[#This Row],[height]]-paper3[[#This Row],[sittingheight]]</f>
        <v>82.350000000000009</v>
      </c>
      <c r="W11" s="73">
        <v>57</v>
      </c>
      <c r="X11" s="43" cm="1">
        <f t="array" ref="X11">INDEX([1]!phvny[yphv], MATCH(1, (paper3[[#This Row],[id]]=[1]!phvny[id])*(paper3[[#This Row],[time]]=[1]!phvny[time]), 0))</f>
        <v>2.2595932830000005</v>
      </c>
      <c r="Y11" s="3">
        <v>2.0299999999999998</v>
      </c>
      <c r="Z11" s="3">
        <v>3.44</v>
      </c>
      <c r="AA11" s="3">
        <v>4.8099999999999996</v>
      </c>
      <c r="AB11" s="3">
        <v>2.02</v>
      </c>
      <c r="AC11" s="3">
        <v>3.47</v>
      </c>
      <c r="AD11" s="3">
        <v>4.87</v>
      </c>
      <c r="AE11" s="3">
        <v>2.0499999999999998</v>
      </c>
      <c r="AF11" s="3">
        <v>3.52</v>
      </c>
      <c r="AG11" s="3">
        <v>4.9400000000000004</v>
      </c>
      <c r="AH11" s="44">
        <v>2.02</v>
      </c>
      <c r="AI11" s="44">
        <v>3.44</v>
      </c>
      <c r="AJ11" s="44">
        <v>4.8099999999999996</v>
      </c>
      <c r="AK11" s="45">
        <v>7.2992700729927025</v>
      </c>
      <c r="AL11" s="46"/>
      <c r="AM11" s="3">
        <v>10.210000000000001</v>
      </c>
      <c r="AN11" s="3">
        <v>10.35</v>
      </c>
      <c r="AO11" s="3">
        <v>10.41</v>
      </c>
      <c r="AP11" s="3">
        <v>10.210000000000001</v>
      </c>
      <c r="AQ11" s="47">
        <v>10.210000000000001</v>
      </c>
      <c r="AR11" s="47">
        <v>10.35</v>
      </c>
      <c r="AS11" s="3">
        <v>30.72</v>
      </c>
      <c r="AT11" s="3">
        <v>27.86</v>
      </c>
      <c r="AU11" s="3">
        <v>25.93</v>
      </c>
      <c r="AV11" s="3"/>
      <c r="AW11" s="3"/>
      <c r="AX11" s="48">
        <v>30.72</v>
      </c>
      <c r="AY11" s="3"/>
      <c r="AZ11" s="3">
        <v>9</v>
      </c>
      <c r="BA11" s="3">
        <v>240</v>
      </c>
      <c r="BB11" s="3">
        <v>10</v>
      </c>
      <c r="BC11" s="3"/>
      <c r="BD11" s="40"/>
      <c r="BE11" s="40"/>
      <c r="BF11" s="40"/>
      <c r="BG11" s="40">
        <v>496.59698552604414</v>
      </c>
      <c r="BH11" s="40">
        <v>466.36347455574003</v>
      </c>
      <c r="BI11" s="49"/>
      <c r="BJ11" s="49">
        <v>962.96046008178416</v>
      </c>
      <c r="BK11" s="50"/>
      <c r="BL11" s="50">
        <v>6.4828213656965117E-2</v>
      </c>
      <c r="BM11" s="51"/>
      <c r="BN11" s="51">
        <v>16.894043159329545</v>
      </c>
      <c r="BO11" s="52">
        <v>250.8</v>
      </c>
      <c r="BP11" s="40">
        <v>220.3</v>
      </c>
      <c r="BQ11" s="40">
        <v>250.8</v>
      </c>
      <c r="BR11" s="67">
        <v>-0.12161084529505584</v>
      </c>
      <c r="BS11" s="54">
        <v>4.132456140350877</v>
      </c>
      <c r="BT11" s="3">
        <v>117</v>
      </c>
      <c r="BU11" s="40">
        <v>117</v>
      </c>
      <c r="BV11" s="3">
        <v>105</v>
      </c>
      <c r="BW11" s="3">
        <v>111</v>
      </c>
      <c r="BX11" s="58">
        <v>0</v>
      </c>
      <c r="BY11" s="58">
        <v>-5.4054054054054057E-2</v>
      </c>
      <c r="BZ11" s="64">
        <v>1.0540540540540539</v>
      </c>
      <c r="CA11" s="59">
        <v>1.1142857142857143</v>
      </c>
      <c r="CB11" s="59">
        <v>1.6903421052631582</v>
      </c>
      <c r="CC11" s="59">
        <v>1.5603157894736845</v>
      </c>
      <c r="CD11" s="60">
        <v>100</v>
      </c>
      <c r="CE11" s="60">
        <v>80</v>
      </c>
      <c r="CF11" s="61">
        <v>1.7543859649122806</v>
      </c>
      <c r="CG11" s="61">
        <v>1.4035087719298245</v>
      </c>
      <c r="CH11" s="61">
        <v>0.8</v>
      </c>
      <c r="CI11" s="41"/>
      <c r="CJ11" s="40"/>
      <c r="CK11" s="3"/>
      <c r="CL11" s="62"/>
      <c r="CM11" s="63" t="s">
        <v>110</v>
      </c>
      <c r="CN11" s="3">
        <v>117</v>
      </c>
      <c r="CO11" s="3">
        <v>111</v>
      </c>
      <c r="CP11" s="41">
        <v>14.811111111111112</v>
      </c>
      <c r="CQ11" s="3" t="s">
        <v>110</v>
      </c>
      <c r="CR11" s="40">
        <v>117</v>
      </c>
      <c r="CS11" s="40">
        <v>108</v>
      </c>
      <c r="CT11" s="40">
        <v>235.55</v>
      </c>
      <c r="CU11" s="40"/>
      <c r="CV11" s="40"/>
      <c r="CW11" s="40"/>
      <c r="CX11" s="40"/>
      <c r="CY11" s="40">
        <v>0</v>
      </c>
      <c r="CZ11" s="40"/>
      <c r="DA11" s="40"/>
      <c r="DB11" s="65">
        <v>13.2</v>
      </c>
      <c r="DC11" s="65">
        <v>360</v>
      </c>
    </row>
    <row r="12" spans="1:107" ht="15.95" customHeight="1">
      <c r="A12" s="3">
        <v>123</v>
      </c>
      <c r="B12" s="38" t="s">
        <v>103</v>
      </c>
      <c r="C12" s="3" t="s">
        <v>115</v>
      </c>
      <c r="D12" s="3" t="s">
        <v>105</v>
      </c>
      <c r="E12" s="39">
        <v>44469</v>
      </c>
      <c r="F12" s="3" t="s">
        <v>106</v>
      </c>
      <c r="G12" s="3" t="s">
        <v>107</v>
      </c>
      <c r="H12" s="40">
        <v>2005</v>
      </c>
      <c r="I12" s="40"/>
      <c r="J12" s="40" t="s">
        <v>120</v>
      </c>
      <c r="K12" s="3">
        <v>170.1</v>
      </c>
      <c r="L12" s="3">
        <v>170</v>
      </c>
      <c r="M12" s="3"/>
      <c r="N12" s="3">
        <v>142.80000000000001</v>
      </c>
      <c r="O12" s="3">
        <v>142.80000000000001</v>
      </c>
      <c r="P12" s="3"/>
      <c r="Q12" s="3">
        <v>56.9</v>
      </c>
      <c r="R12" s="3">
        <v>56.9</v>
      </c>
      <c r="S12" s="41"/>
      <c r="T12" s="42">
        <v>170.05</v>
      </c>
      <c r="U12" s="42">
        <f>AVERAGE(paper3[[#This Row],[Sittende høyde 1]:[Sittende høyde 3]])-56.2</f>
        <v>86.600000000000009</v>
      </c>
      <c r="V12" s="12">
        <f>paper3[[#This Row],[height]]-paper3[[#This Row],[sittingheight]]</f>
        <v>83.45</v>
      </c>
      <c r="W12" s="73">
        <v>56.9</v>
      </c>
      <c r="X12" s="43" cm="1">
        <f t="array" ref="X12">INDEX([1]!phvny[yphv], MATCH(1, (paper3[[#This Row],[id]]=[1]!phvny[id])*(paper3[[#This Row],[time]]=[1]!phvny[time]), 0))</f>
        <v>3.2782307938925186</v>
      </c>
      <c r="Y12" s="3">
        <v>1.99</v>
      </c>
      <c r="Z12" s="3">
        <v>3.39</v>
      </c>
      <c r="AA12" s="3">
        <v>4.7300000000000004</v>
      </c>
      <c r="AB12" s="3">
        <v>2.02</v>
      </c>
      <c r="AC12" s="3">
        <v>3.4</v>
      </c>
      <c r="AD12" s="3">
        <v>4.7300000000000004</v>
      </c>
      <c r="AE12" s="3">
        <v>2</v>
      </c>
      <c r="AF12" s="3">
        <v>3.41</v>
      </c>
      <c r="AG12" s="3">
        <v>4.75</v>
      </c>
      <c r="AH12" s="44">
        <v>1.99</v>
      </c>
      <c r="AI12" s="44">
        <v>3.39</v>
      </c>
      <c r="AJ12" s="44">
        <v>4.7300000000000004</v>
      </c>
      <c r="AK12" s="45">
        <v>7.4626865671641776</v>
      </c>
      <c r="AL12" s="3">
        <v>10.38</v>
      </c>
      <c r="AM12" s="3">
        <v>10.220000000000001</v>
      </c>
      <c r="AN12" s="3">
        <v>10.47</v>
      </c>
      <c r="AO12" s="3">
        <v>10.199999999999999</v>
      </c>
      <c r="AP12" s="3">
        <v>10.199999999999999</v>
      </c>
      <c r="AQ12" s="47">
        <v>10.220000000000001</v>
      </c>
      <c r="AR12" s="47">
        <v>10.199999999999999</v>
      </c>
      <c r="AS12" s="3">
        <v>28.89</v>
      </c>
      <c r="AT12" s="3">
        <v>29.95</v>
      </c>
      <c r="AU12" s="3">
        <v>31.83</v>
      </c>
      <c r="AV12" s="3">
        <v>32.72</v>
      </c>
      <c r="AW12" s="3">
        <v>29.94</v>
      </c>
      <c r="AX12" s="48">
        <v>32.72</v>
      </c>
      <c r="AY12" s="3"/>
      <c r="AZ12" s="3">
        <v>0</v>
      </c>
      <c r="BA12" s="3">
        <v>240</v>
      </c>
      <c r="BB12" s="3">
        <v>11</v>
      </c>
      <c r="BC12" s="3"/>
      <c r="BD12" s="40">
        <v>1080.6823306065139</v>
      </c>
      <c r="BE12" s="40">
        <v>1048.9073054444373</v>
      </c>
      <c r="BF12" s="40"/>
      <c r="BG12" s="40">
        <v>412.9899136915468</v>
      </c>
      <c r="BH12" s="40">
        <v>388.23798579702247</v>
      </c>
      <c r="BI12" s="49">
        <v>2129.5896360509514</v>
      </c>
      <c r="BJ12" s="49">
        <v>801.22789948856928</v>
      </c>
      <c r="BK12" s="50">
        <v>3.0293453956460992E-2</v>
      </c>
      <c r="BL12" s="50">
        <v>6.3754523771574201E-2</v>
      </c>
      <c r="BM12" s="51">
        <v>37.426882883145019</v>
      </c>
      <c r="BN12" s="51">
        <v>14.081333910168178</v>
      </c>
      <c r="BO12" s="52">
        <v>312.3</v>
      </c>
      <c r="BP12" s="40">
        <v>277.3</v>
      </c>
      <c r="BQ12" s="40">
        <v>312.3</v>
      </c>
      <c r="BR12" s="67">
        <v>-0.11207172590457892</v>
      </c>
      <c r="BS12" s="54">
        <v>5.1810193321616875</v>
      </c>
      <c r="BT12" s="3">
        <v>143</v>
      </c>
      <c r="BU12" s="40">
        <v>148</v>
      </c>
      <c r="BV12" s="3">
        <v>151</v>
      </c>
      <c r="BW12" s="3">
        <v>152</v>
      </c>
      <c r="BX12" s="58">
        <v>-3.3783783783783772E-2</v>
      </c>
      <c r="BY12" s="58">
        <v>-6.5789473684210176E-3</v>
      </c>
      <c r="BZ12" s="64">
        <v>0.97368421052631582</v>
      </c>
      <c r="CA12" s="59">
        <v>0.94701986754966883</v>
      </c>
      <c r="CB12" s="59">
        <v>2.1339147627416524</v>
      </c>
      <c r="CC12" s="59">
        <v>2.2219112478031633</v>
      </c>
      <c r="CD12" s="60">
        <v>82</v>
      </c>
      <c r="CE12" s="60">
        <v>86</v>
      </c>
      <c r="CF12" s="61">
        <v>1.4411247803163445</v>
      </c>
      <c r="CG12" s="61">
        <v>1.5114235500878734</v>
      </c>
      <c r="CH12" s="61">
        <v>1.0487804878048781</v>
      </c>
      <c r="CI12" s="41"/>
      <c r="CJ12" s="40"/>
      <c r="CK12" s="3"/>
      <c r="CL12" s="62"/>
      <c r="CM12" s="63" t="s">
        <v>110</v>
      </c>
      <c r="CN12" s="3">
        <v>148</v>
      </c>
      <c r="CO12" s="3">
        <v>152</v>
      </c>
      <c r="CP12" s="41">
        <f>_xlfn.MAXIFS([1]!phvny[age],[1]!phvny[id],paper3[[#This Row],[id]],[1]!phvny[time],paper3[[#This Row],[time]])</f>
        <v>16.202777777777779</v>
      </c>
      <c r="CQ12" s="3" t="s">
        <v>110</v>
      </c>
      <c r="CR12" s="40">
        <v>145.5</v>
      </c>
      <c r="CS12" s="40">
        <v>151.5</v>
      </c>
      <c r="CT12" s="40">
        <v>294.8</v>
      </c>
      <c r="CU12" s="40"/>
      <c r="CV12" s="40"/>
      <c r="CW12" s="40"/>
      <c r="CX12" s="40"/>
      <c r="CY12" s="40">
        <v>0</v>
      </c>
      <c r="CZ12" s="40"/>
      <c r="DA12" s="40"/>
      <c r="DB12" s="65">
        <v>13.3</v>
      </c>
      <c r="DC12" s="65">
        <v>400</v>
      </c>
    </row>
    <row r="13" spans="1:107" ht="15.95" customHeight="1">
      <c r="A13" s="3">
        <v>126</v>
      </c>
      <c r="B13" s="38" t="s">
        <v>103</v>
      </c>
      <c r="C13" s="3" t="s">
        <v>115</v>
      </c>
      <c r="D13" s="3" t="s">
        <v>105</v>
      </c>
      <c r="E13" s="39">
        <v>44469</v>
      </c>
      <c r="F13" s="3" t="s">
        <v>106</v>
      </c>
      <c r="G13" s="3" t="s">
        <v>107</v>
      </c>
      <c r="H13" s="40">
        <v>2004</v>
      </c>
      <c r="I13" s="40" t="s">
        <v>121</v>
      </c>
      <c r="J13" s="40" t="s">
        <v>120</v>
      </c>
      <c r="K13" s="3">
        <v>161</v>
      </c>
      <c r="L13" s="3">
        <v>160.9</v>
      </c>
      <c r="M13" s="3"/>
      <c r="N13" s="3">
        <v>142.1</v>
      </c>
      <c r="O13" s="3">
        <v>142.9</v>
      </c>
      <c r="P13" s="3">
        <v>142.6</v>
      </c>
      <c r="Q13" s="3">
        <v>57.7</v>
      </c>
      <c r="R13" s="3">
        <v>57.7</v>
      </c>
      <c r="S13" s="41"/>
      <c r="T13" s="42">
        <v>160.94999999999999</v>
      </c>
      <c r="U13" s="42">
        <f>AVERAGE(paper3[[#This Row],[Sittende høyde 1]:[Sittende høyde 3]])-56.2</f>
        <v>86.333333333333329</v>
      </c>
      <c r="V13" s="12">
        <f>paper3[[#This Row],[height]]-paper3[[#This Row],[sittingheight]]</f>
        <v>74.61666666666666</v>
      </c>
      <c r="W13" s="73">
        <v>57.7</v>
      </c>
      <c r="X13" s="43" cm="1">
        <f t="array" ref="X13">INDEX([1]!phvny[yphv], MATCH(1, (paper3[[#This Row],[id]]=[1]!phvny[id])*(paper3[[#This Row],[time]]=[1]!phvny[time]), 0))</f>
        <v>3.4075810049832587</v>
      </c>
      <c r="Y13" s="3">
        <v>2.0299999999999998</v>
      </c>
      <c r="Z13" s="3">
        <v>3.47</v>
      </c>
      <c r="AA13" s="3">
        <v>4.84</v>
      </c>
      <c r="AB13" s="60">
        <v>2</v>
      </c>
      <c r="AC13" s="3">
        <v>3.44</v>
      </c>
      <c r="AD13" s="3">
        <v>4.83</v>
      </c>
      <c r="AE13" s="3">
        <v>2.04</v>
      </c>
      <c r="AF13" s="3">
        <v>3.51</v>
      </c>
      <c r="AG13" s="3">
        <v>4.8899999999999997</v>
      </c>
      <c r="AH13" s="44">
        <v>2</v>
      </c>
      <c r="AI13" s="44">
        <v>3.44</v>
      </c>
      <c r="AJ13" s="44">
        <v>4.83</v>
      </c>
      <c r="AK13" s="45">
        <v>7.1942446043165464</v>
      </c>
      <c r="AL13" s="3">
        <v>10.8</v>
      </c>
      <c r="AM13" s="3">
        <v>10.5</v>
      </c>
      <c r="AN13" s="3">
        <v>10.62</v>
      </c>
      <c r="AO13" s="3">
        <v>10.58</v>
      </c>
      <c r="AP13" s="3">
        <v>10.5</v>
      </c>
      <c r="AQ13" s="47">
        <v>10.5</v>
      </c>
      <c r="AR13" s="47">
        <v>10.58</v>
      </c>
      <c r="AS13" s="3"/>
      <c r="AT13" s="3"/>
      <c r="AU13" s="3"/>
      <c r="AV13" s="3"/>
      <c r="AW13" s="3"/>
      <c r="AX13" s="48"/>
      <c r="AY13" s="3"/>
      <c r="AZ13" s="3"/>
      <c r="BA13" s="3"/>
      <c r="BB13" s="3"/>
      <c r="BC13" s="3"/>
      <c r="BD13" s="40"/>
      <c r="BE13" s="40"/>
      <c r="BF13" s="40"/>
      <c r="BG13" s="40"/>
      <c r="BH13" s="40"/>
      <c r="BI13" s="49"/>
      <c r="BJ13" s="49"/>
      <c r="BK13" s="50"/>
      <c r="BL13" s="50"/>
      <c r="BM13" s="51"/>
      <c r="BN13" s="51"/>
      <c r="BO13" s="52"/>
      <c r="BP13" s="40"/>
      <c r="BQ13" s="40"/>
      <c r="BR13" s="67"/>
      <c r="BS13" s="54" t="s">
        <v>110</v>
      </c>
      <c r="BT13" s="3"/>
      <c r="BU13" s="40"/>
      <c r="BV13" s="3"/>
      <c r="BW13" s="3"/>
      <c r="BX13" s="58"/>
      <c r="BY13" s="58"/>
      <c r="BZ13" s="64"/>
      <c r="CA13" s="59"/>
      <c r="CB13" s="59" t="s">
        <v>110</v>
      </c>
      <c r="CC13" s="59" t="s">
        <v>110</v>
      </c>
      <c r="CD13" s="60"/>
      <c r="CE13" s="60"/>
      <c r="CF13" s="61"/>
      <c r="CG13" s="61"/>
      <c r="CH13" s="61"/>
      <c r="CI13" s="41"/>
      <c r="CJ13" s="40"/>
      <c r="CK13" s="3"/>
      <c r="CL13" s="62"/>
      <c r="CM13" s="63" t="s">
        <v>110</v>
      </c>
      <c r="CN13" s="3"/>
      <c r="CO13" s="3"/>
      <c r="CP13" s="41">
        <v>17.111111111111111</v>
      </c>
      <c r="CQ13" s="3" t="s">
        <v>110</v>
      </c>
      <c r="CR13" s="40" t="s">
        <v>110</v>
      </c>
      <c r="CS13" s="40" t="s">
        <v>110</v>
      </c>
      <c r="CT13" s="40" t="s">
        <v>110</v>
      </c>
      <c r="CU13" s="40"/>
      <c r="CV13" s="40"/>
      <c r="CW13" s="40"/>
      <c r="CX13" s="40"/>
      <c r="CY13" s="40">
        <v>0</v>
      </c>
      <c r="CZ13" s="40"/>
      <c r="DA13" s="40"/>
      <c r="DB13" s="65">
        <v>13.4</v>
      </c>
      <c r="DC13" s="65">
        <v>440</v>
      </c>
    </row>
    <row r="14" spans="1:107" ht="15.95" customHeight="1">
      <c r="A14" s="3">
        <v>134</v>
      </c>
      <c r="B14" s="38" t="s">
        <v>103</v>
      </c>
      <c r="C14" s="3" t="s">
        <v>115</v>
      </c>
      <c r="D14" s="3" t="s">
        <v>105</v>
      </c>
      <c r="E14" s="39">
        <v>44474</v>
      </c>
      <c r="F14" s="3" t="s">
        <v>106</v>
      </c>
      <c r="G14" s="3" t="s">
        <v>122</v>
      </c>
      <c r="H14" s="40">
        <v>2008</v>
      </c>
      <c r="I14" s="40" t="s">
        <v>108</v>
      </c>
      <c r="J14" s="40" t="s">
        <v>123</v>
      </c>
      <c r="K14" s="3">
        <v>170.6</v>
      </c>
      <c r="L14" s="3">
        <v>170.6</v>
      </c>
      <c r="M14" s="3"/>
      <c r="N14" s="3">
        <v>140.30000000000001</v>
      </c>
      <c r="O14" s="3">
        <v>140.30000000000001</v>
      </c>
      <c r="P14" s="3"/>
      <c r="Q14" s="3">
        <v>50.6</v>
      </c>
      <c r="R14" s="3">
        <v>50.6</v>
      </c>
      <c r="S14" s="41"/>
      <c r="T14" s="42">
        <v>170.6</v>
      </c>
      <c r="U14" s="42">
        <f>AVERAGE(paper3[[#This Row],[Sittende høyde 1]:[Sittende høyde 3]])-56.2</f>
        <v>84.100000000000009</v>
      </c>
      <c r="V14" s="12">
        <f>paper3[[#This Row],[height]]-paper3[[#This Row],[sittingheight]]</f>
        <v>86.499999999999986</v>
      </c>
      <c r="W14" s="73">
        <v>50.6</v>
      </c>
      <c r="X14" s="43" cm="1">
        <f t="array" ref="X14">INDEX([1]!phvny[yphv], MATCH(1, (paper3[[#This Row],[id]]=[1]!phvny[id])*(paper3[[#This Row],[time]]=[1]!phvny[time]), 0))</f>
        <v>-0.32906891343591027</v>
      </c>
      <c r="Y14" s="3"/>
      <c r="Z14" s="3">
        <v>3.53</v>
      </c>
      <c r="AA14" s="3">
        <v>4.8899999999999997</v>
      </c>
      <c r="AB14" s="3">
        <v>2.0499999999999998</v>
      </c>
      <c r="AC14" s="3">
        <v>3.46</v>
      </c>
      <c r="AD14" s="3">
        <v>4.8600000000000003</v>
      </c>
      <c r="AE14" s="3">
        <v>1.96</v>
      </c>
      <c r="AF14" s="3">
        <v>3.39</v>
      </c>
      <c r="AG14" s="3">
        <v>4.84</v>
      </c>
      <c r="AH14" s="44">
        <v>1.96</v>
      </c>
      <c r="AI14" s="44">
        <v>3.39</v>
      </c>
      <c r="AJ14" s="44">
        <v>4.84</v>
      </c>
      <c r="AK14" s="45">
        <v>6.8965517241379324</v>
      </c>
      <c r="AL14" s="3"/>
      <c r="AM14" s="3"/>
      <c r="AN14" s="3"/>
      <c r="AO14" s="3"/>
      <c r="AP14" s="3"/>
      <c r="AQ14" s="47"/>
      <c r="AR14" s="47"/>
      <c r="AS14" s="3">
        <v>28.95</v>
      </c>
      <c r="AT14" s="3">
        <v>26.58</v>
      </c>
      <c r="AU14" s="3">
        <v>27.01</v>
      </c>
      <c r="AV14" s="3"/>
      <c r="AW14" s="3"/>
      <c r="AX14" s="48">
        <v>28.95</v>
      </c>
      <c r="AY14" s="3"/>
      <c r="AZ14" s="3">
        <v>8</v>
      </c>
      <c r="BA14" s="3">
        <v>180</v>
      </c>
      <c r="BB14" s="3">
        <v>9</v>
      </c>
      <c r="BC14" s="3">
        <v>179</v>
      </c>
      <c r="BD14" s="40">
        <v>627.24354268692832</v>
      </c>
      <c r="BE14" s="40">
        <v>640.8739004347517</v>
      </c>
      <c r="BF14" s="40"/>
      <c r="BG14" s="40">
        <v>389.03195427557802</v>
      </c>
      <c r="BH14" s="40">
        <v>402.09772493956086</v>
      </c>
      <c r="BI14" s="49">
        <v>1268.11744312168</v>
      </c>
      <c r="BJ14" s="49">
        <v>791.12967921513882</v>
      </c>
      <c r="BK14" s="66">
        <v>-2.1268392641012435E-2</v>
      </c>
      <c r="BL14" s="66">
        <v>-3.2494017880719817E-2</v>
      </c>
      <c r="BM14" s="51">
        <v>25.061609547859288</v>
      </c>
      <c r="BN14" s="51">
        <v>15.634973897532387</v>
      </c>
      <c r="BO14" s="52">
        <v>270</v>
      </c>
      <c r="BP14" s="40">
        <v>225</v>
      </c>
      <c r="BQ14" s="40">
        <v>270</v>
      </c>
      <c r="BR14" s="67">
        <v>-0.16666666666666663</v>
      </c>
      <c r="BS14" s="54">
        <v>4.8913043478260869</v>
      </c>
      <c r="BT14" s="3">
        <v>142</v>
      </c>
      <c r="BU14" s="40">
        <v>202</v>
      </c>
      <c r="BV14" s="3">
        <v>89</v>
      </c>
      <c r="BW14" s="3">
        <v>108</v>
      </c>
      <c r="BX14" s="58">
        <v>-0.29702970297029707</v>
      </c>
      <c r="BY14" s="58">
        <v>-0.17592592592592593</v>
      </c>
      <c r="BZ14" s="64">
        <v>1.8703703703703705</v>
      </c>
      <c r="CA14" s="59">
        <v>1.595505617977528</v>
      </c>
      <c r="CB14" s="59">
        <v>2.9403162055335961</v>
      </c>
      <c r="CC14" s="59">
        <v>1.6838438735177863</v>
      </c>
      <c r="CD14" s="60">
        <v>163</v>
      </c>
      <c r="CE14" s="60">
        <v>190</v>
      </c>
      <c r="CF14" s="61">
        <v>3.2213438735177866</v>
      </c>
      <c r="CG14" s="61">
        <v>3.7549407114624507</v>
      </c>
      <c r="CH14" s="61">
        <v>1.165644171779141</v>
      </c>
      <c r="CI14" s="41"/>
      <c r="CJ14" s="40"/>
      <c r="CK14" s="3"/>
      <c r="CL14" s="62">
        <v>41306</v>
      </c>
      <c r="CM14" s="63">
        <v>41.305999999999997</v>
      </c>
      <c r="CN14" s="3">
        <v>202</v>
      </c>
      <c r="CO14" s="3">
        <v>108</v>
      </c>
      <c r="CP14" s="41">
        <v>13.513888888888889</v>
      </c>
      <c r="CQ14" s="3" t="s">
        <v>124</v>
      </c>
      <c r="CR14" s="40">
        <v>172</v>
      </c>
      <c r="CS14" s="40">
        <v>98.5</v>
      </c>
      <c r="CT14" s="40">
        <v>247.5</v>
      </c>
      <c r="CU14" s="40"/>
      <c r="CV14" s="40"/>
      <c r="CW14" s="40"/>
      <c r="CX14" s="40"/>
      <c r="CY14" s="40" t="s">
        <v>125</v>
      </c>
      <c r="CZ14" s="40"/>
      <c r="DA14" s="40"/>
      <c r="DB14" s="65">
        <v>14.1</v>
      </c>
      <c r="DC14" s="65">
        <v>480</v>
      </c>
    </row>
    <row r="15" spans="1:107" ht="15.95" customHeight="1">
      <c r="A15" s="3">
        <v>135</v>
      </c>
      <c r="B15" s="38" t="s">
        <v>103</v>
      </c>
      <c r="C15" s="3" t="s">
        <v>115</v>
      </c>
      <c r="D15" s="3" t="s">
        <v>105</v>
      </c>
      <c r="E15" s="39">
        <v>44474</v>
      </c>
      <c r="F15" s="3" t="s">
        <v>106</v>
      </c>
      <c r="G15" s="3" t="s">
        <v>122</v>
      </c>
      <c r="H15" s="40">
        <v>2008</v>
      </c>
      <c r="I15" s="40" t="s">
        <v>108</v>
      </c>
      <c r="J15" s="40" t="s">
        <v>123</v>
      </c>
      <c r="K15" s="3">
        <v>166.7</v>
      </c>
      <c r="L15" s="3">
        <v>166.8</v>
      </c>
      <c r="M15" s="3"/>
      <c r="N15" s="3">
        <v>139</v>
      </c>
      <c r="O15" s="3">
        <v>139</v>
      </c>
      <c r="P15" s="3"/>
      <c r="Q15" s="3">
        <v>56.9</v>
      </c>
      <c r="R15" s="3">
        <v>56.9</v>
      </c>
      <c r="S15" s="3"/>
      <c r="T15" s="42">
        <v>166.75</v>
      </c>
      <c r="U15" s="42">
        <f>AVERAGE(paper3[[#This Row],[Sittende høyde 1]:[Sittende høyde 3]])-56.2</f>
        <v>82.8</v>
      </c>
      <c r="V15" s="12">
        <f>paper3[[#This Row],[height]]-paper3[[#This Row],[sittingheight]]</f>
        <v>83.95</v>
      </c>
      <c r="W15" s="73">
        <v>56.9</v>
      </c>
      <c r="X15" s="43" cm="1">
        <f t="array" ref="X15">INDEX([1]!phvny[yphv], MATCH(1, (paper3[[#This Row],[id]]=[1]!phvny[id])*(paper3[[#This Row],[time]]=[1]!phvny[time]), 0))</f>
        <v>-0.31773285045889732</v>
      </c>
      <c r="Y15" s="3">
        <v>1.85</v>
      </c>
      <c r="Z15" s="3">
        <v>3.14</v>
      </c>
      <c r="AA15" s="3">
        <v>4.34</v>
      </c>
      <c r="AB15" s="3">
        <v>1.85</v>
      </c>
      <c r="AC15" s="3">
        <v>3.14</v>
      </c>
      <c r="AD15" s="3">
        <v>4.3600000000000003</v>
      </c>
      <c r="AE15" s="3">
        <v>1.82</v>
      </c>
      <c r="AF15" s="3">
        <v>3.11</v>
      </c>
      <c r="AG15" s="3">
        <v>4.32</v>
      </c>
      <c r="AH15" s="44">
        <v>1.82</v>
      </c>
      <c r="AI15" s="44">
        <v>3.11</v>
      </c>
      <c r="AJ15" s="44">
        <v>4.32</v>
      </c>
      <c r="AK15" s="45">
        <v>8.2644628099173527</v>
      </c>
      <c r="AL15" s="3">
        <v>10.06</v>
      </c>
      <c r="AM15" s="3">
        <v>9.6</v>
      </c>
      <c r="AN15" s="3">
        <v>9.8699999999999992</v>
      </c>
      <c r="AO15" s="3">
        <v>9.68</v>
      </c>
      <c r="AP15" s="3">
        <v>9.6</v>
      </c>
      <c r="AQ15" s="47">
        <v>9.6</v>
      </c>
      <c r="AR15" s="47">
        <v>9.68</v>
      </c>
      <c r="AS15" s="3">
        <v>38.840000000000003</v>
      </c>
      <c r="AT15" s="3">
        <v>36.840000000000003</v>
      </c>
      <c r="AU15" s="3">
        <v>33.479999999999997</v>
      </c>
      <c r="AV15" s="3"/>
      <c r="AW15" s="3"/>
      <c r="AX15" s="48">
        <v>38.840000000000003</v>
      </c>
      <c r="AY15" s="3"/>
      <c r="AZ15" s="3">
        <v>8</v>
      </c>
      <c r="BA15" s="3">
        <v>200</v>
      </c>
      <c r="BB15" s="3">
        <v>14</v>
      </c>
      <c r="BC15" s="3">
        <v>290</v>
      </c>
      <c r="BD15" s="40">
        <v>1172.5392404333836</v>
      </c>
      <c r="BE15" s="40">
        <v>1185.7991222367543</v>
      </c>
      <c r="BF15" s="40"/>
      <c r="BG15" s="40">
        <v>552.72473213177727</v>
      </c>
      <c r="BH15" s="40">
        <v>599.88550775974898</v>
      </c>
      <c r="BI15" s="49">
        <v>2358.3383626701379</v>
      </c>
      <c r="BJ15" s="49">
        <v>1152.6102398915264</v>
      </c>
      <c r="BK15" s="66">
        <v>-1.1182232770048595E-2</v>
      </c>
      <c r="BL15" s="66">
        <v>-7.8616294306045109E-2</v>
      </c>
      <c r="BM15" s="51">
        <v>41.447071400178174</v>
      </c>
      <c r="BN15" s="51">
        <v>20.256770472610306</v>
      </c>
      <c r="BO15" s="52">
        <v>390</v>
      </c>
      <c r="BP15" s="40">
        <v>270</v>
      </c>
      <c r="BQ15" s="40">
        <v>390</v>
      </c>
      <c r="BR15" s="67">
        <v>-0.30769230769230771</v>
      </c>
      <c r="BS15" s="54">
        <v>5.7996485061511427</v>
      </c>
      <c r="BT15" s="3">
        <v>142</v>
      </c>
      <c r="BU15" s="40">
        <v>155</v>
      </c>
      <c r="BV15" s="3">
        <v>118</v>
      </c>
      <c r="BW15" s="3">
        <v>126</v>
      </c>
      <c r="BX15" s="58">
        <v>-8.3870967741935476E-2</v>
      </c>
      <c r="BY15" s="58">
        <v>-6.3492063492063489E-2</v>
      </c>
      <c r="BZ15" s="64">
        <v>1.2301587301587302</v>
      </c>
      <c r="CA15" s="59">
        <v>1.2033898305084745</v>
      </c>
      <c r="CB15" s="59">
        <v>2.1909622144112477</v>
      </c>
      <c r="CC15" s="59">
        <v>1.7999824253075571</v>
      </c>
      <c r="CD15" s="60">
        <v>100</v>
      </c>
      <c r="CE15" s="60">
        <v>99</v>
      </c>
      <c r="CF15" s="61">
        <v>1.7574692442882249</v>
      </c>
      <c r="CG15" s="61">
        <v>1.7398945518453428</v>
      </c>
      <c r="CH15" s="61">
        <v>0.9900000000000001</v>
      </c>
      <c r="CI15" s="41"/>
      <c r="CJ15" s="40"/>
      <c r="CK15" s="3"/>
      <c r="CL15" s="62">
        <v>49392</v>
      </c>
      <c r="CM15" s="63">
        <v>49.392000000000003</v>
      </c>
      <c r="CN15" s="3">
        <v>155</v>
      </c>
      <c r="CO15" s="3">
        <v>126</v>
      </c>
      <c r="CP15" s="41">
        <v>13.658333333333333</v>
      </c>
      <c r="CQ15" s="3" t="s">
        <v>126</v>
      </c>
      <c r="CR15" s="40">
        <v>148.5</v>
      </c>
      <c r="CS15" s="40">
        <v>122</v>
      </c>
      <c r="CT15" s="40">
        <v>330</v>
      </c>
      <c r="CU15" s="40"/>
      <c r="CV15" s="40"/>
      <c r="CW15" s="40"/>
      <c r="CX15" s="40"/>
      <c r="CY15" s="40">
        <v>0</v>
      </c>
      <c r="CZ15" s="40"/>
      <c r="DA15" s="40"/>
      <c r="DB15" s="65">
        <v>14.2</v>
      </c>
      <c r="DC15" s="65">
        <v>520</v>
      </c>
    </row>
    <row r="16" spans="1:107" ht="15.95" customHeight="1">
      <c r="A16" s="3">
        <v>136</v>
      </c>
      <c r="B16" s="38" t="s">
        <v>103</v>
      </c>
      <c r="C16" s="3" t="s">
        <v>115</v>
      </c>
      <c r="D16" s="3" t="s">
        <v>105</v>
      </c>
      <c r="E16" s="39">
        <v>44474</v>
      </c>
      <c r="F16" s="3" t="s">
        <v>106</v>
      </c>
      <c r="G16" s="3" t="s">
        <v>122</v>
      </c>
      <c r="H16" s="40">
        <v>2008</v>
      </c>
      <c r="I16" s="40" t="s">
        <v>108</v>
      </c>
      <c r="J16" s="40" t="s">
        <v>123</v>
      </c>
      <c r="K16" s="3">
        <v>148</v>
      </c>
      <c r="L16" s="3">
        <v>147.9</v>
      </c>
      <c r="M16" s="3"/>
      <c r="N16" s="3">
        <v>126.4</v>
      </c>
      <c r="O16" s="3">
        <v>126.7</v>
      </c>
      <c r="P16" s="3">
        <v>126.8</v>
      </c>
      <c r="Q16" s="3">
        <v>34.200000000000003</v>
      </c>
      <c r="R16" s="3">
        <v>34.200000000000003</v>
      </c>
      <c r="S16" s="3"/>
      <c r="T16" s="42">
        <v>147.94999999999999</v>
      </c>
      <c r="U16" s="42">
        <f>AVERAGE(paper3[[#This Row],[Sittende høyde 1]:[Sittende høyde 3]])-56.2</f>
        <v>70.433333333333337</v>
      </c>
      <c r="V16" s="12">
        <f>paper3[[#This Row],[height]]-paper3[[#This Row],[sittingheight]]</f>
        <v>77.516666666666652</v>
      </c>
      <c r="W16" s="73">
        <v>34.200000000000003</v>
      </c>
      <c r="X16" s="43" cm="1">
        <f t="array" ref="X16">INDEX([1]!phvny[yphv], MATCH(1, (paper3[[#This Row],[id]]=[1]!phvny[id])*(paper3[[#This Row],[time]]=[1]!phvny[time]), 0))</f>
        <v>-2.0444661662028234</v>
      </c>
      <c r="Y16" s="3">
        <v>2.2599999999999998</v>
      </c>
      <c r="Z16" s="3">
        <v>3.84</v>
      </c>
      <c r="AA16" s="3">
        <v>5.39</v>
      </c>
      <c r="AB16" s="3">
        <v>2.2000000000000002</v>
      </c>
      <c r="AC16" s="3">
        <v>3.79</v>
      </c>
      <c r="AD16" s="3">
        <v>5.33</v>
      </c>
      <c r="AE16" s="3">
        <v>2.15</v>
      </c>
      <c r="AF16" s="3">
        <v>3.73</v>
      </c>
      <c r="AG16" s="3">
        <v>5.31</v>
      </c>
      <c r="AH16" s="44">
        <v>2.15</v>
      </c>
      <c r="AI16" s="44">
        <v>3.73</v>
      </c>
      <c r="AJ16" s="44">
        <v>5.31</v>
      </c>
      <c r="AK16" s="45">
        <v>6.3291139240506347</v>
      </c>
      <c r="AL16" s="3">
        <v>11.14</v>
      </c>
      <c r="AM16" s="46"/>
      <c r="AN16" s="3">
        <v>11.05</v>
      </c>
      <c r="AO16" s="46"/>
      <c r="AP16" s="46">
        <v>11.05</v>
      </c>
      <c r="AQ16" s="47">
        <v>11.14</v>
      </c>
      <c r="AR16" s="47">
        <v>11.05</v>
      </c>
      <c r="AS16" s="3">
        <v>24.39</v>
      </c>
      <c r="AT16" s="3">
        <v>22.85</v>
      </c>
      <c r="AU16" s="3">
        <v>22.65</v>
      </c>
      <c r="AV16" s="3"/>
      <c r="AW16" s="3"/>
      <c r="AX16" s="48">
        <v>24.39</v>
      </c>
      <c r="AY16" s="3"/>
      <c r="AZ16" s="3">
        <v>7</v>
      </c>
      <c r="BA16" s="3">
        <v>180</v>
      </c>
      <c r="BB16" s="3">
        <v>7</v>
      </c>
      <c r="BC16" s="3">
        <v>147</v>
      </c>
      <c r="BD16" s="40">
        <v>523.33122451189558</v>
      </c>
      <c r="BE16" s="40">
        <v>516.11498398041817</v>
      </c>
      <c r="BF16" s="40"/>
      <c r="BG16" s="40">
        <v>176.83746437443165</v>
      </c>
      <c r="BH16" s="40">
        <v>189.08239429392438</v>
      </c>
      <c r="BI16" s="49">
        <v>1039.4462084923139</v>
      </c>
      <c r="BJ16" s="49">
        <v>365.91985866835603</v>
      </c>
      <c r="BK16" s="66">
        <v>1.3981846595159553E-2</v>
      </c>
      <c r="BL16" s="66">
        <v>-6.4759757063675982E-2</v>
      </c>
      <c r="BM16" s="51">
        <v>30.393163991003327</v>
      </c>
      <c r="BN16" s="51">
        <v>10.699411072174152</v>
      </c>
      <c r="BO16" s="52">
        <v>151</v>
      </c>
      <c r="BP16" s="40">
        <v>151</v>
      </c>
      <c r="BQ16" s="40">
        <v>134</v>
      </c>
      <c r="BR16" s="67">
        <v>0.12686567164179108</v>
      </c>
      <c r="BS16" s="54">
        <v>4.1666666666666661</v>
      </c>
      <c r="BT16" s="3">
        <v>86</v>
      </c>
      <c r="BU16" s="40">
        <v>83</v>
      </c>
      <c r="BV16" s="3">
        <v>105</v>
      </c>
      <c r="BW16" s="3">
        <v>125</v>
      </c>
      <c r="BX16" s="58">
        <v>3.6144578313253017E-2</v>
      </c>
      <c r="BY16" s="58">
        <v>-0.16000000000000003</v>
      </c>
      <c r="BZ16" s="64">
        <v>0.66400000000000003</v>
      </c>
      <c r="CA16" s="59">
        <v>0.81904761904761902</v>
      </c>
      <c r="CB16" s="59">
        <v>1.9152509746588691</v>
      </c>
      <c r="CC16" s="59">
        <v>2.6065545808966855</v>
      </c>
      <c r="CD16" s="60">
        <v>87</v>
      </c>
      <c r="CE16" s="60">
        <v>81</v>
      </c>
      <c r="CF16" s="61">
        <v>2.5438596491228069</v>
      </c>
      <c r="CG16" s="61">
        <v>2.3684210526315788</v>
      </c>
      <c r="CH16" s="61">
        <v>0.93103448275862066</v>
      </c>
      <c r="CI16" s="41">
        <v>14.4</v>
      </c>
      <c r="CJ16" s="40">
        <f>VLOOKUP(paper3[[#This Row],[YYIR nivå]],$DB:$DC,2)</f>
        <v>600</v>
      </c>
      <c r="CK16" s="3" t="s">
        <v>127</v>
      </c>
      <c r="CL16" s="62">
        <v>26546</v>
      </c>
      <c r="CM16" s="63">
        <v>26.545999999999999</v>
      </c>
      <c r="CN16" s="3">
        <v>86</v>
      </c>
      <c r="CO16" s="3">
        <v>125</v>
      </c>
      <c r="CP16" s="41">
        <v>13.66388888888889</v>
      </c>
      <c r="CQ16" s="3" t="s">
        <v>128</v>
      </c>
      <c r="CR16" s="40">
        <v>84.5</v>
      </c>
      <c r="CS16" s="40">
        <v>115</v>
      </c>
      <c r="CT16" s="40">
        <v>142.5</v>
      </c>
      <c r="CU16" s="40"/>
      <c r="CV16" s="40"/>
      <c r="CW16" s="40"/>
      <c r="CX16" s="40"/>
      <c r="CY16" s="40">
        <v>0</v>
      </c>
      <c r="CZ16" s="40"/>
      <c r="DA16" s="40"/>
      <c r="DB16" s="65">
        <v>14.3</v>
      </c>
      <c r="DC16" s="65">
        <v>560</v>
      </c>
    </row>
    <row r="17" spans="1:107" ht="15.95" customHeight="1">
      <c r="A17" s="3">
        <v>137</v>
      </c>
      <c r="B17" s="38" t="s">
        <v>103</v>
      </c>
      <c r="C17" s="3" t="s">
        <v>115</v>
      </c>
      <c r="D17" s="3" t="s">
        <v>105</v>
      </c>
      <c r="E17" s="39">
        <v>44474</v>
      </c>
      <c r="F17" s="3" t="s">
        <v>106</v>
      </c>
      <c r="G17" s="3" t="s">
        <v>122</v>
      </c>
      <c r="H17" s="40">
        <v>2008</v>
      </c>
      <c r="I17" s="40" t="s">
        <v>108</v>
      </c>
      <c r="J17" s="40" t="s">
        <v>123</v>
      </c>
      <c r="K17" s="3">
        <v>158</v>
      </c>
      <c r="L17" s="3">
        <v>158</v>
      </c>
      <c r="M17" s="3"/>
      <c r="N17" s="3">
        <v>138.80000000000001</v>
      </c>
      <c r="O17" s="3">
        <v>138.80000000000001</v>
      </c>
      <c r="P17" s="3"/>
      <c r="Q17" s="3">
        <v>40.799999999999997</v>
      </c>
      <c r="R17" s="3">
        <v>40.700000000000003</v>
      </c>
      <c r="S17" s="3"/>
      <c r="T17" s="42">
        <v>158</v>
      </c>
      <c r="U17" s="42">
        <f>AVERAGE(paper3[[#This Row],[Sittende høyde 1]:[Sittende høyde 3]])-56.2</f>
        <v>82.600000000000009</v>
      </c>
      <c r="V17" s="12">
        <f>paper3[[#This Row],[height]]-paper3[[#This Row],[sittingheight]]</f>
        <v>75.399999999999991</v>
      </c>
      <c r="W17" s="73">
        <v>40.75</v>
      </c>
      <c r="X17" s="43" cm="1">
        <f t="array" ref="X17">INDEX([1]!phvny[yphv], MATCH(1, (paper3[[#This Row],[id]]=[1]!phvny[id])*(paper3[[#This Row],[time]]=[1]!phvny[time]), 0))</f>
        <v>-0.67642503160759393</v>
      </c>
      <c r="Y17" s="3">
        <v>1.89</v>
      </c>
      <c r="Z17" s="3">
        <v>3.21</v>
      </c>
      <c r="AA17" s="3">
        <v>4.5</v>
      </c>
      <c r="AB17" s="3"/>
      <c r="AC17" s="3"/>
      <c r="AD17" s="3"/>
      <c r="AE17" s="3"/>
      <c r="AF17" s="3"/>
      <c r="AG17" s="3"/>
      <c r="AH17" s="44">
        <v>1.89</v>
      </c>
      <c r="AI17" s="44">
        <v>3.21</v>
      </c>
      <c r="AJ17" s="44">
        <v>4.5</v>
      </c>
      <c r="AK17" s="45">
        <v>7.7519379844961236</v>
      </c>
      <c r="AL17" s="3"/>
      <c r="AM17" s="3"/>
      <c r="AN17" s="3"/>
      <c r="AO17" s="3"/>
      <c r="AP17" s="3"/>
      <c r="AQ17" s="47"/>
      <c r="AR17" s="47"/>
      <c r="AS17" s="3">
        <v>36.409999999999997</v>
      </c>
      <c r="AT17" s="3">
        <v>36.4</v>
      </c>
      <c r="AU17" s="3">
        <v>38.33</v>
      </c>
      <c r="AV17" s="3"/>
      <c r="AW17" s="3"/>
      <c r="AX17" s="48">
        <v>38.33</v>
      </c>
      <c r="AY17" s="3"/>
      <c r="AZ17" s="3">
        <v>7</v>
      </c>
      <c r="BA17" s="3">
        <v>180</v>
      </c>
      <c r="BB17" s="3">
        <v>8</v>
      </c>
      <c r="BC17" s="3">
        <v>163</v>
      </c>
      <c r="BD17" s="40"/>
      <c r="BE17" s="40"/>
      <c r="BF17" s="40"/>
      <c r="BG17" s="40">
        <v>373.09876454974915</v>
      </c>
      <c r="BH17" s="40">
        <v>317.33631590514682</v>
      </c>
      <c r="BI17" s="49"/>
      <c r="BJ17" s="49">
        <v>690.43508045489602</v>
      </c>
      <c r="BK17" s="66"/>
      <c r="BL17" s="66">
        <v>0.17572035046020384</v>
      </c>
      <c r="BM17" s="51"/>
      <c r="BN17" s="51">
        <v>16.922428442521962</v>
      </c>
      <c r="BO17" s="52">
        <v>267</v>
      </c>
      <c r="BP17" s="40">
        <v>202</v>
      </c>
      <c r="BQ17" s="40">
        <v>267</v>
      </c>
      <c r="BR17" s="67">
        <v>-0.24344569288389517</v>
      </c>
      <c r="BS17" s="54">
        <v>5.7546012269938647</v>
      </c>
      <c r="BT17" s="3">
        <v>128</v>
      </c>
      <c r="BU17" s="40">
        <v>178</v>
      </c>
      <c r="BV17" s="3">
        <v>106</v>
      </c>
      <c r="BW17" s="3">
        <v>110</v>
      </c>
      <c r="BX17" s="58">
        <v>-0.2808988764044944</v>
      </c>
      <c r="BY17" s="58">
        <v>-3.6363636363636376E-2</v>
      </c>
      <c r="BZ17" s="64">
        <v>1.6181818181818182</v>
      </c>
      <c r="CA17" s="59">
        <v>1.2075471698113207</v>
      </c>
      <c r="CB17" s="59">
        <v>2.8309693251533736</v>
      </c>
      <c r="CC17" s="59">
        <v>1.998331288343558</v>
      </c>
      <c r="CD17" s="60">
        <v>98</v>
      </c>
      <c r="CE17" s="60">
        <v>82</v>
      </c>
      <c r="CF17" s="61">
        <v>2.4049079754601226</v>
      </c>
      <c r="CG17" s="61">
        <v>2.0122699386503067</v>
      </c>
      <c r="CH17" s="61">
        <v>0.83673469387755106</v>
      </c>
      <c r="CI17" s="41">
        <v>16.2</v>
      </c>
      <c r="CJ17" s="40">
        <f>VLOOKUP(paper3[[#This Row],[YYIR nivå]],$DB:$DC,2)</f>
        <v>1160</v>
      </c>
      <c r="CK17" s="3" t="s">
        <v>129</v>
      </c>
      <c r="CL17" s="62">
        <v>35260</v>
      </c>
      <c r="CM17" s="63">
        <v>35.26</v>
      </c>
      <c r="CN17" s="3">
        <v>178</v>
      </c>
      <c r="CO17" s="3">
        <v>110</v>
      </c>
      <c r="CP17" s="41">
        <v>13.347222222222221</v>
      </c>
      <c r="CQ17" s="3" t="s">
        <v>130</v>
      </c>
      <c r="CR17" s="40">
        <v>153</v>
      </c>
      <c r="CS17" s="40">
        <v>108</v>
      </c>
      <c r="CT17" s="40">
        <v>234.5</v>
      </c>
      <c r="CU17" s="40"/>
      <c r="CV17" s="40"/>
      <c r="CW17" s="40"/>
      <c r="CX17" s="40"/>
      <c r="CY17" s="40">
        <v>0</v>
      </c>
      <c r="CZ17" s="40"/>
      <c r="DA17" s="40"/>
      <c r="DB17" s="65">
        <v>14.4</v>
      </c>
      <c r="DC17" s="65">
        <v>600</v>
      </c>
    </row>
    <row r="18" spans="1:107" ht="15.95" customHeight="1">
      <c r="A18" s="3">
        <v>138</v>
      </c>
      <c r="B18" s="38" t="s">
        <v>103</v>
      </c>
      <c r="C18" s="3" t="s">
        <v>115</v>
      </c>
      <c r="D18" s="3" t="s">
        <v>105</v>
      </c>
      <c r="E18" s="39">
        <v>44474</v>
      </c>
      <c r="F18" s="3" t="s">
        <v>106</v>
      </c>
      <c r="G18" s="3" t="s">
        <v>122</v>
      </c>
      <c r="H18" s="40">
        <v>2008</v>
      </c>
      <c r="I18" s="40" t="s">
        <v>108</v>
      </c>
      <c r="J18" s="40" t="s">
        <v>123</v>
      </c>
      <c r="K18" s="3">
        <v>147.30000000000001</v>
      </c>
      <c r="L18" s="3">
        <v>147.19999999999999</v>
      </c>
      <c r="M18" s="3"/>
      <c r="N18" s="3">
        <v>129.5</v>
      </c>
      <c r="O18" s="3">
        <v>129.69999999999999</v>
      </c>
      <c r="P18" s="3"/>
      <c r="Q18" s="3">
        <v>35.6</v>
      </c>
      <c r="R18" s="3">
        <v>35.6</v>
      </c>
      <c r="S18" s="3"/>
      <c r="T18" s="42">
        <v>147.25</v>
      </c>
      <c r="U18" s="42">
        <f>AVERAGE(paper3[[#This Row],[Sittende høyde 1]:[Sittende høyde 3]])-56.2</f>
        <v>73.399999999999991</v>
      </c>
      <c r="V18" s="12">
        <f>paper3[[#This Row],[height]]-paper3[[#This Row],[sittingheight]]</f>
        <v>73.850000000000009</v>
      </c>
      <c r="W18" s="73">
        <v>35.6</v>
      </c>
      <c r="X18" s="43" cm="1">
        <f t="array" ref="X18">INDEX([1]!phvny[yphv], MATCH(1, (paper3[[#This Row],[id]]=[1]!phvny[id])*(paper3[[#This Row],[time]]=[1]!phvny[time]), 0))</f>
        <v>-1.8945200443433803</v>
      </c>
      <c r="Y18" s="3">
        <v>2.0699999999999998</v>
      </c>
      <c r="Z18" s="3">
        <v>3.55</v>
      </c>
      <c r="AA18" s="3">
        <v>4.99</v>
      </c>
      <c r="AB18" s="3">
        <v>2.0499999999999998</v>
      </c>
      <c r="AC18" s="3">
        <v>3.54</v>
      </c>
      <c r="AD18" s="3">
        <v>4.97</v>
      </c>
      <c r="AE18" s="3">
        <v>2.0699999999999998</v>
      </c>
      <c r="AF18" s="3">
        <v>3.56</v>
      </c>
      <c r="AG18" s="3">
        <v>5</v>
      </c>
      <c r="AH18" s="44">
        <v>2.0499999999999998</v>
      </c>
      <c r="AI18" s="44">
        <v>3.54</v>
      </c>
      <c r="AJ18" s="44">
        <v>4.97</v>
      </c>
      <c r="AK18" s="45">
        <v>6.9930069930069942</v>
      </c>
      <c r="AL18" s="3">
        <v>10.79</v>
      </c>
      <c r="AM18" s="3">
        <v>10.71</v>
      </c>
      <c r="AN18" s="3">
        <v>10.85</v>
      </c>
      <c r="AO18" s="46" t="s">
        <v>131</v>
      </c>
      <c r="AP18" s="46">
        <v>10.71</v>
      </c>
      <c r="AQ18" s="47">
        <v>10.71</v>
      </c>
      <c r="AR18" s="47">
        <v>10.85</v>
      </c>
      <c r="AS18" s="3">
        <v>26.08</v>
      </c>
      <c r="AT18" s="3">
        <v>27.87</v>
      </c>
      <c r="AU18" s="3">
        <v>27.63</v>
      </c>
      <c r="AV18" s="3">
        <v>26.91</v>
      </c>
      <c r="AW18" s="3"/>
      <c r="AX18" s="48">
        <v>27.87</v>
      </c>
      <c r="AY18" s="3"/>
      <c r="AZ18" s="3">
        <v>7</v>
      </c>
      <c r="BA18" s="3">
        <v>160</v>
      </c>
      <c r="BB18" s="3">
        <v>10</v>
      </c>
      <c r="BC18" s="3">
        <v>174</v>
      </c>
      <c r="BD18" s="40"/>
      <c r="BE18" s="40"/>
      <c r="BF18" s="40"/>
      <c r="BG18" s="40">
        <v>300.23532461506016</v>
      </c>
      <c r="BH18" s="40">
        <v>300.68459676600082</v>
      </c>
      <c r="BI18" s="49"/>
      <c r="BJ18" s="49">
        <v>600.91992138106093</v>
      </c>
      <c r="BK18" s="66"/>
      <c r="BL18" s="66">
        <v>-1.4941641699401931E-3</v>
      </c>
      <c r="BM18" s="51"/>
      <c r="BN18" s="51">
        <v>16.87977307250171</v>
      </c>
      <c r="BO18" s="52">
        <v>199</v>
      </c>
      <c r="BP18" s="40">
        <v>188</v>
      </c>
      <c r="BQ18" s="40">
        <v>199</v>
      </c>
      <c r="BR18" s="67">
        <v>-5.5276381909547756E-2</v>
      </c>
      <c r="BS18" s="54">
        <v>5.4353932584269664</v>
      </c>
      <c r="BT18" s="3">
        <v>116</v>
      </c>
      <c r="BU18" s="40">
        <v>124</v>
      </c>
      <c r="BV18" s="3">
        <v>81</v>
      </c>
      <c r="BW18" s="3">
        <v>85</v>
      </c>
      <c r="BX18" s="58">
        <v>-6.4516129032258118E-2</v>
      </c>
      <c r="BY18" s="58">
        <v>-4.705882352941182E-2</v>
      </c>
      <c r="BZ18" s="64">
        <v>1.4588235294117646</v>
      </c>
      <c r="CA18" s="59">
        <v>1.4320987654320987</v>
      </c>
      <c r="CB18" s="59">
        <v>2.4893258426966294</v>
      </c>
      <c r="CC18" s="59">
        <v>1.7217837078651685</v>
      </c>
      <c r="CD18" s="60">
        <v>85</v>
      </c>
      <c r="CE18" s="60">
        <v>76</v>
      </c>
      <c r="CF18" s="61">
        <v>2.387640449438202</v>
      </c>
      <c r="CG18" s="61">
        <v>2.1348314606741572</v>
      </c>
      <c r="CH18" s="61">
        <v>0.89411764705882357</v>
      </c>
      <c r="CI18" s="41">
        <v>14.2</v>
      </c>
      <c r="CJ18" s="40">
        <f>VLOOKUP(paper3[[#This Row],[YYIR nivå]],$DB:$DC,2)</f>
        <v>520</v>
      </c>
      <c r="CK18" s="3"/>
      <c r="CL18" s="62">
        <v>28005</v>
      </c>
      <c r="CM18" s="63">
        <v>28.004999999999999</v>
      </c>
      <c r="CN18" s="3">
        <v>124</v>
      </c>
      <c r="CO18" s="3">
        <v>85</v>
      </c>
      <c r="CP18" s="41">
        <v>13.074999999999999</v>
      </c>
      <c r="CQ18" s="3" t="s">
        <v>132</v>
      </c>
      <c r="CR18" s="40">
        <v>120</v>
      </c>
      <c r="CS18" s="40">
        <v>83</v>
      </c>
      <c r="CT18" s="40">
        <v>193.5</v>
      </c>
      <c r="CU18" s="40"/>
      <c r="CV18" s="40"/>
      <c r="CW18" s="40"/>
      <c r="CX18" s="40"/>
      <c r="CY18" s="40">
        <v>0</v>
      </c>
      <c r="CZ18" s="40"/>
      <c r="DA18" s="40"/>
      <c r="DB18" s="65">
        <v>14.5</v>
      </c>
      <c r="DC18" s="65">
        <v>640</v>
      </c>
    </row>
    <row r="19" spans="1:107" ht="15.75" customHeight="1">
      <c r="A19" s="3">
        <v>139</v>
      </c>
      <c r="B19" s="38" t="s">
        <v>103</v>
      </c>
      <c r="C19" s="3" t="s">
        <v>115</v>
      </c>
      <c r="D19" s="3" t="s">
        <v>105</v>
      </c>
      <c r="E19" s="39">
        <v>44474</v>
      </c>
      <c r="F19" s="3" t="s">
        <v>106</v>
      </c>
      <c r="G19" s="3" t="s">
        <v>122</v>
      </c>
      <c r="H19" s="40">
        <v>2008</v>
      </c>
      <c r="I19" s="40" t="s">
        <v>108</v>
      </c>
      <c r="J19" s="40" t="s">
        <v>123</v>
      </c>
      <c r="K19" s="3">
        <v>164.5</v>
      </c>
      <c r="L19" s="3">
        <v>164.5</v>
      </c>
      <c r="M19" s="3"/>
      <c r="N19" s="3">
        <v>140.9</v>
      </c>
      <c r="O19" s="3">
        <v>139.6</v>
      </c>
      <c r="P19" s="3">
        <v>139.5</v>
      </c>
      <c r="Q19" s="3">
        <v>53.1</v>
      </c>
      <c r="R19" s="3">
        <v>53.1</v>
      </c>
      <c r="S19" s="3"/>
      <c r="T19" s="42">
        <v>164.5</v>
      </c>
      <c r="U19" s="42">
        <f>AVERAGE(paper3[[#This Row],[Sittende høyde 1]:[Sittende høyde 3]])-56.2</f>
        <v>83.8</v>
      </c>
      <c r="V19" s="12">
        <f>paper3[[#This Row],[height]]-paper3[[#This Row],[sittingheight]]</f>
        <v>80.7</v>
      </c>
      <c r="W19" s="73">
        <v>53.1</v>
      </c>
      <c r="X19" s="43" cm="1">
        <f t="array" ref="X19">INDEX([1]!phvny[yphv], MATCH(1, (paper3[[#This Row],[id]]=[1]!phvny[id])*(paper3[[#This Row],[time]]=[1]!phvny[time]), 0))</f>
        <v>-0.20986909493397499</v>
      </c>
      <c r="Y19" s="3">
        <v>1.85</v>
      </c>
      <c r="Z19" s="3">
        <v>3.18</v>
      </c>
      <c r="AA19" s="3">
        <v>4.45</v>
      </c>
      <c r="AB19" s="3">
        <v>1.88</v>
      </c>
      <c r="AC19" s="3">
        <v>3.19</v>
      </c>
      <c r="AD19" s="3">
        <v>4.47</v>
      </c>
      <c r="AE19" s="3">
        <v>1.95</v>
      </c>
      <c r="AF19" s="3">
        <v>3.3</v>
      </c>
      <c r="AG19" s="3">
        <v>4.5599999999999996</v>
      </c>
      <c r="AH19" s="44">
        <v>1.85</v>
      </c>
      <c r="AI19" s="44">
        <v>3.18</v>
      </c>
      <c r="AJ19" s="44">
        <v>4.45</v>
      </c>
      <c r="AK19" s="45">
        <v>7.8740157480314963</v>
      </c>
      <c r="AL19" s="3">
        <v>10.27</v>
      </c>
      <c r="AM19" s="46"/>
      <c r="AN19" s="46"/>
      <c r="AO19" s="46" t="s">
        <v>131</v>
      </c>
      <c r="AP19" s="46">
        <v>10.27</v>
      </c>
      <c r="AQ19" s="47">
        <v>10.27</v>
      </c>
      <c r="AR19" s="47"/>
      <c r="AS19" s="3">
        <v>30.96</v>
      </c>
      <c r="AT19" s="3">
        <v>31.43</v>
      </c>
      <c r="AU19" s="3">
        <v>32.21</v>
      </c>
      <c r="AV19" s="3">
        <v>35.729999999999997</v>
      </c>
      <c r="AW19" s="3">
        <v>34.06</v>
      </c>
      <c r="AX19" s="48">
        <v>35.729999999999997</v>
      </c>
      <c r="AY19" s="3"/>
      <c r="AZ19" s="3">
        <v>8</v>
      </c>
      <c r="BA19" s="3">
        <v>180</v>
      </c>
      <c r="BB19" s="3">
        <v>16</v>
      </c>
      <c r="BC19" s="3">
        <v>293</v>
      </c>
      <c r="BD19" s="40">
        <v>1167.4079154958472</v>
      </c>
      <c r="BE19" s="40">
        <v>1151.7889890921097</v>
      </c>
      <c r="BF19" s="40"/>
      <c r="BG19" s="40">
        <v>468.43456938134125</v>
      </c>
      <c r="BH19" s="40">
        <v>451.25142052433705</v>
      </c>
      <c r="BI19" s="49">
        <v>2319.1969045879569</v>
      </c>
      <c r="BJ19" s="49">
        <v>919.6859899056783</v>
      </c>
      <c r="BK19" s="66">
        <v>1.3560579716992205E-2</v>
      </c>
      <c r="BL19" s="66">
        <v>3.8078880365712831E-2</v>
      </c>
      <c r="BM19" s="51">
        <v>43.67602456851143</v>
      </c>
      <c r="BN19" s="51">
        <v>17.319886815549495</v>
      </c>
      <c r="BO19" s="52">
        <v>280</v>
      </c>
      <c r="BP19" s="40">
        <v>260</v>
      </c>
      <c r="BQ19" s="40">
        <v>280</v>
      </c>
      <c r="BR19" s="67">
        <v>-7.1428571428571397E-2</v>
      </c>
      <c r="BS19" s="54">
        <v>5.0847457627118642</v>
      </c>
      <c r="BT19" s="3">
        <v>204</v>
      </c>
      <c r="BU19" s="40">
        <v>196</v>
      </c>
      <c r="BV19" s="3">
        <v>113</v>
      </c>
      <c r="BW19" s="3">
        <v>145</v>
      </c>
      <c r="BX19" s="58">
        <v>4.081632653061229E-2</v>
      </c>
      <c r="BY19" s="58">
        <v>-0.22068965517241379</v>
      </c>
      <c r="BZ19" s="64">
        <v>1.3517241379310345</v>
      </c>
      <c r="CA19" s="59">
        <v>1.8053097345132743</v>
      </c>
      <c r="CB19" s="59">
        <v>3.0395480225988702</v>
      </c>
      <c r="CC19" s="59">
        <v>1.9605084745762713</v>
      </c>
      <c r="CD19" s="60">
        <v>106</v>
      </c>
      <c r="CE19" s="60">
        <v>97</v>
      </c>
      <c r="CF19" s="61">
        <v>1.9962335216572504</v>
      </c>
      <c r="CG19" s="61">
        <v>1.8267419962335216</v>
      </c>
      <c r="CH19" s="61">
        <v>0.91509433962264153</v>
      </c>
      <c r="CI19" s="41">
        <v>13.4</v>
      </c>
      <c r="CJ19" s="40">
        <f>VLOOKUP(paper3[[#This Row],[YYIR nivå]],$DB:$DC,2)</f>
        <v>440</v>
      </c>
      <c r="CK19" s="3"/>
      <c r="CL19" s="62">
        <v>46061</v>
      </c>
      <c r="CM19" s="63">
        <v>46.061</v>
      </c>
      <c r="CN19" s="3">
        <v>204</v>
      </c>
      <c r="CO19" s="3">
        <v>145</v>
      </c>
      <c r="CP19" s="41">
        <v>13.719444444444445</v>
      </c>
      <c r="CQ19" s="3" t="s">
        <v>133</v>
      </c>
      <c r="CR19" s="40">
        <v>200</v>
      </c>
      <c r="CS19" s="40">
        <v>129</v>
      </c>
      <c r="CT19" s="40">
        <v>270</v>
      </c>
      <c r="CU19" s="40"/>
      <c r="CV19" s="40"/>
      <c r="CW19" s="40"/>
      <c r="CX19" s="40"/>
      <c r="CY19" s="40">
        <v>0</v>
      </c>
      <c r="CZ19" s="40"/>
      <c r="DA19" s="40"/>
      <c r="DB19" s="65">
        <v>14.6</v>
      </c>
      <c r="DC19" s="65">
        <v>680</v>
      </c>
    </row>
    <row r="20" spans="1:107" ht="15.95" customHeight="1">
      <c r="A20" s="3">
        <v>140</v>
      </c>
      <c r="B20" s="38" t="s">
        <v>103</v>
      </c>
      <c r="C20" s="3" t="s">
        <v>115</v>
      </c>
      <c r="D20" s="3" t="s">
        <v>105</v>
      </c>
      <c r="E20" s="39">
        <v>44474</v>
      </c>
      <c r="F20" s="3" t="s">
        <v>106</v>
      </c>
      <c r="G20" s="3" t="s">
        <v>122</v>
      </c>
      <c r="H20" s="40">
        <v>2008</v>
      </c>
      <c r="I20" s="40" t="s">
        <v>108</v>
      </c>
      <c r="J20" s="40" t="s">
        <v>123</v>
      </c>
      <c r="K20" s="3">
        <v>162</v>
      </c>
      <c r="L20" s="3">
        <v>163</v>
      </c>
      <c r="M20" s="3">
        <v>163.5</v>
      </c>
      <c r="N20" s="3">
        <v>136.1</v>
      </c>
      <c r="O20" s="3">
        <v>137.5</v>
      </c>
      <c r="P20" s="3">
        <v>137.30000000000001</v>
      </c>
      <c r="Q20" s="3">
        <v>42.8</v>
      </c>
      <c r="R20" s="3">
        <v>42.8</v>
      </c>
      <c r="S20" s="3"/>
      <c r="T20" s="42">
        <v>162.83333333333334</v>
      </c>
      <c r="U20" s="42">
        <f>AVERAGE(paper3[[#This Row],[Sittende høyde 1]:[Sittende høyde 3]])-56.2</f>
        <v>80.766666666666666</v>
      </c>
      <c r="V20" s="12">
        <f>paper3[[#This Row],[height]]-paper3[[#This Row],[sittingheight]]</f>
        <v>82.066666666666677</v>
      </c>
      <c r="W20" s="73">
        <v>42.8</v>
      </c>
      <c r="X20" s="43" cm="1">
        <f t="array" ref="X20">INDEX([1]!phvny[yphv], MATCH(1, (paper3[[#This Row],[id]]=[1]!phvny[id])*(paper3[[#This Row],[time]]=[1]!phvny[time]), 0))</f>
        <v>-0.88376971028647955</v>
      </c>
      <c r="Y20" s="3">
        <v>2.14</v>
      </c>
      <c r="Z20" s="3">
        <v>3.67</v>
      </c>
      <c r="AA20" s="3">
        <v>5.12</v>
      </c>
      <c r="AB20" s="3">
        <v>2.16</v>
      </c>
      <c r="AC20" s="3">
        <v>3.68</v>
      </c>
      <c r="AD20" s="3">
        <v>5.14</v>
      </c>
      <c r="AE20" s="3">
        <v>2.2200000000000002</v>
      </c>
      <c r="AF20" s="3">
        <v>3.75</v>
      </c>
      <c r="AG20" s="3">
        <v>5.24</v>
      </c>
      <c r="AH20" s="44">
        <v>2.14</v>
      </c>
      <c r="AI20" s="44">
        <v>3.67</v>
      </c>
      <c r="AJ20" s="44">
        <v>5.12</v>
      </c>
      <c r="AK20" s="45">
        <v>6.8965517241379306</v>
      </c>
      <c r="AL20" s="3">
        <v>11.06</v>
      </c>
      <c r="AM20" s="3">
        <v>10.98</v>
      </c>
      <c r="AN20" s="46"/>
      <c r="AO20" s="3">
        <v>11.06</v>
      </c>
      <c r="AP20" s="3">
        <v>10.98</v>
      </c>
      <c r="AQ20" s="47">
        <v>10.98</v>
      </c>
      <c r="AR20" s="47">
        <v>11.06</v>
      </c>
      <c r="AS20" s="3">
        <v>19.34</v>
      </c>
      <c r="AT20" s="3">
        <v>22.58</v>
      </c>
      <c r="AU20" s="3"/>
      <c r="AV20" s="3"/>
      <c r="AW20" s="3"/>
      <c r="AX20" s="48">
        <v>22.58</v>
      </c>
      <c r="AY20" s="3"/>
      <c r="AZ20" s="3">
        <v>9</v>
      </c>
      <c r="BA20" s="3">
        <v>180</v>
      </c>
      <c r="BB20" s="3">
        <v>10</v>
      </c>
      <c r="BC20" s="3">
        <v>196</v>
      </c>
      <c r="BD20" s="40">
        <v>691.07207429583673</v>
      </c>
      <c r="BE20" s="40">
        <v>670.53820056987593</v>
      </c>
      <c r="BF20" s="40"/>
      <c r="BG20" s="40">
        <v>274.05052527300654</v>
      </c>
      <c r="BH20" s="40">
        <v>209.77002275292162</v>
      </c>
      <c r="BI20" s="49">
        <v>1361.6102748657127</v>
      </c>
      <c r="BJ20" s="49">
        <v>483.82054802592813</v>
      </c>
      <c r="BK20" s="66">
        <v>3.0622973767205908E-2</v>
      </c>
      <c r="BL20" s="66">
        <v>0.30643321517773758</v>
      </c>
      <c r="BM20" s="51">
        <v>31.81332417910544</v>
      </c>
      <c r="BN20" s="51">
        <v>11.304218411820752</v>
      </c>
      <c r="BO20" s="52">
        <v>164</v>
      </c>
      <c r="BP20" s="40">
        <v>136</v>
      </c>
      <c r="BQ20" s="40">
        <v>164</v>
      </c>
      <c r="BR20" s="67">
        <v>-0.17073170731707321</v>
      </c>
      <c r="BS20" s="54">
        <v>3.504672897196262</v>
      </c>
      <c r="BT20" s="3">
        <v>93</v>
      </c>
      <c r="BU20" s="40">
        <v>89</v>
      </c>
      <c r="BV20" s="3">
        <v>87</v>
      </c>
      <c r="BW20" s="3">
        <v>93</v>
      </c>
      <c r="BX20" s="58">
        <v>4.4943820224719211E-2</v>
      </c>
      <c r="BY20" s="58">
        <v>-6.4516129032258118E-2</v>
      </c>
      <c r="BZ20" s="64">
        <v>0.956989247311828</v>
      </c>
      <c r="CA20" s="59">
        <v>1.0689655172413792</v>
      </c>
      <c r="CB20" s="59">
        <v>1.7448753894081002</v>
      </c>
      <c r="CC20" s="59">
        <v>1.7257009345794396</v>
      </c>
      <c r="CD20" s="60">
        <v>52</v>
      </c>
      <c r="CE20" s="60">
        <v>50</v>
      </c>
      <c r="CF20" s="61">
        <v>1.2149532710280375</v>
      </c>
      <c r="CG20" s="61">
        <v>1.1682242990654206</v>
      </c>
      <c r="CH20" s="61">
        <v>0.96153846153846145</v>
      </c>
      <c r="CI20" s="41">
        <v>12.2</v>
      </c>
      <c r="CJ20" s="40">
        <f>VLOOKUP(paper3[[#This Row],[YYIR nivå]],$DB:$DC,2)</f>
        <v>240</v>
      </c>
      <c r="CK20" s="3"/>
      <c r="CL20" s="62">
        <v>33087</v>
      </c>
      <c r="CM20" s="63">
        <v>33.087000000000003</v>
      </c>
      <c r="CN20" s="3">
        <v>93</v>
      </c>
      <c r="CO20" s="3">
        <v>93</v>
      </c>
      <c r="CP20" s="41">
        <v>13.341666666666667</v>
      </c>
      <c r="CQ20" s="3" t="s">
        <v>134</v>
      </c>
      <c r="CR20" s="40">
        <v>91</v>
      </c>
      <c r="CS20" s="40">
        <v>90</v>
      </c>
      <c r="CT20" s="40">
        <v>150</v>
      </c>
      <c r="CU20" s="40"/>
      <c r="CV20" s="40"/>
      <c r="CW20" s="40"/>
      <c r="CX20" s="40"/>
      <c r="CY20" s="40">
        <v>0</v>
      </c>
      <c r="CZ20" s="40"/>
      <c r="DA20" s="40"/>
      <c r="DB20" s="65">
        <v>14.7</v>
      </c>
      <c r="DC20" s="65">
        <v>720</v>
      </c>
    </row>
    <row r="21" spans="1:107" ht="15.95" customHeight="1">
      <c r="A21" s="3">
        <v>141</v>
      </c>
      <c r="B21" s="38" t="s">
        <v>103</v>
      </c>
      <c r="C21" s="3" t="s">
        <v>115</v>
      </c>
      <c r="D21" s="3" t="s">
        <v>105</v>
      </c>
      <c r="E21" s="39">
        <v>44474</v>
      </c>
      <c r="F21" s="3" t="s">
        <v>106</v>
      </c>
      <c r="G21" s="3" t="s">
        <v>122</v>
      </c>
      <c r="H21" s="40">
        <v>2008</v>
      </c>
      <c r="I21" s="40" t="s">
        <v>108</v>
      </c>
      <c r="J21" s="40" t="s">
        <v>123</v>
      </c>
      <c r="K21" s="3">
        <v>170.5</v>
      </c>
      <c r="L21" s="3">
        <v>170.5</v>
      </c>
      <c r="M21" s="3"/>
      <c r="N21" s="3">
        <v>144.69999999999999</v>
      </c>
      <c r="O21" s="3">
        <v>144.80000000000001</v>
      </c>
      <c r="P21" s="3"/>
      <c r="Q21" s="3">
        <v>54.2</v>
      </c>
      <c r="R21" s="3">
        <v>54.2</v>
      </c>
      <c r="S21" s="3"/>
      <c r="T21" s="42">
        <v>170.5</v>
      </c>
      <c r="U21" s="42">
        <f>AVERAGE(paper3[[#This Row],[Sittende høyde 1]:[Sittende høyde 3]])-56.2</f>
        <v>88.55</v>
      </c>
      <c r="V21" s="12">
        <f>paper3[[#This Row],[height]]-paper3[[#This Row],[sittingheight]]</f>
        <v>81.95</v>
      </c>
      <c r="W21" s="73">
        <v>54.2</v>
      </c>
      <c r="X21" s="43" cm="1">
        <f t="array" ref="X21">INDEX([1]!phvny[yphv], MATCH(1, (paper3[[#This Row],[id]]=[1]!phvny[id])*(paper3[[#This Row],[time]]=[1]!phvny[time]), 0))</f>
        <v>0.15750075534359587</v>
      </c>
      <c r="Y21" s="3">
        <v>2.02</v>
      </c>
      <c r="Z21" s="3">
        <v>3.44</v>
      </c>
      <c r="AA21" s="3">
        <v>4.8099999999999996</v>
      </c>
      <c r="AB21" s="3">
        <v>2.0099999999999998</v>
      </c>
      <c r="AC21" s="3">
        <v>3.41</v>
      </c>
      <c r="AD21" s="3">
        <v>4.76</v>
      </c>
      <c r="AE21" s="3">
        <v>1.98</v>
      </c>
      <c r="AF21" s="3">
        <v>3.39</v>
      </c>
      <c r="AG21" s="3">
        <v>4.7300000000000004</v>
      </c>
      <c r="AH21" s="44">
        <v>1.98</v>
      </c>
      <c r="AI21" s="44">
        <v>3.39</v>
      </c>
      <c r="AJ21" s="44">
        <v>4.7300000000000004</v>
      </c>
      <c r="AK21" s="45">
        <v>7.4626865671641776</v>
      </c>
      <c r="AL21" s="3">
        <v>10.83</v>
      </c>
      <c r="AM21" s="3">
        <v>10.85</v>
      </c>
      <c r="AN21" s="3">
        <v>10.54</v>
      </c>
      <c r="AO21" s="3">
        <v>10.5</v>
      </c>
      <c r="AP21" s="3">
        <v>10.5</v>
      </c>
      <c r="AQ21" s="47">
        <v>10.83</v>
      </c>
      <c r="AR21" s="47">
        <v>10.5</v>
      </c>
      <c r="AS21" s="3">
        <v>30.92</v>
      </c>
      <c r="AT21" s="3">
        <v>32.18</v>
      </c>
      <c r="AU21" s="3">
        <v>31.99</v>
      </c>
      <c r="AV21" s="3"/>
      <c r="AW21" s="3"/>
      <c r="AX21" s="48">
        <v>32.18</v>
      </c>
      <c r="AY21" s="3"/>
      <c r="AZ21" s="3">
        <v>8</v>
      </c>
      <c r="BA21" s="3">
        <v>180</v>
      </c>
      <c r="BB21" s="3">
        <v>9</v>
      </c>
      <c r="BC21" s="3">
        <v>163</v>
      </c>
      <c r="BD21" s="40"/>
      <c r="BE21" s="40"/>
      <c r="BF21" s="40"/>
      <c r="BG21" s="40">
        <v>363.93361967118807</v>
      </c>
      <c r="BH21" s="40">
        <v>388.26081450122854</v>
      </c>
      <c r="BI21" s="49"/>
      <c r="BJ21" s="49">
        <v>752.19443417241655</v>
      </c>
      <c r="BK21" s="66"/>
      <c r="BL21" s="66">
        <v>-6.2656837675704957E-2</v>
      </c>
      <c r="BM21" s="51"/>
      <c r="BN21" s="51">
        <v>13.878126091742002</v>
      </c>
      <c r="BO21" s="52">
        <v>180</v>
      </c>
      <c r="BP21" s="40">
        <v>180</v>
      </c>
      <c r="BQ21" s="40">
        <v>179</v>
      </c>
      <c r="BR21" s="67">
        <v>5.5865921787709993E-3</v>
      </c>
      <c r="BS21" s="54">
        <v>3.3118081180811805</v>
      </c>
      <c r="BT21" s="3">
        <v>135</v>
      </c>
      <c r="BU21" s="40">
        <v>136</v>
      </c>
      <c r="BV21" s="3">
        <v>129</v>
      </c>
      <c r="BW21" s="3">
        <v>117</v>
      </c>
      <c r="BX21" s="58">
        <v>-7.3529411764705621E-3</v>
      </c>
      <c r="BY21" s="58">
        <v>0.10256410256410264</v>
      </c>
      <c r="BZ21" s="64">
        <v>1.1623931623931625</v>
      </c>
      <c r="CA21" s="59">
        <v>1.0465116279069768</v>
      </c>
      <c r="CB21" s="59">
        <v>2.0487499999999996</v>
      </c>
      <c r="CC21" s="59">
        <v>1.859750922509225</v>
      </c>
      <c r="CD21" s="60">
        <v>69</v>
      </c>
      <c r="CE21" s="60">
        <v>73</v>
      </c>
      <c r="CF21" s="61">
        <v>1.2730627306273061</v>
      </c>
      <c r="CG21" s="61">
        <v>1.3468634686346863</v>
      </c>
      <c r="CH21" s="61">
        <v>1.0579710144927537</v>
      </c>
      <c r="CI21" s="41">
        <v>15.2</v>
      </c>
      <c r="CJ21" s="40">
        <f>VLOOKUP(paper3[[#This Row],[YYIR nivå]],$DB:$DC,2)</f>
        <v>840</v>
      </c>
      <c r="CK21" s="3"/>
      <c r="CL21" s="62">
        <v>46877</v>
      </c>
      <c r="CM21" s="63">
        <v>46.877000000000002</v>
      </c>
      <c r="CN21" s="3">
        <v>136</v>
      </c>
      <c r="CO21" s="3">
        <v>129</v>
      </c>
      <c r="CP21" s="41">
        <v>13.327777777777778</v>
      </c>
      <c r="CQ21" s="3" t="s">
        <v>135</v>
      </c>
      <c r="CR21" s="40">
        <v>135.5</v>
      </c>
      <c r="CS21" s="40">
        <v>123</v>
      </c>
      <c r="CT21" s="40">
        <v>179.5</v>
      </c>
      <c r="CU21" s="40"/>
      <c r="CV21" s="40"/>
      <c r="CW21" s="40"/>
      <c r="CX21" s="40"/>
      <c r="CY21" s="40">
        <v>0</v>
      </c>
      <c r="CZ21" s="40"/>
      <c r="DA21" s="40"/>
      <c r="DB21" s="65">
        <v>14.8</v>
      </c>
      <c r="DC21" s="65">
        <v>760</v>
      </c>
    </row>
    <row r="22" spans="1:107" ht="15.95" customHeight="1">
      <c r="A22" s="3">
        <v>142</v>
      </c>
      <c r="B22" s="38" t="s">
        <v>103</v>
      </c>
      <c r="C22" s="3" t="s">
        <v>115</v>
      </c>
      <c r="D22" s="3" t="s">
        <v>105</v>
      </c>
      <c r="E22" s="39">
        <v>44474</v>
      </c>
      <c r="F22" s="3" t="s">
        <v>106</v>
      </c>
      <c r="G22" s="3" t="s">
        <v>122</v>
      </c>
      <c r="H22" s="40">
        <v>2009</v>
      </c>
      <c r="I22" s="40" t="s">
        <v>108</v>
      </c>
      <c r="J22" s="40" t="s">
        <v>123</v>
      </c>
      <c r="K22" s="3">
        <v>159.5</v>
      </c>
      <c r="L22" s="3">
        <v>159.5</v>
      </c>
      <c r="M22" s="3"/>
      <c r="N22" s="3">
        <v>138.1</v>
      </c>
      <c r="O22" s="3">
        <v>137.5</v>
      </c>
      <c r="P22" s="3">
        <v>137.30000000000001</v>
      </c>
      <c r="Q22" s="3">
        <v>47.1</v>
      </c>
      <c r="R22" s="3">
        <v>47.1</v>
      </c>
      <c r="S22" s="3"/>
      <c r="T22" s="42">
        <v>159.5</v>
      </c>
      <c r="U22" s="42">
        <f>AVERAGE(paper3[[#This Row],[Sittende høyde 1]:[Sittende høyde 3]])-56.2</f>
        <v>81.433333333333351</v>
      </c>
      <c r="V22" s="12">
        <f>paper3[[#This Row],[height]]-paper3[[#This Row],[sittingheight]]</f>
        <v>78.066666666666649</v>
      </c>
      <c r="W22" s="73">
        <v>47.1</v>
      </c>
      <c r="X22" s="43" cm="1">
        <f t="array" ref="X22">INDEX([1]!phvny[yphv], MATCH(1, (paper3[[#This Row],[id]]=[1]!phvny[id])*(paper3[[#This Row],[time]]=[1]!phvny[time]), 0))</f>
        <v>-1.2817516428374527</v>
      </c>
      <c r="Y22" s="46">
        <v>2.0099999999999998</v>
      </c>
      <c r="Z22" s="3">
        <v>3.48</v>
      </c>
      <c r="AA22" s="3">
        <v>4.91</v>
      </c>
      <c r="AB22" s="3">
        <v>2.0699999999999998</v>
      </c>
      <c r="AC22" s="3">
        <v>3.55</v>
      </c>
      <c r="AD22" s="3">
        <v>4.9800000000000004</v>
      </c>
      <c r="AE22" s="3">
        <v>2.02</v>
      </c>
      <c r="AF22" s="3">
        <v>3.47</v>
      </c>
      <c r="AG22" s="3">
        <v>4.8600000000000003</v>
      </c>
      <c r="AH22" s="44">
        <v>2.0099999999999998</v>
      </c>
      <c r="AI22" s="44">
        <v>3.47</v>
      </c>
      <c r="AJ22" s="44">
        <v>4.8600000000000003</v>
      </c>
      <c r="AK22" s="45">
        <v>7.1942446043165464</v>
      </c>
      <c r="AL22" s="46"/>
      <c r="AM22" s="3">
        <v>10.61</v>
      </c>
      <c r="AN22" s="3">
        <v>10.89</v>
      </c>
      <c r="AO22" s="3">
        <v>10.49</v>
      </c>
      <c r="AP22" s="3">
        <v>10.49</v>
      </c>
      <c r="AQ22" s="47">
        <v>10.61</v>
      </c>
      <c r="AR22" s="47">
        <v>10.49</v>
      </c>
      <c r="AS22" s="3">
        <v>26.83</v>
      </c>
      <c r="AT22" s="3">
        <v>28.21</v>
      </c>
      <c r="AU22" s="3">
        <v>27.84</v>
      </c>
      <c r="AV22" s="3"/>
      <c r="AW22" s="3"/>
      <c r="AX22" s="48">
        <v>28.21</v>
      </c>
      <c r="AY22" s="3"/>
      <c r="AZ22" s="3">
        <v>7</v>
      </c>
      <c r="BA22" s="3">
        <v>180</v>
      </c>
      <c r="BB22" s="3">
        <v>12</v>
      </c>
      <c r="BC22" s="3">
        <v>228</v>
      </c>
      <c r="BD22" s="40">
        <v>939.06370074833376</v>
      </c>
      <c r="BE22" s="40">
        <v>906.7467804781711</v>
      </c>
      <c r="BF22" s="40"/>
      <c r="BG22" s="40">
        <v>224.04889470156502</v>
      </c>
      <c r="BH22" s="40">
        <v>260.63886076150192</v>
      </c>
      <c r="BI22" s="49">
        <v>1845.8104812265049</v>
      </c>
      <c r="BJ22" s="49">
        <v>484.68775546306694</v>
      </c>
      <c r="BK22" s="66">
        <v>3.5640512837685989E-2</v>
      </c>
      <c r="BL22" s="66">
        <v>-0.14038568904511373</v>
      </c>
      <c r="BM22" s="51">
        <v>39.189182191645536</v>
      </c>
      <c r="BN22" s="51">
        <v>10.290610519385709</v>
      </c>
      <c r="BO22" s="52">
        <v>302</v>
      </c>
      <c r="BP22" s="40">
        <v>228</v>
      </c>
      <c r="BQ22" s="40">
        <v>302</v>
      </c>
      <c r="BR22" s="67">
        <v>-0.24503311258278149</v>
      </c>
      <c r="BS22" s="54">
        <v>5.6263269639065818</v>
      </c>
      <c r="BT22" s="3">
        <v>122</v>
      </c>
      <c r="BU22" s="40">
        <v>133</v>
      </c>
      <c r="BV22" s="3">
        <v>96</v>
      </c>
      <c r="BW22" s="3">
        <v>111</v>
      </c>
      <c r="BX22" s="58">
        <v>-8.2706766917293284E-2</v>
      </c>
      <c r="BY22" s="58">
        <v>-0.13513513513513509</v>
      </c>
      <c r="BZ22" s="64">
        <v>1.1981981981981982</v>
      </c>
      <c r="CA22" s="59">
        <v>1.2708333333333333</v>
      </c>
      <c r="CB22" s="59">
        <v>2.113269639065817</v>
      </c>
      <c r="CC22" s="59">
        <v>1.7154777070063689</v>
      </c>
      <c r="CD22" s="60">
        <v>101</v>
      </c>
      <c r="CE22" s="60">
        <v>68</v>
      </c>
      <c r="CF22" s="61">
        <v>2.1443736730360934</v>
      </c>
      <c r="CG22" s="61">
        <v>1.4437367303609341</v>
      </c>
      <c r="CH22" s="61">
        <v>0.6732673267326732</v>
      </c>
      <c r="CI22" s="41">
        <v>13.2</v>
      </c>
      <c r="CJ22" s="40">
        <f>VLOOKUP(paper3[[#This Row],[YYIR nivå]],$DB:$DC,2)</f>
        <v>360</v>
      </c>
      <c r="CK22" s="3"/>
      <c r="CL22" s="62">
        <v>37745</v>
      </c>
      <c r="CM22" s="63">
        <v>37.744999999999997</v>
      </c>
      <c r="CN22" s="3">
        <v>133</v>
      </c>
      <c r="CO22" s="3">
        <v>111</v>
      </c>
      <c r="CP22" s="41">
        <v>12.136111111111111</v>
      </c>
      <c r="CQ22" s="3" t="s">
        <v>136</v>
      </c>
      <c r="CR22" s="40">
        <v>127.5</v>
      </c>
      <c r="CS22" s="40">
        <v>103.5</v>
      </c>
      <c r="CT22" s="40">
        <v>265</v>
      </c>
      <c r="CU22" s="40"/>
      <c r="CV22" s="40"/>
      <c r="CW22" s="40"/>
      <c r="CX22" s="40"/>
      <c r="CY22" s="40">
        <v>0</v>
      </c>
      <c r="CZ22" s="40"/>
      <c r="DA22" s="40"/>
      <c r="DB22" s="65">
        <v>15.1</v>
      </c>
      <c r="DC22" s="65">
        <v>800</v>
      </c>
    </row>
    <row r="23" spans="1:107" ht="15.95" customHeight="1">
      <c r="A23" s="3">
        <v>143</v>
      </c>
      <c r="B23" s="38" t="s">
        <v>103</v>
      </c>
      <c r="C23" s="3" t="s">
        <v>115</v>
      </c>
      <c r="D23" s="3" t="s">
        <v>105</v>
      </c>
      <c r="E23" s="39">
        <v>44474</v>
      </c>
      <c r="F23" s="3" t="s">
        <v>106</v>
      </c>
      <c r="G23" s="3" t="s">
        <v>122</v>
      </c>
      <c r="H23" s="40">
        <v>2008</v>
      </c>
      <c r="I23" s="40" t="s">
        <v>108</v>
      </c>
      <c r="J23" s="40" t="s">
        <v>123</v>
      </c>
      <c r="K23" s="3">
        <v>161.5</v>
      </c>
      <c r="L23" s="3">
        <v>161.30000000000001</v>
      </c>
      <c r="M23" s="3"/>
      <c r="N23" s="3">
        <v>138</v>
      </c>
      <c r="O23" s="3">
        <v>138</v>
      </c>
      <c r="P23" s="3"/>
      <c r="Q23" s="3">
        <v>44.3</v>
      </c>
      <c r="R23" s="3">
        <v>44.3</v>
      </c>
      <c r="S23" s="3"/>
      <c r="T23" s="42">
        <v>161.4</v>
      </c>
      <c r="U23" s="42">
        <f>AVERAGE(paper3[[#This Row],[Sittende høyde 1]:[Sittende høyde 3]])-56.2</f>
        <v>81.8</v>
      </c>
      <c r="V23" s="12">
        <f>paper3[[#This Row],[height]]-paper3[[#This Row],[sittingheight]]</f>
        <v>79.600000000000009</v>
      </c>
      <c r="W23" s="73">
        <v>44.3</v>
      </c>
      <c r="X23" s="43" cm="1">
        <f t="array" ref="X23">INDEX([1]!phvny[yphv], MATCH(1, (paper3[[#This Row],[id]]=[1]!phvny[id])*(paper3[[#This Row],[time]]=[1]!phvny[time]), 0))</f>
        <v>-0.88721465586369408</v>
      </c>
      <c r="Y23" s="3">
        <v>2.08</v>
      </c>
      <c r="Z23" s="3">
        <v>3.53</v>
      </c>
      <c r="AA23" s="3">
        <v>4.91</v>
      </c>
      <c r="AB23" s="3">
        <v>2.0699999999999998</v>
      </c>
      <c r="AC23" s="3">
        <v>3.52</v>
      </c>
      <c r="AD23" s="3">
        <v>4.92</v>
      </c>
      <c r="AE23" s="3"/>
      <c r="AF23" s="3"/>
      <c r="AG23" s="3"/>
      <c r="AH23" s="44">
        <v>2.0699999999999998</v>
      </c>
      <c r="AI23" s="44">
        <v>3.52</v>
      </c>
      <c r="AJ23" s="44">
        <v>4.91</v>
      </c>
      <c r="AK23" s="45">
        <v>7.1942446043165464</v>
      </c>
      <c r="AL23" s="46"/>
      <c r="AM23" s="3">
        <v>10.8</v>
      </c>
      <c r="AN23" s="3">
        <v>10.91</v>
      </c>
      <c r="AO23" s="3">
        <v>10.94</v>
      </c>
      <c r="AP23" s="3">
        <v>10.8</v>
      </c>
      <c r="AQ23" s="47">
        <v>10.8</v>
      </c>
      <c r="AR23" s="47">
        <v>10.91</v>
      </c>
      <c r="AS23" s="3">
        <v>29.72</v>
      </c>
      <c r="AT23" s="3">
        <v>31.42</v>
      </c>
      <c r="AU23" s="3">
        <v>30.33</v>
      </c>
      <c r="AV23" s="3"/>
      <c r="AW23" s="3"/>
      <c r="AX23" s="48">
        <v>31.42</v>
      </c>
      <c r="AY23" s="3"/>
      <c r="AZ23" s="3">
        <v>7</v>
      </c>
      <c r="BA23" s="3">
        <v>180</v>
      </c>
      <c r="BB23" s="3">
        <v>9</v>
      </c>
      <c r="BC23" s="3">
        <v>179</v>
      </c>
      <c r="BD23" s="40">
        <v>664.64136337926845</v>
      </c>
      <c r="BE23" s="40">
        <v>700.17926246136267</v>
      </c>
      <c r="BF23" s="40"/>
      <c r="BG23" s="40">
        <v>278.68277291872874</v>
      </c>
      <c r="BH23" s="40">
        <v>267.73980066076774</v>
      </c>
      <c r="BI23" s="49">
        <v>1364.8206258406312</v>
      </c>
      <c r="BJ23" s="49">
        <v>546.42257357949643</v>
      </c>
      <c r="BK23" s="66">
        <v>-5.0755429341289959E-2</v>
      </c>
      <c r="BL23" s="66">
        <v>4.0871668055904697E-2</v>
      </c>
      <c r="BM23" s="51">
        <v>30.808592005431858</v>
      </c>
      <c r="BN23" s="51">
        <v>12.334595340394953</v>
      </c>
      <c r="BO23" s="52">
        <v>228</v>
      </c>
      <c r="BP23" s="40">
        <v>220</v>
      </c>
      <c r="BQ23" s="40">
        <v>228</v>
      </c>
      <c r="BR23" s="67">
        <v>-3.5087719298245612E-2</v>
      </c>
      <c r="BS23" s="54">
        <v>5.0564334085778784</v>
      </c>
      <c r="BT23" s="3">
        <v>133</v>
      </c>
      <c r="BU23" s="40">
        <v>101</v>
      </c>
      <c r="BV23" s="3">
        <v>94</v>
      </c>
      <c r="BW23" s="3">
        <v>64</v>
      </c>
      <c r="BX23" s="58">
        <v>0.31683168316831689</v>
      </c>
      <c r="BY23" s="58">
        <v>0.46875</v>
      </c>
      <c r="BZ23" s="64">
        <v>1.578125</v>
      </c>
      <c r="CA23" s="59">
        <v>1.4148936170212767</v>
      </c>
      <c r="CB23" s="59">
        <v>2.1023024830699777</v>
      </c>
      <c r="CC23" s="59">
        <v>1.4195033860045148</v>
      </c>
      <c r="CD23" s="60">
        <v>75</v>
      </c>
      <c r="CE23" s="60">
        <v>87</v>
      </c>
      <c r="CF23" s="61">
        <v>1.6930022573363432</v>
      </c>
      <c r="CG23" s="61">
        <v>1.9638826185101581</v>
      </c>
      <c r="CH23" s="61">
        <v>1.1599999999999999</v>
      </c>
      <c r="CI23" s="41">
        <v>14.2</v>
      </c>
      <c r="CJ23" s="40">
        <f>VLOOKUP(paper3[[#This Row],[YYIR nivå]],$DB:$DC,2)</f>
        <v>520</v>
      </c>
      <c r="CK23" s="3"/>
      <c r="CL23" s="62">
        <v>34345</v>
      </c>
      <c r="CM23" s="63">
        <v>34.344999999999999</v>
      </c>
      <c r="CN23" s="3">
        <v>133</v>
      </c>
      <c r="CO23" s="3">
        <v>94</v>
      </c>
      <c r="CP23" s="41">
        <v>13.008333333333333</v>
      </c>
      <c r="CQ23" s="3" t="s">
        <v>137</v>
      </c>
      <c r="CR23" s="40">
        <v>117</v>
      </c>
      <c r="CS23" s="40">
        <v>79</v>
      </c>
      <c r="CT23" s="40">
        <v>224</v>
      </c>
      <c r="CU23" s="40"/>
      <c r="CV23" s="40"/>
      <c r="CW23" s="40"/>
      <c r="CX23" s="40"/>
      <c r="CY23" s="40">
        <v>0</v>
      </c>
      <c r="CZ23" s="40"/>
      <c r="DA23" s="40"/>
      <c r="DB23" s="65">
        <v>15.2</v>
      </c>
      <c r="DC23" s="65">
        <v>840</v>
      </c>
    </row>
    <row r="24" spans="1:107" ht="15.95" customHeight="1">
      <c r="A24" s="3">
        <v>144</v>
      </c>
      <c r="B24" s="38" t="s">
        <v>103</v>
      </c>
      <c r="C24" s="3" t="s">
        <v>115</v>
      </c>
      <c r="D24" s="3" t="s">
        <v>105</v>
      </c>
      <c r="E24" s="39">
        <v>44474</v>
      </c>
      <c r="F24" s="3" t="s">
        <v>106</v>
      </c>
      <c r="G24" s="3" t="s">
        <v>122</v>
      </c>
      <c r="H24" s="40">
        <v>2009</v>
      </c>
      <c r="I24" s="40" t="s">
        <v>108</v>
      </c>
      <c r="J24" s="40" t="s">
        <v>123</v>
      </c>
      <c r="K24" s="3">
        <v>154.5</v>
      </c>
      <c r="L24" s="3">
        <v>154.4</v>
      </c>
      <c r="M24" s="3"/>
      <c r="N24" s="3">
        <v>132.30000000000001</v>
      </c>
      <c r="O24" s="3">
        <v>132.30000000000001</v>
      </c>
      <c r="P24" s="3"/>
      <c r="Q24" s="3">
        <v>37.200000000000003</v>
      </c>
      <c r="R24" s="3">
        <v>37.200000000000003</v>
      </c>
      <c r="S24" s="3"/>
      <c r="T24" s="42">
        <v>154.44999999999999</v>
      </c>
      <c r="U24" s="42">
        <f>AVERAGE(paper3[[#This Row],[Sittende høyde 1]:[Sittende høyde 3]])-56.2</f>
        <v>76.100000000000009</v>
      </c>
      <c r="V24" s="12">
        <f>paper3[[#This Row],[height]]-paper3[[#This Row],[sittingheight]]</f>
        <v>78.34999999999998</v>
      </c>
      <c r="W24" s="73">
        <v>37.200000000000003</v>
      </c>
      <c r="X24" s="43" cm="1">
        <f t="array" ref="X24">INDEX([1]!phvny[yphv], MATCH(1, (paper3[[#This Row],[id]]=[1]!phvny[id])*(paper3[[#This Row],[time]]=[1]!phvny[time]), 0))</f>
        <v>-1.8489392132265285</v>
      </c>
      <c r="Y24" s="3">
        <v>1.98</v>
      </c>
      <c r="Z24" s="3">
        <v>3.4</v>
      </c>
      <c r="AA24" s="3">
        <v>4.7699999999999996</v>
      </c>
      <c r="AB24" s="3"/>
      <c r="AC24" s="3"/>
      <c r="AD24" s="3"/>
      <c r="AE24" s="3">
        <v>2</v>
      </c>
      <c r="AF24" s="3">
        <v>3.46</v>
      </c>
      <c r="AG24" s="3">
        <v>4.88</v>
      </c>
      <c r="AH24" s="44">
        <v>1.98</v>
      </c>
      <c r="AI24" s="44">
        <v>3.4</v>
      </c>
      <c r="AJ24" s="44">
        <v>4.7699999999999996</v>
      </c>
      <c r="AK24" s="45">
        <v>7.2992700729927025</v>
      </c>
      <c r="AL24" s="3">
        <v>10.66</v>
      </c>
      <c r="AM24" s="3">
        <v>10.6</v>
      </c>
      <c r="AN24" s="3" t="s">
        <v>138</v>
      </c>
      <c r="AO24" s="3">
        <v>10.53</v>
      </c>
      <c r="AP24" s="3">
        <v>10.53</v>
      </c>
      <c r="AQ24" s="47">
        <v>10.6</v>
      </c>
      <c r="AR24" s="47">
        <v>10.53</v>
      </c>
      <c r="AS24" s="3">
        <v>26.12</v>
      </c>
      <c r="AT24" s="3">
        <v>27.98</v>
      </c>
      <c r="AU24" s="3">
        <v>24.13</v>
      </c>
      <c r="AV24" s="3"/>
      <c r="AW24" s="3"/>
      <c r="AX24" s="48">
        <v>27.98</v>
      </c>
      <c r="AY24" s="3"/>
      <c r="AZ24" s="3">
        <v>7</v>
      </c>
      <c r="BA24" s="3">
        <v>180</v>
      </c>
      <c r="BB24" s="3">
        <v>13</v>
      </c>
      <c r="BC24" s="3">
        <v>244</v>
      </c>
      <c r="BD24" s="40">
        <v>841.74668788192798</v>
      </c>
      <c r="BE24" s="40">
        <v>873.25989683675482</v>
      </c>
      <c r="BF24" s="40"/>
      <c r="BG24" s="40">
        <v>213.26538908093033</v>
      </c>
      <c r="BH24" s="40">
        <v>253.40084136135044</v>
      </c>
      <c r="BI24" s="49">
        <v>1715.0065847186829</v>
      </c>
      <c r="BJ24" s="49">
        <v>466.66623044228078</v>
      </c>
      <c r="BK24" s="66">
        <v>-3.6086861504780465E-2</v>
      </c>
      <c r="BL24" s="66">
        <v>-0.15838721002187528</v>
      </c>
      <c r="BM24" s="51">
        <v>46.102327546201153</v>
      </c>
      <c r="BN24" s="51">
        <v>12.544791140921525</v>
      </c>
      <c r="BO24" s="52">
        <v>183</v>
      </c>
      <c r="BP24" s="40">
        <v>126</v>
      </c>
      <c r="BQ24" s="40">
        <v>183</v>
      </c>
      <c r="BR24" s="67">
        <v>-0.31147540983606559</v>
      </c>
      <c r="BS24" s="54">
        <v>4.153225806451613</v>
      </c>
      <c r="BT24" s="3">
        <v>104</v>
      </c>
      <c r="BU24" s="40">
        <v>102</v>
      </c>
      <c r="BV24" s="3">
        <v>90</v>
      </c>
      <c r="BW24" s="3">
        <v>99</v>
      </c>
      <c r="BX24" s="58">
        <v>1.9607843137254832E-2</v>
      </c>
      <c r="BY24" s="58">
        <v>-9.0909090909090939E-2</v>
      </c>
      <c r="BZ24" s="64">
        <v>1.0303030303030303</v>
      </c>
      <c r="CA24" s="59">
        <v>1.1555555555555554</v>
      </c>
      <c r="CB24" s="59">
        <v>2.1693682795698916</v>
      </c>
      <c r="CC24" s="59">
        <v>1.9903427419354831</v>
      </c>
      <c r="CD24" s="60">
        <v>98</v>
      </c>
      <c r="CE24" s="60">
        <v>71</v>
      </c>
      <c r="CF24" s="61">
        <v>2.6344086021505375</v>
      </c>
      <c r="CG24" s="61">
        <v>1.9086021505376343</v>
      </c>
      <c r="CH24" s="61">
        <v>0.72448979591836737</v>
      </c>
      <c r="CI24" s="41">
        <v>14.4</v>
      </c>
      <c r="CJ24" s="40">
        <f>VLOOKUP(paper3[[#This Row],[YYIR nivå]],$DB:$DC,2)</f>
        <v>600</v>
      </c>
      <c r="CK24" s="3"/>
      <c r="CL24" s="62">
        <v>30570</v>
      </c>
      <c r="CM24" s="63">
        <v>30.57</v>
      </c>
      <c r="CN24" s="3">
        <v>104</v>
      </c>
      <c r="CO24" s="3">
        <v>99</v>
      </c>
      <c r="CP24" s="41">
        <v>12.463888888888889</v>
      </c>
      <c r="CQ24" s="3" t="s">
        <v>139</v>
      </c>
      <c r="CR24" s="40">
        <v>103</v>
      </c>
      <c r="CS24" s="40">
        <v>94.5</v>
      </c>
      <c r="CT24" s="40">
        <v>154.5</v>
      </c>
      <c r="CU24" s="40"/>
      <c r="CV24" s="40"/>
      <c r="CW24" s="40"/>
      <c r="CX24" s="40"/>
      <c r="CY24" s="40">
        <v>0</v>
      </c>
      <c r="CZ24" s="40"/>
      <c r="DA24" s="40"/>
      <c r="DB24" s="65">
        <v>15.3</v>
      </c>
      <c r="DC24" s="65">
        <v>880</v>
      </c>
    </row>
    <row r="25" spans="1:107" ht="15.95" customHeight="1">
      <c r="A25" s="3">
        <v>145</v>
      </c>
      <c r="B25" s="38" t="s">
        <v>103</v>
      </c>
      <c r="C25" s="3" t="s">
        <v>115</v>
      </c>
      <c r="D25" s="3" t="s">
        <v>105</v>
      </c>
      <c r="E25" s="39">
        <v>44474</v>
      </c>
      <c r="F25" s="3" t="s">
        <v>106</v>
      </c>
      <c r="G25" s="3" t="s">
        <v>122</v>
      </c>
      <c r="H25" s="40">
        <v>2008</v>
      </c>
      <c r="I25" s="40" t="s">
        <v>108</v>
      </c>
      <c r="J25" s="40" t="s">
        <v>123</v>
      </c>
      <c r="K25" s="3">
        <v>157.4</v>
      </c>
      <c r="L25" s="3">
        <v>157.69999999999999</v>
      </c>
      <c r="M25" s="3">
        <v>157.9</v>
      </c>
      <c r="N25" s="3">
        <v>133</v>
      </c>
      <c r="O25" s="3">
        <v>133.6</v>
      </c>
      <c r="P25" s="3">
        <v>133.5</v>
      </c>
      <c r="Q25" s="3">
        <v>41.2</v>
      </c>
      <c r="R25" s="3">
        <v>41.1</v>
      </c>
      <c r="S25" s="3"/>
      <c r="T25" s="42">
        <v>157.66666666666666</v>
      </c>
      <c r="U25" s="42">
        <f>AVERAGE(paper3[[#This Row],[Sittende høyde 1]:[Sittende høyde 3]])-56.2</f>
        <v>77.166666666666671</v>
      </c>
      <c r="V25" s="12">
        <f>paper3[[#This Row],[height]]-paper3[[#This Row],[sittingheight]]</f>
        <v>80.499999999999986</v>
      </c>
      <c r="W25" s="73">
        <v>41.150000000000006</v>
      </c>
      <c r="X25" s="43" cm="1">
        <f t="array" ref="X25">INDEX([1]!phvny[yphv], MATCH(1, (paper3[[#This Row],[id]]=[1]!phvny[id])*(paper3[[#This Row],[time]]=[1]!phvny[time]), 0))</f>
        <v>-1.428896792553441</v>
      </c>
      <c r="Y25" s="3">
        <v>1.94</v>
      </c>
      <c r="Z25" s="3">
        <v>3.34</v>
      </c>
      <c r="AA25" s="3">
        <v>4.67</v>
      </c>
      <c r="AB25" s="3">
        <v>1.98</v>
      </c>
      <c r="AC25" s="3">
        <v>3.38</v>
      </c>
      <c r="AD25" s="3">
        <v>4.71</v>
      </c>
      <c r="AE25" s="3">
        <v>1.88</v>
      </c>
      <c r="AF25" s="3">
        <v>3.24</v>
      </c>
      <c r="AG25" s="3">
        <v>4.54</v>
      </c>
      <c r="AH25" s="44">
        <v>1.88</v>
      </c>
      <c r="AI25" s="44">
        <v>3.24</v>
      </c>
      <c r="AJ25" s="44">
        <v>4.54</v>
      </c>
      <c r="AK25" s="45">
        <v>7.6923076923076934</v>
      </c>
      <c r="AL25" s="3">
        <v>10.98</v>
      </c>
      <c r="AM25" s="3">
        <v>11.29</v>
      </c>
      <c r="AN25" s="3">
        <v>10.92</v>
      </c>
      <c r="AO25" s="3">
        <v>10.67</v>
      </c>
      <c r="AP25" s="3">
        <v>10.67</v>
      </c>
      <c r="AQ25" s="47">
        <v>10.98</v>
      </c>
      <c r="AR25" s="47">
        <v>10.67</v>
      </c>
      <c r="AS25" s="3">
        <v>35.01</v>
      </c>
      <c r="AT25" s="3">
        <v>32.590000000000003</v>
      </c>
      <c r="AU25" s="3">
        <v>34.42</v>
      </c>
      <c r="AV25" s="3"/>
      <c r="AW25" s="3"/>
      <c r="AX25" s="48">
        <v>35.01</v>
      </c>
      <c r="AY25" s="3"/>
      <c r="AZ25" s="3">
        <v>8</v>
      </c>
      <c r="BA25" s="3">
        <v>180</v>
      </c>
      <c r="BB25" s="3">
        <v>14</v>
      </c>
      <c r="BC25" s="3">
        <v>260</v>
      </c>
      <c r="BD25" s="40"/>
      <c r="BE25" s="40"/>
      <c r="BF25" s="40"/>
      <c r="BG25" s="40">
        <v>352.78707343552065</v>
      </c>
      <c r="BH25" s="40">
        <v>320.83741591042588</v>
      </c>
      <c r="BI25" s="49"/>
      <c r="BJ25" s="49">
        <v>673.62448934594659</v>
      </c>
      <c r="BK25" s="66"/>
      <c r="BL25" s="66">
        <v>9.9582080956588825E-2</v>
      </c>
      <c r="BM25" s="51"/>
      <c r="BN25" s="51">
        <v>16.350108964707442</v>
      </c>
      <c r="BO25" s="52">
        <v>190</v>
      </c>
      <c r="BP25" s="40">
        <v>180</v>
      </c>
      <c r="BQ25" s="40">
        <v>190</v>
      </c>
      <c r="BR25" s="67">
        <v>-5.2631578947368474E-2</v>
      </c>
      <c r="BS25" s="54">
        <v>4.4957472660996345</v>
      </c>
      <c r="BT25" s="3">
        <v>115</v>
      </c>
      <c r="BU25" s="40">
        <v>120</v>
      </c>
      <c r="BV25" s="3">
        <v>106</v>
      </c>
      <c r="BW25" s="3">
        <v>118</v>
      </c>
      <c r="BX25" s="58">
        <v>-4.166666666666663E-2</v>
      </c>
      <c r="BY25" s="58">
        <v>-0.10169491525423724</v>
      </c>
      <c r="BZ25" s="64">
        <v>1.0169491525423728</v>
      </c>
      <c r="CA25" s="59">
        <v>1.0849056603773586</v>
      </c>
      <c r="CB25" s="59">
        <v>2.2986026731470224</v>
      </c>
      <c r="CC25" s="59">
        <v>2.1910085054678001</v>
      </c>
      <c r="CD25" s="60">
        <v>74</v>
      </c>
      <c r="CE25" s="60">
        <v>101</v>
      </c>
      <c r="CF25" s="61">
        <v>1.798298906439854</v>
      </c>
      <c r="CG25" s="61">
        <v>2.4544349939246657</v>
      </c>
      <c r="CH25" s="61">
        <v>1.3648648648648649</v>
      </c>
      <c r="CI25" s="41">
        <v>14.2</v>
      </c>
      <c r="CJ25" s="40">
        <f>VLOOKUP(paper3[[#This Row],[YYIR nivå]],$DB:$DC,2)</f>
        <v>520</v>
      </c>
      <c r="CK25" s="3"/>
      <c r="CL25" s="62">
        <v>34794</v>
      </c>
      <c r="CM25" s="63">
        <v>34.793999999999997</v>
      </c>
      <c r="CN25" s="3">
        <v>120</v>
      </c>
      <c r="CO25" s="3">
        <v>118</v>
      </c>
      <c r="CP25" s="41">
        <v>13.066666666666666</v>
      </c>
      <c r="CQ25" s="3" t="s">
        <v>140</v>
      </c>
      <c r="CR25" s="40">
        <v>117.5</v>
      </c>
      <c r="CS25" s="40">
        <v>112</v>
      </c>
      <c r="CT25" s="40">
        <v>185</v>
      </c>
      <c r="CU25" s="40"/>
      <c r="CV25" s="40"/>
      <c r="CW25" s="40"/>
      <c r="CX25" s="40"/>
      <c r="CY25" s="40">
        <v>0</v>
      </c>
      <c r="CZ25" s="40"/>
      <c r="DA25" s="40"/>
      <c r="DB25" s="65">
        <v>15.4</v>
      </c>
      <c r="DC25" s="65">
        <v>920</v>
      </c>
    </row>
    <row r="26" spans="1:107" ht="15.75" customHeight="1">
      <c r="A26" s="3">
        <v>146</v>
      </c>
      <c r="B26" s="38" t="s">
        <v>103</v>
      </c>
      <c r="C26" s="3" t="s">
        <v>115</v>
      </c>
      <c r="D26" s="3" t="s">
        <v>105</v>
      </c>
      <c r="E26" s="39">
        <v>44474</v>
      </c>
      <c r="F26" s="3" t="s">
        <v>106</v>
      </c>
      <c r="G26" s="3" t="s">
        <v>122</v>
      </c>
      <c r="H26" s="40">
        <v>2008</v>
      </c>
      <c r="I26" s="40" t="s">
        <v>108</v>
      </c>
      <c r="J26" s="40" t="s">
        <v>123</v>
      </c>
      <c r="K26" s="3">
        <v>155.6</v>
      </c>
      <c r="L26" s="3">
        <v>155.5</v>
      </c>
      <c r="M26" s="3"/>
      <c r="N26" s="3">
        <v>133.30000000000001</v>
      </c>
      <c r="O26" s="3">
        <v>133.4</v>
      </c>
      <c r="P26" s="3"/>
      <c r="Q26" s="3">
        <v>39.1</v>
      </c>
      <c r="R26" s="3">
        <v>39.1</v>
      </c>
      <c r="S26" s="3"/>
      <c r="T26" s="42">
        <v>155.55000000000001</v>
      </c>
      <c r="U26" s="42">
        <f>AVERAGE(paper3[[#This Row],[Sittende høyde 1]:[Sittende høyde 3]])-56.2</f>
        <v>77.15000000000002</v>
      </c>
      <c r="V26" s="12">
        <f>paper3[[#This Row],[height]]-paper3[[#This Row],[sittingheight]]</f>
        <v>78.399999999999991</v>
      </c>
      <c r="W26" s="73">
        <v>39.1</v>
      </c>
      <c r="X26" s="43" cm="1">
        <f t="array" ref="X26">INDEX([1]!phvny[yphv], MATCH(1, (paper3[[#This Row],[id]]=[1]!phvny[id])*(paper3[[#This Row],[time]]=[1]!phvny[time]), 0))</f>
        <v>-1.4037682800145705</v>
      </c>
      <c r="Y26" s="60">
        <v>2</v>
      </c>
      <c r="Z26" s="3">
        <v>3.38</v>
      </c>
      <c r="AA26" s="3">
        <v>4.6900000000000004</v>
      </c>
      <c r="AB26" s="3">
        <v>1.99</v>
      </c>
      <c r="AC26" s="3">
        <v>3.37</v>
      </c>
      <c r="AD26" s="3">
        <v>4.66</v>
      </c>
      <c r="AE26" s="3"/>
      <c r="AF26" s="3"/>
      <c r="AG26" s="3"/>
      <c r="AH26" s="44">
        <v>1.99</v>
      </c>
      <c r="AI26" s="44">
        <v>3.37</v>
      </c>
      <c r="AJ26" s="44">
        <v>4.66</v>
      </c>
      <c r="AK26" s="45">
        <v>7.7519379844961236</v>
      </c>
      <c r="AL26" s="3">
        <v>10.16</v>
      </c>
      <c r="AM26" s="3">
        <v>10.11</v>
      </c>
      <c r="AN26" s="46"/>
      <c r="AO26" s="3">
        <v>9.9700000000000006</v>
      </c>
      <c r="AP26" s="3">
        <v>9.9700000000000006</v>
      </c>
      <c r="AQ26" s="47">
        <v>10.11</v>
      </c>
      <c r="AR26" s="47">
        <v>9.9700000000000006</v>
      </c>
      <c r="AS26" s="3">
        <v>33.28</v>
      </c>
      <c r="AT26" s="3">
        <v>36.76</v>
      </c>
      <c r="AU26" s="3">
        <v>35.020000000000003</v>
      </c>
      <c r="AV26" s="3"/>
      <c r="AW26" s="3"/>
      <c r="AX26" s="48">
        <v>36.76</v>
      </c>
      <c r="AY26" s="3"/>
      <c r="AZ26" s="3">
        <v>7</v>
      </c>
      <c r="BA26" s="3">
        <v>200</v>
      </c>
      <c r="BB26" s="3">
        <v>10</v>
      </c>
      <c r="BC26" s="3">
        <v>218</v>
      </c>
      <c r="BD26" s="40">
        <v>845.67230540777871</v>
      </c>
      <c r="BE26" s="40">
        <v>810.73860339859812</v>
      </c>
      <c r="BF26" s="40"/>
      <c r="BG26" s="40">
        <v>299.56772580624039</v>
      </c>
      <c r="BH26" s="40">
        <v>297.86135787578178</v>
      </c>
      <c r="BI26" s="49">
        <v>1656.4109088063769</v>
      </c>
      <c r="BJ26" s="49">
        <v>597.42908368202211</v>
      </c>
      <c r="BK26" s="66">
        <v>4.3088736446913023E-2</v>
      </c>
      <c r="BL26" s="66">
        <v>5.7287321276842107E-3</v>
      </c>
      <c r="BM26" s="51">
        <v>42.36345035310427</v>
      </c>
      <c r="BN26" s="51">
        <v>15.279516206701333</v>
      </c>
      <c r="BO26" s="52">
        <v>207</v>
      </c>
      <c r="BP26" s="40">
        <v>207</v>
      </c>
      <c r="BQ26" s="40">
        <v>204</v>
      </c>
      <c r="BR26" s="67">
        <v>1.4705882352941124E-2</v>
      </c>
      <c r="BS26" s="54">
        <v>5.2557544757033243</v>
      </c>
      <c r="BT26" s="3">
        <v>107</v>
      </c>
      <c r="BU26" s="40">
        <v>105</v>
      </c>
      <c r="BV26" s="3">
        <v>80</v>
      </c>
      <c r="BW26" s="3">
        <v>89</v>
      </c>
      <c r="BX26" s="58">
        <v>1.904761904761898E-2</v>
      </c>
      <c r="BY26" s="58">
        <v>-0.101123595505618</v>
      </c>
      <c r="BZ26" s="64">
        <v>1.1797752808988764</v>
      </c>
      <c r="CA26" s="59">
        <v>1.3374999999999999</v>
      </c>
      <c r="CB26" s="59">
        <v>2.1254219948849102</v>
      </c>
      <c r="CC26" s="59">
        <v>1.6943222506393858</v>
      </c>
      <c r="CD26" s="60">
        <v>67</v>
      </c>
      <c r="CE26" s="60">
        <v>73</v>
      </c>
      <c r="CF26" s="61">
        <v>1.7135549872122762</v>
      </c>
      <c r="CG26" s="61">
        <v>1.867007672634271</v>
      </c>
      <c r="CH26" s="61">
        <v>1.0895522388059702</v>
      </c>
      <c r="CI26" s="74">
        <v>15.2</v>
      </c>
      <c r="CJ26" s="40">
        <f>VLOOKUP(paper3[[#This Row],[YYIR nivå]],$DB:$DC,2)</f>
        <v>840</v>
      </c>
      <c r="CK26" s="3"/>
      <c r="CL26" s="62">
        <v>31630</v>
      </c>
      <c r="CM26" s="63">
        <v>31.63</v>
      </c>
      <c r="CN26" s="3">
        <v>107</v>
      </c>
      <c r="CO26" s="3">
        <v>89</v>
      </c>
      <c r="CP26" s="41">
        <v>13.177777777777777</v>
      </c>
      <c r="CQ26" s="3" t="s">
        <v>141</v>
      </c>
      <c r="CR26" s="40">
        <v>106</v>
      </c>
      <c r="CS26" s="40">
        <v>84.5</v>
      </c>
      <c r="CT26" s="40">
        <v>205.5</v>
      </c>
      <c r="CU26" s="40"/>
      <c r="CV26" s="40"/>
      <c r="CW26" s="40"/>
      <c r="CX26" s="40"/>
      <c r="CY26" s="40">
        <v>0</v>
      </c>
      <c r="CZ26" s="40"/>
      <c r="DA26" s="40"/>
      <c r="DB26" s="65">
        <v>15.5</v>
      </c>
      <c r="DC26" s="65">
        <v>960</v>
      </c>
    </row>
    <row r="27" spans="1:107" ht="15.95" customHeight="1">
      <c r="A27" s="3">
        <v>147</v>
      </c>
      <c r="B27" s="38" t="s">
        <v>103</v>
      </c>
      <c r="C27" s="3" t="s">
        <v>115</v>
      </c>
      <c r="D27" s="3" t="s">
        <v>105</v>
      </c>
      <c r="E27" s="39">
        <v>44474</v>
      </c>
      <c r="F27" s="3" t="s">
        <v>106</v>
      </c>
      <c r="G27" s="3" t="s">
        <v>122</v>
      </c>
      <c r="H27" s="40">
        <v>2008</v>
      </c>
      <c r="I27" s="40" t="s">
        <v>108</v>
      </c>
      <c r="J27" s="40" t="s">
        <v>123</v>
      </c>
      <c r="K27" s="3">
        <v>151.6</v>
      </c>
      <c r="L27" s="3">
        <v>151.6</v>
      </c>
      <c r="M27" s="3"/>
      <c r="N27" s="3">
        <v>132.69999999999999</v>
      </c>
      <c r="O27" s="3">
        <v>133.19999999999999</v>
      </c>
      <c r="P27" s="3">
        <v>133.30000000000001</v>
      </c>
      <c r="Q27" s="3">
        <v>42.8</v>
      </c>
      <c r="R27" s="3">
        <v>42.8</v>
      </c>
      <c r="S27" s="3"/>
      <c r="T27" s="42">
        <v>151.6</v>
      </c>
      <c r="U27" s="42">
        <f>AVERAGE(paper3[[#This Row],[Sittende høyde 1]:[Sittende høyde 3]])-56.2</f>
        <v>76.86666666666666</v>
      </c>
      <c r="V27" s="12">
        <f>paper3[[#This Row],[height]]-paper3[[#This Row],[sittingheight]]</f>
        <v>74.733333333333334</v>
      </c>
      <c r="W27" s="73">
        <v>42.8</v>
      </c>
      <c r="X27" s="43" cm="1">
        <f t="array" ref="X27">INDEX([1]!phvny[yphv], MATCH(1, (paper3[[#This Row],[id]]=[1]!phvny[id])*(paper3[[#This Row],[time]]=[1]!phvny[time]), 0))</f>
        <v>-1.2087182262491951</v>
      </c>
      <c r="Y27" s="3">
        <v>1.99</v>
      </c>
      <c r="Z27" s="3">
        <v>3.41</v>
      </c>
      <c r="AA27" s="3">
        <v>4.76</v>
      </c>
      <c r="AB27" s="3">
        <v>1.98</v>
      </c>
      <c r="AC27" s="3">
        <v>3.38</v>
      </c>
      <c r="AD27" s="3">
        <v>4.71</v>
      </c>
      <c r="AE27" s="3">
        <v>1.98</v>
      </c>
      <c r="AF27" s="3">
        <v>3.38</v>
      </c>
      <c r="AG27" s="3">
        <v>4.6900000000000004</v>
      </c>
      <c r="AH27" s="44">
        <v>1.98</v>
      </c>
      <c r="AI27" s="44">
        <v>3.38</v>
      </c>
      <c r="AJ27" s="44">
        <v>4.6900000000000004</v>
      </c>
      <c r="AK27" s="45">
        <v>7.6335877862595387</v>
      </c>
      <c r="AL27" s="3">
        <v>9.93</v>
      </c>
      <c r="AM27" s="3">
        <v>9.81</v>
      </c>
      <c r="AN27" s="3">
        <v>9.83</v>
      </c>
      <c r="AO27" s="3">
        <v>9.81</v>
      </c>
      <c r="AP27" s="3">
        <v>9.81</v>
      </c>
      <c r="AQ27" s="47">
        <v>9.81</v>
      </c>
      <c r="AR27" s="47">
        <v>9.81</v>
      </c>
      <c r="AS27" s="3">
        <v>30.31</v>
      </c>
      <c r="AT27" s="3">
        <v>29.9</v>
      </c>
      <c r="AU27" s="3">
        <v>31.61</v>
      </c>
      <c r="AV27" s="3">
        <v>29.96</v>
      </c>
      <c r="AW27" s="3"/>
      <c r="AX27" s="48">
        <v>31.61</v>
      </c>
      <c r="AY27" s="3"/>
      <c r="AZ27" s="3">
        <v>6</v>
      </c>
      <c r="BA27" s="3">
        <v>180</v>
      </c>
      <c r="BB27" s="3">
        <v>10</v>
      </c>
      <c r="BC27" s="3">
        <v>218</v>
      </c>
      <c r="BD27" s="40">
        <v>827.35777186615235</v>
      </c>
      <c r="BE27" s="40">
        <v>772.00889378007514</v>
      </c>
      <c r="BF27" s="40"/>
      <c r="BG27" s="40">
        <v>354.94067363800883</v>
      </c>
      <c r="BH27" s="40">
        <v>316.03654425320849</v>
      </c>
      <c r="BI27" s="49">
        <v>1599.3666656462274</v>
      </c>
      <c r="BJ27" s="49">
        <v>670.97721789121738</v>
      </c>
      <c r="BK27" s="66">
        <v>7.1694611981820922E-2</v>
      </c>
      <c r="BL27" s="66">
        <v>0.12310009741667827</v>
      </c>
      <c r="BM27" s="51">
        <v>37.368380038463258</v>
      </c>
      <c r="BN27" s="51">
        <v>15.677037801196668</v>
      </c>
      <c r="BO27" s="52">
        <v>255</v>
      </c>
      <c r="BP27" s="40">
        <v>241</v>
      </c>
      <c r="BQ27" s="40">
        <v>255</v>
      </c>
      <c r="BR27" s="67">
        <v>-5.4901960784313752E-2</v>
      </c>
      <c r="BS27" s="54">
        <v>5.7943925233644862</v>
      </c>
      <c r="BT27" s="3">
        <v>121</v>
      </c>
      <c r="BU27" s="40">
        <v>104</v>
      </c>
      <c r="BV27" s="3">
        <v>97</v>
      </c>
      <c r="BW27" s="3">
        <v>100</v>
      </c>
      <c r="BX27" s="58">
        <v>0.16346153846153855</v>
      </c>
      <c r="BY27" s="58">
        <v>-3.0000000000000027E-2</v>
      </c>
      <c r="BZ27" s="64">
        <v>1.04</v>
      </c>
      <c r="CA27" s="59">
        <v>1.2474226804123711</v>
      </c>
      <c r="CB27" s="59">
        <v>1.9643691588785046</v>
      </c>
      <c r="CC27" s="59">
        <v>1.7199143302180684</v>
      </c>
      <c r="CD27" s="60">
        <v>111</v>
      </c>
      <c r="CE27" s="60">
        <v>86</v>
      </c>
      <c r="CF27" s="61">
        <v>2.5934579439252339</v>
      </c>
      <c r="CG27" s="61">
        <v>2.0093457943925235</v>
      </c>
      <c r="CH27" s="61">
        <v>0.77477477477477474</v>
      </c>
      <c r="CI27" s="41">
        <v>19.100000000000001</v>
      </c>
      <c r="CJ27" s="40">
        <f>VLOOKUP(paper3[[#This Row],[YYIR nivå]],$DB:$DC,2)</f>
        <v>2080</v>
      </c>
      <c r="CK27" s="3"/>
      <c r="CL27" s="62">
        <v>36591</v>
      </c>
      <c r="CM27" s="63">
        <v>36.591000000000001</v>
      </c>
      <c r="CN27" s="3">
        <v>121</v>
      </c>
      <c r="CO27" s="3">
        <v>100</v>
      </c>
      <c r="CP27" s="41">
        <v>13.533333333333333</v>
      </c>
      <c r="CQ27" s="3" t="s">
        <v>142</v>
      </c>
      <c r="CR27" s="40">
        <v>112.5</v>
      </c>
      <c r="CS27" s="40">
        <v>98.5</v>
      </c>
      <c r="CT27" s="40">
        <v>248</v>
      </c>
      <c r="CU27" s="40"/>
      <c r="CV27" s="40"/>
      <c r="CW27" s="40"/>
      <c r="CX27" s="40"/>
      <c r="CY27" s="40">
        <v>0</v>
      </c>
      <c r="CZ27" s="40"/>
      <c r="DA27" s="40"/>
      <c r="DB27" s="65">
        <v>15.6</v>
      </c>
      <c r="DC27" s="65">
        <v>1000</v>
      </c>
    </row>
    <row r="28" spans="1:107" ht="15.95" customHeight="1">
      <c r="A28" s="3">
        <v>148</v>
      </c>
      <c r="B28" s="38" t="s">
        <v>103</v>
      </c>
      <c r="C28" s="3" t="s">
        <v>115</v>
      </c>
      <c r="D28" s="3" t="s">
        <v>105</v>
      </c>
      <c r="E28" s="39">
        <v>44474</v>
      </c>
      <c r="F28" s="3" t="s">
        <v>106</v>
      </c>
      <c r="G28" s="3" t="s">
        <v>122</v>
      </c>
      <c r="H28" s="40">
        <v>2008</v>
      </c>
      <c r="I28" s="40" t="s">
        <v>108</v>
      </c>
      <c r="J28" s="40" t="s">
        <v>123</v>
      </c>
      <c r="K28" s="3">
        <v>167.1</v>
      </c>
      <c r="L28" s="3">
        <v>167.1</v>
      </c>
      <c r="M28" s="3"/>
      <c r="N28" s="3">
        <v>138.5</v>
      </c>
      <c r="O28" s="3">
        <v>138.5</v>
      </c>
      <c r="P28" s="3"/>
      <c r="Q28" s="3">
        <v>50.9</v>
      </c>
      <c r="R28" s="3">
        <v>50.9</v>
      </c>
      <c r="S28" s="3"/>
      <c r="T28" s="42">
        <v>167.1</v>
      </c>
      <c r="U28" s="42">
        <f>AVERAGE(paper3[[#This Row],[Sittende høyde 1]:[Sittende høyde 3]])-56.2</f>
        <v>82.3</v>
      </c>
      <c r="V28" s="12">
        <f>paper3[[#This Row],[height]]-paper3[[#This Row],[sittingheight]]</f>
        <v>84.8</v>
      </c>
      <c r="W28" s="73">
        <v>50.9</v>
      </c>
      <c r="X28" s="43" cm="1">
        <f t="array" ref="X28">INDEX([1]!phvny[yphv], MATCH(1, (paper3[[#This Row],[id]]=[1]!phvny[id])*(paper3[[#This Row],[time]]=[1]!phvny[time]), 0))</f>
        <v>-0.49286833477438796</v>
      </c>
      <c r="Y28" s="3">
        <v>1.99</v>
      </c>
      <c r="Z28" s="3">
        <v>3.44</v>
      </c>
      <c r="AA28" s="3">
        <v>4.82</v>
      </c>
      <c r="AB28" s="3">
        <v>2.0499999999999998</v>
      </c>
      <c r="AC28" s="3">
        <v>3.52</v>
      </c>
      <c r="AD28" s="3">
        <v>4.93</v>
      </c>
      <c r="AE28" s="3">
        <v>1.95</v>
      </c>
      <c r="AF28" s="3">
        <v>3.4</v>
      </c>
      <c r="AG28" s="3">
        <v>4.78</v>
      </c>
      <c r="AH28" s="44">
        <v>1.95</v>
      </c>
      <c r="AI28" s="44">
        <v>3.4</v>
      </c>
      <c r="AJ28" s="44">
        <v>4.78</v>
      </c>
      <c r="AK28" s="45">
        <v>7.2463768115942013</v>
      </c>
      <c r="AL28" s="3">
        <v>10.51</v>
      </c>
      <c r="AM28" s="3">
        <v>10.46</v>
      </c>
      <c r="AN28" s="3">
        <v>10.7</v>
      </c>
      <c r="AO28" s="3">
        <v>10.71</v>
      </c>
      <c r="AP28" s="3">
        <v>10.46</v>
      </c>
      <c r="AQ28" s="47">
        <v>10.46</v>
      </c>
      <c r="AR28" s="47">
        <v>10.7</v>
      </c>
      <c r="AS28" s="3">
        <v>27.6</v>
      </c>
      <c r="AT28" s="3">
        <v>28.41</v>
      </c>
      <c r="AU28" s="3">
        <v>29.07</v>
      </c>
      <c r="AV28" s="3">
        <v>30.02</v>
      </c>
      <c r="AW28" s="3">
        <v>27.14</v>
      </c>
      <c r="AX28" s="48">
        <v>30.02</v>
      </c>
      <c r="AY28" s="3"/>
      <c r="AZ28" s="3">
        <v>9</v>
      </c>
      <c r="BA28" s="3">
        <v>180</v>
      </c>
      <c r="BB28" s="3">
        <v>14</v>
      </c>
      <c r="BC28" s="3">
        <v>260</v>
      </c>
      <c r="BD28" s="40"/>
      <c r="BE28" s="40"/>
      <c r="BF28" s="40"/>
      <c r="BG28" s="40"/>
      <c r="BH28" s="40"/>
      <c r="BI28" s="49"/>
      <c r="BJ28" s="49"/>
      <c r="BK28" s="66"/>
      <c r="BL28" s="66"/>
      <c r="BM28" s="51"/>
      <c r="BN28" s="51"/>
      <c r="BO28" s="52">
        <v>201</v>
      </c>
      <c r="BP28" s="40">
        <v>201</v>
      </c>
      <c r="BQ28" s="40">
        <v>201</v>
      </c>
      <c r="BR28" s="67">
        <v>0</v>
      </c>
      <c r="BS28" s="54">
        <v>3.9489194499017684</v>
      </c>
      <c r="BT28" s="3">
        <v>96</v>
      </c>
      <c r="BU28" s="40">
        <v>110</v>
      </c>
      <c r="BV28" s="3">
        <v>95</v>
      </c>
      <c r="BW28" s="3">
        <v>100</v>
      </c>
      <c r="BX28" s="70">
        <v>-0.12727272727272732</v>
      </c>
      <c r="BY28" s="70">
        <v>-5.0000000000000044E-2</v>
      </c>
      <c r="BZ28" s="64">
        <v>1.1000000000000001</v>
      </c>
      <c r="CA28" s="59">
        <v>1.0105263157894737</v>
      </c>
      <c r="CB28" s="59">
        <v>1.7159921414538311</v>
      </c>
      <c r="CC28" s="59">
        <v>1.624361493123772</v>
      </c>
      <c r="CD28" s="60">
        <v>85</v>
      </c>
      <c r="CE28" s="60">
        <v>117</v>
      </c>
      <c r="CF28" s="61">
        <v>1.6699410609037328</v>
      </c>
      <c r="CG28" s="61">
        <v>2.2986247544204321</v>
      </c>
      <c r="CH28" s="61">
        <v>1.3764705882352941</v>
      </c>
      <c r="CI28" s="74">
        <v>14.2</v>
      </c>
      <c r="CJ28" s="40">
        <f>VLOOKUP(paper3[[#This Row],[YYIR nivå]],$DB:$DC,2)</f>
        <v>520</v>
      </c>
      <c r="CK28" s="3"/>
      <c r="CL28" s="62">
        <v>39340</v>
      </c>
      <c r="CM28" s="63">
        <v>39.340000000000003</v>
      </c>
      <c r="CN28" s="3">
        <v>110</v>
      </c>
      <c r="CO28" s="3">
        <v>100</v>
      </c>
      <c r="CP28" s="41">
        <v>13.591666666666667</v>
      </c>
      <c r="CQ28" s="3" t="s">
        <v>143</v>
      </c>
      <c r="CR28" s="40">
        <v>103</v>
      </c>
      <c r="CS28" s="40">
        <v>97.5</v>
      </c>
      <c r="CT28" s="40">
        <v>201</v>
      </c>
      <c r="CU28" s="40"/>
      <c r="CV28" s="40"/>
      <c r="CW28" s="40"/>
      <c r="CX28" s="40"/>
      <c r="CY28" s="40">
        <v>0</v>
      </c>
      <c r="CZ28" s="40"/>
      <c r="DA28" s="40"/>
      <c r="DB28" s="65">
        <v>15.7</v>
      </c>
      <c r="DC28" s="65">
        <v>1040</v>
      </c>
    </row>
    <row r="29" spans="1:107" ht="15.95" customHeight="1">
      <c r="A29" s="75">
        <v>152</v>
      </c>
      <c r="B29" s="38" t="s">
        <v>103</v>
      </c>
      <c r="C29" s="3"/>
      <c r="D29" s="3" t="s">
        <v>105</v>
      </c>
      <c r="E29" s="39">
        <v>44481</v>
      </c>
      <c r="F29" s="3" t="s">
        <v>106</v>
      </c>
      <c r="G29" s="3" t="s">
        <v>122</v>
      </c>
      <c r="H29" s="40">
        <v>2008</v>
      </c>
      <c r="I29" s="40" t="s">
        <v>108</v>
      </c>
      <c r="J29" s="40" t="s">
        <v>123</v>
      </c>
      <c r="K29" s="76">
        <v>168.4</v>
      </c>
      <c r="L29" s="76">
        <v>168.3</v>
      </c>
      <c r="M29" s="76"/>
      <c r="N29" s="76">
        <v>141</v>
      </c>
      <c r="O29" s="76">
        <v>141</v>
      </c>
      <c r="P29" s="76"/>
      <c r="Q29" s="76">
        <v>64.7</v>
      </c>
      <c r="R29" s="76">
        <v>64.7</v>
      </c>
      <c r="S29" s="76"/>
      <c r="T29" s="42">
        <v>168.35000000000002</v>
      </c>
      <c r="U29" s="42">
        <f>AVERAGE(paper3[[#This Row],[Sittende høyde 1]:[Sittende høyde 3]])-56.2</f>
        <v>84.8</v>
      </c>
      <c r="V29" s="12">
        <f>paper3[[#This Row],[height]]-paper3[[#This Row],[sittingheight]]</f>
        <v>83.550000000000026</v>
      </c>
      <c r="W29" s="73">
        <v>64.7</v>
      </c>
      <c r="X29" s="43" cm="1">
        <f t="array" ref="X29">INDEX([1]!phvny[yphv], MATCH(1, (paper3[[#This Row],[id]]=[1]!phvny[id])*(paper3[[#This Row],[time]]=[1]!phvny[time]), 0))</f>
        <v>-0.28260722392004178</v>
      </c>
      <c r="Y29" s="3">
        <v>2.2599999999999998</v>
      </c>
      <c r="Z29" s="3">
        <v>3.85</v>
      </c>
      <c r="AA29" s="3">
        <v>5.45</v>
      </c>
      <c r="AB29" s="3">
        <v>2.25</v>
      </c>
      <c r="AC29" s="3">
        <v>3.86</v>
      </c>
      <c r="AD29" s="3">
        <v>5.47</v>
      </c>
      <c r="AE29" s="3">
        <v>2.25</v>
      </c>
      <c r="AF29" s="60">
        <v>3.88</v>
      </c>
      <c r="AG29" s="3">
        <v>5.51</v>
      </c>
      <c r="AH29" s="44">
        <v>2.25</v>
      </c>
      <c r="AI29" s="44">
        <v>3.85</v>
      </c>
      <c r="AJ29" s="44">
        <v>5.45</v>
      </c>
      <c r="AK29" s="45">
        <v>6.25</v>
      </c>
      <c r="AL29" s="3">
        <v>11.34</v>
      </c>
      <c r="AM29" s="46"/>
      <c r="AN29" s="3">
        <v>11.74</v>
      </c>
      <c r="AO29" s="3">
        <v>11.52</v>
      </c>
      <c r="AP29" s="3">
        <v>11.34</v>
      </c>
      <c r="AQ29" s="47">
        <v>11.34</v>
      </c>
      <c r="AR29" s="47">
        <v>11.52</v>
      </c>
      <c r="AS29" s="76">
        <v>24.93</v>
      </c>
      <c r="AT29" s="76">
        <v>26.44</v>
      </c>
      <c r="AU29" s="76">
        <v>22.54</v>
      </c>
      <c r="AV29" s="76"/>
      <c r="AW29" s="76"/>
      <c r="AX29" s="48">
        <v>26.44</v>
      </c>
      <c r="AY29" s="3"/>
      <c r="AZ29" s="3">
        <v>8</v>
      </c>
      <c r="BA29" s="3">
        <v>220</v>
      </c>
      <c r="BB29" s="3">
        <v>8</v>
      </c>
      <c r="BC29" s="3">
        <v>199</v>
      </c>
      <c r="BD29" s="40">
        <v>838.04345865865014</v>
      </c>
      <c r="BE29" s="40">
        <v>778.26537665807916</v>
      </c>
      <c r="BF29" s="40"/>
      <c r="BG29" s="40">
        <v>407.33772436371254</v>
      </c>
      <c r="BH29" s="40">
        <v>429.24956819973897</v>
      </c>
      <c r="BI29" s="49">
        <v>1616.3088353167293</v>
      </c>
      <c r="BJ29" s="49">
        <v>836.58729256345146</v>
      </c>
      <c r="BK29" s="66">
        <v>7.6809381212950667E-2</v>
      </c>
      <c r="BL29" s="66">
        <v>-5.1046862849330576E-2</v>
      </c>
      <c r="BM29" s="51">
        <v>24.981589417569232</v>
      </c>
      <c r="BN29" s="51">
        <v>12.93025181705489</v>
      </c>
      <c r="BO29" s="52">
        <v>282</v>
      </c>
      <c r="BP29" s="77">
        <v>235</v>
      </c>
      <c r="BQ29" s="77">
        <v>282</v>
      </c>
      <c r="BR29" s="67">
        <v>-0.16666666666666663</v>
      </c>
      <c r="BS29" s="54">
        <v>3.9953632148377123</v>
      </c>
      <c r="BT29" s="3">
        <v>120</v>
      </c>
      <c r="BU29" s="40">
        <v>157</v>
      </c>
      <c r="BV29" s="3">
        <v>122</v>
      </c>
      <c r="BW29" s="3">
        <v>112</v>
      </c>
      <c r="BX29" s="70">
        <v>-0.23566878980891715</v>
      </c>
      <c r="BY29" s="70">
        <v>8.9285714285714191E-2</v>
      </c>
      <c r="BZ29" s="64">
        <v>1.4017857142857142</v>
      </c>
      <c r="CA29" s="59">
        <v>0.98360655737704916</v>
      </c>
      <c r="CB29" s="59">
        <v>1.7885123647604333</v>
      </c>
      <c r="CC29" s="59">
        <v>1.5108732612055646</v>
      </c>
      <c r="CD29" s="60"/>
      <c r="CE29" s="60"/>
      <c r="CF29" s="61"/>
      <c r="CG29" s="61"/>
      <c r="CH29" s="61"/>
      <c r="CI29" s="41">
        <v>13.1</v>
      </c>
      <c r="CJ29" s="40">
        <f>VLOOKUP(paper3[[#This Row],[YYIR nivå]],$DB:$DC,2)</f>
        <v>320</v>
      </c>
      <c r="CK29" s="3" t="s">
        <v>129</v>
      </c>
      <c r="CL29" s="62">
        <v>46264</v>
      </c>
      <c r="CM29" s="63">
        <v>46.264000000000003</v>
      </c>
      <c r="CN29" s="3">
        <v>157</v>
      </c>
      <c r="CO29" s="3">
        <v>122</v>
      </c>
      <c r="CP29" s="41">
        <v>13.011111111111111</v>
      </c>
      <c r="CQ29" s="3" t="s">
        <v>144</v>
      </c>
      <c r="CR29" s="40">
        <v>138.5</v>
      </c>
      <c r="CS29" s="40">
        <v>117</v>
      </c>
      <c r="CT29" s="40">
        <v>258.5</v>
      </c>
      <c r="CU29" s="40"/>
      <c r="CV29" s="40"/>
      <c r="CW29" s="40"/>
      <c r="CX29" s="40"/>
      <c r="CY29" s="40" t="s">
        <v>125</v>
      </c>
      <c r="CZ29" s="40"/>
      <c r="DA29" s="40"/>
      <c r="DB29" s="65">
        <v>15.8</v>
      </c>
      <c r="DC29" s="65">
        <v>1080</v>
      </c>
    </row>
    <row r="30" spans="1:107" ht="15.95" customHeight="1">
      <c r="A30" s="75">
        <v>153</v>
      </c>
      <c r="B30" s="38" t="s">
        <v>103</v>
      </c>
      <c r="C30" s="3" t="s">
        <v>104</v>
      </c>
      <c r="D30" s="3" t="s">
        <v>105</v>
      </c>
      <c r="E30" s="39">
        <v>44481</v>
      </c>
      <c r="F30" s="3" t="s">
        <v>106</v>
      </c>
      <c r="G30" s="3" t="s">
        <v>122</v>
      </c>
      <c r="H30" s="40">
        <v>2008</v>
      </c>
      <c r="I30" s="40" t="s">
        <v>108</v>
      </c>
      <c r="J30" s="40" t="s">
        <v>123</v>
      </c>
      <c r="K30" s="78">
        <v>160.19999999999999</v>
      </c>
      <c r="L30" s="78">
        <v>160.1</v>
      </c>
      <c r="M30" s="78"/>
      <c r="N30" s="78">
        <v>134.1</v>
      </c>
      <c r="O30" s="78">
        <v>134.4</v>
      </c>
      <c r="P30" s="78">
        <v>134.4</v>
      </c>
      <c r="Q30" s="78">
        <v>39.5</v>
      </c>
      <c r="R30" s="78">
        <v>39.5</v>
      </c>
      <c r="S30" s="78"/>
      <c r="T30" s="42">
        <v>160.14999999999998</v>
      </c>
      <c r="U30" s="42">
        <f>AVERAGE(paper3[[#This Row],[Sittende høyde 1]:[Sittende høyde 3]])-56.2</f>
        <v>78.09999999999998</v>
      </c>
      <c r="V30" s="12">
        <f>paper3[[#This Row],[height]]-paper3[[#This Row],[sittingheight]]</f>
        <v>82.05</v>
      </c>
      <c r="W30" s="73">
        <v>39.5</v>
      </c>
      <c r="X30" s="43" cm="1">
        <f t="array" ref="X30">INDEX([1]!phvny[yphv], MATCH(1, (paper3[[#This Row],[id]]=[1]!phvny[id])*(paper3[[#This Row],[time]]=[1]!phvny[time]), 0))</f>
        <v>-1.2463705369428255</v>
      </c>
      <c r="Y30" s="3"/>
      <c r="Z30" s="3"/>
      <c r="AA30" s="3"/>
      <c r="AB30" s="3">
        <v>2.36</v>
      </c>
      <c r="AC30" s="3">
        <v>4.03</v>
      </c>
      <c r="AD30" s="3">
        <v>5.69</v>
      </c>
      <c r="AE30" s="3">
        <v>2.41</v>
      </c>
      <c r="AF30" s="3">
        <v>4.08</v>
      </c>
      <c r="AG30" s="3">
        <v>5.77</v>
      </c>
      <c r="AH30" s="44">
        <v>2.36</v>
      </c>
      <c r="AI30" s="44">
        <v>4.03</v>
      </c>
      <c r="AJ30" s="44">
        <v>5.69</v>
      </c>
      <c r="AK30" s="45">
        <v>6.0240963855421681</v>
      </c>
      <c r="AL30" s="46"/>
      <c r="AM30" s="3">
        <v>12</v>
      </c>
      <c r="AN30" s="3">
        <v>11.97</v>
      </c>
      <c r="AO30" s="3">
        <v>11.7</v>
      </c>
      <c r="AP30" s="3">
        <v>11.7</v>
      </c>
      <c r="AQ30" s="47">
        <v>12</v>
      </c>
      <c r="AR30" s="47">
        <v>11.7</v>
      </c>
      <c r="AS30" s="78">
        <v>16.68</v>
      </c>
      <c r="AT30" s="78">
        <v>11.66</v>
      </c>
      <c r="AU30" s="78">
        <v>16.13</v>
      </c>
      <c r="AV30" s="78"/>
      <c r="AW30" s="76"/>
      <c r="AX30" s="48">
        <v>16.68</v>
      </c>
      <c r="AY30" s="3"/>
      <c r="AZ30" s="3">
        <v>8</v>
      </c>
      <c r="BA30" s="3">
        <v>180</v>
      </c>
      <c r="BB30" s="3">
        <v>7</v>
      </c>
      <c r="BC30" s="3">
        <v>147</v>
      </c>
      <c r="BD30" s="40">
        <v>540.19189800366667</v>
      </c>
      <c r="BE30" s="40">
        <v>539.60137729925918</v>
      </c>
      <c r="BF30" s="40"/>
      <c r="BG30" s="40">
        <v>191.38993097238892</v>
      </c>
      <c r="BH30" s="40">
        <v>211.66902096659564</v>
      </c>
      <c r="BI30" s="49">
        <v>1079.7932753029258</v>
      </c>
      <c r="BJ30" s="49">
        <v>403.05895193898459</v>
      </c>
      <c r="BK30" s="66">
        <v>1.0943647093026865E-3</v>
      </c>
      <c r="BL30" s="66">
        <v>-9.5805658766697999E-2</v>
      </c>
      <c r="BM30" s="51">
        <v>27.336538615263944</v>
      </c>
      <c r="BN30" s="51">
        <v>10.20402409972113</v>
      </c>
      <c r="BO30" s="52">
        <v>176</v>
      </c>
      <c r="BP30" s="79">
        <v>146</v>
      </c>
      <c r="BQ30" s="79">
        <v>176</v>
      </c>
      <c r="BR30" s="67">
        <v>-0.17045454545454541</v>
      </c>
      <c r="BS30" s="54">
        <v>4.075949367088608</v>
      </c>
      <c r="BT30" s="3">
        <v>77</v>
      </c>
      <c r="BU30" s="40">
        <v>79</v>
      </c>
      <c r="BV30" s="3">
        <v>79</v>
      </c>
      <c r="BW30" s="3">
        <v>83</v>
      </c>
      <c r="BX30" s="70">
        <v>-2.5316455696202556E-2</v>
      </c>
      <c r="BY30" s="70">
        <v>-4.8192771084337394E-2</v>
      </c>
      <c r="BZ30" s="64">
        <v>0.95180722891566261</v>
      </c>
      <c r="CA30" s="59">
        <v>0.97468354430379744</v>
      </c>
      <c r="CB30" s="59">
        <v>1.620227848101266</v>
      </c>
      <c r="CC30" s="59">
        <v>1.6825443037974683</v>
      </c>
      <c r="CD30" s="60"/>
      <c r="CE30" s="60"/>
      <c r="CF30" s="61"/>
      <c r="CG30" s="61"/>
      <c r="CH30" s="61"/>
      <c r="CI30" s="41">
        <v>14.6</v>
      </c>
      <c r="CJ30" s="40">
        <f>VLOOKUP(paper3[[#This Row],[YYIR nivå]],$DB:$DC,2)</f>
        <v>680</v>
      </c>
      <c r="CK30" s="3" t="s">
        <v>129</v>
      </c>
      <c r="CL30" s="62"/>
      <c r="CM30" s="63" t="s">
        <v>110</v>
      </c>
      <c r="CN30" s="3">
        <v>79</v>
      </c>
      <c r="CO30" s="3">
        <v>83</v>
      </c>
      <c r="CP30" s="41">
        <v>13.319444444444445</v>
      </c>
      <c r="CQ30" s="3" t="s">
        <v>110</v>
      </c>
      <c r="CR30" s="40">
        <v>78</v>
      </c>
      <c r="CS30" s="40">
        <v>81</v>
      </c>
      <c r="CT30" s="40">
        <v>161</v>
      </c>
      <c r="CU30" s="40"/>
      <c r="CV30" s="40"/>
      <c r="CW30" s="40"/>
      <c r="CX30" s="40"/>
      <c r="CY30" s="40">
        <v>0</v>
      </c>
      <c r="CZ30" s="40"/>
      <c r="DA30" s="40"/>
      <c r="DB30" s="65">
        <v>16.100000000000001</v>
      </c>
      <c r="DC30" s="65">
        <v>1120</v>
      </c>
    </row>
    <row r="31" spans="1:107" ht="15.75" customHeight="1">
      <c r="A31" s="75">
        <v>154</v>
      </c>
      <c r="B31" s="38" t="s">
        <v>103</v>
      </c>
      <c r="C31" s="3" t="s">
        <v>104</v>
      </c>
      <c r="D31" s="3" t="s">
        <v>105</v>
      </c>
      <c r="E31" s="39">
        <v>44481</v>
      </c>
      <c r="F31" s="3" t="s">
        <v>106</v>
      </c>
      <c r="G31" s="3" t="s">
        <v>122</v>
      </c>
      <c r="H31" s="40">
        <v>2008</v>
      </c>
      <c r="I31" s="40" t="s">
        <v>108</v>
      </c>
      <c r="J31" s="40" t="s">
        <v>123</v>
      </c>
      <c r="K31" s="76">
        <v>162.4</v>
      </c>
      <c r="L31" s="76">
        <v>162.5</v>
      </c>
      <c r="M31" s="76"/>
      <c r="N31" s="76">
        <v>138.30000000000001</v>
      </c>
      <c r="O31" s="76">
        <v>138.4</v>
      </c>
      <c r="P31" s="76"/>
      <c r="Q31" s="76">
        <v>50</v>
      </c>
      <c r="R31" s="76">
        <v>50</v>
      </c>
      <c r="S31" s="76"/>
      <c r="T31" s="42">
        <v>162.44999999999999</v>
      </c>
      <c r="U31" s="42">
        <f>AVERAGE(paper3[[#This Row],[Sittende høyde 1]:[Sittende høyde 3]])-56.2</f>
        <v>82.15000000000002</v>
      </c>
      <c r="V31" s="12">
        <f>paper3[[#This Row],[height]]-paper3[[#This Row],[sittingheight]]</f>
        <v>80.299999999999969</v>
      </c>
      <c r="W31" s="73">
        <v>50</v>
      </c>
      <c r="X31" s="43" cm="1">
        <f t="array" ref="X31">INDEX([1]!phvny[yphv], MATCH(1, (paper3[[#This Row],[id]]=[1]!phvny[id])*(paper3[[#This Row],[time]]=[1]!phvny[time]), 0))</f>
        <v>-0.70369516917620645</v>
      </c>
      <c r="Y31" s="3">
        <v>2.19</v>
      </c>
      <c r="Z31" s="3">
        <v>3.78</v>
      </c>
      <c r="AA31" s="3">
        <v>5.31</v>
      </c>
      <c r="AB31" s="3">
        <v>2.2999999999999998</v>
      </c>
      <c r="AC31" s="3">
        <v>3.91</v>
      </c>
      <c r="AD31" s="3">
        <v>5.47</v>
      </c>
      <c r="AE31" s="3">
        <v>2.21</v>
      </c>
      <c r="AF31" s="3">
        <v>3.8</v>
      </c>
      <c r="AG31" s="3">
        <v>5.37</v>
      </c>
      <c r="AH31" s="44">
        <v>2.19</v>
      </c>
      <c r="AI31" s="44">
        <v>3.78</v>
      </c>
      <c r="AJ31" s="44">
        <v>5.31</v>
      </c>
      <c r="AK31" s="45">
        <v>6.5359477124183014</v>
      </c>
      <c r="AL31" s="3">
        <v>11.73</v>
      </c>
      <c r="AM31" s="3">
        <v>11.52</v>
      </c>
      <c r="AN31" s="3">
        <v>11.6</v>
      </c>
      <c r="AO31" s="3">
        <v>11.69</v>
      </c>
      <c r="AP31" s="3">
        <v>11.52</v>
      </c>
      <c r="AQ31" s="47">
        <v>11.52</v>
      </c>
      <c r="AR31" s="47">
        <v>11.6</v>
      </c>
      <c r="AS31" s="76">
        <v>26.29</v>
      </c>
      <c r="AT31" s="76">
        <v>23.26</v>
      </c>
      <c r="AU31" s="76">
        <v>24.85</v>
      </c>
      <c r="AV31" s="76"/>
      <c r="AW31" s="76"/>
      <c r="AX31" s="48">
        <v>26.29</v>
      </c>
      <c r="AY31" s="3"/>
      <c r="AZ31" s="3">
        <v>8</v>
      </c>
      <c r="BA31" s="3">
        <v>200</v>
      </c>
      <c r="BB31" s="3">
        <v>13</v>
      </c>
      <c r="BC31" s="3">
        <v>272</v>
      </c>
      <c r="BD31" s="40">
        <v>971.97994129061726</v>
      </c>
      <c r="BE31" s="40">
        <v>1008.4415735073314</v>
      </c>
      <c r="BF31" s="40"/>
      <c r="BG31" s="40">
        <v>361.35446631887748</v>
      </c>
      <c r="BH31" s="40">
        <v>362.88308884449953</v>
      </c>
      <c r="BI31" s="49">
        <v>1980.4215147979487</v>
      </c>
      <c r="BJ31" s="49">
        <v>724.23755516337701</v>
      </c>
      <c r="BK31" s="66">
        <v>-3.6156415180208845E-2</v>
      </c>
      <c r="BL31" s="66">
        <v>-4.2124380347662305E-3</v>
      </c>
      <c r="BM31" s="51">
        <v>39.608430295958975</v>
      </c>
      <c r="BN31" s="51">
        <v>14.48475110326754</v>
      </c>
      <c r="BO31" s="52">
        <v>273</v>
      </c>
      <c r="BP31" s="77">
        <v>273</v>
      </c>
      <c r="BQ31" s="77">
        <v>272</v>
      </c>
      <c r="BR31" s="67">
        <v>3.6764705882352811E-3</v>
      </c>
      <c r="BS31" s="54">
        <v>5.45</v>
      </c>
      <c r="BT31" s="3">
        <v>135</v>
      </c>
      <c r="BU31" s="40">
        <v>162</v>
      </c>
      <c r="BV31" s="3">
        <v>88</v>
      </c>
      <c r="BW31" s="3">
        <v>98</v>
      </c>
      <c r="BX31" s="70">
        <v>-0.16666666666666663</v>
      </c>
      <c r="BY31" s="70">
        <v>-0.10204081632653061</v>
      </c>
      <c r="BZ31" s="64">
        <v>1.653061224489796</v>
      </c>
      <c r="CA31" s="59">
        <v>1.5340909090909092</v>
      </c>
      <c r="CB31" s="59">
        <v>2.3849099999999992</v>
      </c>
      <c r="CC31" s="59">
        <v>1.4935799999999995</v>
      </c>
      <c r="CD31" s="60"/>
      <c r="CE31" s="60"/>
      <c r="CF31" s="61"/>
      <c r="CG31" s="61"/>
      <c r="CH31" s="61"/>
      <c r="CI31" s="41">
        <v>15.7</v>
      </c>
      <c r="CJ31" s="40">
        <f>VLOOKUP(paper3[[#This Row],[YYIR nivå]],$DB:$DC,2)</f>
        <v>1040</v>
      </c>
      <c r="CK31" s="3" t="s">
        <v>129</v>
      </c>
      <c r="CL31" s="62">
        <v>38349</v>
      </c>
      <c r="CM31" s="63">
        <v>38.348999999999997</v>
      </c>
      <c r="CN31" s="3">
        <v>162</v>
      </c>
      <c r="CO31" s="3">
        <v>98</v>
      </c>
      <c r="CP31" s="41">
        <v>13.152777777777779</v>
      </c>
      <c r="CQ31" s="3" t="s">
        <v>145</v>
      </c>
      <c r="CR31" s="40">
        <v>148.5</v>
      </c>
      <c r="CS31" s="40">
        <v>93</v>
      </c>
      <c r="CT31" s="40">
        <v>272.5</v>
      </c>
      <c r="CU31" s="40"/>
      <c r="CV31" s="40"/>
      <c r="CW31" s="40"/>
      <c r="CX31" s="40"/>
      <c r="CY31" s="40">
        <v>0</v>
      </c>
      <c r="CZ31" s="40"/>
      <c r="DA31" s="40"/>
      <c r="DB31" s="65">
        <v>16.2</v>
      </c>
      <c r="DC31" s="65">
        <v>1160</v>
      </c>
    </row>
    <row r="32" spans="1:107" ht="15.95" customHeight="1">
      <c r="A32" s="75">
        <v>155</v>
      </c>
      <c r="B32" s="38" t="s">
        <v>103</v>
      </c>
      <c r="C32" s="3" t="s">
        <v>104</v>
      </c>
      <c r="D32" s="3" t="s">
        <v>105</v>
      </c>
      <c r="E32" s="39">
        <v>44481</v>
      </c>
      <c r="F32" s="3" t="s">
        <v>106</v>
      </c>
      <c r="G32" s="3" t="s">
        <v>122</v>
      </c>
      <c r="H32" s="40">
        <v>2008</v>
      </c>
      <c r="I32" s="40" t="s">
        <v>108</v>
      </c>
      <c r="J32" s="40" t="s">
        <v>123</v>
      </c>
      <c r="K32" s="78">
        <v>165.1</v>
      </c>
      <c r="L32" s="78">
        <v>165.7</v>
      </c>
      <c r="M32" s="78">
        <v>165.9</v>
      </c>
      <c r="N32" s="76">
        <v>137.19999999999999</v>
      </c>
      <c r="O32" s="76">
        <v>137</v>
      </c>
      <c r="P32" s="78"/>
      <c r="Q32" s="78">
        <v>49.8</v>
      </c>
      <c r="R32" s="78">
        <v>49.8</v>
      </c>
      <c r="S32" s="78"/>
      <c r="T32" s="42">
        <v>165.56666666666663</v>
      </c>
      <c r="U32" s="42">
        <f>AVERAGE(paper3[[#This Row],[Sittende høyde 1]:[Sittende høyde 3]])-56.2</f>
        <v>80.899999999999991</v>
      </c>
      <c r="V32" s="12">
        <f>paper3[[#This Row],[height]]-paper3[[#This Row],[sittingheight]]</f>
        <v>84.666666666666643</v>
      </c>
      <c r="W32" s="73">
        <v>49.8</v>
      </c>
      <c r="X32" s="43" cm="1">
        <f t="array" ref="X32">INDEX([1]!phvny[yphv], MATCH(1, (paper3[[#This Row],[id]]=[1]!phvny[id])*(paper3[[#This Row],[time]]=[1]!phvny[time]), 0))</f>
        <v>-0.86787262498437978</v>
      </c>
      <c r="Y32" s="3">
        <v>2.08</v>
      </c>
      <c r="Z32" s="3">
        <v>3.61</v>
      </c>
      <c r="AA32" s="3">
        <v>5.1100000000000003</v>
      </c>
      <c r="AB32" s="3">
        <v>2.06</v>
      </c>
      <c r="AC32" s="3">
        <v>3.6</v>
      </c>
      <c r="AD32" s="3">
        <v>5.0999999999999996</v>
      </c>
      <c r="AE32" s="3">
        <v>2.1</v>
      </c>
      <c r="AF32" s="3">
        <v>3.63</v>
      </c>
      <c r="AG32" s="3">
        <v>5.12</v>
      </c>
      <c r="AH32" s="44">
        <v>2.06</v>
      </c>
      <c r="AI32" s="44">
        <v>3.6</v>
      </c>
      <c r="AJ32" s="44">
        <v>5.0999999999999996</v>
      </c>
      <c r="AK32" s="45">
        <v>6.6666666666666687</v>
      </c>
      <c r="AL32" s="3">
        <v>10.78</v>
      </c>
      <c r="AM32" s="3">
        <v>10.71</v>
      </c>
      <c r="AN32" s="3">
        <v>11.16</v>
      </c>
      <c r="AO32" s="3">
        <v>11.06</v>
      </c>
      <c r="AP32" s="3">
        <v>10.71</v>
      </c>
      <c r="AQ32" s="47">
        <v>10.71</v>
      </c>
      <c r="AR32" s="47">
        <v>11.06</v>
      </c>
      <c r="AS32" s="78">
        <v>25.96</v>
      </c>
      <c r="AT32" s="78">
        <v>23.08</v>
      </c>
      <c r="AU32" s="78">
        <v>25.95</v>
      </c>
      <c r="AV32" s="78"/>
      <c r="AW32" s="76"/>
      <c r="AX32" s="48">
        <v>25.96</v>
      </c>
      <c r="AY32" s="3"/>
      <c r="AZ32" s="3">
        <v>8</v>
      </c>
      <c r="BA32" s="3">
        <v>220</v>
      </c>
      <c r="BB32" s="3">
        <v>9</v>
      </c>
      <c r="BC32" s="3">
        <v>219</v>
      </c>
      <c r="BD32" s="40">
        <v>915.30682862303024</v>
      </c>
      <c r="BE32" s="40">
        <v>930.28357235809813</v>
      </c>
      <c r="BF32" s="40"/>
      <c r="BG32" s="40">
        <v>347.64982562387223</v>
      </c>
      <c r="BH32" s="40">
        <v>341.69217177027895</v>
      </c>
      <c r="BI32" s="49">
        <v>1845.5904009811284</v>
      </c>
      <c r="BJ32" s="49">
        <v>689.34199739415112</v>
      </c>
      <c r="BK32" s="66">
        <v>-1.6099116635054145E-2</v>
      </c>
      <c r="BL32" s="66">
        <v>1.7435734107478007E-2</v>
      </c>
      <c r="BM32" s="51">
        <v>37.060048212472459</v>
      </c>
      <c r="BN32" s="51">
        <v>13.842208783015083</v>
      </c>
      <c r="BO32" s="52">
        <v>249</v>
      </c>
      <c r="BP32" s="79">
        <v>204</v>
      </c>
      <c r="BQ32" s="79">
        <v>249</v>
      </c>
      <c r="BR32" s="67">
        <v>-0.18072289156626509</v>
      </c>
      <c r="BS32" s="54">
        <v>4.5481927710843379</v>
      </c>
      <c r="BT32" s="3">
        <v>107</v>
      </c>
      <c r="BU32" s="40">
        <v>117</v>
      </c>
      <c r="BV32" s="3">
        <v>104</v>
      </c>
      <c r="BW32" s="3">
        <v>109</v>
      </c>
      <c r="BX32" s="70">
        <v>-8.54700854700855E-2</v>
      </c>
      <c r="BY32" s="70">
        <v>-4.587155963302747E-2</v>
      </c>
      <c r="BZ32" s="64">
        <v>1.073394495412844</v>
      </c>
      <c r="CA32" s="59">
        <v>1.0288461538461537</v>
      </c>
      <c r="CB32" s="59">
        <v>1.9041499330655953</v>
      </c>
      <c r="CC32" s="59">
        <v>1.810642570281124</v>
      </c>
      <c r="CD32" s="60"/>
      <c r="CE32" s="60"/>
      <c r="CF32" s="61"/>
      <c r="CG32" s="61"/>
      <c r="CH32" s="61"/>
      <c r="CI32" s="41">
        <v>14.3</v>
      </c>
      <c r="CJ32" s="40">
        <f>VLOOKUP(paper3[[#This Row],[YYIR nivå]],$DB:$DC,2)</f>
        <v>560</v>
      </c>
      <c r="CK32" s="3" t="s">
        <v>129</v>
      </c>
      <c r="CL32" s="62">
        <v>38211</v>
      </c>
      <c r="CM32" s="63">
        <v>38.210999999999999</v>
      </c>
      <c r="CN32" s="3">
        <v>117</v>
      </c>
      <c r="CO32" s="3">
        <v>109</v>
      </c>
      <c r="CP32" s="41">
        <v>13.147222222222222</v>
      </c>
      <c r="CQ32" s="3" t="s">
        <v>146</v>
      </c>
      <c r="CR32" s="40">
        <v>112</v>
      </c>
      <c r="CS32" s="40">
        <v>106.5</v>
      </c>
      <c r="CT32" s="40">
        <v>226.5</v>
      </c>
      <c r="CU32" s="40"/>
      <c r="CV32" s="40"/>
      <c r="CW32" s="40"/>
      <c r="CX32" s="40"/>
      <c r="CY32" s="40">
        <v>0</v>
      </c>
      <c r="CZ32" s="40"/>
      <c r="DA32" s="40"/>
      <c r="DB32" s="65">
        <v>16.3</v>
      </c>
      <c r="DC32" s="65">
        <v>1200</v>
      </c>
    </row>
    <row r="33" spans="1:107" ht="15.95" customHeight="1">
      <c r="A33" s="75">
        <v>156</v>
      </c>
      <c r="B33" s="38" t="s">
        <v>103</v>
      </c>
      <c r="C33" s="3" t="s">
        <v>104</v>
      </c>
      <c r="D33" s="3" t="s">
        <v>105</v>
      </c>
      <c r="E33" s="39">
        <v>44481</v>
      </c>
      <c r="F33" s="3" t="s">
        <v>106</v>
      </c>
      <c r="G33" s="3" t="s">
        <v>122</v>
      </c>
      <c r="H33" s="40">
        <v>2008</v>
      </c>
      <c r="I33" s="40" t="s">
        <v>108</v>
      </c>
      <c r="J33" s="40" t="s">
        <v>123</v>
      </c>
      <c r="K33" s="76">
        <v>162.6</v>
      </c>
      <c r="L33" s="76">
        <v>162.4</v>
      </c>
      <c r="M33" s="76"/>
      <c r="N33" s="76">
        <v>139</v>
      </c>
      <c r="O33" s="76">
        <v>139</v>
      </c>
      <c r="P33" s="76"/>
      <c r="Q33" s="76">
        <v>56.6</v>
      </c>
      <c r="R33" s="76">
        <v>56.6</v>
      </c>
      <c r="S33" s="76"/>
      <c r="T33" s="42">
        <v>162.5</v>
      </c>
      <c r="U33" s="42">
        <f>AVERAGE(paper3[[#This Row],[Sittende høyde 1]:[Sittende høyde 3]])-56.2</f>
        <v>82.8</v>
      </c>
      <c r="V33" s="12">
        <f>paper3[[#This Row],[height]]-paper3[[#This Row],[sittingheight]]</f>
        <v>79.7</v>
      </c>
      <c r="W33" s="73">
        <v>56.6</v>
      </c>
      <c r="X33" s="43" cm="1">
        <f t="array" ref="X33">INDEX([1]!phvny[yphv], MATCH(1, (paper3[[#This Row],[id]]=[1]!phvny[id])*(paper3[[#This Row],[time]]=[1]!phvny[time]), 0))</f>
        <v>-0.39067592484188118</v>
      </c>
      <c r="Y33" s="3">
        <v>2.0099999999999998</v>
      </c>
      <c r="Z33" s="3">
        <v>3.49</v>
      </c>
      <c r="AA33" s="3">
        <v>4.93</v>
      </c>
      <c r="AB33" s="3">
        <v>2.0499999999999998</v>
      </c>
      <c r="AC33" s="3">
        <v>3.56</v>
      </c>
      <c r="AD33" s="3">
        <v>5.07</v>
      </c>
      <c r="AE33" s="3">
        <v>2.0699999999999998</v>
      </c>
      <c r="AF33" s="3">
        <v>3.61</v>
      </c>
      <c r="AG33" s="3">
        <v>5.12</v>
      </c>
      <c r="AH33" s="44">
        <v>2.0099999999999998</v>
      </c>
      <c r="AI33" s="44">
        <v>3.49</v>
      </c>
      <c r="AJ33" s="44">
        <v>4.93</v>
      </c>
      <c r="AK33" s="45">
        <v>6.9444444444444464</v>
      </c>
      <c r="AL33" s="3"/>
      <c r="AM33" s="3">
        <v>10.6</v>
      </c>
      <c r="AN33" s="3">
        <v>10.96</v>
      </c>
      <c r="AO33" s="3">
        <v>11.1</v>
      </c>
      <c r="AP33" s="3">
        <v>10.6</v>
      </c>
      <c r="AQ33" s="47">
        <v>10.6</v>
      </c>
      <c r="AR33" s="47">
        <v>10.96</v>
      </c>
      <c r="AS33" s="76">
        <v>28.48</v>
      </c>
      <c r="AT33" s="76">
        <v>28.05</v>
      </c>
      <c r="AU33" s="76">
        <v>30.17</v>
      </c>
      <c r="AV33" s="76">
        <v>28.11</v>
      </c>
      <c r="AW33" s="76"/>
      <c r="AX33" s="48">
        <v>30.17</v>
      </c>
      <c r="AY33" s="3"/>
      <c r="AZ33" s="3">
        <v>8</v>
      </c>
      <c r="BA33" s="3">
        <v>220</v>
      </c>
      <c r="BB33" s="3">
        <v>10</v>
      </c>
      <c r="BC33" s="3">
        <v>240</v>
      </c>
      <c r="BD33" s="40">
        <v>1007.36087543811</v>
      </c>
      <c r="BE33" s="40">
        <v>883.40331311017724</v>
      </c>
      <c r="BF33" s="40"/>
      <c r="BG33" s="40">
        <v>361.08318076252954</v>
      </c>
      <c r="BH33" s="40">
        <v>322.09796771320669</v>
      </c>
      <c r="BI33" s="49">
        <v>1890.7641885482872</v>
      </c>
      <c r="BJ33" s="49">
        <v>683.18114847573622</v>
      </c>
      <c r="BK33" s="66">
        <v>0.14031819949997515</v>
      </c>
      <c r="BL33" s="66">
        <v>0.12103526553149502</v>
      </c>
      <c r="BM33" s="51">
        <v>33.405727712867261</v>
      </c>
      <c r="BN33" s="51">
        <v>12.07033831229216</v>
      </c>
      <c r="BO33" s="52">
        <v>277</v>
      </c>
      <c r="BP33" s="77">
        <v>184</v>
      </c>
      <c r="BQ33" s="77">
        <v>277</v>
      </c>
      <c r="BR33" s="67">
        <v>-0.33574007220216606</v>
      </c>
      <c r="BS33" s="54">
        <v>4.0724381625441692</v>
      </c>
      <c r="BT33" s="3">
        <v>130</v>
      </c>
      <c r="BU33" s="40">
        <v>127</v>
      </c>
      <c r="BV33" s="3">
        <v>109</v>
      </c>
      <c r="BW33" s="3">
        <v>116</v>
      </c>
      <c r="BX33" s="70">
        <v>2.3622047244094446E-2</v>
      </c>
      <c r="BY33" s="70">
        <v>-6.0344827586206851E-2</v>
      </c>
      <c r="BZ33" s="64">
        <v>1.0948275862068966</v>
      </c>
      <c r="CA33" s="59">
        <v>1.1926605504587156</v>
      </c>
      <c r="CB33" s="59">
        <v>1.8094434628975264</v>
      </c>
      <c r="CC33" s="59">
        <v>1.5841431095406362</v>
      </c>
      <c r="CD33" s="60"/>
      <c r="CE33" s="60"/>
      <c r="CF33" s="61"/>
      <c r="CG33" s="61"/>
      <c r="CH33" s="61"/>
      <c r="CI33" s="41"/>
      <c r="CJ33" s="40"/>
      <c r="CK33" s="3"/>
      <c r="CL33" s="62">
        <v>46729</v>
      </c>
      <c r="CM33" s="63">
        <v>46.728999999999999</v>
      </c>
      <c r="CN33" s="3">
        <v>130</v>
      </c>
      <c r="CO33" s="3">
        <v>116</v>
      </c>
      <c r="CP33" s="41">
        <v>13.463888888888889</v>
      </c>
      <c r="CQ33" s="3" t="s">
        <v>147</v>
      </c>
      <c r="CR33" s="40">
        <v>128.5</v>
      </c>
      <c r="CS33" s="40">
        <v>112.5</v>
      </c>
      <c r="CT33" s="40">
        <v>230.5</v>
      </c>
      <c r="CU33" s="40"/>
      <c r="CV33" s="40"/>
      <c r="CW33" s="40"/>
      <c r="CX33" s="40"/>
      <c r="CY33" s="40">
        <v>0</v>
      </c>
      <c r="CZ33" s="40"/>
      <c r="DA33" s="40"/>
      <c r="DB33" s="65">
        <v>16.399999999999999</v>
      </c>
      <c r="DC33" s="65">
        <v>1240</v>
      </c>
    </row>
    <row r="34" spans="1:107" ht="15.95" customHeight="1">
      <c r="A34" s="75">
        <v>158</v>
      </c>
      <c r="B34" s="38" t="s">
        <v>103</v>
      </c>
      <c r="C34" s="3" t="s">
        <v>104</v>
      </c>
      <c r="D34" s="3" t="s">
        <v>105</v>
      </c>
      <c r="E34" s="39">
        <v>44481</v>
      </c>
      <c r="F34" s="3" t="s">
        <v>106</v>
      </c>
      <c r="G34" s="3" t="s">
        <v>122</v>
      </c>
      <c r="H34" s="40">
        <v>2008</v>
      </c>
      <c r="I34" s="40" t="s">
        <v>108</v>
      </c>
      <c r="J34" s="40" t="s">
        <v>123</v>
      </c>
      <c r="K34" s="76">
        <v>152.4</v>
      </c>
      <c r="L34" s="76">
        <v>152.4</v>
      </c>
      <c r="M34" s="76"/>
      <c r="N34" s="76">
        <v>133</v>
      </c>
      <c r="O34" s="76">
        <v>133.19999999999999</v>
      </c>
      <c r="P34" s="76"/>
      <c r="Q34" s="76">
        <v>49.5</v>
      </c>
      <c r="R34" s="76">
        <v>49.5</v>
      </c>
      <c r="S34" s="76"/>
      <c r="T34" s="42">
        <v>152.4</v>
      </c>
      <c r="U34" s="42">
        <f>AVERAGE(paper3[[#This Row],[Sittende høyde 1]:[Sittende høyde 3]])-56.2</f>
        <v>76.899999999999991</v>
      </c>
      <c r="V34" s="12">
        <f>paper3[[#This Row],[height]]-paper3[[#This Row],[sittingheight]]</f>
        <v>75.500000000000014</v>
      </c>
      <c r="W34" s="73">
        <v>49.5</v>
      </c>
      <c r="X34" s="43" cm="1">
        <f t="array" ref="X34">INDEX([1]!phvny[yphv], MATCH(1, (paper3[[#This Row],[id]]=[1]!phvny[id])*(paper3[[#This Row],[time]]=[1]!phvny[time]), 0))</f>
        <v>-1.4092582044356965</v>
      </c>
      <c r="Y34" s="3">
        <v>2.06</v>
      </c>
      <c r="Z34" s="3">
        <v>3.54</v>
      </c>
      <c r="AA34" s="3">
        <v>4.95</v>
      </c>
      <c r="AB34" s="3">
        <v>2.0299999999999998</v>
      </c>
      <c r="AC34" s="3">
        <v>3.51</v>
      </c>
      <c r="AD34" s="3">
        <v>4.95</v>
      </c>
      <c r="AE34" s="3">
        <v>2.0699999999999998</v>
      </c>
      <c r="AF34" s="3">
        <v>3.59</v>
      </c>
      <c r="AG34" s="3">
        <v>5.0599999999999996</v>
      </c>
      <c r="AH34" s="44">
        <v>2.0299999999999998</v>
      </c>
      <c r="AI34" s="44">
        <v>3.51</v>
      </c>
      <c r="AJ34" s="44">
        <v>4.95</v>
      </c>
      <c r="AK34" s="45">
        <v>6.9444444444444429</v>
      </c>
      <c r="AL34" s="3">
        <v>10.87</v>
      </c>
      <c r="AM34" s="3">
        <v>10.95</v>
      </c>
      <c r="AN34" s="3">
        <v>11.68</v>
      </c>
      <c r="AO34" s="3">
        <v>11.41</v>
      </c>
      <c r="AP34" s="3">
        <v>10.87</v>
      </c>
      <c r="AQ34" s="47">
        <v>10.87</v>
      </c>
      <c r="AR34" s="47">
        <v>11.41</v>
      </c>
      <c r="AS34" s="76">
        <v>24.2</v>
      </c>
      <c r="AT34" s="76">
        <v>24.06</v>
      </c>
      <c r="AU34" s="76">
        <v>21.82</v>
      </c>
      <c r="AV34" s="76"/>
      <c r="AW34" s="76"/>
      <c r="AX34" s="48">
        <v>24.2</v>
      </c>
      <c r="AY34" s="3"/>
      <c r="AZ34" s="3">
        <v>6</v>
      </c>
      <c r="BA34" s="3">
        <v>220</v>
      </c>
      <c r="BB34" s="3">
        <v>7</v>
      </c>
      <c r="BC34" s="3">
        <v>179</v>
      </c>
      <c r="BD34" s="40">
        <v>714.30435785556631</v>
      </c>
      <c r="BE34" s="40">
        <v>754.89267157510017</v>
      </c>
      <c r="BF34" s="40"/>
      <c r="BG34" s="40">
        <v>322.61619074798904</v>
      </c>
      <c r="BH34" s="40">
        <v>321.20960026570793</v>
      </c>
      <c r="BI34" s="49">
        <v>1469.1970294306666</v>
      </c>
      <c r="BJ34" s="49">
        <v>643.82579101369697</v>
      </c>
      <c r="BK34" s="66">
        <v>-5.3766999267386484E-2</v>
      </c>
      <c r="BL34" s="66">
        <v>4.3790424729446276E-3</v>
      </c>
      <c r="BM34" s="51">
        <v>29.680748069306397</v>
      </c>
      <c r="BN34" s="51">
        <v>13.006581636640343</v>
      </c>
      <c r="BO34" s="52">
        <v>237</v>
      </c>
      <c r="BP34" s="77">
        <v>237</v>
      </c>
      <c r="BQ34" s="77">
        <v>232</v>
      </c>
      <c r="BR34" s="67">
        <v>2.155172413793105E-2</v>
      </c>
      <c r="BS34" s="54">
        <v>4.737373737373737</v>
      </c>
      <c r="BT34" s="3">
        <v>125</v>
      </c>
      <c r="BU34" s="40">
        <v>167</v>
      </c>
      <c r="BV34" s="3">
        <v>89</v>
      </c>
      <c r="BW34" s="3">
        <v>107</v>
      </c>
      <c r="BX34" s="70">
        <v>-0.25149700598802394</v>
      </c>
      <c r="BY34" s="70">
        <v>-0.16822429906542058</v>
      </c>
      <c r="BZ34" s="64">
        <v>1.5607476635514019</v>
      </c>
      <c r="CA34" s="59">
        <v>1.404494382022472</v>
      </c>
      <c r="CB34" s="59">
        <v>2.2268686868686873</v>
      </c>
      <c r="CC34" s="59">
        <v>1.4947474747474749</v>
      </c>
      <c r="CD34" s="60"/>
      <c r="CE34" s="60"/>
      <c r="CF34" s="61"/>
      <c r="CG34" s="61"/>
      <c r="CH34" s="61"/>
      <c r="CI34" s="41">
        <v>14.2</v>
      </c>
      <c r="CJ34" s="40">
        <f>VLOOKUP(paper3[[#This Row],[YYIR nivå]],$DB:$DC,2)</f>
        <v>520</v>
      </c>
      <c r="CK34" s="3" t="s">
        <v>129</v>
      </c>
      <c r="CL34" s="62">
        <v>33163</v>
      </c>
      <c r="CM34" s="63">
        <v>33.162999999999997</v>
      </c>
      <c r="CN34" s="3">
        <v>167</v>
      </c>
      <c r="CO34" s="3">
        <v>107</v>
      </c>
      <c r="CP34" s="41">
        <v>12.833333333333334</v>
      </c>
      <c r="CQ34" s="3" t="s">
        <v>148</v>
      </c>
      <c r="CR34" s="40">
        <v>146</v>
      </c>
      <c r="CS34" s="80">
        <v>98</v>
      </c>
      <c r="CT34" s="80">
        <v>234.5</v>
      </c>
      <c r="CU34" s="80"/>
      <c r="CV34" s="80"/>
      <c r="CW34" s="80"/>
      <c r="CX34" s="80"/>
      <c r="CY34" s="80">
        <v>0</v>
      </c>
      <c r="CZ34" s="80"/>
      <c r="DA34" s="40"/>
      <c r="DB34" s="65">
        <v>16.5</v>
      </c>
      <c r="DC34" s="65">
        <v>1280</v>
      </c>
    </row>
    <row r="35" spans="1:107" ht="15.75" customHeight="1">
      <c r="A35" s="75">
        <v>160</v>
      </c>
      <c r="B35" s="38" t="s">
        <v>103</v>
      </c>
      <c r="C35" s="3" t="s">
        <v>104</v>
      </c>
      <c r="D35" s="3" t="s">
        <v>105</v>
      </c>
      <c r="E35" s="39">
        <v>44481</v>
      </c>
      <c r="F35" s="3" t="s">
        <v>106</v>
      </c>
      <c r="G35" s="3" t="s">
        <v>122</v>
      </c>
      <c r="H35" s="40">
        <v>2008</v>
      </c>
      <c r="I35" s="40" t="s">
        <v>108</v>
      </c>
      <c r="J35" s="40" t="s">
        <v>123</v>
      </c>
      <c r="K35" s="76">
        <v>151.5</v>
      </c>
      <c r="L35" s="76">
        <v>151.69999999999999</v>
      </c>
      <c r="M35" s="76"/>
      <c r="N35" s="76">
        <v>133</v>
      </c>
      <c r="O35" s="76">
        <v>133.5</v>
      </c>
      <c r="P35" s="76">
        <v>133.5</v>
      </c>
      <c r="Q35" s="76">
        <v>35</v>
      </c>
      <c r="R35" s="76">
        <v>35</v>
      </c>
      <c r="S35" s="76"/>
      <c r="T35" s="42">
        <v>151.6</v>
      </c>
      <c r="U35" s="42">
        <f>AVERAGE(paper3[[#This Row],[Sittende høyde 1]:[Sittende høyde 3]])-56.2</f>
        <v>77.13333333333334</v>
      </c>
      <c r="V35" s="12">
        <f>paper3[[#This Row],[height]]-paper3[[#This Row],[sittingheight]]</f>
        <v>74.466666666666654</v>
      </c>
      <c r="W35" s="73">
        <v>35</v>
      </c>
      <c r="X35" s="43" cm="1">
        <f t="array" ref="X35">INDEX([1]!phvny[yphv], MATCH(1, (paper3[[#This Row],[id]]=[1]!phvny[id])*(paper3[[#This Row],[time]]=[1]!phvny[time]), 0))</f>
        <v>-1.5808741792508554</v>
      </c>
      <c r="Y35" s="3"/>
      <c r="Z35" s="3"/>
      <c r="AA35" s="3"/>
      <c r="AB35" s="3">
        <v>2.08</v>
      </c>
      <c r="AC35" s="3">
        <v>3.59</v>
      </c>
      <c r="AD35" s="3">
        <v>5.04</v>
      </c>
      <c r="AE35" s="3">
        <v>2.0699999999999998</v>
      </c>
      <c r="AF35" s="3">
        <v>3.6</v>
      </c>
      <c r="AG35" s="3">
        <v>5.09</v>
      </c>
      <c r="AH35" s="44">
        <v>2.0699999999999998</v>
      </c>
      <c r="AI35" s="44">
        <v>3.59</v>
      </c>
      <c r="AJ35" s="44">
        <v>5.04</v>
      </c>
      <c r="AK35" s="45">
        <v>6.8965517241379306</v>
      </c>
      <c r="AL35" s="3" t="s">
        <v>149</v>
      </c>
      <c r="AM35" s="3"/>
      <c r="AN35" s="3"/>
      <c r="AO35" s="3"/>
      <c r="AP35" s="3"/>
      <c r="AQ35" s="47"/>
      <c r="AR35" s="47"/>
      <c r="AS35" s="76">
        <v>32.06</v>
      </c>
      <c r="AT35" s="76"/>
      <c r="AU35" s="76"/>
      <c r="AV35" s="76"/>
      <c r="AW35" s="76"/>
      <c r="AX35" s="48">
        <v>32.06</v>
      </c>
      <c r="AY35" s="3"/>
      <c r="AZ35" s="3">
        <v>6</v>
      </c>
      <c r="BA35" s="3">
        <v>180</v>
      </c>
      <c r="BB35" s="3">
        <v>10</v>
      </c>
      <c r="BC35" s="3">
        <v>196</v>
      </c>
      <c r="BD35" s="40">
        <v>768.65870624957029</v>
      </c>
      <c r="BE35" s="40">
        <v>759.42606797720487</v>
      </c>
      <c r="BF35" s="40"/>
      <c r="BG35" s="40">
        <v>297.89715857926763</v>
      </c>
      <c r="BH35" s="40">
        <v>282.20109353235353</v>
      </c>
      <c r="BI35" s="49">
        <v>1528.0847742267752</v>
      </c>
      <c r="BJ35" s="49">
        <v>580.09825211162115</v>
      </c>
      <c r="BK35" s="66">
        <v>1.2157389193864887E-2</v>
      </c>
      <c r="BL35" s="66">
        <v>5.5620142538939543E-2</v>
      </c>
      <c r="BM35" s="51">
        <v>43.659564977907863</v>
      </c>
      <c r="BN35" s="51">
        <v>16.574235774617748</v>
      </c>
      <c r="BO35" s="52"/>
      <c r="BP35" s="77"/>
      <c r="BQ35" s="77"/>
      <c r="BR35" s="67"/>
      <c r="BS35" s="54" t="s">
        <v>110</v>
      </c>
      <c r="BT35" s="3">
        <v>86</v>
      </c>
      <c r="BU35" s="40">
        <v>89</v>
      </c>
      <c r="BV35" s="3">
        <v>68</v>
      </c>
      <c r="BW35" s="3">
        <v>78</v>
      </c>
      <c r="BX35" s="70">
        <v>-3.3707865168539297E-2</v>
      </c>
      <c r="BY35" s="70">
        <v>-0.12820512820512819</v>
      </c>
      <c r="BZ35" s="64">
        <v>1.141025641025641</v>
      </c>
      <c r="CA35" s="59">
        <v>1.2647058823529411</v>
      </c>
      <c r="CB35" s="59">
        <v>1.8616666666666666</v>
      </c>
      <c r="CC35" s="59">
        <v>1.5531619047619045</v>
      </c>
      <c r="CD35" s="60"/>
      <c r="CE35" s="60"/>
      <c r="CF35" s="61"/>
      <c r="CG35" s="61"/>
      <c r="CH35" s="61"/>
      <c r="CI35" s="41"/>
      <c r="CJ35" s="40"/>
      <c r="CK35" s="3"/>
      <c r="CL35" s="62"/>
      <c r="CM35" s="63" t="s">
        <v>110</v>
      </c>
      <c r="CN35" s="3">
        <v>89</v>
      </c>
      <c r="CO35" s="3">
        <v>78</v>
      </c>
      <c r="CP35" s="41">
        <v>12.872222222222222</v>
      </c>
      <c r="CQ35" s="3" t="s">
        <v>110</v>
      </c>
      <c r="CR35" s="40">
        <v>87.5</v>
      </c>
      <c r="CS35" s="80">
        <v>73</v>
      </c>
      <c r="CT35" s="80" t="s">
        <v>110</v>
      </c>
      <c r="CU35" s="80"/>
      <c r="CV35" s="80"/>
      <c r="CW35" s="80"/>
      <c r="CX35" s="80"/>
      <c r="CY35" s="80">
        <v>0</v>
      </c>
      <c r="CZ35" s="80"/>
      <c r="DA35" s="80"/>
      <c r="DB35" s="65">
        <v>16.600000000000001</v>
      </c>
      <c r="DC35" s="65">
        <v>1320</v>
      </c>
    </row>
    <row r="36" spans="1:107" ht="15.95" customHeight="1">
      <c r="A36" s="75">
        <v>161</v>
      </c>
      <c r="B36" s="38" t="s">
        <v>103</v>
      </c>
      <c r="C36" s="3" t="s">
        <v>104</v>
      </c>
      <c r="D36" s="3" t="s">
        <v>105</v>
      </c>
      <c r="E36" s="39">
        <v>44481</v>
      </c>
      <c r="F36" s="3" t="s">
        <v>106</v>
      </c>
      <c r="G36" s="3" t="s">
        <v>122</v>
      </c>
      <c r="H36" s="40">
        <v>2008</v>
      </c>
      <c r="I36" s="40" t="s">
        <v>108</v>
      </c>
      <c r="J36" s="40" t="s">
        <v>123</v>
      </c>
      <c r="K36" s="78">
        <v>157.80000000000001</v>
      </c>
      <c r="L36" s="78">
        <v>157.80000000000001</v>
      </c>
      <c r="M36" s="78"/>
      <c r="N36" s="78">
        <v>135.4</v>
      </c>
      <c r="O36" s="78">
        <v>135.5</v>
      </c>
      <c r="P36" s="78"/>
      <c r="Q36" s="78">
        <v>48</v>
      </c>
      <c r="R36" s="78">
        <v>48</v>
      </c>
      <c r="S36" s="78"/>
      <c r="T36" s="42">
        <v>157.80000000000001</v>
      </c>
      <c r="U36" s="42">
        <f>AVERAGE(paper3[[#This Row],[Sittende høyde 1]:[Sittende høyde 3]])-56.2</f>
        <v>79.249999999999986</v>
      </c>
      <c r="V36" s="12">
        <f>paper3[[#This Row],[height]]-paper3[[#This Row],[sittingheight]]</f>
        <v>78.550000000000026</v>
      </c>
      <c r="W36" s="73">
        <v>48</v>
      </c>
      <c r="X36" s="43" cm="1">
        <f t="array" ref="X36">INDEX([1]!phvny[yphv], MATCH(1, (paper3[[#This Row],[id]]=[1]!phvny[id])*(paper3[[#This Row],[time]]=[1]!phvny[time]), 0))</f>
        <v>-1.029926238074039</v>
      </c>
      <c r="Y36" s="3">
        <v>2.13</v>
      </c>
      <c r="Z36" s="3">
        <v>3.66</v>
      </c>
      <c r="AA36" s="3">
        <v>5.1100000000000003</v>
      </c>
      <c r="AB36" s="3">
        <v>2.12</v>
      </c>
      <c r="AC36" s="3">
        <v>3.64</v>
      </c>
      <c r="AD36" s="3">
        <v>5.12</v>
      </c>
      <c r="AE36" s="3">
        <v>2.13</v>
      </c>
      <c r="AF36" s="3">
        <v>3.68</v>
      </c>
      <c r="AG36" s="3">
        <v>5.16</v>
      </c>
      <c r="AH36" s="44">
        <v>2.12</v>
      </c>
      <c r="AI36" s="44">
        <v>3.64</v>
      </c>
      <c r="AJ36" s="44">
        <v>5.1100000000000003</v>
      </c>
      <c r="AK36" s="45">
        <v>6.8027210884353728</v>
      </c>
      <c r="AL36" s="3">
        <v>11.38</v>
      </c>
      <c r="AM36" s="3">
        <v>11.45</v>
      </c>
      <c r="AN36" s="46"/>
      <c r="AO36" s="3">
        <v>11.64</v>
      </c>
      <c r="AP36" s="3">
        <v>11.38</v>
      </c>
      <c r="AQ36" s="47">
        <v>11.38</v>
      </c>
      <c r="AR36" s="47">
        <v>11.64</v>
      </c>
      <c r="AS36" s="78">
        <v>26.11</v>
      </c>
      <c r="AT36" s="78">
        <v>27.07</v>
      </c>
      <c r="AU36" s="78">
        <v>26.38</v>
      </c>
      <c r="AV36" s="78"/>
      <c r="AW36" s="76"/>
      <c r="AX36" s="48">
        <v>27.07</v>
      </c>
      <c r="AY36" s="3"/>
      <c r="AZ36" s="3">
        <v>8</v>
      </c>
      <c r="BA36" s="3">
        <v>220</v>
      </c>
      <c r="BB36" s="3">
        <v>11</v>
      </c>
      <c r="BC36" s="3">
        <v>260</v>
      </c>
      <c r="BD36" s="40">
        <v>959.54306249878459</v>
      </c>
      <c r="BE36" s="40">
        <v>952.63618970000425</v>
      </c>
      <c r="BF36" s="40"/>
      <c r="BG36" s="40">
        <v>305.14845949767897</v>
      </c>
      <c r="BH36" s="40">
        <v>331.53400459303907</v>
      </c>
      <c r="BI36" s="49">
        <v>1912.1792521987888</v>
      </c>
      <c r="BJ36" s="49">
        <v>636.68246409071799</v>
      </c>
      <c r="BK36" s="66">
        <v>7.2502733713648571E-3</v>
      </c>
      <c r="BL36" s="66">
        <v>-7.9586240716841727E-2</v>
      </c>
      <c r="BM36" s="51">
        <v>39.837067754141437</v>
      </c>
      <c r="BN36" s="51">
        <v>13.264218001889958</v>
      </c>
      <c r="BO36" s="52">
        <v>174</v>
      </c>
      <c r="BP36" s="79">
        <v>137</v>
      </c>
      <c r="BQ36" s="79">
        <v>174</v>
      </c>
      <c r="BR36" s="67">
        <v>-0.21264367816091956</v>
      </c>
      <c r="BS36" s="54">
        <v>3.2395833333333335</v>
      </c>
      <c r="BT36" s="3">
        <v>113</v>
      </c>
      <c r="BU36" s="40">
        <v>114</v>
      </c>
      <c r="BV36" s="3">
        <v>98</v>
      </c>
      <c r="BW36" s="3">
        <v>108</v>
      </c>
      <c r="BX36" s="70">
        <v>-8.7719298245614308E-3</v>
      </c>
      <c r="BY36" s="70">
        <v>-9.259259259259256E-2</v>
      </c>
      <c r="BZ36" s="64">
        <v>1.0555555555555556</v>
      </c>
      <c r="CA36" s="59">
        <v>1.153061224489796</v>
      </c>
      <c r="CB36" s="59">
        <v>1.8573802083333339</v>
      </c>
      <c r="CC36" s="59">
        <v>1.6855520833333342</v>
      </c>
      <c r="CD36" s="60"/>
      <c r="CE36" s="60"/>
      <c r="CF36" s="61"/>
      <c r="CG36" s="61"/>
      <c r="CH36" s="61"/>
      <c r="CI36" s="41"/>
      <c r="CJ36" s="40"/>
      <c r="CK36" s="3"/>
      <c r="CL36" s="62">
        <v>34600</v>
      </c>
      <c r="CM36" s="63">
        <v>34.6</v>
      </c>
      <c r="CN36" s="3">
        <v>114</v>
      </c>
      <c r="CO36" s="3">
        <v>108</v>
      </c>
      <c r="CP36" s="41">
        <v>13.197222222222223</v>
      </c>
      <c r="CQ36" s="3" t="s">
        <v>150</v>
      </c>
      <c r="CR36" s="40">
        <v>113.5</v>
      </c>
      <c r="CS36" s="80">
        <v>103</v>
      </c>
      <c r="CT36" s="80">
        <v>155.5</v>
      </c>
      <c r="CU36" s="80"/>
      <c r="CV36" s="80"/>
      <c r="CW36" s="80"/>
      <c r="CX36" s="80"/>
      <c r="CY36" s="80">
        <v>0</v>
      </c>
      <c r="CZ36" s="80"/>
      <c r="DA36" s="80"/>
      <c r="DB36" s="65">
        <v>16.7</v>
      </c>
      <c r="DC36" s="65">
        <v>1360</v>
      </c>
    </row>
    <row r="37" spans="1:107" ht="15.95" customHeight="1">
      <c r="A37" s="75">
        <v>162</v>
      </c>
      <c r="B37" s="38" t="s">
        <v>103</v>
      </c>
      <c r="C37" s="3" t="s">
        <v>104</v>
      </c>
      <c r="D37" s="3" t="s">
        <v>105</v>
      </c>
      <c r="E37" s="39">
        <v>44481</v>
      </c>
      <c r="F37" s="3" t="s">
        <v>106</v>
      </c>
      <c r="G37" s="3" t="s">
        <v>122</v>
      </c>
      <c r="H37" s="40">
        <v>2008</v>
      </c>
      <c r="I37" s="40" t="s">
        <v>108</v>
      </c>
      <c r="J37" s="40" t="s">
        <v>123</v>
      </c>
      <c r="K37" s="76">
        <v>156.4</v>
      </c>
      <c r="L37" s="76">
        <v>156.30000000000001</v>
      </c>
      <c r="M37" s="76"/>
      <c r="N37" s="76">
        <v>131.4</v>
      </c>
      <c r="O37" s="76">
        <v>131.5</v>
      </c>
      <c r="P37" s="76"/>
      <c r="Q37" s="76">
        <v>43.8</v>
      </c>
      <c r="R37" s="76">
        <v>43.8</v>
      </c>
      <c r="S37" s="76"/>
      <c r="T37" s="42">
        <v>156.35000000000002</v>
      </c>
      <c r="U37" s="42">
        <f>AVERAGE(paper3[[#This Row],[Sittende høyde 1]:[Sittende høyde 3]])-56.2</f>
        <v>75.249999999999986</v>
      </c>
      <c r="V37" s="12">
        <f>paper3[[#This Row],[height]]-paper3[[#This Row],[sittingheight]]</f>
        <v>81.100000000000037</v>
      </c>
      <c r="W37" s="73">
        <v>43.8</v>
      </c>
      <c r="X37" s="43" cm="1">
        <f t="array" ref="X37">INDEX([1]!phvny[yphv], MATCH(1, (paper3[[#This Row],[id]]=[1]!phvny[id])*(paper3[[#This Row],[time]]=[1]!phvny[time]), 0))</f>
        <v>-1.5391697853046078</v>
      </c>
      <c r="Y37" s="3">
        <v>2.02</v>
      </c>
      <c r="Z37" s="3">
        <v>3.51</v>
      </c>
      <c r="AA37" s="3">
        <v>4.92</v>
      </c>
      <c r="AB37" s="3">
        <v>2.06</v>
      </c>
      <c r="AC37" s="3">
        <v>3.62</v>
      </c>
      <c r="AD37" s="3">
        <v>5.12</v>
      </c>
      <c r="AE37" s="3">
        <v>2.12</v>
      </c>
      <c r="AF37" s="3">
        <v>3.64</v>
      </c>
      <c r="AG37" s="3">
        <v>5.17</v>
      </c>
      <c r="AH37" s="44">
        <v>2.02</v>
      </c>
      <c r="AI37" s="44">
        <v>3.51</v>
      </c>
      <c r="AJ37" s="44">
        <v>4.92</v>
      </c>
      <c r="AK37" s="45">
        <v>7.0921985815602833</v>
      </c>
      <c r="AL37" s="3">
        <v>10.79</v>
      </c>
      <c r="AM37" s="3">
        <v>10.81</v>
      </c>
      <c r="AN37" s="3">
        <v>11.39</v>
      </c>
      <c r="AO37" s="3">
        <v>11.28</v>
      </c>
      <c r="AP37" s="3">
        <v>10.79</v>
      </c>
      <c r="AQ37" s="47">
        <v>10.79</v>
      </c>
      <c r="AR37" s="47">
        <v>11.28</v>
      </c>
      <c r="AS37" s="76">
        <v>26.74</v>
      </c>
      <c r="AT37" s="76">
        <v>26.2</v>
      </c>
      <c r="AU37" s="76">
        <v>28.72</v>
      </c>
      <c r="AV37" s="76">
        <v>28.92</v>
      </c>
      <c r="AW37" s="76"/>
      <c r="AX37" s="48">
        <v>28.92</v>
      </c>
      <c r="AY37" s="3"/>
      <c r="AZ37" s="3"/>
      <c r="BA37" s="3"/>
      <c r="BB37" s="3"/>
      <c r="BC37" s="3"/>
      <c r="BD37" s="40"/>
      <c r="BE37" s="40"/>
      <c r="BF37" s="40"/>
      <c r="BG37" s="40"/>
      <c r="BH37" s="40"/>
      <c r="BI37" s="49"/>
      <c r="BJ37" s="49"/>
      <c r="BK37" s="66"/>
      <c r="BL37" s="66"/>
      <c r="BM37" s="51"/>
      <c r="BN37" s="51"/>
      <c r="BO37" s="52">
        <v>272</v>
      </c>
      <c r="BP37" s="77">
        <v>215</v>
      </c>
      <c r="BQ37" s="77">
        <v>272</v>
      </c>
      <c r="BR37" s="67">
        <v>-0.2095588235294118</v>
      </c>
      <c r="BS37" s="54">
        <v>5.5593607305936077</v>
      </c>
      <c r="BT37" s="3">
        <v>84</v>
      </c>
      <c r="BU37" s="40">
        <v>81</v>
      </c>
      <c r="BV37" s="3">
        <v>83</v>
      </c>
      <c r="BW37" s="3">
        <v>77</v>
      </c>
      <c r="BX37" s="70">
        <v>3.7037037037036979E-2</v>
      </c>
      <c r="BY37" s="70">
        <v>7.7922077922077948E-2</v>
      </c>
      <c r="BZ37" s="64">
        <v>1.051948051948052</v>
      </c>
      <c r="CA37" s="59">
        <v>1.0120481927710843</v>
      </c>
      <c r="CB37" s="59">
        <v>1.5275684931506857</v>
      </c>
      <c r="CC37" s="59">
        <v>1.481278538812786</v>
      </c>
      <c r="CD37" s="60"/>
      <c r="CE37" s="60"/>
      <c r="CF37" s="61"/>
      <c r="CG37" s="61"/>
      <c r="CH37" s="61"/>
      <c r="CI37" s="41">
        <v>14.6</v>
      </c>
      <c r="CJ37" s="40">
        <f>VLOOKUP(paper3[[#This Row],[YYIR nivå]],$DB:$DC,2)</f>
        <v>680</v>
      </c>
      <c r="CK37" s="3" t="s">
        <v>129</v>
      </c>
      <c r="CL37" s="62">
        <v>33652</v>
      </c>
      <c r="CM37" s="63">
        <v>33.652000000000001</v>
      </c>
      <c r="CN37" s="3">
        <v>84</v>
      </c>
      <c r="CO37" s="3">
        <v>83</v>
      </c>
      <c r="CP37" s="41">
        <v>13.236111111111111</v>
      </c>
      <c r="CQ37" s="3" t="s">
        <v>151</v>
      </c>
      <c r="CR37" s="40">
        <v>82.5</v>
      </c>
      <c r="CS37" s="80">
        <v>80</v>
      </c>
      <c r="CT37" s="80">
        <v>243.5</v>
      </c>
      <c r="CU37" s="80"/>
      <c r="CV37" s="80"/>
      <c r="CW37" s="80"/>
      <c r="CX37" s="80"/>
      <c r="CY37" s="80">
        <v>0</v>
      </c>
      <c r="CZ37" s="80"/>
      <c r="DA37" s="80"/>
      <c r="DB37" s="65">
        <v>16.8</v>
      </c>
      <c r="DC37" s="65">
        <v>1400</v>
      </c>
    </row>
    <row r="38" spans="1:107" ht="15.95" customHeight="1">
      <c r="A38" s="75">
        <v>163</v>
      </c>
      <c r="B38" s="38" t="s">
        <v>103</v>
      </c>
      <c r="C38" s="3" t="s">
        <v>104</v>
      </c>
      <c r="D38" s="3" t="s">
        <v>105</v>
      </c>
      <c r="E38" s="39">
        <v>44481</v>
      </c>
      <c r="F38" s="3" t="s">
        <v>106</v>
      </c>
      <c r="G38" s="3" t="s">
        <v>122</v>
      </c>
      <c r="H38" s="40">
        <v>2008</v>
      </c>
      <c r="I38" s="40" t="s">
        <v>108</v>
      </c>
      <c r="J38" s="40" t="s">
        <v>123</v>
      </c>
      <c r="K38" s="78">
        <v>171</v>
      </c>
      <c r="L38" s="78">
        <v>171</v>
      </c>
      <c r="M38" s="78"/>
      <c r="N38" s="78">
        <v>139.9</v>
      </c>
      <c r="O38" s="78">
        <v>139.5</v>
      </c>
      <c r="P38" s="78">
        <v>139.69999999999999</v>
      </c>
      <c r="Q38" s="78">
        <v>51.3</v>
      </c>
      <c r="R38" s="78">
        <v>51.3</v>
      </c>
      <c r="S38" s="78"/>
      <c r="T38" s="42">
        <v>171</v>
      </c>
      <c r="U38" s="42">
        <f>AVERAGE(paper3[[#This Row],[Sittende høyde 1]:[Sittende høyde 3]])-56.2</f>
        <v>83.499999999999986</v>
      </c>
      <c r="V38" s="12">
        <f>paper3[[#This Row],[height]]-paper3[[#This Row],[sittingheight]]</f>
        <v>87.500000000000014</v>
      </c>
      <c r="W38" s="73">
        <v>51.3</v>
      </c>
      <c r="X38" s="43" cm="1">
        <f t="array" ref="X38">INDEX([1]!phvny[yphv], MATCH(1, (paper3[[#This Row],[id]]=[1]!phvny[id])*(paper3[[#This Row],[time]]=[1]!phvny[time]), 0))</f>
        <v>-0.30610653055555814</v>
      </c>
      <c r="Y38" s="3">
        <v>2.06</v>
      </c>
      <c r="Z38" s="3">
        <v>3.44</v>
      </c>
      <c r="AA38" s="3">
        <v>4.79</v>
      </c>
      <c r="AB38" s="3">
        <v>2.1</v>
      </c>
      <c r="AC38" s="3">
        <v>3.51</v>
      </c>
      <c r="AD38" s="3">
        <v>4.87</v>
      </c>
      <c r="AE38" s="3">
        <v>2.12</v>
      </c>
      <c r="AF38" s="3">
        <v>3.53</v>
      </c>
      <c r="AG38" s="3">
        <v>4.9000000000000004</v>
      </c>
      <c r="AH38" s="44">
        <v>2.06</v>
      </c>
      <c r="AI38" s="44">
        <v>3.44</v>
      </c>
      <c r="AJ38" s="44">
        <v>4.79</v>
      </c>
      <c r="AK38" s="45">
        <v>7.4074074074074066</v>
      </c>
      <c r="AL38" s="3">
        <v>10.86</v>
      </c>
      <c r="AM38" s="3">
        <v>10.92</v>
      </c>
      <c r="AN38" s="3">
        <v>11.06</v>
      </c>
      <c r="AO38" s="3">
        <v>10.93</v>
      </c>
      <c r="AP38" s="3">
        <v>10.86</v>
      </c>
      <c r="AQ38" s="47">
        <v>10.86</v>
      </c>
      <c r="AR38" s="47">
        <v>10.93</v>
      </c>
      <c r="AS38" s="78">
        <v>25.62</v>
      </c>
      <c r="AT38" s="78">
        <v>26.24</v>
      </c>
      <c r="AU38" s="78">
        <v>30.25</v>
      </c>
      <c r="AV38" s="78">
        <v>28.02</v>
      </c>
      <c r="AW38" s="76"/>
      <c r="AX38" s="48">
        <v>30.25</v>
      </c>
      <c r="AY38" s="3"/>
      <c r="AZ38" s="3">
        <v>10</v>
      </c>
      <c r="BA38" s="3">
        <v>240</v>
      </c>
      <c r="BB38" s="3">
        <v>9</v>
      </c>
      <c r="BC38" s="3">
        <v>239</v>
      </c>
      <c r="BD38" s="40">
        <v>977.09593684072752</v>
      </c>
      <c r="BE38" s="40">
        <v>918.37533230043459</v>
      </c>
      <c r="BF38" s="40"/>
      <c r="BG38" s="40">
        <v>377.38623153667868</v>
      </c>
      <c r="BH38" s="40">
        <v>326.02267330658213</v>
      </c>
      <c r="BI38" s="49">
        <v>1895.4712691411621</v>
      </c>
      <c r="BJ38" s="49">
        <v>703.40890484326087</v>
      </c>
      <c r="BK38" s="66">
        <v>6.393965786646727E-2</v>
      </c>
      <c r="BL38" s="66">
        <v>0.15754596976080792</v>
      </c>
      <c r="BM38" s="51">
        <v>36.94875768306359</v>
      </c>
      <c r="BN38" s="51">
        <v>13.711674558348166</v>
      </c>
      <c r="BO38" s="52">
        <v>206</v>
      </c>
      <c r="BP38" s="79">
        <v>179</v>
      </c>
      <c r="BQ38" s="79">
        <v>206</v>
      </c>
      <c r="BR38" s="67">
        <v>-0.1310679611650486</v>
      </c>
      <c r="BS38" s="54">
        <v>3.7524366471734893</v>
      </c>
      <c r="BT38" s="3">
        <v>105</v>
      </c>
      <c r="BU38" s="40">
        <v>109</v>
      </c>
      <c r="BV38" s="3">
        <v>97</v>
      </c>
      <c r="BW38" s="3">
        <v>96</v>
      </c>
      <c r="BX38" s="70">
        <v>-3.669724770642202E-2</v>
      </c>
      <c r="BY38" s="70">
        <v>1.0416666666666741E-2</v>
      </c>
      <c r="BZ38" s="64">
        <v>1.1354166666666667</v>
      </c>
      <c r="CA38" s="59">
        <v>1.0824742268041236</v>
      </c>
      <c r="CB38" s="59">
        <v>1.8250487329434701</v>
      </c>
      <c r="CC38" s="59">
        <v>1.6459551656920082</v>
      </c>
      <c r="CD38" s="60"/>
      <c r="CE38" s="60"/>
      <c r="CF38" s="61"/>
      <c r="CG38" s="61"/>
      <c r="CH38" s="61"/>
      <c r="CI38" s="41"/>
      <c r="CJ38" s="40"/>
      <c r="CK38" s="3"/>
      <c r="CL38" s="62">
        <v>43221</v>
      </c>
      <c r="CM38" s="63">
        <v>43.220999999999997</v>
      </c>
      <c r="CN38" s="3">
        <v>109</v>
      </c>
      <c r="CO38" s="3">
        <v>97</v>
      </c>
      <c r="CP38" s="41">
        <v>13.705555555555556</v>
      </c>
      <c r="CQ38" s="3" t="s">
        <v>152</v>
      </c>
      <c r="CR38" s="40">
        <v>107</v>
      </c>
      <c r="CS38" s="80">
        <v>96.5</v>
      </c>
      <c r="CT38" s="80">
        <v>192.5</v>
      </c>
      <c r="CU38" s="80"/>
      <c r="CV38" s="80"/>
      <c r="CW38" s="80"/>
      <c r="CX38" s="80"/>
      <c r="CY38" s="80">
        <v>0</v>
      </c>
      <c r="CZ38" s="80"/>
      <c r="DA38" s="80"/>
      <c r="DB38" s="65">
        <v>17.100000000000001</v>
      </c>
      <c r="DC38" s="65">
        <v>1440</v>
      </c>
    </row>
    <row r="39" spans="1:107" ht="15.75" customHeight="1">
      <c r="A39" s="75">
        <v>164</v>
      </c>
      <c r="B39" s="38" t="s">
        <v>103</v>
      </c>
      <c r="C39" s="3" t="s">
        <v>104</v>
      </c>
      <c r="D39" s="3" t="s">
        <v>105</v>
      </c>
      <c r="E39" s="39">
        <v>44481</v>
      </c>
      <c r="F39" s="3" t="s">
        <v>106</v>
      </c>
      <c r="G39" s="3" t="s">
        <v>122</v>
      </c>
      <c r="H39" s="40">
        <v>2008</v>
      </c>
      <c r="I39" s="40" t="s">
        <v>108</v>
      </c>
      <c r="J39" s="40" t="s">
        <v>123</v>
      </c>
      <c r="K39" s="76">
        <v>155.4</v>
      </c>
      <c r="L39" s="76">
        <v>154.80000000000001</v>
      </c>
      <c r="M39" s="76">
        <v>154.6</v>
      </c>
      <c r="N39" s="76">
        <v>131.80000000000001</v>
      </c>
      <c r="O39" s="76">
        <v>132.5</v>
      </c>
      <c r="P39" s="76">
        <v>132.69999999999999</v>
      </c>
      <c r="Q39" s="76">
        <v>45.6</v>
      </c>
      <c r="R39" s="76">
        <v>45.6</v>
      </c>
      <c r="S39" s="76"/>
      <c r="T39" s="42">
        <v>154.93333333333337</v>
      </c>
      <c r="U39" s="42">
        <f>AVERAGE(paper3[[#This Row],[Sittende høyde 1]:[Sittende høyde 3]])-56.2</f>
        <v>76.13333333333334</v>
      </c>
      <c r="V39" s="12">
        <f>paper3[[#This Row],[height]]-paper3[[#This Row],[sittingheight]]</f>
        <v>78.800000000000026</v>
      </c>
      <c r="W39" s="73">
        <v>45.6</v>
      </c>
      <c r="X39" s="43" cm="1">
        <f t="array" ref="X39">INDEX([1]!phvny[yphv], MATCH(1, (paper3[[#This Row],[id]]=[1]!phvny[id])*(paper3[[#This Row],[time]]=[1]!phvny[time]), 0))</f>
        <v>-1.400856261295085</v>
      </c>
      <c r="Y39" s="3">
        <v>2.0699999999999998</v>
      </c>
      <c r="Z39" s="3">
        <v>3.61</v>
      </c>
      <c r="AA39" s="3">
        <v>5.09</v>
      </c>
      <c r="AB39" s="3">
        <v>2.08</v>
      </c>
      <c r="AC39" s="3">
        <v>3.6</v>
      </c>
      <c r="AD39" s="3">
        <v>5.1100000000000003</v>
      </c>
      <c r="AE39" s="3">
        <v>2.08</v>
      </c>
      <c r="AF39" s="3">
        <v>3.62</v>
      </c>
      <c r="AG39" s="3">
        <v>5.12</v>
      </c>
      <c r="AH39" s="44">
        <v>2.0699999999999998</v>
      </c>
      <c r="AI39" s="44">
        <v>3.6</v>
      </c>
      <c r="AJ39" s="44">
        <v>5.09</v>
      </c>
      <c r="AK39" s="45">
        <v>6.7114093959731553</v>
      </c>
      <c r="AL39" s="3">
        <v>10.89</v>
      </c>
      <c r="AM39" s="46"/>
      <c r="AN39" s="3"/>
      <c r="AO39" s="3">
        <v>11.09</v>
      </c>
      <c r="AP39" s="3">
        <v>10.89</v>
      </c>
      <c r="AQ39" s="47">
        <v>10.89</v>
      </c>
      <c r="AR39" s="47">
        <v>11.09</v>
      </c>
      <c r="AS39" s="76">
        <v>25.22</v>
      </c>
      <c r="AT39" s="76">
        <v>18</v>
      </c>
      <c r="AU39" s="76">
        <v>25.79</v>
      </c>
      <c r="AV39" s="76"/>
      <c r="AW39" s="76"/>
      <c r="AX39" s="48">
        <v>25.79</v>
      </c>
      <c r="AY39" s="3"/>
      <c r="AZ39" s="3">
        <v>8</v>
      </c>
      <c r="BA39" s="3">
        <v>220</v>
      </c>
      <c r="BB39" s="3">
        <v>11</v>
      </c>
      <c r="BC39" s="3">
        <v>260</v>
      </c>
      <c r="BD39" s="40">
        <v>1008.0436435617203</v>
      </c>
      <c r="BE39" s="40">
        <v>953.27763074283121</v>
      </c>
      <c r="BF39" s="40"/>
      <c r="BG39" s="40">
        <v>389.4501570066061</v>
      </c>
      <c r="BH39" s="40">
        <v>337.4044039328536</v>
      </c>
      <c r="BI39" s="49">
        <v>1961.3212743045515</v>
      </c>
      <c r="BJ39" s="49">
        <v>726.8545609394597</v>
      </c>
      <c r="BK39" s="66">
        <v>5.7450223369044373E-2</v>
      </c>
      <c r="BL39" s="66">
        <v>0.1542533306237166</v>
      </c>
      <c r="BM39" s="51">
        <v>43.011431454047177</v>
      </c>
      <c r="BN39" s="51">
        <v>15.939793003058327</v>
      </c>
      <c r="BO39" s="52">
        <v>267</v>
      </c>
      <c r="BP39" s="77">
        <v>227</v>
      </c>
      <c r="BQ39" s="77">
        <v>267</v>
      </c>
      <c r="BR39" s="67">
        <v>-0.14981273408239704</v>
      </c>
      <c r="BS39" s="54">
        <v>5.4166666666666661</v>
      </c>
      <c r="BT39" s="3">
        <v>126</v>
      </c>
      <c r="BU39" s="40">
        <v>159</v>
      </c>
      <c r="BV39" s="3">
        <v>104</v>
      </c>
      <c r="BW39" s="3">
        <v>103</v>
      </c>
      <c r="BX39" s="70">
        <v>-0.20754716981132071</v>
      </c>
      <c r="BY39" s="70">
        <v>9.7087378640776656E-3</v>
      </c>
      <c r="BZ39" s="64">
        <v>1.5436893203883495</v>
      </c>
      <c r="CA39" s="59">
        <v>1.2115384615384615</v>
      </c>
      <c r="CB39" s="59">
        <v>2.4625000000000008</v>
      </c>
      <c r="CC39" s="59">
        <v>1.7885526315789477</v>
      </c>
      <c r="CD39" s="60">
        <v>89</v>
      </c>
      <c r="CE39" s="60">
        <v>64</v>
      </c>
      <c r="CF39" s="61">
        <v>1.9517543859649122</v>
      </c>
      <c r="CG39" s="61">
        <v>1.4035087719298245</v>
      </c>
      <c r="CH39" s="61">
        <v>0.7191011235955056</v>
      </c>
      <c r="CI39" s="41">
        <v>14.7</v>
      </c>
      <c r="CJ39" s="40">
        <f>VLOOKUP(paper3[[#This Row],[YYIR nivå]],$DB:$DC,2)</f>
        <v>720</v>
      </c>
      <c r="CK39" s="3" t="s">
        <v>129</v>
      </c>
      <c r="CL39" s="62"/>
      <c r="CM39" s="63" t="s">
        <v>110</v>
      </c>
      <c r="CN39" s="3">
        <v>159</v>
      </c>
      <c r="CO39" s="3">
        <v>104</v>
      </c>
      <c r="CP39" s="41">
        <v>13.233333333333333</v>
      </c>
      <c r="CQ39" s="3" t="s">
        <v>110</v>
      </c>
      <c r="CR39" s="40">
        <v>142.5</v>
      </c>
      <c r="CS39" s="40">
        <v>103.5</v>
      </c>
      <c r="CT39" s="40">
        <v>247</v>
      </c>
      <c r="CU39" s="40"/>
      <c r="CV39" s="40"/>
      <c r="CW39" s="40"/>
      <c r="CX39" s="40"/>
      <c r="CY39" s="40">
        <v>0</v>
      </c>
      <c r="CZ39" s="40"/>
      <c r="DA39" s="80"/>
      <c r="DB39" s="65">
        <v>17.2</v>
      </c>
      <c r="DC39" s="65">
        <v>1480</v>
      </c>
    </row>
    <row r="40" spans="1:107" ht="15.95" customHeight="1">
      <c r="A40" s="75">
        <v>165</v>
      </c>
      <c r="B40" s="38" t="s">
        <v>103</v>
      </c>
      <c r="C40" s="3" t="s">
        <v>104</v>
      </c>
      <c r="D40" s="3" t="s">
        <v>105</v>
      </c>
      <c r="E40" s="39">
        <v>44481</v>
      </c>
      <c r="F40" s="3" t="s">
        <v>106</v>
      </c>
      <c r="G40" s="3" t="s">
        <v>122</v>
      </c>
      <c r="H40" s="40">
        <v>2008</v>
      </c>
      <c r="I40" s="40" t="s">
        <v>108</v>
      </c>
      <c r="J40" s="40" t="s">
        <v>123</v>
      </c>
      <c r="K40" s="78">
        <v>161</v>
      </c>
      <c r="L40" s="78">
        <v>160.69999999999999</v>
      </c>
      <c r="M40" s="78">
        <v>160.69999999999999</v>
      </c>
      <c r="N40" s="78">
        <v>137</v>
      </c>
      <c r="O40" s="78">
        <v>137.19999999999999</v>
      </c>
      <c r="P40" s="78"/>
      <c r="Q40" s="78">
        <v>49.9</v>
      </c>
      <c r="R40" s="78">
        <v>49.9</v>
      </c>
      <c r="S40" s="78"/>
      <c r="T40" s="42">
        <v>160.79999999999998</v>
      </c>
      <c r="U40" s="42">
        <f>AVERAGE(paper3[[#This Row],[Sittende høyde 1]:[Sittende høyde 3]])-56.2</f>
        <v>80.899999999999991</v>
      </c>
      <c r="V40" s="12">
        <f>paper3[[#This Row],[height]]-paper3[[#This Row],[sittingheight]]</f>
        <v>79.899999999999991</v>
      </c>
      <c r="W40" s="73">
        <v>49.9</v>
      </c>
      <c r="X40" s="43" cm="1">
        <f t="array" ref="X40">INDEX([1]!phvny[yphv], MATCH(1, (paper3[[#This Row],[id]]=[1]!phvny[id])*(paper3[[#This Row],[time]]=[1]!phvny[time]), 0))</f>
        <v>-0.74977762519237201</v>
      </c>
      <c r="Y40" s="3">
        <v>2.1</v>
      </c>
      <c r="Z40" s="3">
        <v>3.61</v>
      </c>
      <c r="AA40" s="3">
        <v>5.0599999999999996</v>
      </c>
      <c r="AB40" s="3">
        <v>2.08</v>
      </c>
      <c r="AC40" s="3">
        <v>3.59</v>
      </c>
      <c r="AD40" s="3">
        <v>5.05</v>
      </c>
      <c r="AE40" s="3">
        <v>2.09</v>
      </c>
      <c r="AF40" s="3">
        <v>3.62</v>
      </c>
      <c r="AG40" s="3">
        <v>5.08</v>
      </c>
      <c r="AH40" s="44">
        <v>2.08</v>
      </c>
      <c r="AI40" s="44">
        <v>3.59</v>
      </c>
      <c r="AJ40" s="44">
        <v>5.05</v>
      </c>
      <c r="AK40" s="45">
        <v>6.8493150684931505</v>
      </c>
      <c r="AL40" s="3">
        <v>10.81</v>
      </c>
      <c r="AM40" s="3">
        <v>10.63</v>
      </c>
      <c r="AN40" s="3">
        <v>10.78</v>
      </c>
      <c r="AO40" s="3">
        <v>10.76</v>
      </c>
      <c r="AP40" s="3">
        <v>10.63</v>
      </c>
      <c r="AQ40" s="47">
        <v>10.63</v>
      </c>
      <c r="AR40" s="47">
        <v>10.76</v>
      </c>
      <c r="AS40" s="78">
        <v>23.93</v>
      </c>
      <c r="AT40" s="78">
        <v>27.7</v>
      </c>
      <c r="AU40" s="78">
        <v>24.8</v>
      </c>
      <c r="AV40" s="78"/>
      <c r="AW40" s="76"/>
      <c r="AX40" s="48">
        <v>27.7</v>
      </c>
      <c r="AY40" s="3"/>
      <c r="AZ40" s="3">
        <v>8</v>
      </c>
      <c r="BA40" s="3">
        <v>220</v>
      </c>
      <c r="BB40" s="3">
        <v>11</v>
      </c>
      <c r="BC40" s="3">
        <v>260</v>
      </c>
      <c r="BD40" s="40">
        <v>973.04581747888574</v>
      </c>
      <c r="BE40" s="40">
        <v>961.08479682436769</v>
      </c>
      <c r="BF40" s="40"/>
      <c r="BG40" s="40">
        <v>291.38128708668648</v>
      </c>
      <c r="BH40" s="40">
        <v>273.41038216940274</v>
      </c>
      <c r="BI40" s="49">
        <v>1934.1306143032534</v>
      </c>
      <c r="BJ40" s="49">
        <v>564.79166925608922</v>
      </c>
      <c r="BK40" s="66">
        <v>1.2445333329629049E-2</v>
      </c>
      <c r="BL40" s="66">
        <v>6.5728685116826169E-2</v>
      </c>
      <c r="BM40" s="51">
        <v>38.760132551167402</v>
      </c>
      <c r="BN40" s="51">
        <v>11.318470325773331</v>
      </c>
      <c r="BO40" s="52">
        <v>216</v>
      </c>
      <c r="BP40" s="79">
        <v>216</v>
      </c>
      <c r="BQ40" s="79">
        <v>210</v>
      </c>
      <c r="BR40" s="67">
        <v>2.857142857142847E-2</v>
      </c>
      <c r="BS40" s="54">
        <v>4.2685370741482966</v>
      </c>
      <c r="BT40" s="3">
        <v>114</v>
      </c>
      <c r="BU40" s="40">
        <v>139</v>
      </c>
      <c r="BV40" s="3">
        <v>89</v>
      </c>
      <c r="BW40" s="3">
        <v>91</v>
      </c>
      <c r="BX40" s="70">
        <v>-0.17985611510791366</v>
      </c>
      <c r="BY40" s="70">
        <v>-2.1978021978022011E-2</v>
      </c>
      <c r="BZ40" s="64">
        <v>1.5274725274725274</v>
      </c>
      <c r="CA40" s="59">
        <v>1.2808988764044944</v>
      </c>
      <c r="CB40" s="59">
        <v>2.0255210420841685</v>
      </c>
      <c r="CC40" s="59">
        <v>1.4410821643286573</v>
      </c>
      <c r="CD40" s="60">
        <v>76</v>
      </c>
      <c r="CE40" s="60">
        <v>63</v>
      </c>
      <c r="CF40" s="61">
        <v>1.5230460921843687</v>
      </c>
      <c r="CG40" s="61">
        <v>1.2625250501002003</v>
      </c>
      <c r="CH40" s="61">
        <v>0.82894736842105265</v>
      </c>
      <c r="CI40" s="41">
        <v>15.3</v>
      </c>
      <c r="CJ40" s="40">
        <f>VLOOKUP(paper3[[#This Row],[YYIR nivå]],$DB:$DC,2)</f>
        <v>880</v>
      </c>
      <c r="CK40" s="3" t="s">
        <v>129</v>
      </c>
      <c r="CL40" s="62">
        <v>39056</v>
      </c>
      <c r="CM40" s="63">
        <v>39.055999999999997</v>
      </c>
      <c r="CN40" s="3">
        <v>139</v>
      </c>
      <c r="CO40" s="3">
        <v>91</v>
      </c>
      <c r="CP40" s="41">
        <v>13.361111111111111</v>
      </c>
      <c r="CQ40" s="3" t="s">
        <v>153</v>
      </c>
      <c r="CR40" s="40">
        <v>126.5</v>
      </c>
      <c r="CS40" s="40">
        <v>90</v>
      </c>
      <c r="CT40" s="40">
        <v>213</v>
      </c>
      <c r="CU40" s="40"/>
      <c r="CV40" s="40"/>
      <c r="CW40" s="40"/>
      <c r="CX40" s="40"/>
      <c r="CY40" s="40">
        <v>0</v>
      </c>
      <c r="CZ40" s="40"/>
      <c r="DA40" s="40"/>
      <c r="DB40" s="65">
        <v>17.3</v>
      </c>
      <c r="DC40" s="65">
        <v>1520</v>
      </c>
    </row>
    <row r="41" spans="1:107" ht="15.95" customHeight="1">
      <c r="A41" s="75">
        <v>166</v>
      </c>
      <c r="B41" s="38" t="s">
        <v>103</v>
      </c>
      <c r="C41" s="3" t="s">
        <v>104</v>
      </c>
      <c r="D41" s="3" t="s">
        <v>105</v>
      </c>
      <c r="E41" s="39">
        <v>44481</v>
      </c>
      <c r="F41" s="3" t="s">
        <v>106</v>
      </c>
      <c r="G41" s="3" t="s">
        <v>122</v>
      </c>
      <c r="H41" s="40">
        <v>2008</v>
      </c>
      <c r="I41" s="40" t="s">
        <v>108</v>
      </c>
      <c r="J41" s="40" t="s">
        <v>123</v>
      </c>
      <c r="K41" s="76">
        <v>159</v>
      </c>
      <c r="L41" s="76">
        <v>159.1</v>
      </c>
      <c r="M41" s="76"/>
      <c r="N41" s="76">
        <v>135.80000000000001</v>
      </c>
      <c r="O41" s="76">
        <v>135.80000000000001</v>
      </c>
      <c r="P41" s="76"/>
      <c r="Q41" s="76">
        <v>43.6</v>
      </c>
      <c r="R41" s="76">
        <v>43.6</v>
      </c>
      <c r="S41" s="76"/>
      <c r="T41" s="42">
        <v>159.05000000000001</v>
      </c>
      <c r="U41" s="42">
        <f>AVERAGE(paper3[[#This Row],[Sittende høyde 1]:[Sittende høyde 3]])-56.2</f>
        <v>79.600000000000009</v>
      </c>
      <c r="V41" s="12">
        <f>paper3[[#This Row],[height]]-paper3[[#This Row],[sittingheight]]</f>
        <v>79.45</v>
      </c>
      <c r="W41" s="73">
        <v>43.6</v>
      </c>
      <c r="X41" s="43" cm="1">
        <f t="array" ref="X41">INDEX([1]!phvny[yphv], MATCH(1, (paper3[[#This Row],[id]]=[1]!phvny[id])*(paper3[[#This Row],[time]]=[1]!phvny[time]), 0))</f>
        <v>-0.83848271041019362</v>
      </c>
      <c r="Y41" s="3">
        <v>1.98</v>
      </c>
      <c r="Z41" s="3">
        <v>3.44</v>
      </c>
      <c r="AA41" s="3">
        <v>4.8600000000000003</v>
      </c>
      <c r="AB41" s="3">
        <v>2</v>
      </c>
      <c r="AC41" s="3">
        <v>3.47</v>
      </c>
      <c r="AD41" s="3">
        <v>4.88</v>
      </c>
      <c r="AE41" s="3">
        <v>2.0299999999999998</v>
      </c>
      <c r="AF41" s="3">
        <v>3.52</v>
      </c>
      <c r="AG41" s="3">
        <v>4.95</v>
      </c>
      <c r="AH41" s="44">
        <v>1.98</v>
      </c>
      <c r="AI41" s="44">
        <v>3.44</v>
      </c>
      <c r="AJ41" s="44">
        <v>4.8600000000000003</v>
      </c>
      <c r="AK41" s="45">
        <v>7.0422535211267583</v>
      </c>
      <c r="AL41" s="3">
        <v>10.85</v>
      </c>
      <c r="AM41" s="3">
        <v>10.35</v>
      </c>
      <c r="AN41" s="3">
        <v>10.51</v>
      </c>
      <c r="AO41" s="3">
        <v>10.25</v>
      </c>
      <c r="AP41" s="3">
        <v>10.25</v>
      </c>
      <c r="AQ41" s="47">
        <v>10.35</v>
      </c>
      <c r="AR41" s="47">
        <v>10.25</v>
      </c>
      <c r="AS41" s="76">
        <v>27.63</v>
      </c>
      <c r="AT41" s="76">
        <v>28.08</v>
      </c>
      <c r="AU41" s="76">
        <v>29.05</v>
      </c>
      <c r="AV41" s="76">
        <v>29.54</v>
      </c>
      <c r="AW41" s="76">
        <v>26.73</v>
      </c>
      <c r="AX41" s="48">
        <v>29.54</v>
      </c>
      <c r="AY41" s="3"/>
      <c r="AZ41" s="3">
        <v>8</v>
      </c>
      <c r="BA41" s="3">
        <v>200</v>
      </c>
      <c r="BB41" s="3">
        <v>9</v>
      </c>
      <c r="BC41" s="3">
        <v>181</v>
      </c>
      <c r="BD41" s="40">
        <v>879.97211840450836</v>
      </c>
      <c r="BE41" s="40">
        <v>841.90629555517262</v>
      </c>
      <c r="BF41" s="40"/>
      <c r="BG41" s="40">
        <v>354.00711787547641</v>
      </c>
      <c r="BH41" s="40">
        <v>368.41971226746068</v>
      </c>
      <c r="BI41" s="49">
        <v>1721.878413959681</v>
      </c>
      <c r="BJ41" s="49">
        <v>722.42683014293709</v>
      </c>
      <c r="BK41" s="66">
        <v>4.5213847491464954E-2</v>
      </c>
      <c r="BL41" s="66">
        <v>-3.9120041387799565E-2</v>
      </c>
      <c r="BM41" s="51">
        <v>39.492624173387178</v>
      </c>
      <c r="BN41" s="51">
        <v>16.56942270970039</v>
      </c>
      <c r="BO41" s="52">
        <v>256</v>
      </c>
      <c r="BP41" s="77">
        <v>231</v>
      </c>
      <c r="BQ41" s="77">
        <v>256</v>
      </c>
      <c r="BR41" s="67">
        <v>-9.765625E-2</v>
      </c>
      <c r="BS41" s="54">
        <v>5.5848623853211006</v>
      </c>
      <c r="BT41" s="3">
        <v>161</v>
      </c>
      <c r="BU41" s="40">
        <v>152</v>
      </c>
      <c r="BV41" s="3">
        <v>87</v>
      </c>
      <c r="BW41" s="3">
        <v>90</v>
      </c>
      <c r="BX41" s="70">
        <v>5.921052631578938E-2</v>
      </c>
      <c r="BY41" s="70">
        <v>-3.3333333333333326E-2</v>
      </c>
      <c r="BZ41" s="64">
        <v>1.6888888888888889</v>
      </c>
      <c r="CA41" s="59">
        <v>1.8505747126436782</v>
      </c>
      <c r="CB41" s="59">
        <v>2.8518176605504584</v>
      </c>
      <c r="CC41" s="59">
        <v>1.6126892201834861</v>
      </c>
      <c r="CD41" s="60">
        <v>93</v>
      </c>
      <c r="CE41" s="60">
        <v>74</v>
      </c>
      <c r="CF41" s="61">
        <v>2.1330275229357798</v>
      </c>
      <c r="CG41" s="61">
        <v>1.6972477064220184</v>
      </c>
      <c r="CH41" s="61">
        <v>0.79569892473118287</v>
      </c>
      <c r="CI41" s="41">
        <v>15.3</v>
      </c>
      <c r="CJ41" s="40">
        <f>VLOOKUP(paper3[[#This Row],[YYIR nivå]],$DB:$DC,2)</f>
        <v>880</v>
      </c>
      <c r="CK41" s="3" t="s">
        <v>129</v>
      </c>
      <c r="CL41" s="62">
        <v>32702</v>
      </c>
      <c r="CM41" s="63">
        <v>32.701999999999998</v>
      </c>
      <c r="CN41" s="3">
        <v>161</v>
      </c>
      <c r="CO41" s="3">
        <v>90</v>
      </c>
      <c r="CP41" s="41">
        <v>13.694444444444445</v>
      </c>
      <c r="CQ41" s="3" t="s">
        <v>154</v>
      </c>
      <c r="CR41" s="40">
        <v>156.5</v>
      </c>
      <c r="CS41" s="40">
        <v>88.5</v>
      </c>
      <c r="CT41" s="40">
        <v>243.5</v>
      </c>
      <c r="CU41" s="40"/>
      <c r="CV41" s="40"/>
      <c r="CW41" s="40"/>
      <c r="CX41" s="40"/>
      <c r="CY41" s="40">
        <v>0</v>
      </c>
      <c r="CZ41" s="40"/>
      <c r="DA41" s="40"/>
      <c r="DB41" s="65">
        <v>17.399999999999999</v>
      </c>
      <c r="DC41" s="65">
        <v>1560</v>
      </c>
    </row>
    <row r="42" spans="1:107" ht="15.95" customHeight="1">
      <c r="A42" s="75">
        <v>167</v>
      </c>
      <c r="B42" s="38" t="s">
        <v>103</v>
      </c>
      <c r="C42" s="3" t="s">
        <v>104</v>
      </c>
      <c r="D42" s="3" t="s">
        <v>105</v>
      </c>
      <c r="E42" s="39">
        <v>44481</v>
      </c>
      <c r="F42" s="3" t="s">
        <v>106</v>
      </c>
      <c r="G42" s="3" t="s">
        <v>122</v>
      </c>
      <c r="H42" s="40">
        <v>2008</v>
      </c>
      <c r="I42" s="40" t="s">
        <v>108</v>
      </c>
      <c r="J42" s="40" t="s">
        <v>123</v>
      </c>
      <c r="K42" s="78">
        <v>152.80000000000001</v>
      </c>
      <c r="L42" s="78">
        <v>152.80000000000001</v>
      </c>
      <c r="M42" s="78"/>
      <c r="N42" s="78">
        <v>133</v>
      </c>
      <c r="O42" s="78">
        <v>132.80000000000001</v>
      </c>
      <c r="P42" s="78"/>
      <c r="Q42" s="78">
        <v>38.200000000000003</v>
      </c>
      <c r="R42" s="78">
        <v>38.200000000000003</v>
      </c>
      <c r="S42" s="78"/>
      <c r="T42" s="42">
        <v>152.80000000000001</v>
      </c>
      <c r="U42" s="42">
        <f>AVERAGE(paper3[[#This Row],[Sittende høyde 1]:[Sittende høyde 3]])-56.2</f>
        <v>76.7</v>
      </c>
      <c r="V42" s="12">
        <f>paper3[[#This Row],[height]]-paper3[[#This Row],[sittingheight]]</f>
        <v>76.100000000000009</v>
      </c>
      <c r="W42" s="73">
        <v>38.200000000000003</v>
      </c>
      <c r="X42" s="43" cm="1">
        <f t="array" ref="X42">INDEX([1]!phvny[yphv], MATCH(1, (paper3[[#This Row],[id]]=[1]!phvny[id])*(paper3[[#This Row],[time]]=[1]!phvny[time]), 0))</f>
        <v>-1.5028611748333343</v>
      </c>
      <c r="Y42" s="3">
        <v>1.99</v>
      </c>
      <c r="Z42" s="3">
        <v>3.46</v>
      </c>
      <c r="AA42" s="3">
        <v>4.83</v>
      </c>
      <c r="AB42" s="3">
        <v>1.96</v>
      </c>
      <c r="AC42" s="3">
        <v>3.4</v>
      </c>
      <c r="AD42" s="3">
        <v>4.74</v>
      </c>
      <c r="AE42" s="3">
        <v>1.97</v>
      </c>
      <c r="AF42" s="3">
        <v>3.37</v>
      </c>
      <c r="AG42" s="3">
        <v>4.7699999999999996</v>
      </c>
      <c r="AH42" s="44">
        <v>1.96</v>
      </c>
      <c r="AI42" s="44">
        <v>3.37</v>
      </c>
      <c r="AJ42" s="44">
        <v>4.74</v>
      </c>
      <c r="AK42" s="45">
        <v>7.2992700729926998</v>
      </c>
      <c r="AL42" s="46"/>
      <c r="AM42" s="3">
        <v>10.15</v>
      </c>
      <c r="AN42" s="3">
        <v>10.46</v>
      </c>
      <c r="AO42" s="3">
        <v>10.27</v>
      </c>
      <c r="AP42" s="3">
        <v>10.15</v>
      </c>
      <c r="AQ42" s="47">
        <v>10.15</v>
      </c>
      <c r="AR42" s="47">
        <v>10.27</v>
      </c>
      <c r="AS42" s="78">
        <v>27.26</v>
      </c>
      <c r="AT42" s="78">
        <v>27.56</v>
      </c>
      <c r="AU42" s="78">
        <v>27.66</v>
      </c>
      <c r="AV42" s="78"/>
      <c r="AW42" s="76"/>
      <c r="AX42" s="48">
        <v>27.66</v>
      </c>
      <c r="AY42" s="3"/>
      <c r="AZ42" s="3">
        <v>7</v>
      </c>
      <c r="BA42" s="3">
        <v>180</v>
      </c>
      <c r="BB42" s="3">
        <v>12</v>
      </c>
      <c r="BC42" s="3">
        <v>228</v>
      </c>
      <c r="BD42" s="40">
        <v>989.13111412377725</v>
      </c>
      <c r="BE42" s="40">
        <v>981.05525199912506</v>
      </c>
      <c r="BF42" s="40"/>
      <c r="BG42" s="40">
        <v>323.62824341877194</v>
      </c>
      <c r="BH42" s="40">
        <v>310.18890234792167</v>
      </c>
      <c r="BI42" s="49">
        <v>1970.1863661229022</v>
      </c>
      <c r="BJ42" s="49">
        <v>633.81714576669356</v>
      </c>
      <c r="BK42" s="66">
        <v>8.2318117233415311E-3</v>
      </c>
      <c r="BL42" s="66">
        <v>4.332631170594281E-2</v>
      </c>
      <c r="BM42" s="51">
        <v>51.575559322589058</v>
      </c>
      <c r="BN42" s="51">
        <v>16.592071878709255</v>
      </c>
      <c r="BO42" s="52">
        <v>241</v>
      </c>
      <c r="BP42" s="79">
        <v>204</v>
      </c>
      <c r="BQ42" s="79">
        <v>241</v>
      </c>
      <c r="BR42" s="67">
        <v>-0.15352697095435686</v>
      </c>
      <c r="BS42" s="54">
        <v>5.8246073298429319</v>
      </c>
      <c r="BT42" s="3">
        <v>135</v>
      </c>
      <c r="BU42" s="40">
        <v>136</v>
      </c>
      <c r="BV42" s="3">
        <v>100</v>
      </c>
      <c r="BW42" s="3">
        <v>96</v>
      </c>
      <c r="BX42" s="70">
        <v>-7.3529411764705621E-3</v>
      </c>
      <c r="BY42" s="70">
        <v>4.1666666666666741E-2</v>
      </c>
      <c r="BZ42" s="64">
        <v>1.4166666666666667</v>
      </c>
      <c r="CA42" s="59">
        <v>1.35</v>
      </c>
      <c r="CB42" s="59">
        <v>2.6993586387434556</v>
      </c>
      <c r="CC42" s="59">
        <v>1.9523036649214662</v>
      </c>
      <c r="CD42" s="72">
        <v>92</v>
      </c>
      <c r="CE42" s="72">
        <v>142</v>
      </c>
      <c r="CF42" s="61">
        <v>2.408376963350785</v>
      </c>
      <c r="CG42" s="61">
        <v>3.7172774869109944</v>
      </c>
      <c r="CH42" s="61">
        <v>1.5434782608695652</v>
      </c>
      <c r="CI42" s="41">
        <v>16.100000000000001</v>
      </c>
      <c r="CJ42" s="40">
        <f>VLOOKUP(paper3[[#This Row],[YYIR nivå]],$DB:$DC,2)</f>
        <v>1120</v>
      </c>
      <c r="CK42" s="3" t="s">
        <v>129</v>
      </c>
      <c r="CL42" s="62">
        <v>30789</v>
      </c>
      <c r="CM42" s="63">
        <v>30.789000000000001</v>
      </c>
      <c r="CN42" s="3">
        <v>136</v>
      </c>
      <c r="CO42" s="3">
        <v>100</v>
      </c>
      <c r="CP42" s="41">
        <v>13.069444444444445</v>
      </c>
      <c r="CQ42" s="3" t="s">
        <v>155</v>
      </c>
      <c r="CR42" s="40">
        <v>135.5</v>
      </c>
      <c r="CS42" s="40">
        <v>98</v>
      </c>
      <c r="CT42" s="40">
        <v>222.5</v>
      </c>
      <c r="CU42" s="40"/>
      <c r="CV42" s="40"/>
      <c r="CW42" s="40"/>
      <c r="CX42" s="40"/>
      <c r="CY42" s="40">
        <v>0</v>
      </c>
      <c r="CZ42" s="40"/>
      <c r="DA42" s="40"/>
      <c r="DB42" s="65">
        <v>17.5</v>
      </c>
      <c r="DC42" s="65">
        <v>1600</v>
      </c>
    </row>
    <row r="43" spans="1:107" ht="15.75" customHeight="1">
      <c r="A43" s="75">
        <v>168</v>
      </c>
      <c r="B43" s="38" t="s">
        <v>103</v>
      </c>
      <c r="C43" s="3" t="s">
        <v>104</v>
      </c>
      <c r="D43" s="3" t="s">
        <v>105</v>
      </c>
      <c r="E43" s="39">
        <v>44481</v>
      </c>
      <c r="F43" s="3" t="s">
        <v>106</v>
      </c>
      <c r="G43" s="3" t="s">
        <v>122</v>
      </c>
      <c r="H43" s="40">
        <v>2008</v>
      </c>
      <c r="I43" s="40" t="s">
        <v>108</v>
      </c>
      <c r="J43" s="40" t="s">
        <v>123</v>
      </c>
      <c r="K43" s="76">
        <v>167</v>
      </c>
      <c r="L43" s="76">
        <v>167.1</v>
      </c>
      <c r="M43" s="76"/>
      <c r="N43" s="76">
        <v>137.9</v>
      </c>
      <c r="O43" s="76">
        <v>137.69999999999999</v>
      </c>
      <c r="P43" s="76"/>
      <c r="Q43" s="76">
        <v>52.2</v>
      </c>
      <c r="R43" s="76">
        <v>52.2</v>
      </c>
      <c r="S43" s="76"/>
      <c r="T43" s="42">
        <v>167.05</v>
      </c>
      <c r="U43" s="42">
        <f>AVERAGE(paper3[[#This Row],[Sittende høyde 1]:[Sittende høyde 3]])-56.2</f>
        <v>81.600000000000009</v>
      </c>
      <c r="V43" s="12">
        <f>paper3[[#This Row],[height]]-paper3[[#This Row],[sittingheight]]</f>
        <v>85.45</v>
      </c>
      <c r="W43" s="73">
        <v>52.2</v>
      </c>
      <c r="X43" s="43" cm="1">
        <f t="array" ref="X43">INDEX([1]!phvny[yphv], MATCH(1, (paper3[[#This Row],[id]]=[1]!phvny[id])*(paper3[[#This Row],[time]]=[1]!phvny[time]), 0))</f>
        <v>-0.61820245732875889</v>
      </c>
      <c r="Y43" s="3">
        <v>2.2599999999999998</v>
      </c>
      <c r="Z43" s="3">
        <v>3.77</v>
      </c>
      <c r="AA43" s="3">
        <v>5.22</v>
      </c>
      <c r="AB43" s="3">
        <v>2.2599999999999998</v>
      </c>
      <c r="AC43" s="3">
        <v>3.8</v>
      </c>
      <c r="AD43" s="3">
        <v>5.27</v>
      </c>
      <c r="AE43" s="3">
        <v>2.29</v>
      </c>
      <c r="AF43" s="3">
        <v>3.83</v>
      </c>
      <c r="AG43" s="3">
        <v>5.33</v>
      </c>
      <c r="AH43" s="44">
        <v>2.2599999999999998</v>
      </c>
      <c r="AI43" s="44">
        <v>3.77</v>
      </c>
      <c r="AJ43" s="44">
        <v>5.22</v>
      </c>
      <c r="AK43" s="45">
        <v>6.8965517241379324</v>
      </c>
      <c r="AL43" s="3">
        <v>11.5</v>
      </c>
      <c r="AM43" s="3">
        <v>11.23</v>
      </c>
      <c r="AN43" s="3">
        <v>11.66</v>
      </c>
      <c r="AO43" s="3">
        <v>11.29</v>
      </c>
      <c r="AP43" s="3">
        <v>11.23</v>
      </c>
      <c r="AQ43" s="47">
        <v>11.23</v>
      </c>
      <c r="AR43" s="47">
        <v>11.29</v>
      </c>
      <c r="AS43" s="76">
        <v>24.04</v>
      </c>
      <c r="AT43" s="76">
        <v>23.05</v>
      </c>
      <c r="AU43" s="76">
        <v>25.77</v>
      </c>
      <c r="AV43" s="76">
        <v>22.69</v>
      </c>
      <c r="AW43" s="76"/>
      <c r="AX43" s="48">
        <v>25.77</v>
      </c>
      <c r="AY43" s="3"/>
      <c r="AZ43" s="3">
        <v>9</v>
      </c>
      <c r="BA43" s="3">
        <v>220</v>
      </c>
      <c r="BB43" s="3">
        <v>10</v>
      </c>
      <c r="BC43" s="3">
        <v>240</v>
      </c>
      <c r="BD43" s="40">
        <v>997.49398619999658</v>
      </c>
      <c r="BE43" s="40">
        <v>911.63413323388045</v>
      </c>
      <c r="BF43" s="40"/>
      <c r="BG43" s="40">
        <v>345.99849706769828</v>
      </c>
      <c r="BH43" s="40">
        <v>279.63776321275111</v>
      </c>
      <c r="BI43" s="49">
        <v>1909.1281194338771</v>
      </c>
      <c r="BJ43" s="49">
        <v>625.63626028044939</v>
      </c>
      <c r="BK43" s="66">
        <v>9.4182358729309135E-2</v>
      </c>
      <c r="BL43" s="66">
        <v>0.23730962904484132</v>
      </c>
      <c r="BM43" s="51">
        <v>36.573335621338643</v>
      </c>
      <c r="BN43" s="51">
        <v>11.985368970889834</v>
      </c>
      <c r="BO43" s="52">
        <v>229</v>
      </c>
      <c r="BP43" s="77">
        <v>223</v>
      </c>
      <c r="BQ43" s="77">
        <v>229</v>
      </c>
      <c r="BR43" s="67">
        <v>-2.6200873362445365E-2</v>
      </c>
      <c r="BS43" s="54">
        <v>4.3295019157088124</v>
      </c>
      <c r="BT43" s="3">
        <v>145</v>
      </c>
      <c r="BU43" s="40">
        <v>128</v>
      </c>
      <c r="BV43" s="3">
        <v>105</v>
      </c>
      <c r="BW43" s="3">
        <v>102</v>
      </c>
      <c r="BX43" s="70">
        <v>0.1328125</v>
      </c>
      <c r="BY43" s="70">
        <v>2.9411764705882248E-2</v>
      </c>
      <c r="BZ43" s="64">
        <v>1.2549019607843137</v>
      </c>
      <c r="CA43" s="59">
        <v>1.3809523809523809</v>
      </c>
      <c r="CB43" s="59">
        <v>2.2344683908045977</v>
      </c>
      <c r="CC43" s="59">
        <v>1.6942672413793105</v>
      </c>
      <c r="CD43" s="60">
        <v>68</v>
      </c>
      <c r="CE43" s="60">
        <v>54</v>
      </c>
      <c r="CF43" s="61">
        <v>1.3026819923371646</v>
      </c>
      <c r="CG43" s="61">
        <v>1.0344827586206895</v>
      </c>
      <c r="CH43" s="61">
        <v>0.79411764705882348</v>
      </c>
      <c r="CI43" s="41"/>
      <c r="CJ43" s="40"/>
      <c r="CK43" s="3"/>
      <c r="CL43" s="62">
        <v>40378</v>
      </c>
      <c r="CM43" s="63">
        <v>40.378</v>
      </c>
      <c r="CN43" s="3">
        <v>145</v>
      </c>
      <c r="CO43" s="3">
        <v>105</v>
      </c>
      <c r="CP43" s="41">
        <v>13.46111111111111</v>
      </c>
      <c r="CQ43" s="3" t="s">
        <v>156</v>
      </c>
      <c r="CR43" s="40">
        <v>136.5</v>
      </c>
      <c r="CS43" s="40">
        <v>103.5</v>
      </c>
      <c r="CT43" s="40">
        <v>226</v>
      </c>
      <c r="CU43" s="40"/>
      <c r="CV43" s="40"/>
      <c r="CW43" s="40"/>
      <c r="CX43" s="40"/>
      <c r="CY43" s="40">
        <v>0</v>
      </c>
      <c r="CZ43" s="40"/>
      <c r="DA43" s="40"/>
      <c r="DB43" s="65">
        <v>17.600000000000001</v>
      </c>
      <c r="DC43" s="65">
        <v>1640</v>
      </c>
    </row>
    <row r="44" spans="1:107" ht="15.95" customHeight="1">
      <c r="A44" s="3">
        <v>169</v>
      </c>
      <c r="B44" s="38" t="s">
        <v>103</v>
      </c>
      <c r="C44" s="3" t="s">
        <v>115</v>
      </c>
      <c r="D44" s="3" t="s">
        <v>105</v>
      </c>
      <c r="E44" s="39">
        <v>44482</v>
      </c>
      <c r="F44" s="3" t="s">
        <v>106</v>
      </c>
      <c r="G44" s="3" t="s">
        <v>122</v>
      </c>
      <c r="H44" s="40">
        <v>2006</v>
      </c>
      <c r="I44" s="40" t="s">
        <v>116</v>
      </c>
      <c r="J44" s="40" t="s">
        <v>157</v>
      </c>
      <c r="K44" s="78">
        <v>174.9</v>
      </c>
      <c r="L44" s="78">
        <v>175.2</v>
      </c>
      <c r="M44" s="78">
        <v>175.2</v>
      </c>
      <c r="N44" s="78">
        <v>147.19999999999999</v>
      </c>
      <c r="O44" s="78">
        <v>147.5</v>
      </c>
      <c r="P44" s="78">
        <v>147.4</v>
      </c>
      <c r="Q44" s="78">
        <v>71.5</v>
      </c>
      <c r="R44" s="78">
        <v>71.5</v>
      </c>
      <c r="S44" s="78"/>
      <c r="T44" s="42">
        <v>175.1</v>
      </c>
      <c r="U44" s="42">
        <f>AVERAGE(paper3[[#This Row],[Sittende høyde 1]:[Sittende høyde 3]])-56.2</f>
        <v>91.166666666666671</v>
      </c>
      <c r="V44" s="12">
        <f>paper3[[#This Row],[height]]-paper3[[#This Row],[sittingheight]]</f>
        <v>83.933333333333323</v>
      </c>
      <c r="W44" s="73">
        <v>71.5</v>
      </c>
      <c r="X44" s="43" cm="1">
        <f t="array" ref="X44">INDEX([1]!phvny[yphv], MATCH(1, (paper3[[#This Row],[id]]=[1]!phvny[id])*(paper3[[#This Row],[time]]=[1]!phvny[time]), 0))</f>
        <v>1.8643792649043931</v>
      </c>
      <c r="Y44" s="60">
        <v>1.88</v>
      </c>
      <c r="Z44" s="60">
        <v>3.24</v>
      </c>
      <c r="AA44" s="60">
        <v>4.5199999999999996</v>
      </c>
      <c r="AB44" s="60">
        <v>1.87</v>
      </c>
      <c r="AC44" s="60">
        <v>3.23</v>
      </c>
      <c r="AD44" s="60">
        <v>4.53</v>
      </c>
      <c r="AE44" s="60">
        <v>1.92</v>
      </c>
      <c r="AF44" s="60">
        <v>3.3</v>
      </c>
      <c r="AG44" s="60">
        <v>4.6100000000000003</v>
      </c>
      <c r="AH44" s="45">
        <v>1.87</v>
      </c>
      <c r="AI44" s="45">
        <v>3.23</v>
      </c>
      <c r="AJ44" s="45">
        <v>4.5199999999999996</v>
      </c>
      <c r="AK44" s="45">
        <v>7.7519379844961263</v>
      </c>
      <c r="AL44" s="3">
        <v>10.18</v>
      </c>
      <c r="AM44" s="3">
        <v>10.039999999999999</v>
      </c>
      <c r="AN44" s="3">
        <v>9.9600000000000009</v>
      </c>
      <c r="AO44" s="46"/>
      <c r="AP44" s="46">
        <v>9.9600000000000009</v>
      </c>
      <c r="AQ44" s="47">
        <v>10.039999999999999</v>
      </c>
      <c r="AR44" s="47">
        <v>9.9600000000000009</v>
      </c>
      <c r="AS44" s="78">
        <v>31.75</v>
      </c>
      <c r="AT44" s="78">
        <v>30.26</v>
      </c>
      <c r="AU44" s="78">
        <v>31.96</v>
      </c>
      <c r="AV44" s="78"/>
      <c r="AW44" s="76"/>
      <c r="AX44" s="48">
        <v>31.96</v>
      </c>
      <c r="AY44" s="3"/>
      <c r="AZ44" s="3">
        <v>9</v>
      </c>
      <c r="BA44" s="3">
        <v>300</v>
      </c>
      <c r="BB44" s="3">
        <v>12</v>
      </c>
      <c r="BC44" s="3">
        <v>384</v>
      </c>
      <c r="BD44" s="40">
        <v>1643.2356894911513</v>
      </c>
      <c r="BE44" s="40">
        <v>1616.4822104091097</v>
      </c>
      <c r="BF44" s="40"/>
      <c r="BG44" s="40">
        <v>798.24129806548808</v>
      </c>
      <c r="BH44" s="40">
        <v>801.43719319034449</v>
      </c>
      <c r="BI44" s="49">
        <v>3259.7178999002608</v>
      </c>
      <c r="BJ44" s="49">
        <v>1599.6784912558326</v>
      </c>
      <c r="BK44" s="66">
        <v>1.6550432111016367E-2</v>
      </c>
      <c r="BL44" s="66">
        <v>-3.987705027931443E-3</v>
      </c>
      <c r="BM44" s="51">
        <v>45.59046013846519</v>
      </c>
      <c r="BN44" s="51">
        <v>22.373125751829825</v>
      </c>
      <c r="BO44" s="52">
        <v>382</v>
      </c>
      <c r="BP44" s="79">
        <v>367</v>
      </c>
      <c r="BQ44" s="79">
        <v>382</v>
      </c>
      <c r="BR44" s="67">
        <v>-3.9267015706806241E-2</v>
      </c>
      <c r="BS44" s="54">
        <v>5.2377622377622375</v>
      </c>
      <c r="BT44" s="3">
        <v>202</v>
      </c>
      <c r="BU44" s="40">
        <v>202</v>
      </c>
      <c r="BV44" s="3">
        <v>175</v>
      </c>
      <c r="BW44" s="3">
        <v>192</v>
      </c>
      <c r="BX44" s="70">
        <v>0</v>
      </c>
      <c r="BY44" s="70">
        <v>-8.854166666666663E-2</v>
      </c>
      <c r="BZ44" s="64">
        <v>1.0520833333333333</v>
      </c>
      <c r="CA44" s="59">
        <v>1.1542857142857144</v>
      </c>
      <c r="CB44" s="59">
        <v>2.3712634032634035</v>
      </c>
      <c r="CC44" s="59">
        <v>2.15409324009324</v>
      </c>
      <c r="CD44" s="60">
        <v>190</v>
      </c>
      <c r="CE44" s="60">
        <v>160</v>
      </c>
      <c r="CF44" s="61">
        <v>2.6573426573426575</v>
      </c>
      <c r="CG44" s="61">
        <v>2.2377622377622379</v>
      </c>
      <c r="CH44" s="61">
        <v>0.8421052631578948</v>
      </c>
      <c r="CI44" s="41"/>
      <c r="CJ44" s="40"/>
      <c r="CK44" s="3"/>
      <c r="CL44" s="62"/>
      <c r="CM44" s="63" t="s">
        <v>110</v>
      </c>
      <c r="CN44" s="3">
        <v>202</v>
      </c>
      <c r="CO44" s="3">
        <v>192</v>
      </c>
      <c r="CP44" s="41">
        <v>15.613888888888889</v>
      </c>
      <c r="CQ44" s="3" t="s">
        <v>110</v>
      </c>
      <c r="CR44" s="40">
        <v>202</v>
      </c>
      <c r="CS44" s="40">
        <v>183.5</v>
      </c>
      <c r="CT44" s="40">
        <v>374.5</v>
      </c>
      <c r="CU44" s="40"/>
      <c r="CV44" s="40"/>
      <c r="CW44" s="40"/>
      <c r="CX44" s="40"/>
      <c r="CY44" s="40">
        <v>0</v>
      </c>
      <c r="CZ44" s="40"/>
      <c r="DA44" s="40"/>
      <c r="DB44" s="65">
        <v>17.7</v>
      </c>
      <c r="DC44" s="65">
        <v>1680</v>
      </c>
    </row>
    <row r="45" spans="1:107" ht="15.95" customHeight="1">
      <c r="A45" s="3">
        <v>170</v>
      </c>
      <c r="B45" s="38" t="s">
        <v>103</v>
      </c>
      <c r="C45" s="3" t="s">
        <v>115</v>
      </c>
      <c r="D45" s="3" t="s">
        <v>105</v>
      </c>
      <c r="E45" s="39">
        <v>44482</v>
      </c>
      <c r="F45" s="3" t="s">
        <v>106</v>
      </c>
      <c r="G45" s="3" t="s">
        <v>122</v>
      </c>
      <c r="H45" s="40">
        <v>2006</v>
      </c>
      <c r="I45" s="40" t="s">
        <v>116</v>
      </c>
      <c r="J45" s="40" t="s">
        <v>157</v>
      </c>
      <c r="K45" s="76">
        <v>159.80000000000001</v>
      </c>
      <c r="L45" s="76">
        <v>159.69999999999999</v>
      </c>
      <c r="M45" s="76"/>
      <c r="N45" s="76">
        <v>136.5</v>
      </c>
      <c r="O45" s="76">
        <v>136.4</v>
      </c>
      <c r="P45" s="76"/>
      <c r="Q45" s="76">
        <v>41.5</v>
      </c>
      <c r="R45" s="76">
        <v>41.5</v>
      </c>
      <c r="S45" s="76"/>
      <c r="T45" s="42">
        <v>159.75</v>
      </c>
      <c r="U45" s="42">
        <f>AVERAGE(paper3[[#This Row],[Sittende høyde 1]:[Sittende høyde 3]])-56.2</f>
        <v>80.249999999999986</v>
      </c>
      <c r="V45" s="12">
        <f>paper3[[#This Row],[height]]-paper3[[#This Row],[sittingheight]]</f>
        <v>79.500000000000014</v>
      </c>
      <c r="W45" s="73">
        <v>41.5</v>
      </c>
      <c r="X45" s="43" cm="1">
        <f t="array" ref="X45">INDEX([1]!phvny[yphv], MATCH(1, (paper3[[#This Row],[id]]=[1]!phvny[id])*(paper3[[#This Row],[time]]=[1]!phvny[time]), 0))</f>
        <v>-0.22219271795774853</v>
      </c>
      <c r="Y45" s="60">
        <v>1.97</v>
      </c>
      <c r="Z45" s="60">
        <v>3.29</v>
      </c>
      <c r="AA45" s="60">
        <v>4.59</v>
      </c>
      <c r="AB45" s="60">
        <v>1.84</v>
      </c>
      <c r="AC45" s="60">
        <v>3.18</v>
      </c>
      <c r="AD45" s="60">
        <v>4.5</v>
      </c>
      <c r="AE45" s="60">
        <v>1.99</v>
      </c>
      <c r="AF45" s="60">
        <v>3.41</v>
      </c>
      <c r="AG45" s="60">
        <v>4.71</v>
      </c>
      <c r="AH45" s="45">
        <v>1.84</v>
      </c>
      <c r="AI45" s="45">
        <v>3.18</v>
      </c>
      <c r="AJ45" s="45">
        <v>4.5</v>
      </c>
      <c r="AK45" s="45">
        <v>7.575757575757577</v>
      </c>
      <c r="AL45" s="3">
        <v>10</v>
      </c>
      <c r="AM45" s="3">
        <v>10.17</v>
      </c>
      <c r="AN45" s="3">
        <v>10.14</v>
      </c>
      <c r="AO45" s="3">
        <v>9.8800000000000008</v>
      </c>
      <c r="AP45" s="3">
        <v>9.8800000000000008</v>
      </c>
      <c r="AQ45" s="47">
        <v>10</v>
      </c>
      <c r="AR45" s="47">
        <v>9.8800000000000008</v>
      </c>
      <c r="AS45" s="76">
        <v>33.630000000000003</v>
      </c>
      <c r="AT45" s="76">
        <v>31.3</v>
      </c>
      <c r="AU45" s="76">
        <v>31.04</v>
      </c>
      <c r="AV45" s="76"/>
      <c r="AW45" s="76"/>
      <c r="AX45" s="48">
        <v>33.630000000000003</v>
      </c>
      <c r="AY45" s="3"/>
      <c r="AZ45" s="3">
        <v>8</v>
      </c>
      <c r="BA45" s="3">
        <v>260</v>
      </c>
      <c r="BB45" s="3">
        <v>8</v>
      </c>
      <c r="BC45" s="3">
        <v>235</v>
      </c>
      <c r="BD45" s="40">
        <v>1017.6956441924935</v>
      </c>
      <c r="BE45" s="40">
        <v>1051.8620452592988</v>
      </c>
      <c r="BF45" s="40"/>
      <c r="BG45" s="40">
        <v>284.49905912343633</v>
      </c>
      <c r="BH45" s="40">
        <v>276.81770700380878</v>
      </c>
      <c r="BI45" s="49">
        <v>2069.5576894517926</v>
      </c>
      <c r="BJ45" s="49">
        <v>561.31676612724505</v>
      </c>
      <c r="BK45" s="66">
        <v>-3.2481827080644177E-2</v>
      </c>
      <c r="BL45" s="66">
        <v>2.7748774465218284E-2</v>
      </c>
      <c r="BM45" s="51">
        <v>49.868859986790184</v>
      </c>
      <c r="BN45" s="51">
        <v>13.525705207885423</v>
      </c>
      <c r="BO45" s="52">
        <v>250</v>
      </c>
      <c r="BP45" s="77">
        <v>250</v>
      </c>
      <c r="BQ45" s="77">
        <v>218</v>
      </c>
      <c r="BR45" s="67">
        <v>0.14678899082568808</v>
      </c>
      <c r="BS45" s="54">
        <v>5.6385542168674698</v>
      </c>
      <c r="BT45" s="3">
        <v>137</v>
      </c>
      <c r="BU45" s="40">
        <v>132</v>
      </c>
      <c r="BV45" s="3">
        <v>93</v>
      </c>
      <c r="BW45" s="3">
        <v>99</v>
      </c>
      <c r="BX45" s="70">
        <v>3.7878787878787845E-2</v>
      </c>
      <c r="BY45" s="70">
        <v>-6.0606060606060552E-2</v>
      </c>
      <c r="BZ45" s="64">
        <v>1.3333333333333333</v>
      </c>
      <c r="CA45" s="59">
        <v>1.4731182795698925</v>
      </c>
      <c r="CB45" s="59">
        <v>2.5765662650602414</v>
      </c>
      <c r="CC45" s="59">
        <v>1.8390361445783139</v>
      </c>
      <c r="CD45" s="60">
        <v>83</v>
      </c>
      <c r="CE45" s="60">
        <v>70</v>
      </c>
      <c r="CF45" s="61">
        <v>2</v>
      </c>
      <c r="CG45" s="61">
        <v>1.6867469879518073</v>
      </c>
      <c r="CH45" s="61">
        <v>0.84337349397590367</v>
      </c>
      <c r="CI45" s="41">
        <v>16.399999999999999</v>
      </c>
      <c r="CJ45" s="40">
        <f>VLOOKUP(paper3[[#This Row],[YYIR nivå]],$DB:$DC,2)</f>
        <v>1240</v>
      </c>
      <c r="CK45" s="3" t="s">
        <v>112</v>
      </c>
      <c r="CL45" s="62"/>
      <c r="CM45" s="63" t="s">
        <v>110</v>
      </c>
      <c r="CN45" s="3">
        <v>137</v>
      </c>
      <c r="CO45" s="3">
        <v>99</v>
      </c>
      <c r="CP45" s="41">
        <v>14.972222222222221</v>
      </c>
      <c r="CQ45" s="3" t="s">
        <v>110</v>
      </c>
      <c r="CR45" s="40">
        <v>134.5</v>
      </c>
      <c r="CS45" s="40">
        <v>96</v>
      </c>
      <c r="CT45" s="40">
        <v>234</v>
      </c>
      <c r="CU45" s="40"/>
      <c r="CV45" s="40"/>
      <c r="CW45" s="40"/>
      <c r="CX45" s="40"/>
      <c r="CY45" s="40">
        <v>0</v>
      </c>
      <c r="CZ45" s="40"/>
      <c r="DA45" s="40"/>
      <c r="DB45" s="65">
        <v>17.8</v>
      </c>
      <c r="DC45" s="65">
        <v>1720</v>
      </c>
    </row>
    <row r="46" spans="1:107" ht="15.75" customHeight="1">
      <c r="A46" s="3">
        <v>171</v>
      </c>
      <c r="B46" s="38" t="s">
        <v>103</v>
      </c>
      <c r="C46" s="3" t="s">
        <v>115</v>
      </c>
      <c r="D46" s="3" t="s">
        <v>105</v>
      </c>
      <c r="E46" s="39">
        <v>44482</v>
      </c>
      <c r="F46" s="3" t="s">
        <v>106</v>
      </c>
      <c r="G46" s="3" t="s">
        <v>122</v>
      </c>
      <c r="H46" s="40">
        <v>2006</v>
      </c>
      <c r="I46" s="40" t="s">
        <v>116</v>
      </c>
      <c r="J46" s="40" t="s">
        <v>157</v>
      </c>
      <c r="K46" s="78">
        <v>179.7</v>
      </c>
      <c r="L46" s="78">
        <v>179.6</v>
      </c>
      <c r="M46" s="78"/>
      <c r="N46" s="78">
        <v>146.80000000000001</v>
      </c>
      <c r="O46" s="78">
        <v>146.69999999999999</v>
      </c>
      <c r="P46" s="78"/>
      <c r="Q46" s="78">
        <v>68.900000000000006</v>
      </c>
      <c r="R46" s="78">
        <v>68.900000000000006</v>
      </c>
      <c r="S46" s="78"/>
      <c r="T46" s="42">
        <v>179.64999999999998</v>
      </c>
      <c r="U46" s="42">
        <f>AVERAGE(paper3[[#This Row],[Sittende høyde 1]:[Sittende høyde 3]])-56.2</f>
        <v>90.55</v>
      </c>
      <c r="V46" s="12">
        <f>paper3[[#This Row],[height]]-paper3[[#This Row],[sittingheight]]</f>
        <v>89.09999999999998</v>
      </c>
      <c r="W46" s="73">
        <v>68.900000000000006</v>
      </c>
      <c r="X46" s="43" cm="1">
        <f t="array" ref="X46">INDEX([1]!phvny[yphv], MATCH(1, (paper3[[#This Row],[id]]=[1]!phvny[id])*(paper3[[#This Row],[time]]=[1]!phvny[time]), 0))</f>
        <v>1.7993451015894473</v>
      </c>
      <c r="Y46" s="60">
        <v>2.06</v>
      </c>
      <c r="Z46" s="60">
        <v>3.43</v>
      </c>
      <c r="AA46" s="60">
        <v>4.7300000000000004</v>
      </c>
      <c r="AB46" s="60">
        <v>2.0299999999999998</v>
      </c>
      <c r="AC46" s="60">
        <v>3.41</v>
      </c>
      <c r="AD46" s="60">
        <v>4.7300000000000004</v>
      </c>
      <c r="AE46" s="60">
        <v>2.02</v>
      </c>
      <c r="AF46" s="60">
        <v>3.41</v>
      </c>
      <c r="AG46" s="60">
        <v>4.76</v>
      </c>
      <c r="AH46" s="45">
        <v>2.02</v>
      </c>
      <c r="AI46" s="45">
        <v>3.41</v>
      </c>
      <c r="AJ46" s="45">
        <v>4.7300000000000004</v>
      </c>
      <c r="AK46" s="45">
        <v>7.5757575757575744</v>
      </c>
      <c r="AL46" s="46"/>
      <c r="AM46" s="76">
        <v>10.130000000000001</v>
      </c>
      <c r="AN46" s="3">
        <v>9.9</v>
      </c>
      <c r="AO46" s="3">
        <v>9.83</v>
      </c>
      <c r="AP46" s="3">
        <v>9.83</v>
      </c>
      <c r="AQ46" s="47">
        <v>10.130000000000001</v>
      </c>
      <c r="AR46" s="47">
        <v>9.83</v>
      </c>
      <c r="AS46" s="78">
        <v>31.23</v>
      </c>
      <c r="AT46" s="78">
        <v>30.56</v>
      </c>
      <c r="AU46" s="78">
        <v>32.96</v>
      </c>
      <c r="AV46" s="78">
        <v>32.42</v>
      </c>
      <c r="AW46" s="76"/>
      <c r="AX46" s="48">
        <v>32.96</v>
      </c>
      <c r="AY46" s="3"/>
      <c r="AZ46" s="3">
        <v>10</v>
      </c>
      <c r="BA46" s="3">
        <v>300</v>
      </c>
      <c r="BB46" s="3">
        <v>11</v>
      </c>
      <c r="BC46" s="3">
        <v>356</v>
      </c>
      <c r="BD46" s="40">
        <v>1442.9497912079623</v>
      </c>
      <c r="BE46" s="40">
        <v>1451.6504925584065</v>
      </c>
      <c r="BF46" s="40"/>
      <c r="BG46" s="40">
        <v>665.9372526079826</v>
      </c>
      <c r="BH46" s="40">
        <v>699.64920662645022</v>
      </c>
      <c r="BI46" s="49">
        <v>2894.6002837663691</v>
      </c>
      <c r="BJ46" s="49">
        <v>1365.5864592344328</v>
      </c>
      <c r="BK46" s="66">
        <v>-5.9936612807605094E-3</v>
      </c>
      <c r="BL46" s="66">
        <v>-4.8184080963971976E-2</v>
      </c>
      <c r="BM46" s="51">
        <v>42.011615149003902</v>
      </c>
      <c r="BN46" s="51">
        <v>19.819832499774058</v>
      </c>
      <c r="BO46" s="52">
        <v>392</v>
      </c>
      <c r="BP46" s="79">
        <v>328</v>
      </c>
      <c r="BQ46" s="79">
        <v>392</v>
      </c>
      <c r="BR46" s="67">
        <v>-0.16326530612244894</v>
      </c>
      <c r="BS46" s="54">
        <v>5.2249637155297526</v>
      </c>
      <c r="BT46" s="3">
        <v>165</v>
      </c>
      <c r="BU46" s="40">
        <v>164</v>
      </c>
      <c r="BV46" s="3">
        <v>125</v>
      </c>
      <c r="BW46" s="3">
        <v>141</v>
      </c>
      <c r="BX46" s="81">
        <v>6.0975609756097615E-3</v>
      </c>
      <c r="BY46" s="81">
        <v>-0.11347517730496459</v>
      </c>
      <c r="BZ46" s="64">
        <v>1.1631205673758864</v>
      </c>
      <c r="CA46" s="59">
        <v>1.32</v>
      </c>
      <c r="CB46" s="59">
        <v>2.1272786647314943</v>
      </c>
      <c r="CC46" s="59">
        <v>1.7199274310595061</v>
      </c>
      <c r="CD46" s="60">
        <v>248</v>
      </c>
      <c r="CE46" s="60">
        <v>171</v>
      </c>
      <c r="CF46" s="61">
        <v>3.599419448476052</v>
      </c>
      <c r="CG46" s="61">
        <v>2.4818577648766325</v>
      </c>
      <c r="CH46" s="61">
        <v>0.68951612903225801</v>
      </c>
      <c r="CI46" s="41">
        <v>15.6</v>
      </c>
      <c r="CJ46" s="40">
        <f>VLOOKUP(paper3[[#This Row],[YYIR nivå]],$DB:$DC,2)</f>
        <v>1000</v>
      </c>
      <c r="CK46" s="3" t="s">
        <v>112</v>
      </c>
      <c r="CL46" s="62"/>
      <c r="CM46" s="63" t="s">
        <v>110</v>
      </c>
      <c r="CN46" s="3">
        <v>165</v>
      </c>
      <c r="CO46" s="3">
        <v>141</v>
      </c>
      <c r="CP46" s="41">
        <v>15.777777777777779</v>
      </c>
      <c r="CQ46" s="3" t="s">
        <v>110</v>
      </c>
      <c r="CR46" s="40">
        <v>164.5</v>
      </c>
      <c r="CS46" s="40">
        <v>133</v>
      </c>
      <c r="CT46" s="40">
        <v>360</v>
      </c>
      <c r="CU46" s="40"/>
      <c r="CV46" s="40"/>
      <c r="CW46" s="40"/>
      <c r="CX46" s="40"/>
      <c r="CY46" s="40">
        <v>0</v>
      </c>
      <c r="CZ46" s="40"/>
      <c r="DA46" s="40"/>
      <c r="DB46" s="65">
        <v>18.100000000000001</v>
      </c>
      <c r="DC46" s="65">
        <v>1760</v>
      </c>
    </row>
    <row r="47" spans="1:107" ht="15.95" customHeight="1">
      <c r="A47" s="3">
        <v>172</v>
      </c>
      <c r="B47" s="38" t="s">
        <v>103</v>
      </c>
      <c r="C47" s="3" t="s">
        <v>158</v>
      </c>
      <c r="D47" s="3" t="s">
        <v>105</v>
      </c>
      <c r="E47" s="39">
        <v>44482</v>
      </c>
      <c r="F47" s="3" t="s">
        <v>106</v>
      </c>
      <c r="G47" s="3" t="s">
        <v>122</v>
      </c>
      <c r="H47" s="40">
        <v>2006</v>
      </c>
      <c r="I47" s="40" t="s">
        <v>116</v>
      </c>
      <c r="J47" s="40" t="s">
        <v>157</v>
      </c>
      <c r="K47" s="76">
        <v>183.4</v>
      </c>
      <c r="L47" s="76">
        <v>183.3</v>
      </c>
      <c r="M47" s="76"/>
      <c r="N47" s="76">
        <v>147.6</v>
      </c>
      <c r="O47" s="76">
        <v>148.19999999999999</v>
      </c>
      <c r="P47" s="76">
        <v>148</v>
      </c>
      <c r="Q47" s="76">
        <v>64.7</v>
      </c>
      <c r="R47" s="76">
        <v>64.7</v>
      </c>
      <c r="S47" s="76"/>
      <c r="T47" s="42">
        <v>183.35000000000002</v>
      </c>
      <c r="U47" s="42">
        <f>AVERAGE(paper3[[#This Row],[Sittende høyde 1]:[Sittende høyde 3]])-56.2</f>
        <v>91.733333333333306</v>
      </c>
      <c r="V47" s="12">
        <f>paper3[[#This Row],[height]]-paper3[[#This Row],[sittingheight]]</f>
        <v>91.616666666666717</v>
      </c>
      <c r="W47" s="73">
        <v>64.7</v>
      </c>
      <c r="X47" s="43" cm="1">
        <f t="array" ref="X47">INDEX([1]!phvny[yphv], MATCH(1, (paper3[[#This Row],[id]]=[1]!phvny[id])*(paper3[[#This Row],[time]]=[1]!phvny[time]), 0))</f>
        <v>1.7770380473763936</v>
      </c>
      <c r="Y47" s="60">
        <v>2.0299999999999998</v>
      </c>
      <c r="Z47" s="60">
        <v>3.44</v>
      </c>
      <c r="AA47" s="60">
        <v>4.76</v>
      </c>
      <c r="AB47" s="60">
        <v>2.0099999999999998</v>
      </c>
      <c r="AC47" s="60">
        <v>3.41</v>
      </c>
      <c r="AD47" s="60">
        <v>4.75</v>
      </c>
      <c r="AE47" s="60">
        <v>2.0099999999999998</v>
      </c>
      <c r="AF47" s="60">
        <v>3.43</v>
      </c>
      <c r="AG47" s="60">
        <v>4.7699999999999996</v>
      </c>
      <c r="AH47" s="45">
        <v>2.0099999999999998</v>
      </c>
      <c r="AI47" s="45">
        <v>3.41</v>
      </c>
      <c r="AJ47" s="45">
        <v>4.75</v>
      </c>
      <c r="AK47" s="45">
        <v>7.4626865671641802</v>
      </c>
      <c r="AL47" s="3">
        <v>10.220000000000001</v>
      </c>
      <c r="AM47" s="3">
        <v>10.119999999999999</v>
      </c>
      <c r="AN47" s="46"/>
      <c r="AO47" s="76">
        <v>10.039999999999999</v>
      </c>
      <c r="AP47" s="76">
        <v>10.039999999999999</v>
      </c>
      <c r="AQ47" s="47">
        <v>10.119999999999999</v>
      </c>
      <c r="AR47" s="47">
        <v>10.039999999999999</v>
      </c>
      <c r="AS47" s="76">
        <v>30.25</v>
      </c>
      <c r="AT47" s="76">
        <v>31.22</v>
      </c>
      <c r="AU47" s="76">
        <v>29.82</v>
      </c>
      <c r="AV47" s="76"/>
      <c r="AW47" s="76"/>
      <c r="AX47" s="48">
        <v>31.22</v>
      </c>
      <c r="AY47" s="3"/>
      <c r="AZ47" s="3">
        <v>11</v>
      </c>
      <c r="BA47" s="3">
        <v>280</v>
      </c>
      <c r="BB47" s="3">
        <v>10</v>
      </c>
      <c r="BC47" s="3">
        <v>306</v>
      </c>
      <c r="BD47" s="40">
        <v>1279.6132352981665</v>
      </c>
      <c r="BE47" s="82">
        <v>1204.3313944179836</v>
      </c>
      <c r="BF47" s="40"/>
      <c r="BG47" s="40">
        <v>473.53100576932638</v>
      </c>
      <c r="BH47" s="40">
        <v>437.30897847643348</v>
      </c>
      <c r="BI47" s="49">
        <v>2483.9446297161503</v>
      </c>
      <c r="BJ47" s="49">
        <v>910.83998424575987</v>
      </c>
      <c r="BK47" s="66">
        <v>6.2509240587026671E-2</v>
      </c>
      <c r="BL47" s="66">
        <v>8.2829370252330392E-2</v>
      </c>
      <c r="BM47" s="51">
        <v>38.391725343371718</v>
      </c>
      <c r="BN47" s="51">
        <v>14.077897747229672</v>
      </c>
      <c r="BO47" s="52">
        <v>378</v>
      </c>
      <c r="BP47" s="77">
        <v>349</v>
      </c>
      <c r="BQ47" s="40">
        <v>378</v>
      </c>
      <c r="BR47" s="67">
        <v>-7.6719576719576743E-2</v>
      </c>
      <c r="BS47" s="54">
        <v>5.6182380216383301</v>
      </c>
      <c r="BT47" s="3">
        <v>190</v>
      </c>
      <c r="BU47" s="40">
        <v>158</v>
      </c>
      <c r="BV47" s="3">
        <v>126</v>
      </c>
      <c r="BW47" s="3">
        <v>144</v>
      </c>
      <c r="BX47" s="70">
        <v>0.20253164556962022</v>
      </c>
      <c r="BY47" s="70">
        <v>-0.125</v>
      </c>
      <c r="BZ47" s="64">
        <v>1.0972222222222223</v>
      </c>
      <c r="CA47" s="59">
        <v>1.5079365079365079</v>
      </c>
      <c r="CB47" s="59">
        <v>2.4638794435857814</v>
      </c>
      <c r="CC47" s="59">
        <v>1.911630602782072</v>
      </c>
      <c r="CD47" s="60">
        <v>175</v>
      </c>
      <c r="CE47" s="60">
        <v>111</v>
      </c>
      <c r="CF47" s="61">
        <v>2.7047913446676968</v>
      </c>
      <c r="CG47" s="61">
        <v>1.7156105100463679</v>
      </c>
      <c r="CH47" s="61">
        <v>0.63428571428571434</v>
      </c>
      <c r="CI47" s="41"/>
      <c r="CJ47" s="40"/>
      <c r="CK47" s="3"/>
      <c r="CL47" s="62"/>
      <c r="CM47" s="63" t="s">
        <v>110</v>
      </c>
      <c r="CN47" s="3">
        <v>190</v>
      </c>
      <c r="CO47" s="3">
        <v>144</v>
      </c>
      <c r="CP47" s="41">
        <v>15.558333333333334</v>
      </c>
      <c r="CQ47" s="3" t="s">
        <v>110</v>
      </c>
      <c r="CR47" s="40">
        <v>174</v>
      </c>
      <c r="CS47" s="40">
        <v>135</v>
      </c>
      <c r="CT47" s="40">
        <v>363.5</v>
      </c>
      <c r="CU47" s="40"/>
      <c r="CV47" s="40"/>
      <c r="CW47" s="40"/>
      <c r="CX47" s="40"/>
      <c r="CY47" s="40">
        <v>0</v>
      </c>
      <c r="CZ47" s="40"/>
      <c r="DA47" s="40"/>
      <c r="DB47" s="65">
        <v>18.2</v>
      </c>
      <c r="DC47" s="65">
        <v>1800</v>
      </c>
    </row>
    <row r="48" spans="1:107" ht="15.75" customHeight="1">
      <c r="A48" s="3">
        <v>173</v>
      </c>
      <c r="B48" s="38" t="s">
        <v>103</v>
      </c>
      <c r="C48" s="3" t="s">
        <v>159</v>
      </c>
      <c r="D48" s="3" t="s">
        <v>105</v>
      </c>
      <c r="E48" s="39">
        <v>44482</v>
      </c>
      <c r="F48" s="3" t="s">
        <v>106</v>
      </c>
      <c r="G48" s="3" t="s">
        <v>122</v>
      </c>
      <c r="H48" s="40">
        <v>2006</v>
      </c>
      <c r="I48" s="40" t="s">
        <v>116</v>
      </c>
      <c r="J48" s="40" t="s">
        <v>157</v>
      </c>
      <c r="K48" s="78">
        <v>166</v>
      </c>
      <c r="L48" s="78">
        <v>166.3</v>
      </c>
      <c r="M48" s="78">
        <v>166.3</v>
      </c>
      <c r="N48" s="78">
        <v>137.30000000000001</v>
      </c>
      <c r="O48" s="78">
        <v>137.4</v>
      </c>
      <c r="P48" s="78"/>
      <c r="Q48" s="78">
        <v>51.9</v>
      </c>
      <c r="R48" s="78">
        <v>51.9</v>
      </c>
      <c r="S48" s="78"/>
      <c r="T48" s="42">
        <v>166.20000000000002</v>
      </c>
      <c r="U48" s="42">
        <f>AVERAGE(paper3[[#This Row],[Sittende høyde 1]:[Sittende høyde 3]])-56.2</f>
        <v>81.15000000000002</v>
      </c>
      <c r="V48" s="12">
        <f>paper3[[#This Row],[height]]-paper3[[#This Row],[sittingheight]]</f>
        <v>85.05</v>
      </c>
      <c r="W48" s="73">
        <v>51.9</v>
      </c>
      <c r="X48" s="43" cm="1">
        <f t="array" ref="X48">INDEX([1]!phvny[yphv], MATCH(1, (paper3[[#This Row],[id]]=[1]!phvny[id])*(paper3[[#This Row],[time]]=[1]!phvny[time]), 0))</f>
        <v>0.20330684798556298</v>
      </c>
      <c r="Y48" s="60">
        <v>1.92</v>
      </c>
      <c r="Z48" s="60">
        <v>3.29</v>
      </c>
      <c r="AA48" s="60">
        <v>4.6100000000000003</v>
      </c>
      <c r="AB48" s="60">
        <v>1.91</v>
      </c>
      <c r="AC48" s="60">
        <v>3.28</v>
      </c>
      <c r="AD48" s="60">
        <v>4.62</v>
      </c>
      <c r="AE48" s="60">
        <v>1.89</v>
      </c>
      <c r="AF48" s="60">
        <v>3.27</v>
      </c>
      <c r="AG48" s="60">
        <v>4.6100000000000003</v>
      </c>
      <c r="AH48" s="45">
        <v>1.89</v>
      </c>
      <c r="AI48" s="45">
        <v>3.27</v>
      </c>
      <c r="AJ48" s="45">
        <v>4.6100000000000003</v>
      </c>
      <c r="AK48" s="45">
        <v>7.4626865671641776</v>
      </c>
      <c r="AL48" s="3">
        <v>10.46</v>
      </c>
      <c r="AM48" s="3">
        <v>10.18</v>
      </c>
      <c r="AN48" s="3">
        <v>10.42</v>
      </c>
      <c r="AO48" s="3">
        <v>10.18</v>
      </c>
      <c r="AP48" s="3">
        <v>10.18</v>
      </c>
      <c r="AQ48" s="47">
        <v>10.18</v>
      </c>
      <c r="AR48" s="47">
        <v>10.18</v>
      </c>
      <c r="AS48" s="78">
        <v>27.18</v>
      </c>
      <c r="AT48" s="78">
        <v>24.83</v>
      </c>
      <c r="AU48" s="78">
        <v>28.75</v>
      </c>
      <c r="AV48" s="78">
        <v>29.46</v>
      </c>
      <c r="AW48" s="76">
        <v>29.27</v>
      </c>
      <c r="AX48" s="48">
        <v>29.46</v>
      </c>
      <c r="AY48" s="3"/>
      <c r="AZ48" s="3">
        <v>9</v>
      </c>
      <c r="BA48" s="3">
        <v>280</v>
      </c>
      <c r="BB48" s="3">
        <v>9</v>
      </c>
      <c r="BC48" s="3">
        <v>279</v>
      </c>
      <c r="BD48" s="40">
        <v>986.60571989524169</v>
      </c>
      <c r="BE48" s="40">
        <v>1043.1900123893897</v>
      </c>
      <c r="BF48" s="40"/>
      <c r="BG48" s="40">
        <v>403.04111382528271</v>
      </c>
      <c r="BH48" s="40">
        <v>416.93134419230455</v>
      </c>
      <c r="BI48" s="49">
        <v>2029.7957322846314</v>
      </c>
      <c r="BJ48" s="49">
        <v>819.97245801758731</v>
      </c>
      <c r="BK48" s="66">
        <v>-5.4241597237442596E-2</v>
      </c>
      <c r="BL48" s="66">
        <v>-3.3315390076825602E-2</v>
      </c>
      <c r="BM48" s="51">
        <v>39.109744360012165</v>
      </c>
      <c r="BN48" s="51">
        <v>15.799083969510352</v>
      </c>
      <c r="BO48" s="52">
        <v>299</v>
      </c>
      <c r="BP48" s="79">
        <v>299</v>
      </c>
      <c r="BQ48" s="79">
        <v>262</v>
      </c>
      <c r="BR48" s="67">
        <v>0.14122137404580148</v>
      </c>
      <c r="BS48" s="54">
        <v>5.404624277456648</v>
      </c>
      <c r="BT48" s="3">
        <v>155</v>
      </c>
      <c r="BU48" s="40">
        <v>154</v>
      </c>
      <c r="BV48" s="3">
        <v>125</v>
      </c>
      <c r="BW48" s="3">
        <v>128</v>
      </c>
      <c r="BX48" s="70">
        <v>6.4935064935065512E-3</v>
      </c>
      <c r="BY48" s="70">
        <v>-2.34375E-2</v>
      </c>
      <c r="BZ48" s="64">
        <v>1.203125</v>
      </c>
      <c r="CA48" s="59">
        <v>1.24</v>
      </c>
      <c r="CB48" s="59">
        <v>2.5318352601156064</v>
      </c>
      <c r="CC48" s="59">
        <v>2.0729913294797688</v>
      </c>
      <c r="CD48" s="60">
        <v>105</v>
      </c>
      <c r="CE48" s="60">
        <v>77</v>
      </c>
      <c r="CF48" s="61">
        <v>2.0231213872832372</v>
      </c>
      <c r="CG48" s="61">
        <v>1.4836223506743738</v>
      </c>
      <c r="CH48" s="61">
        <v>0.73333333333333328</v>
      </c>
      <c r="CI48" s="41">
        <v>15.7</v>
      </c>
      <c r="CJ48" s="40">
        <f>VLOOKUP(paper3[[#This Row],[YYIR nivå]],$DB:$DC,2)</f>
        <v>1040</v>
      </c>
      <c r="CK48" s="3" t="s">
        <v>112</v>
      </c>
      <c r="CL48" s="62"/>
      <c r="CM48" s="63" t="s">
        <v>110</v>
      </c>
      <c r="CN48" s="3">
        <v>155</v>
      </c>
      <c r="CO48" s="3">
        <v>128</v>
      </c>
      <c r="CP48" s="41">
        <v>15.433333333333334</v>
      </c>
      <c r="CQ48" s="3" t="s">
        <v>110</v>
      </c>
      <c r="CR48" s="40">
        <v>154.5</v>
      </c>
      <c r="CS48" s="40">
        <v>126.5</v>
      </c>
      <c r="CT48" s="40">
        <v>280.5</v>
      </c>
      <c r="CU48" s="40"/>
      <c r="CV48" s="40"/>
      <c r="CW48" s="40"/>
      <c r="CX48" s="40"/>
      <c r="CY48" s="40">
        <v>0</v>
      </c>
      <c r="CZ48" s="40"/>
      <c r="DA48" s="40"/>
      <c r="DB48" s="65">
        <v>18.3</v>
      </c>
      <c r="DC48" s="65">
        <v>1840</v>
      </c>
    </row>
    <row r="49" spans="1:107" ht="15.75" customHeight="1">
      <c r="A49" s="3">
        <v>174</v>
      </c>
      <c r="B49" s="38" t="s">
        <v>103</v>
      </c>
      <c r="C49" s="3" t="s">
        <v>158</v>
      </c>
      <c r="D49" s="3" t="s">
        <v>105</v>
      </c>
      <c r="E49" s="39">
        <v>44482</v>
      </c>
      <c r="F49" s="3" t="s">
        <v>106</v>
      </c>
      <c r="G49" s="3" t="s">
        <v>122</v>
      </c>
      <c r="H49" s="40">
        <v>2006</v>
      </c>
      <c r="I49" s="40" t="s">
        <v>116</v>
      </c>
      <c r="J49" s="40" t="s">
        <v>157</v>
      </c>
      <c r="K49" s="76">
        <v>176.5</v>
      </c>
      <c r="L49" s="76">
        <v>176.5</v>
      </c>
      <c r="M49" s="76"/>
      <c r="N49" s="76">
        <v>146</v>
      </c>
      <c r="O49" s="76">
        <v>145.80000000000001</v>
      </c>
      <c r="P49" s="76"/>
      <c r="Q49" s="76">
        <v>66.900000000000006</v>
      </c>
      <c r="R49" s="76">
        <v>66.900000000000006</v>
      </c>
      <c r="S49" s="76"/>
      <c r="T49" s="42">
        <v>176.5</v>
      </c>
      <c r="U49" s="42">
        <f>AVERAGE(paper3[[#This Row],[Sittende høyde 1]:[Sittende høyde 3]])-56.2</f>
        <v>89.7</v>
      </c>
      <c r="V49" s="12">
        <f>paper3[[#This Row],[height]]-paper3[[#This Row],[sittingheight]]</f>
        <v>86.8</v>
      </c>
      <c r="W49" s="73">
        <v>66.900000000000006</v>
      </c>
      <c r="X49" s="43" cm="1">
        <f t="array" ref="X49">INDEX([1]!phvny[yphv], MATCH(1, (paper3[[#This Row],[id]]=[1]!phvny[id])*(paper3[[#This Row],[time]]=[1]!phvny[time]), 0))</f>
        <v>1.5868484559320111</v>
      </c>
      <c r="Y49" s="60">
        <v>1.94</v>
      </c>
      <c r="Z49" s="60">
        <v>3.25</v>
      </c>
      <c r="AA49" s="60">
        <v>4.49</v>
      </c>
      <c r="AB49" s="60">
        <v>1.94</v>
      </c>
      <c r="AC49" s="60">
        <v>3.26</v>
      </c>
      <c r="AD49" s="60">
        <v>4.5</v>
      </c>
      <c r="AE49" s="60">
        <v>1.91</v>
      </c>
      <c r="AF49" s="60">
        <v>3.21</v>
      </c>
      <c r="AG49" s="60">
        <v>4.45</v>
      </c>
      <c r="AH49" s="45">
        <v>1.91</v>
      </c>
      <c r="AI49" s="45">
        <v>3.21</v>
      </c>
      <c r="AJ49" s="45">
        <v>4.45</v>
      </c>
      <c r="AK49" s="45">
        <v>8.0645161290322562</v>
      </c>
      <c r="AL49" s="3">
        <v>10.34</v>
      </c>
      <c r="AM49" s="3">
        <v>9.93</v>
      </c>
      <c r="AN49" s="3">
        <v>9.89</v>
      </c>
      <c r="AO49" s="3">
        <v>9.76</v>
      </c>
      <c r="AP49" s="3">
        <v>9.76</v>
      </c>
      <c r="AQ49" s="47">
        <v>9.93</v>
      </c>
      <c r="AR49" s="47">
        <v>9.76</v>
      </c>
      <c r="AS49" s="76">
        <v>28.32</v>
      </c>
      <c r="AT49" s="76">
        <v>28.46</v>
      </c>
      <c r="AU49" s="76">
        <v>27.61</v>
      </c>
      <c r="AV49" s="76"/>
      <c r="AW49" s="76"/>
      <c r="AX49" s="48">
        <v>28.46</v>
      </c>
      <c r="AY49" s="3"/>
      <c r="AZ49" s="3">
        <v>10</v>
      </c>
      <c r="BA49" s="3">
        <v>300</v>
      </c>
      <c r="BB49" s="3">
        <v>10</v>
      </c>
      <c r="BC49" s="3">
        <v>328</v>
      </c>
      <c r="BD49" s="40">
        <v>1197.3414472976851</v>
      </c>
      <c r="BE49" s="82">
        <v>1181.9420242377425</v>
      </c>
      <c r="BF49" s="40"/>
      <c r="BG49" s="40">
        <v>408.47343945210093</v>
      </c>
      <c r="BH49" s="40">
        <v>434.9246043602609</v>
      </c>
      <c r="BI49" s="49">
        <v>2379.2834715354275</v>
      </c>
      <c r="BJ49" s="49">
        <v>843.39804381236183</v>
      </c>
      <c r="BK49" s="66">
        <v>1.302891575403109E-2</v>
      </c>
      <c r="BL49" s="66">
        <v>-6.0817816796241098E-2</v>
      </c>
      <c r="BM49" s="51">
        <v>35.564775359273952</v>
      </c>
      <c r="BN49" s="51">
        <v>12.606846693757277</v>
      </c>
      <c r="BO49" s="52">
        <v>325</v>
      </c>
      <c r="BP49" s="77">
        <v>321</v>
      </c>
      <c r="BQ49" s="40">
        <v>325</v>
      </c>
      <c r="BR49" s="67">
        <v>-1.2307692307692353E-2</v>
      </c>
      <c r="BS49" s="54">
        <v>4.8281016442451419</v>
      </c>
      <c r="BT49" s="3">
        <v>239</v>
      </c>
      <c r="BU49" s="40">
        <v>215</v>
      </c>
      <c r="BV49" s="3">
        <v>134</v>
      </c>
      <c r="BW49" s="3">
        <v>131</v>
      </c>
      <c r="BX49" s="70">
        <v>0.1116279069767443</v>
      </c>
      <c r="BY49" s="70">
        <v>2.2900763358778553E-2</v>
      </c>
      <c r="BZ49" s="64">
        <v>1.6412213740458015</v>
      </c>
      <c r="CA49" s="59">
        <v>1.7835820895522387</v>
      </c>
      <c r="CB49" s="59">
        <v>2.9452316890881911</v>
      </c>
      <c r="CC49" s="59">
        <v>1.7191330343796711</v>
      </c>
      <c r="CD49" s="60">
        <v>143</v>
      </c>
      <c r="CE49" s="60">
        <v>122</v>
      </c>
      <c r="CF49" s="61">
        <v>2.1375186846038861</v>
      </c>
      <c r="CG49" s="61">
        <v>1.8236173393124064</v>
      </c>
      <c r="CH49" s="61">
        <v>0.85314685314685323</v>
      </c>
      <c r="CI49" s="41">
        <v>16.3</v>
      </c>
      <c r="CJ49" s="40">
        <f>VLOOKUP(paper3[[#This Row],[YYIR nivå]],$DB:$DC,2)</f>
        <v>1200</v>
      </c>
      <c r="CK49" s="3" t="s">
        <v>112</v>
      </c>
      <c r="CL49" s="62"/>
      <c r="CM49" s="63" t="s">
        <v>110</v>
      </c>
      <c r="CN49" s="3">
        <v>239</v>
      </c>
      <c r="CO49" s="3">
        <v>134</v>
      </c>
      <c r="CP49" s="41">
        <v>15.6</v>
      </c>
      <c r="CQ49" s="3" t="s">
        <v>110</v>
      </c>
      <c r="CR49" s="40">
        <v>227</v>
      </c>
      <c r="CS49" s="40">
        <v>132.5</v>
      </c>
      <c r="CT49" s="40">
        <v>323</v>
      </c>
      <c r="CU49" s="40"/>
      <c r="CV49" s="40"/>
      <c r="CW49" s="40"/>
      <c r="CX49" s="40"/>
      <c r="CY49" s="40">
        <v>0</v>
      </c>
      <c r="CZ49" s="40"/>
      <c r="DA49" s="40"/>
      <c r="DB49" s="65">
        <v>18.399999999999999</v>
      </c>
      <c r="DC49" s="65">
        <v>1880</v>
      </c>
    </row>
    <row r="50" spans="1:107" ht="15.95" customHeight="1">
      <c r="A50" s="3">
        <v>175</v>
      </c>
      <c r="B50" s="38" t="s">
        <v>103</v>
      </c>
      <c r="C50" s="3" t="s">
        <v>115</v>
      </c>
      <c r="D50" s="3" t="s">
        <v>105</v>
      </c>
      <c r="E50" s="39">
        <v>44482</v>
      </c>
      <c r="F50" s="3" t="s">
        <v>106</v>
      </c>
      <c r="G50" s="3" t="s">
        <v>122</v>
      </c>
      <c r="H50" s="40">
        <v>2006</v>
      </c>
      <c r="I50" s="40" t="s">
        <v>116</v>
      </c>
      <c r="J50" s="40" t="s">
        <v>157</v>
      </c>
      <c r="K50" s="78">
        <v>179.8</v>
      </c>
      <c r="L50" s="78">
        <v>179.7</v>
      </c>
      <c r="M50" s="78"/>
      <c r="N50" s="78">
        <v>144.19999999999999</v>
      </c>
      <c r="O50" s="78">
        <v>143.80000000000001</v>
      </c>
      <c r="P50" s="78">
        <v>144</v>
      </c>
      <c r="Q50" s="78">
        <v>59.1</v>
      </c>
      <c r="R50" s="78">
        <v>59.1</v>
      </c>
      <c r="S50" s="78"/>
      <c r="T50" s="42">
        <v>179.75</v>
      </c>
      <c r="U50" s="42">
        <f>AVERAGE(paper3[[#This Row],[Sittende høyde 1]:[Sittende høyde 3]])-56.2</f>
        <v>87.8</v>
      </c>
      <c r="V50" s="12">
        <f>paper3[[#This Row],[height]]-paper3[[#This Row],[sittingheight]]</f>
        <v>91.95</v>
      </c>
      <c r="W50" s="73">
        <v>59.1</v>
      </c>
      <c r="X50" s="43" cm="1">
        <f t="array" ref="X50">INDEX([1]!phvny[yphv], MATCH(1, (paper3[[#This Row],[id]]=[1]!phvny[id])*(paper3[[#This Row],[time]]=[1]!phvny[time]), 0))</f>
        <v>1.0163972776501697</v>
      </c>
      <c r="Y50" s="60">
        <v>1.93</v>
      </c>
      <c r="Z50" s="60">
        <v>3.27</v>
      </c>
      <c r="AA50" s="60">
        <v>4.55</v>
      </c>
      <c r="AB50" s="60">
        <v>1.92</v>
      </c>
      <c r="AC50" s="60">
        <v>3.28</v>
      </c>
      <c r="AD50" s="60">
        <v>4.55</v>
      </c>
      <c r="AE50" s="60">
        <v>1.9</v>
      </c>
      <c r="AF50" s="60">
        <v>3.28</v>
      </c>
      <c r="AG50" s="60">
        <v>4.58</v>
      </c>
      <c r="AH50" s="45">
        <v>1.9</v>
      </c>
      <c r="AI50" s="45">
        <v>3.27</v>
      </c>
      <c r="AJ50" s="45">
        <v>4.55</v>
      </c>
      <c r="AK50" s="45">
        <v>7.8125000000000009</v>
      </c>
      <c r="AL50" s="3">
        <v>10.08</v>
      </c>
      <c r="AM50" s="3">
        <v>10.050000000000001</v>
      </c>
      <c r="AN50" s="46"/>
      <c r="AO50" s="3">
        <v>10.31</v>
      </c>
      <c r="AP50" s="3">
        <v>10.050000000000001</v>
      </c>
      <c r="AQ50" s="47">
        <v>10.050000000000001</v>
      </c>
      <c r="AR50" s="47">
        <v>10.31</v>
      </c>
      <c r="AS50" s="78">
        <v>34.39</v>
      </c>
      <c r="AT50" s="78">
        <v>33.65</v>
      </c>
      <c r="AU50" s="78">
        <v>36.47</v>
      </c>
      <c r="AV50" s="78">
        <v>35.770000000000003</v>
      </c>
      <c r="AW50" s="76"/>
      <c r="AX50" s="48">
        <v>36.47</v>
      </c>
      <c r="AY50" s="3"/>
      <c r="AZ50" s="3">
        <v>11</v>
      </c>
      <c r="BA50" s="3">
        <v>300</v>
      </c>
      <c r="BB50" s="3">
        <v>11</v>
      </c>
      <c r="BC50" s="3">
        <v>356</v>
      </c>
      <c r="BD50" s="40">
        <v>1497.4971925875</v>
      </c>
      <c r="BE50" s="40">
        <v>1481.1166257190191</v>
      </c>
      <c r="BF50" s="40"/>
      <c r="BG50" s="40">
        <v>617.82374232547863</v>
      </c>
      <c r="BH50" s="40">
        <v>642.94155539816836</v>
      </c>
      <c r="BI50" s="49">
        <v>2978.6138183065191</v>
      </c>
      <c r="BJ50" s="49">
        <v>1260.7652977236471</v>
      </c>
      <c r="BK50" s="66">
        <v>1.1059606369977049E-2</v>
      </c>
      <c r="BL50" s="66">
        <v>-3.9067023840346549E-2</v>
      </c>
      <c r="BM50" s="51">
        <v>50.399556993342117</v>
      </c>
      <c r="BN50" s="51">
        <v>21.33274615437643</v>
      </c>
      <c r="BO50" s="52">
        <v>238</v>
      </c>
      <c r="BP50" s="79">
        <v>232</v>
      </c>
      <c r="BQ50" s="79">
        <v>238</v>
      </c>
      <c r="BR50" s="67">
        <v>-2.5210084033613467E-2</v>
      </c>
      <c r="BS50" s="54">
        <v>3.9763113367174281</v>
      </c>
      <c r="BT50" s="3">
        <v>160</v>
      </c>
      <c r="BU50" s="40">
        <v>183</v>
      </c>
      <c r="BV50" s="3">
        <v>119</v>
      </c>
      <c r="BW50" s="3">
        <v>111</v>
      </c>
      <c r="BX50" s="70">
        <v>-0.12568306010928965</v>
      </c>
      <c r="BY50" s="70">
        <v>7.2072072072072002E-2</v>
      </c>
      <c r="BZ50" s="64">
        <v>1.6486486486486487</v>
      </c>
      <c r="CA50" s="59">
        <v>1.3445378151260505</v>
      </c>
      <c r="CB50" s="59">
        <v>2.668261421319797</v>
      </c>
      <c r="CC50" s="59">
        <v>1.7892131979695429</v>
      </c>
      <c r="CD50" s="60">
        <v>93</v>
      </c>
      <c r="CE50" s="60">
        <v>96</v>
      </c>
      <c r="CF50" s="61">
        <v>1.5736040609137056</v>
      </c>
      <c r="CG50" s="61">
        <v>1.6243654822335025</v>
      </c>
      <c r="CH50" s="61">
        <v>1.032258064516129</v>
      </c>
      <c r="CI50" s="41"/>
      <c r="CJ50" s="40"/>
      <c r="CK50" s="3"/>
      <c r="CL50" s="62"/>
      <c r="CM50" s="63" t="s">
        <v>110</v>
      </c>
      <c r="CN50" s="3">
        <v>183</v>
      </c>
      <c r="CO50" s="3">
        <v>119</v>
      </c>
      <c r="CP50" s="41">
        <v>15.213888888888889</v>
      </c>
      <c r="CQ50" s="3" t="s">
        <v>110</v>
      </c>
      <c r="CR50" s="40">
        <v>171.5</v>
      </c>
      <c r="CS50" s="40">
        <v>115</v>
      </c>
      <c r="CT50" s="40">
        <v>235</v>
      </c>
      <c r="CU50" s="40"/>
      <c r="CV50" s="40"/>
      <c r="CW50" s="40"/>
      <c r="CX50" s="40"/>
      <c r="CY50" s="40">
        <v>0</v>
      </c>
      <c r="CZ50" s="40"/>
      <c r="DA50" s="40"/>
      <c r="DB50" s="65">
        <v>18.5</v>
      </c>
      <c r="DC50" s="65">
        <v>1920</v>
      </c>
    </row>
    <row r="51" spans="1:107" ht="15.95" customHeight="1">
      <c r="A51" s="3">
        <v>176</v>
      </c>
      <c r="B51" s="38" t="s">
        <v>103</v>
      </c>
      <c r="C51" s="3" t="s">
        <v>115</v>
      </c>
      <c r="D51" s="3" t="s">
        <v>105</v>
      </c>
      <c r="E51" s="39">
        <v>44482</v>
      </c>
      <c r="F51" s="3" t="s">
        <v>106</v>
      </c>
      <c r="G51" s="3" t="s">
        <v>122</v>
      </c>
      <c r="H51" s="40">
        <v>2006</v>
      </c>
      <c r="I51" s="40" t="s">
        <v>116</v>
      </c>
      <c r="J51" s="40" t="s">
        <v>157</v>
      </c>
      <c r="K51" s="76">
        <v>171.6</v>
      </c>
      <c r="L51" s="76">
        <v>171.6</v>
      </c>
      <c r="M51" s="76"/>
      <c r="N51" s="76">
        <v>140.4</v>
      </c>
      <c r="O51" s="76">
        <v>140.5</v>
      </c>
      <c r="P51" s="76"/>
      <c r="Q51" s="76">
        <v>53.4</v>
      </c>
      <c r="R51" s="76">
        <v>53.4</v>
      </c>
      <c r="S51" s="76"/>
      <c r="T51" s="42">
        <v>171.6</v>
      </c>
      <c r="U51" s="42">
        <f>AVERAGE(paper3[[#This Row],[Sittende høyde 1]:[Sittende høyde 3]])-56.2</f>
        <v>84.249999999999986</v>
      </c>
      <c r="V51" s="12">
        <f>paper3[[#This Row],[height]]-paper3[[#This Row],[sittingheight]]</f>
        <v>87.350000000000009</v>
      </c>
      <c r="W51" s="73">
        <v>53.4</v>
      </c>
      <c r="X51" s="43" cm="1">
        <f t="array" ref="X51">INDEX([1]!phvny[yphv], MATCH(1, (paper3[[#This Row],[id]]=[1]!phvny[id])*(paper3[[#This Row],[time]]=[1]!phvny[time]), 0))</f>
        <v>0.66359200677253061</v>
      </c>
      <c r="Y51" s="60">
        <v>2.0099999999999998</v>
      </c>
      <c r="Z51" s="60">
        <v>3.4</v>
      </c>
      <c r="AA51" s="60">
        <v>4.76</v>
      </c>
      <c r="AB51" s="60">
        <v>1.99</v>
      </c>
      <c r="AC51" s="60">
        <v>3.38</v>
      </c>
      <c r="AD51" s="60">
        <v>4.7699999999999996</v>
      </c>
      <c r="AE51" s="60">
        <v>2</v>
      </c>
      <c r="AF51" s="60">
        <v>3.4</v>
      </c>
      <c r="AG51" s="60">
        <v>4.78</v>
      </c>
      <c r="AH51" s="45">
        <v>1.99</v>
      </c>
      <c r="AI51" s="45">
        <v>3.38</v>
      </c>
      <c r="AJ51" s="45">
        <v>4.76</v>
      </c>
      <c r="AK51" s="45">
        <v>7.2463768115942031</v>
      </c>
      <c r="AL51" s="3">
        <v>10.09</v>
      </c>
      <c r="AM51" s="3">
        <v>9.91</v>
      </c>
      <c r="AN51" s="3">
        <v>9.9700000000000006</v>
      </c>
      <c r="AO51" s="3">
        <v>9.75</v>
      </c>
      <c r="AP51" s="3">
        <v>9.75</v>
      </c>
      <c r="AQ51" s="47">
        <v>9.91</v>
      </c>
      <c r="AR51" s="47">
        <v>9.75</v>
      </c>
      <c r="AS51" s="76">
        <v>32.03</v>
      </c>
      <c r="AT51" s="76">
        <v>32.36</v>
      </c>
      <c r="AU51" s="76">
        <v>31.95</v>
      </c>
      <c r="AV51" s="76"/>
      <c r="AW51" s="76"/>
      <c r="AX51" s="48">
        <v>32.36</v>
      </c>
      <c r="AY51" s="3"/>
      <c r="AZ51" s="3">
        <v>9</v>
      </c>
      <c r="BA51" s="3">
        <v>280</v>
      </c>
      <c r="BB51" s="3">
        <v>8</v>
      </c>
      <c r="BC51" s="3">
        <v>253</v>
      </c>
      <c r="BD51" s="40">
        <v>1032.0984087253601</v>
      </c>
      <c r="BE51" s="40">
        <v>1025.2821657409559</v>
      </c>
      <c r="BF51" s="40"/>
      <c r="BG51" s="40">
        <v>482.83406201688103</v>
      </c>
      <c r="BH51" s="40">
        <v>452.76272801581126</v>
      </c>
      <c r="BI51" s="49">
        <v>2057.3805744663159</v>
      </c>
      <c r="BJ51" s="49">
        <v>935.5967900326923</v>
      </c>
      <c r="BK51" s="66">
        <v>6.6481630249348722E-3</v>
      </c>
      <c r="BL51" s="66">
        <v>6.6417423830036793E-2</v>
      </c>
      <c r="BM51" s="51">
        <v>38.527726113601425</v>
      </c>
      <c r="BN51" s="51">
        <v>17.520539139188994</v>
      </c>
      <c r="BO51" s="52">
        <v>288</v>
      </c>
      <c r="BP51" s="77">
        <v>238</v>
      </c>
      <c r="BQ51" s="77">
        <v>288</v>
      </c>
      <c r="BR51" s="67">
        <v>-0.17361111111111116</v>
      </c>
      <c r="BS51" s="54">
        <v>4.9250936329588013</v>
      </c>
      <c r="BT51" s="3">
        <v>149</v>
      </c>
      <c r="BU51" s="40">
        <v>154</v>
      </c>
      <c r="BV51" s="3">
        <v>103</v>
      </c>
      <c r="BW51" s="3">
        <v>117</v>
      </c>
      <c r="BX51" s="70">
        <v>-3.2467532467532423E-2</v>
      </c>
      <c r="BY51" s="70">
        <v>-0.11965811965811968</v>
      </c>
      <c r="BZ51" s="64">
        <v>1.3162393162393162</v>
      </c>
      <c r="CA51" s="59">
        <v>1.4466019417475728</v>
      </c>
      <c r="CB51" s="59">
        <v>2.4781882022471913</v>
      </c>
      <c r="CC51" s="59">
        <v>1.7993445692883898</v>
      </c>
      <c r="CD51" s="60">
        <v>166</v>
      </c>
      <c r="CE51" s="60">
        <v>114</v>
      </c>
      <c r="CF51" s="61">
        <v>3.1086142322097379</v>
      </c>
      <c r="CG51" s="61">
        <v>2.1348314606741572</v>
      </c>
      <c r="CH51" s="61">
        <v>0.68674698795180722</v>
      </c>
      <c r="CI51" s="41"/>
      <c r="CJ51" s="40"/>
      <c r="CK51" s="3"/>
      <c r="CL51" s="62"/>
      <c r="CM51" s="63" t="s">
        <v>110</v>
      </c>
      <c r="CN51" s="3">
        <v>154</v>
      </c>
      <c r="CO51" s="3">
        <v>117</v>
      </c>
      <c r="CP51" s="41">
        <v>15.547222222222222</v>
      </c>
      <c r="CQ51" s="3" t="s">
        <v>110</v>
      </c>
      <c r="CR51" s="40">
        <v>151.5</v>
      </c>
      <c r="CS51" s="40">
        <v>110</v>
      </c>
      <c r="CT51" s="40">
        <v>263</v>
      </c>
      <c r="CU51" s="40"/>
      <c r="CV51" s="40"/>
      <c r="CW51" s="40"/>
      <c r="CX51" s="40"/>
      <c r="CY51" s="40">
        <v>0</v>
      </c>
      <c r="CZ51" s="40"/>
      <c r="DA51" s="40"/>
      <c r="DB51" s="65">
        <v>18.600000000000001</v>
      </c>
      <c r="DC51" s="65">
        <v>1960</v>
      </c>
    </row>
    <row r="52" spans="1:107" ht="15.75" customHeight="1">
      <c r="A52" s="3">
        <v>177</v>
      </c>
      <c r="B52" s="38" t="s">
        <v>103</v>
      </c>
      <c r="C52" s="3" t="s">
        <v>115</v>
      </c>
      <c r="D52" s="3" t="s">
        <v>105</v>
      </c>
      <c r="E52" s="39">
        <v>44482</v>
      </c>
      <c r="F52" s="3" t="s">
        <v>106</v>
      </c>
      <c r="G52" s="3" t="s">
        <v>122</v>
      </c>
      <c r="H52" s="40">
        <v>2006</v>
      </c>
      <c r="I52" s="40" t="s">
        <v>116</v>
      </c>
      <c r="J52" s="40" t="s">
        <v>157</v>
      </c>
      <c r="K52" s="78">
        <v>160.80000000000001</v>
      </c>
      <c r="L52" s="78">
        <v>160.80000000000001</v>
      </c>
      <c r="M52" s="78"/>
      <c r="N52" s="78">
        <v>135.6</v>
      </c>
      <c r="O52" s="78">
        <v>135.4</v>
      </c>
      <c r="P52" s="78"/>
      <c r="Q52" s="78">
        <v>48.5</v>
      </c>
      <c r="R52" s="78">
        <v>48.5</v>
      </c>
      <c r="S52" s="78"/>
      <c r="T52" s="42">
        <v>160.80000000000001</v>
      </c>
      <c r="U52" s="42">
        <f>AVERAGE(paper3[[#This Row],[Sittende høyde 1]:[Sittende høyde 3]])-56.2</f>
        <v>79.3</v>
      </c>
      <c r="V52" s="12">
        <f>paper3[[#This Row],[height]]-paper3[[#This Row],[sittingheight]]</f>
        <v>81.500000000000014</v>
      </c>
      <c r="W52" s="73">
        <v>48.5</v>
      </c>
      <c r="X52" s="43" cm="1">
        <f t="array" ref="X52">INDEX([1]!phvny[yphv], MATCH(1, (paper3[[#This Row],[id]]=[1]!phvny[id])*(paper3[[#This Row],[time]]=[1]!phvny[time]), 0))</f>
        <v>-0.31932113262852679</v>
      </c>
      <c r="Y52" s="60">
        <v>1.98</v>
      </c>
      <c r="Z52" s="60">
        <v>3.42</v>
      </c>
      <c r="AA52" s="60">
        <v>4.7699999999999996</v>
      </c>
      <c r="AB52" s="60">
        <v>1.95</v>
      </c>
      <c r="AC52" s="60">
        <v>3.36</v>
      </c>
      <c r="AD52" s="60">
        <v>4.6900000000000004</v>
      </c>
      <c r="AE52" s="60">
        <v>1.92</v>
      </c>
      <c r="AF52" s="60">
        <v>3.32</v>
      </c>
      <c r="AG52" s="60">
        <v>4.6500000000000004</v>
      </c>
      <c r="AH52" s="45">
        <v>1.92</v>
      </c>
      <c r="AI52" s="45">
        <v>3.32</v>
      </c>
      <c r="AJ52" s="45">
        <v>4.6500000000000004</v>
      </c>
      <c r="AK52" s="45">
        <v>7.5187969924812004</v>
      </c>
      <c r="AL52" s="3">
        <v>10.01</v>
      </c>
      <c r="AM52" s="3">
        <v>9.83</v>
      </c>
      <c r="AN52" s="3">
        <v>10.07</v>
      </c>
      <c r="AO52" s="3">
        <v>9.84</v>
      </c>
      <c r="AP52" s="3">
        <v>9.83</v>
      </c>
      <c r="AQ52" s="47">
        <v>9.83</v>
      </c>
      <c r="AR52" s="47">
        <v>9.84</v>
      </c>
      <c r="AS52" s="78">
        <v>27.66</v>
      </c>
      <c r="AT52" s="78">
        <v>29.47</v>
      </c>
      <c r="AU52" s="78">
        <v>29.15</v>
      </c>
      <c r="AV52" s="78"/>
      <c r="AW52" s="76"/>
      <c r="AX52" s="48">
        <v>29.47</v>
      </c>
      <c r="AY52" s="3"/>
      <c r="AZ52" s="3">
        <v>8</v>
      </c>
      <c r="BA52" s="3">
        <v>260</v>
      </c>
      <c r="BB52" s="3">
        <v>10</v>
      </c>
      <c r="BC52" s="3">
        <v>284</v>
      </c>
      <c r="BD52" s="40">
        <v>1064.4490009272427</v>
      </c>
      <c r="BE52" s="40">
        <v>1081.8984198274238</v>
      </c>
      <c r="BF52" s="40"/>
      <c r="BG52" s="40">
        <v>309.61988900857563</v>
      </c>
      <c r="BH52" s="40">
        <v>299.0195018498348</v>
      </c>
      <c r="BI52" s="49">
        <v>2146.3474207546665</v>
      </c>
      <c r="BJ52" s="49">
        <v>608.63939085841048</v>
      </c>
      <c r="BK52" s="66">
        <v>-1.6128518704153882E-2</v>
      </c>
      <c r="BL52" s="66">
        <v>3.5450487654361318E-2</v>
      </c>
      <c r="BM52" s="51">
        <v>44.254585994941579</v>
      </c>
      <c r="BN52" s="51">
        <v>12.549265790895062</v>
      </c>
      <c r="BO52" s="52">
        <v>279</v>
      </c>
      <c r="BP52" s="79">
        <v>239</v>
      </c>
      <c r="BQ52" s="79">
        <v>279</v>
      </c>
      <c r="BR52" s="67">
        <v>-0.14336917562724016</v>
      </c>
      <c r="BS52" s="54">
        <v>5.34020618556701</v>
      </c>
      <c r="BT52" s="3">
        <v>171</v>
      </c>
      <c r="BU52" s="40">
        <v>129</v>
      </c>
      <c r="BV52" s="3">
        <v>112</v>
      </c>
      <c r="BW52" s="3">
        <v>117</v>
      </c>
      <c r="BX52" s="70">
        <v>0.32558139534883712</v>
      </c>
      <c r="BY52" s="70">
        <v>-4.2735042735042694E-2</v>
      </c>
      <c r="BZ52" s="64">
        <v>1.1025641025641026</v>
      </c>
      <c r="CA52" s="59">
        <v>1.5267857142857142</v>
      </c>
      <c r="CB52" s="59">
        <v>2.5206185567010313</v>
      </c>
      <c r="CC52" s="59">
        <v>1.924072164948454</v>
      </c>
      <c r="CD52" s="60">
        <v>74</v>
      </c>
      <c r="CE52" s="60">
        <v>75</v>
      </c>
      <c r="CF52" s="61">
        <v>1.5257731958762886</v>
      </c>
      <c r="CG52" s="61">
        <v>1.5463917525773196</v>
      </c>
      <c r="CH52" s="61">
        <v>1.0135135135135136</v>
      </c>
      <c r="CI52" s="41">
        <v>16.600000000000001</v>
      </c>
      <c r="CJ52" s="40">
        <f>VLOOKUP(paper3[[#This Row],[YYIR nivå]],$DB:$DC,2)</f>
        <v>1320</v>
      </c>
      <c r="CK52" s="3" t="s">
        <v>112</v>
      </c>
      <c r="CL52" s="62"/>
      <c r="CM52" s="63" t="s">
        <v>110</v>
      </c>
      <c r="CN52" s="3">
        <v>171</v>
      </c>
      <c r="CO52" s="3">
        <v>117</v>
      </c>
      <c r="CP52" s="41">
        <v>14.827777777777778</v>
      </c>
      <c r="CQ52" s="3" t="s">
        <v>110</v>
      </c>
      <c r="CR52" s="40">
        <v>150</v>
      </c>
      <c r="CS52" s="40">
        <v>114.5</v>
      </c>
      <c r="CT52" s="40">
        <v>259</v>
      </c>
      <c r="CU52" s="40"/>
      <c r="CV52" s="40"/>
      <c r="CW52" s="40"/>
      <c r="CX52" s="40"/>
      <c r="CY52" s="40">
        <v>0</v>
      </c>
      <c r="CZ52" s="40"/>
      <c r="DA52" s="40"/>
      <c r="DB52" s="65">
        <v>18.7</v>
      </c>
      <c r="DC52" s="65">
        <v>2000</v>
      </c>
    </row>
    <row r="53" spans="1:107" ht="15.95" customHeight="1">
      <c r="A53" s="3">
        <v>178</v>
      </c>
      <c r="B53" s="38" t="s">
        <v>103</v>
      </c>
      <c r="C53" s="3" t="s">
        <v>115</v>
      </c>
      <c r="D53" s="3" t="s">
        <v>105</v>
      </c>
      <c r="E53" s="39">
        <v>44482</v>
      </c>
      <c r="F53" s="3" t="s">
        <v>106</v>
      </c>
      <c r="G53" s="3" t="s">
        <v>122</v>
      </c>
      <c r="H53" s="40">
        <v>2006</v>
      </c>
      <c r="I53" s="40" t="s">
        <v>116</v>
      </c>
      <c r="J53" s="40" t="s">
        <v>157</v>
      </c>
      <c r="K53" s="76">
        <v>168.7</v>
      </c>
      <c r="L53" s="76">
        <v>168.4</v>
      </c>
      <c r="M53" s="76">
        <v>168.2</v>
      </c>
      <c r="N53" s="76">
        <v>139.6</v>
      </c>
      <c r="O53" s="76">
        <v>139.4</v>
      </c>
      <c r="P53" s="76"/>
      <c r="Q53" s="76">
        <v>51.9</v>
      </c>
      <c r="R53" s="76">
        <v>51.9</v>
      </c>
      <c r="S53" s="76"/>
      <c r="T53" s="42">
        <v>168.43333333333334</v>
      </c>
      <c r="U53" s="42">
        <f>AVERAGE(paper3[[#This Row],[Sittende høyde 1]:[Sittende høyde 3]])-56.2</f>
        <v>83.3</v>
      </c>
      <c r="V53" s="12">
        <f>paper3[[#This Row],[height]]-paper3[[#This Row],[sittingheight]]</f>
        <v>85.13333333333334</v>
      </c>
      <c r="W53" s="73">
        <v>51.9</v>
      </c>
      <c r="X53" s="43" cm="1">
        <f t="array" ref="X53">INDEX([1]!phvny[yphv], MATCH(1, (paper3[[#This Row],[id]]=[1]!phvny[id])*(paper3[[#This Row],[time]]=[1]!phvny[time]), 0))</f>
        <v>0.59994622606762216</v>
      </c>
      <c r="Y53" s="60">
        <v>1.95</v>
      </c>
      <c r="Z53" s="60">
        <v>3.29</v>
      </c>
      <c r="AA53" s="60">
        <v>4.58</v>
      </c>
      <c r="AB53" s="60">
        <v>1.89</v>
      </c>
      <c r="AC53" s="60">
        <v>3.23</v>
      </c>
      <c r="AD53" s="60">
        <v>4.5</v>
      </c>
      <c r="AE53" s="60">
        <v>1.91</v>
      </c>
      <c r="AF53" s="60">
        <v>3.25</v>
      </c>
      <c r="AG53" s="60">
        <v>4.5599999999999996</v>
      </c>
      <c r="AH53" s="45">
        <v>1.89</v>
      </c>
      <c r="AI53" s="45">
        <v>3.23</v>
      </c>
      <c r="AJ53" s="45">
        <v>4.5</v>
      </c>
      <c r="AK53" s="45">
        <v>7.8740157480314963</v>
      </c>
      <c r="AL53" s="46"/>
      <c r="AM53" s="3">
        <v>9.77</v>
      </c>
      <c r="AN53" s="3">
        <v>9.98</v>
      </c>
      <c r="AO53" s="3">
        <v>9.81</v>
      </c>
      <c r="AP53" s="3">
        <v>9.77</v>
      </c>
      <c r="AQ53" s="47">
        <v>9.77</v>
      </c>
      <c r="AR53" s="47">
        <v>9.81</v>
      </c>
      <c r="AS53" s="76">
        <v>28.77</v>
      </c>
      <c r="AT53" s="76">
        <v>29.2</v>
      </c>
      <c r="AU53" s="76">
        <v>29.79</v>
      </c>
      <c r="AV53" s="76">
        <v>30.76</v>
      </c>
      <c r="AW53" s="76">
        <v>30.13</v>
      </c>
      <c r="AX53" s="48">
        <v>30.76</v>
      </c>
      <c r="AY53" s="3"/>
      <c r="AZ53" s="3">
        <v>9</v>
      </c>
      <c r="BA53" s="3">
        <v>280</v>
      </c>
      <c r="BB53" s="3">
        <v>9</v>
      </c>
      <c r="BC53" s="3">
        <v>279</v>
      </c>
      <c r="BD53" s="40">
        <v>1086.0510596833744</v>
      </c>
      <c r="BE53" s="40">
        <v>1113.470980209725</v>
      </c>
      <c r="BF53" s="40"/>
      <c r="BG53" s="40">
        <v>406.76278517012378</v>
      </c>
      <c r="BH53" s="40">
        <v>416.44154329433763</v>
      </c>
      <c r="BI53" s="49">
        <v>2199.5220398930996</v>
      </c>
      <c r="BJ53" s="49">
        <v>823.20432846446147</v>
      </c>
      <c r="BK53" s="66">
        <v>-2.4625626544111601E-2</v>
      </c>
      <c r="BL53" s="66">
        <v>-2.3241576831284028E-2</v>
      </c>
      <c r="BM53" s="51">
        <v>42.380000768653176</v>
      </c>
      <c r="BN53" s="51">
        <v>15.861355076386541</v>
      </c>
      <c r="BO53" s="52">
        <v>240</v>
      </c>
      <c r="BP53" s="77">
        <v>240</v>
      </c>
      <c r="BQ53" s="77">
        <v>208</v>
      </c>
      <c r="BR53" s="67">
        <v>0.15384615384615374</v>
      </c>
      <c r="BS53" s="54">
        <v>4.3159922928709058</v>
      </c>
      <c r="BT53" s="3">
        <v>170</v>
      </c>
      <c r="BU53" s="40">
        <v>171</v>
      </c>
      <c r="BV53" s="3">
        <v>97</v>
      </c>
      <c r="BW53" s="3">
        <v>101</v>
      </c>
      <c r="BX53" s="70">
        <v>-5.8479532163743242E-3</v>
      </c>
      <c r="BY53" s="70">
        <v>-3.9603960396039639E-2</v>
      </c>
      <c r="BZ53" s="64">
        <v>1.693069306930693</v>
      </c>
      <c r="CA53" s="59">
        <v>1.7525773195876289</v>
      </c>
      <c r="CB53" s="59">
        <v>2.7967694283879254</v>
      </c>
      <c r="CC53" s="59">
        <v>1.6239306358381504</v>
      </c>
      <c r="CD53" s="60">
        <v>101</v>
      </c>
      <c r="CE53" s="60">
        <v>99</v>
      </c>
      <c r="CF53" s="61">
        <v>1.9460500963391136</v>
      </c>
      <c r="CG53" s="61">
        <v>1.9075144508670521</v>
      </c>
      <c r="CH53" s="61">
        <v>0.98019801980198029</v>
      </c>
      <c r="CI53" s="41">
        <v>16.3</v>
      </c>
      <c r="CJ53" s="40">
        <f>VLOOKUP(paper3[[#This Row],[YYIR nivå]],$DB:$DC,2)</f>
        <v>1200</v>
      </c>
      <c r="CK53" s="3" t="s">
        <v>112</v>
      </c>
      <c r="CL53" s="62"/>
      <c r="CM53" s="63" t="s">
        <v>110</v>
      </c>
      <c r="CN53" s="3">
        <v>171</v>
      </c>
      <c r="CO53" s="3">
        <v>101</v>
      </c>
      <c r="CP53" s="41">
        <v>15.688888888888888</v>
      </c>
      <c r="CQ53" s="3" t="s">
        <v>110</v>
      </c>
      <c r="CR53" s="40">
        <v>170.5</v>
      </c>
      <c r="CS53" s="40">
        <v>99</v>
      </c>
      <c r="CT53" s="40">
        <v>224</v>
      </c>
      <c r="CU53" s="40"/>
      <c r="CV53" s="40"/>
      <c r="CW53" s="40"/>
      <c r="CX53" s="40"/>
      <c r="CY53" s="40">
        <v>0</v>
      </c>
      <c r="CZ53" s="40"/>
      <c r="DA53" s="40"/>
      <c r="DB53" s="65">
        <v>18.8</v>
      </c>
      <c r="DC53" s="65">
        <v>2040</v>
      </c>
    </row>
    <row r="54" spans="1:107" ht="15.95" customHeight="1">
      <c r="A54" s="3">
        <v>179</v>
      </c>
      <c r="B54" s="38" t="s">
        <v>103</v>
      </c>
      <c r="C54" s="3" t="s">
        <v>115</v>
      </c>
      <c r="D54" s="3" t="s">
        <v>105</v>
      </c>
      <c r="E54" s="39">
        <v>44482</v>
      </c>
      <c r="F54" s="3" t="s">
        <v>106</v>
      </c>
      <c r="G54" s="3" t="s">
        <v>122</v>
      </c>
      <c r="H54" s="40">
        <v>2006</v>
      </c>
      <c r="I54" s="40" t="s">
        <v>116</v>
      </c>
      <c r="J54" s="40" t="s">
        <v>157</v>
      </c>
      <c r="K54" s="78">
        <v>167.6</v>
      </c>
      <c r="L54" s="78">
        <v>167.7</v>
      </c>
      <c r="M54" s="78"/>
      <c r="N54" s="78">
        <v>139.5</v>
      </c>
      <c r="O54" s="78">
        <v>139.5</v>
      </c>
      <c r="P54" s="78"/>
      <c r="Q54" s="78">
        <v>53.4</v>
      </c>
      <c r="R54" s="78">
        <v>53.4</v>
      </c>
      <c r="S54" s="78"/>
      <c r="T54" s="42">
        <v>167.64999999999998</v>
      </c>
      <c r="U54" s="42">
        <f>AVERAGE(paper3[[#This Row],[Sittende høyde 1]:[Sittende høyde 3]])-56.2</f>
        <v>83.3</v>
      </c>
      <c r="V54" s="12">
        <f>paper3[[#This Row],[height]]-paper3[[#This Row],[sittingheight]]</f>
        <v>84.34999999999998</v>
      </c>
      <c r="W54" s="73">
        <v>53.4</v>
      </c>
      <c r="X54" s="43" cm="1">
        <f t="array" ref="X54">INDEX([1]!phvny[yphv], MATCH(1, (paper3[[#This Row],[id]]=[1]!phvny[id])*(paper3[[#This Row],[time]]=[1]!phvny[time]), 0))</f>
        <v>0.51259597315337047</v>
      </c>
      <c r="Y54" s="60">
        <v>1.95</v>
      </c>
      <c r="Z54" s="60">
        <v>3.32</v>
      </c>
      <c r="AA54" s="60">
        <v>4.6399999999999997</v>
      </c>
      <c r="AB54" s="83">
        <v>1.89</v>
      </c>
      <c r="AC54" s="83">
        <v>3.25</v>
      </c>
      <c r="AD54" s="83">
        <v>4.54</v>
      </c>
      <c r="AE54" s="83">
        <v>1.95</v>
      </c>
      <c r="AF54" s="83">
        <v>3.31</v>
      </c>
      <c r="AG54" s="83">
        <v>4.6100000000000003</v>
      </c>
      <c r="AH54" s="45">
        <v>1.89</v>
      </c>
      <c r="AI54" s="45">
        <v>3.25</v>
      </c>
      <c r="AJ54" s="45">
        <v>4.54</v>
      </c>
      <c r="AK54" s="45">
        <v>7.7519379844961236</v>
      </c>
      <c r="AL54" s="3">
        <v>9.89</v>
      </c>
      <c r="AM54" s="3">
        <v>9.5399999999999991</v>
      </c>
      <c r="AN54" s="3">
        <v>9.94</v>
      </c>
      <c r="AO54" s="3">
        <v>9.76</v>
      </c>
      <c r="AP54" s="3">
        <v>9.5399999999999991</v>
      </c>
      <c r="AQ54" s="47">
        <v>9.5399999999999991</v>
      </c>
      <c r="AR54" s="47">
        <v>9.76</v>
      </c>
      <c r="AS54" s="78">
        <v>30.65</v>
      </c>
      <c r="AT54" s="78">
        <v>32.57</v>
      </c>
      <c r="AU54" s="78">
        <v>33.61</v>
      </c>
      <c r="AV54" s="78">
        <v>33.67</v>
      </c>
      <c r="AW54" s="76"/>
      <c r="AX54" s="48">
        <v>33.67</v>
      </c>
      <c r="AY54" s="3"/>
      <c r="AZ54" s="3">
        <v>8</v>
      </c>
      <c r="BA54" s="3">
        <v>280</v>
      </c>
      <c r="BB54" s="3">
        <v>9</v>
      </c>
      <c r="BC54" s="3">
        <v>279</v>
      </c>
      <c r="BD54" s="40">
        <v>1164.1347395311914</v>
      </c>
      <c r="BE54" s="40">
        <v>1144.3513425738884</v>
      </c>
      <c r="BF54" s="40"/>
      <c r="BG54" s="40">
        <v>385.35906679979661</v>
      </c>
      <c r="BH54" s="40">
        <v>381.309405459581</v>
      </c>
      <c r="BI54" s="49">
        <v>2308.4860821050797</v>
      </c>
      <c r="BJ54" s="49">
        <v>766.66847225937761</v>
      </c>
      <c r="BK54" s="66">
        <v>1.7287869748818574E-2</v>
      </c>
      <c r="BL54" s="66">
        <v>1.0620407685288269E-2</v>
      </c>
      <c r="BM54" s="51">
        <v>43.230076443915351</v>
      </c>
      <c r="BN54" s="51">
        <v>14.357087495493962</v>
      </c>
      <c r="BO54" s="52">
        <v>303</v>
      </c>
      <c r="BP54" s="79">
        <v>265</v>
      </c>
      <c r="BQ54" s="79">
        <v>303</v>
      </c>
      <c r="BR54" s="67">
        <v>-0.12541254125412538</v>
      </c>
      <c r="BS54" s="54">
        <v>5.3183520599250942</v>
      </c>
      <c r="BT54" s="3">
        <v>159</v>
      </c>
      <c r="BU54" s="40">
        <v>167</v>
      </c>
      <c r="BV54" s="3">
        <v>121</v>
      </c>
      <c r="BW54" s="3">
        <v>127</v>
      </c>
      <c r="BX54" s="70">
        <v>-4.7904191616766512E-2</v>
      </c>
      <c r="BY54" s="70">
        <v>-4.7244094488189003E-2</v>
      </c>
      <c r="BZ54" s="64">
        <v>1.3149606299212599</v>
      </c>
      <c r="CA54" s="59">
        <v>1.3140495867768596</v>
      </c>
      <c r="CB54" s="59">
        <v>2.5747284644194752</v>
      </c>
      <c r="CC54" s="59">
        <v>1.9586891385767786</v>
      </c>
      <c r="CD54" s="60">
        <v>117</v>
      </c>
      <c r="CE54" s="60">
        <v>111</v>
      </c>
      <c r="CF54" s="61">
        <v>2.1910112359550564</v>
      </c>
      <c r="CG54" s="61">
        <v>2.0786516853932584</v>
      </c>
      <c r="CH54" s="61">
        <v>0.94871794871794857</v>
      </c>
      <c r="CI54" s="41"/>
      <c r="CJ54" s="40"/>
      <c r="CK54" s="3"/>
      <c r="CL54" s="62"/>
      <c r="CM54" s="63" t="s">
        <v>110</v>
      </c>
      <c r="CN54" s="3">
        <v>167</v>
      </c>
      <c r="CO54" s="3">
        <v>127</v>
      </c>
      <c r="CP54" s="41">
        <v>15.441666666666666</v>
      </c>
      <c r="CQ54" s="3" t="s">
        <v>110</v>
      </c>
      <c r="CR54" s="40">
        <v>163</v>
      </c>
      <c r="CS54" s="40">
        <v>124</v>
      </c>
      <c r="CT54" s="40">
        <v>284</v>
      </c>
      <c r="CU54" s="40"/>
      <c r="CV54" s="40"/>
      <c r="CW54" s="40"/>
      <c r="CX54" s="40"/>
      <c r="CY54" s="40">
        <v>0</v>
      </c>
      <c r="CZ54" s="40"/>
      <c r="DA54" s="40"/>
      <c r="DB54" s="65">
        <v>19.100000000000001</v>
      </c>
      <c r="DC54" s="65">
        <v>2080</v>
      </c>
    </row>
    <row r="55" spans="1:107" ht="15.75" customHeight="1">
      <c r="A55" s="3">
        <v>180</v>
      </c>
      <c r="B55" s="38" t="s">
        <v>103</v>
      </c>
      <c r="C55" s="3" t="s">
        <v>115</v>
      </c>
      <c r="D55" s="3" t="s">
        <v>105</v>
      </c>
      <c r="E55" s="39">
        <v>44482</v>
      </c>
      <c r="F55" s="3" t="s">
        <v>106</v>
      </c>
      <c r="G55" s="3"/>
      <c r="H55" s="84">
        <v>2005</v>
      </c>
      <c r="I55" s="40"/>
      <c r="J55" s="40"/>
      <c r="K55" s="76">
        <v>173</v>
      </c>
      <c r="L55" s="76">
        <v>172.9</v>
      </c>
      <c r="M55" s="76"/>
      <c r="N55" s="76">
        <v>139.5</v>
      </c>
      <c r="O55" s="76">
        <v>139.5</v>
      </c>
      <c r="P55" s="76"/>
      <c r="Q55" s="76">
        <v>60.7</v>
      </c>
      <c r="R55" s="76">
        <v>60.7</v>
      </c>
      <c r="S55" s="76"/>
      <c r="T55" s="42">
        <v>172.95</v>
      </c>
      <c r="U55" s="42">
        <f>AVERAGE(paper3[[#This Row],[Sittende høyde 1]:[Sittende høyde 3]])-56.2</f>
        <v>83.3</v>
      </c>
      <c r="V55" s="12">
        <f>paper3[[#This Row],[height]]-paper3[[#This Row],[sittingheight]]</f>
        <v>89.649999999999991</v>
      </c>
      <c r="W55" s="73">
        <v>60.7</v>
      </c>
      <c r="X55" s="43" cm="1">
        <f t="array" ref="X55">INDEX([1]!phvny[yphv], MATCH(1, (paper3[[#This Row],[id]]=[1]!phvny[id])*(paper3[[#This Row],[time]]=[1]!phvny[time]), 0))</f>
        <v>4.0067449618534692</v>
      </c>
      <c r="Y55" s="60">
        <v>1.81</v>
      </c>
      <c r="Z55" s="60">
        <v>3.14</v>
      </c>
      <c r="AA55" s="60">
        <v>4.38</v>
      </c>
      <c r="AB55" s="60">
        <v>1.79</v>
      </c>
      <c r="AC55" s="60">
        <v>3.08</v>
      </c>
      <c r="AD55" s="60">
        <v>4.3</v>
      </c>
      <c r="AE55" s="60">
        <v>1.78</v>
      </c>
      <c r="AF55" s="60">
        <v>3.04</v>
      </c>
      <c r="AG55" s="60">
        <v>4.28</v>
      </c>
      <c r="AH55" s="45">
        <v>1.78</v>
      </c>
      <c r="AI55" s="45">
        <v>3.04</v>
      </c>
      <c r="AJ55" s="45">
        <v>4.28</v>
      </c>
      <c r="AK55" s="45">
        <v>8.0645161290322562</v>
      </c>
      <c r="AL55" s="3"/>
      <c r="AM55" s="3">
        <v>9.51</v>
      </c>
      <c r="AN55" s="3">
        <v>9.52</v>
      </c>
      <c r="AO55" s="3">
        <v>9.31</v>
      </c>
      <c r="AP55" s="3">
        <v>9.31</v>
      </c>
      <c r="AQ55" s="47">
        <v>9.51</v>
      </c>
      <c r="AR55" s="47">
        <v>9.31</v>
      </c>
      <c r="AS55" s="76">
        <v>37.159999999999997</v>
      </c>
      <c r="AT55" s="76">
        <v>40.36</v>
      </c>
      <c r="AU55" s="76">
        <v>40.56</v>
      </c>
      <c r="AV55" s="76">
        <v>39.03</v>
      </c>
      <c r="AW55" s="76"/>
      <c r="AX55" s="48">
        <v>40.56</v>
      </c>
      <c r="AY55" s="3"/>
      <c r="AZ55" s="3">
        <v>9</v>
      </c>
      <c r="BA55" s="3">
        <v>320</v>
      </c>
      <c r="BB55" s="3">
        <v>11</v>
      </c>
      <c r="BC55" s="3">
        <v>380</v>
      </c>
      <c r="BD55" s="40">
        <v>1563.7730827391711</v>
      </c>
      <c r="BE55" s="40">
        <v>1622.5642167748592</v>
      </c>
      <c r="BF55" s="40"/>
      <c r="BG55" s="40">
        <v>633.15369313965118</v>
      </c>
      <c r="BH55" s="40">
        <v>709.93541068336856</v>
      </c>
      <c r="BI55" s="49">
        <v>3186.3372995140303</v>
      </c>
      <c r="BJ55" s="49">
        <v>1343.0891038230197</v>
      </c>
      <c r="BK55" s="66">
        <v>-3.6233471333754763E-2</v>
      </c>
      <c r="BL55" s="66">
        <v>-0.10815310292778457</v>
      </c>
      <c r="BM55" s="51">
        <v>52.493200980461779</v>
      </c>
      <c r="BN55" s="51">
        <v>22.12667386858352</v>
      </c>
      <c r="BO55" s="52">
        <v>368</v>
      </c>
      <c r="BP55" s="77">
        <v>341</v>
      </c>
      <c r="BQ55" s="77">
        <v>368</v>
      </c>
      <c r="BR55" s="67">
        <v>-7.3369565217391353E-2</v>
      </c>
      <c r="BS55" s="54">
        <v>5.8401976935749582</v>
      </c>
      <c r="BT55" s="3">
        <v>224</v>
      </c>
      <c r="BU55" s="40">
        <v>236</v>
      </c>
      <c r="BV55" s="3">
        <v>140</v>
      </c>
      <c r="BW55" s="3">
        <v>139</v>
      </c>
      <c r="BX55" s="70">
        <v>-5.084745762711862E-2</v>
      </c>
      <c r="BY55" s="70">
        <v>7.194244604316502E-3</v>
      </c>
      <c r="BZ55" s="64">
        <v>1.6978417266187051</v>
      </c>
      <c r="CA55" s="59">
        <v>1.6</v>
      </c>
      <c r="CB55" s="59">
        <v>3.3969522240527179</v>
      </c>
      <c r="CC55" s="59">
        <v>2.0603253706754527</v>
      </c>
      <c r="CD55" s="60">
        <v>159</v>
      </c>
      <c r="CE55" s="60">
        <v>189</v>
      </c>
      <c r="CF55" s="61">
        <v>2.6194398682042834</v>
      </c>
      <c r="CG55" s="61">
        <v>3.113673805601318</v>
      </c>
      <c r="CH55" s="61">
        <v>1.1886792452830188</v>
      </c>
      <c r="CI55" s="41"/>
      <c r="CJ55" s="40"/>
      <c r="CK55" s="3"/>
      <c r="CL55" s="62"/>
      <c r="CM55" s="63" t="s">
        <v>110</v>
      </c>
      <c r="CN55" s="3">
        <v>236</v>
      </c>
      <c r="CO55" s="3">
        <v>140</v>
      </c>
      <c r="CP55" s="41">
        <v>15.791666666666666</v>
      </c>
      <c r="CQ55" s="3" t="s">
        <v>110</v>
      </c>
      <c r="CR55" s="40">
        <v>230</v>
      </c>
      <c r="CS55" s="40">
        <v>139.5</v>
      </c>
      <c r="CT55" s="40">
        <v>354.5</v>
      </c>
      <c r="CU55" s="40"/>
      <c r="CV55" s="40"/>
      <c r="CW55" s="40"/>
      <c r="CX55" s="40"/>
      <c r="CY55" s="40">
        <v>0</v>
      </c>
      <c r="CZ55" s="40"/>
      <c r="DA55" s="40"/>
      <c r="DB55" s="65">
        <v>19.2</v>
      </c>
      <c r="DC55" s="65">
        <v>2120</v>
      </c>
    </row>
    <row r="56" spans="1:107" ht="15.95" customHeight="1">
      <c r="A56" s="3">
        <v>180</v>
      </c>
      <c r="B56" s="38" t="s">
        <v>103</v>
      </c>
      <c r="C56" s="3" t="s">
        <v>115</v>
      </c>
      <c r="D56" s="76" t="s">
        <v>105</v>
      </c>
      <c r="E56" s="39">
        <v>44861</v>
      </c>
      <c r="F56" s="3" t="s">
        <v>106</v>
      </c>
      <c r="G56" s="3" t="s">
        <v>122</v>
      </c>
      <c r="H56" s="3">
        <v>2005</v>
      </c>
      <c r="I56" s="40" t="s">
        <v>116</v>
      </c>
      <c r="J56" s="39" t="s">
        <v>160</v>
      </c>
      <c r="K56" s="3">
        <v>175.1</v>
      </c>
      <c r="L56" s="3">
        <v>175</v>
      </c>
      <c r="M56" s="3"/>
      <c r="N56" s="3">
        <v>144</v>
      </c>
      <c r="O56" s="3">
        <v>144</v>
      </c>
      <c r="P56" s="3"/>
      <c r="Q56" s="3">
        <v>62.8</v>
      </c>
      <c r="R56" s="3">
        <v>62.8</v>
      </c>
      <c r="S56" s="3"/>
      <c r="T56" s="42">
        <v>175.05</v>
      </c>
      <c r="U56" s="42">
        <f>AVERAGE(paper3[[#This Row],[Sittende høyde 1]:[Sittende høyde 3]])-56.2</f>
        <v>87.8</v>
      </c>
      <c r="V56" s="12">
        <f>paper3[[#This Row],[height]]-paper3[[#This Row],[sittingheight]]</f>
        <v>87.250000000000014</v>
      </c>
      <c r="W56" s="73">
        <v>62.8</v>
      </c>
      <c r="X56" s="43" cm="1">
        <f t="array" ref="X56">INDEX([1]!phvny[yphv], MATCH(1, (paper3[[#This Row],[id]]=[1]!phvny[id])*(paper3[[#This Row],[time]]=[1]!phvny[time]), 0))</f>
        <v>4.0067449618534692</v>
      </c>
      <c r="Y56" s="3">
        <v>1.85</v>
      </c>
      <c r="Z56" s="3">
        <v>3.12</v>
      </c>
      <c r="AA56" s="3">
        <v>4.3099999999999996</v>
      </c>
      <c r="AB56" s="3">
        <v>1.74</v>
      </c>
      <c r="AC56" s="3">
        <v>2.98</v>
      </c>
      <c r="AD56" s="3">
        <v>4.16</v>
      </c>
      <c r="AE56" s="3">
        <v>1.76</v>
      </c>
      <c r="AF56" s="3">
        <v>3</v>
      </c>
      <c r="AG56" s="3">
        <v>4.17</v>
      </c>
      <c r="AH56" s="44">
        <v>1.74</v>
      </c>
      <c r="AI56" s="44">
        <v>2.98</v>
      </c>
      <c r="AJ56" s="44">
        <v>4.16</v>
      </c>
      <c r="AK56" s="45">
        <v>8.4745762711864394</v>
      </c>
      <c r="AL56" s="60">
        <v>9.1</v>
      </c>
      <c r="AM56" s="3">
        <v>8.99</v>
      </c>
      <c r="AN56" s="3">
        <v>9.33</v>
      </c>
      <c r="AO56" s="3">
        <v>9.09</v>
      </c>
      <c r="AP56" s="3">
        <v>8.99</v>
      </c>
      <c r="AQ56" s="47">
        <v>8.99</v>
      </c>
      <c r="AR56" s="47">
        <v>9.09</v>
      </c>
      <c r="AS56" s="3">
        <v>37.369999999999997</v>
      </c>
      <c r="AT56" s="3"/>
      <c r="AU56" s="3">
        <v>41.71</v>
      </c>
      <c r="AV56" s="3"/>
      <c r="AW56" s="3">
        <v>41.04</v>
      </c>
      <c r="AX56" s="48">
        <v>41.71</v>
      </c>
      <c r="AY56" s="3"/>
      <c r="AZ56" s="3"/>
      <c r="BA56" s="3"/>
      <c r="BB56" s="3"/>
      <c r="BC56" s="3"/>
      <c r="BD56" s="40">
        <v>1740.7501100650488</v>
      </c>
      <c r="BE56" s="40">
        <v>1582.7212547530326</v>
      </c>
      <c r="BF56" s="3"/>
      <c r="BG56" s="40">
        <v>711.08942950676396</v>
      </c>
      <c r="BH56" s="40">
        <v>672.36422795463932</v>
      </c>
      <c r="BI56" s="49">
        <v>3323.4713648180814</v>
      </c>
      <c r="BJ56" s="49">
        <v>1383.4536574614033</v>
      </c>
      <c r="BK56" s="66">
        <v>9.9846296268179646E-2</v>
      </c>
      <c r="BL56" s="66">
        <v>5.7595570885631941E-2</v>
      </c>
      <c r="BM56" s="51">
        <v>52.921518548058621</v>
      </c>
      <c r="BN56" s="51">
        <v>22.029516838557377</v>
      </c>
      <c r="BO56" s="52">
        <v>357</v>
      </c>
      <c r="BP56" s="40">
        <v>357</v>
      </c>
      <c r="BQ56" s="40">
        <v>320</v>
      </c>
      <c r="BR56" s="67">
        <v>0.11562500000000009</v>
      </c>
      <c r="BS56" s="54">
        <v>5.3901273885350323</v>
      </c>
      <c r="BT56" s="3">
        <v>214</v>
      </c>
      <c r="BU56" s="40">
        <v>223</v>
      </c>
      <c r="BV56" s="3">
        <v>153</v>
      </c>
      <c r="BW56" s="3">
        <v>132</v>
      </c>
      <c r="BX56" s="70">
        <v>-4.035874439461884E-2</v>
      </c>
      <c r="BY56" s="70">
        <v>0.15909090909090917</v>
      </c>
      <c r="BZ56" s="59">
        <v>1.6893939393939394</v>
      </c>
      <c r="CA56" s="59">
        <v>1.3986928104575163</v>
      </c>
      <c r="CB56" s="59">
        <v>3.0356886942675168</v>
      </c>
      <c r="CC56" s="59">
        <v>1.9797969745222934</v>
      </c>
      <c r="CD56" s="60">
        <v>158</v>
      </c>
      <c r="CE56" s="60">
        <v>127</v>
      </c>
      <c r="CF56" s="61">
        <v>2.515923566878981</v>
      </c>
      <c r="CG56" s="61">
        <v>2.0222929936305731</v>
      </c>
      <c r="CH56" s="61">
        <v>0.80379746835443033</v>
      </c>
      <c r="CI56" s="41">
        <v>16.8</v>
      </c>
      <c r="CJ56" s="40">
        <f>VLOOKUP(paper3[[#This Row],[YYIR nivå]],$DB:$DC,2)</f>
        <v>1400</v>
      </c>
      <c r="CK56" s="3"/>
      <c r="CL56" s="62"/>
      <c r="CM56" s="63" t="s">
        <v>110</v>
      </c>
      <c r="CN56" s="3">
        <v>223</v>
      </c>
      <c r="CO56" s="3">
        <v>153</v>
      </c>
      <c r="CP56" s="41">
        <v>15.791666666666666</v>
      </c>
      <c r="CQ56" s="3" t="s">
        <v>110</v>
      </c>
      <c r="CR56" s="40">
        <v>218.5</v>
      </c>
      <c r="CS56" s="40">
        <v>142.5</v>
      </c>
      <c r="CT56" s="40">
        <v>338.5</v>
      </c>
      <c r="CU56" s="40"/>
      <c r="CV56" s="40"/>
      <c r="CW56" s="40"/>
      <c r="CX56" s="40"/>
      <c r="CY56" s="40">
        <v>0</v>
      </c>
      <c r="CZ56" s="40"/>
      <c r="DA56" s="40"/>
      <c r="DB56" s="65">
        <v>19.3</v>
      </c>
      <c r="DC56" s="65">
        <v>2160</v>
      </c>
    </row>
    <row r="57" spans="1:107" ht="15.95" customHeight="1">
      <c r="A57" s="3">
        <v>181</v>
      </c>
      <c r="B57" s="38" t="s">
        <v>103</v>
      </c>
      <c r="C57" s="3" t="s">
        <v>115</v>
      </c>
      <c r="D57" s="3" t="s">
        <v>105</v>
      </c>
      <c r="E57" s="39">
        <v>44482</v>
      </c>
      <c r="F57" s="3" t="s">
        <v>106</v>
      </c>
      <c r="G57" s="3" t="s">
        <v>122</v>
      </c>
      <c r="H57" s="40">
        <v>2006</v>
      </c>
      <c r="I57" s="40" t="s">
        <v>116</v>
      </c>
      <c r="J57" s="40" t="s">
        <v>157</v>
      </c>
      <c r="K57" s="78">
        <v>165.2</v>
      </c>
      <c r="L57" s="78">
        <v>165.2</v>
      </c>
      <c r="M57" s="78"/>
      <c r="N57" s="78">
        <v>137.9</v>
      </c>
      <c r="O57" s="78">
        <v>136.9</v>
      </c>
      <c r="P57" s="78">
        <v>136.9</v>
      </c>
      <c r="Q57" s="78">
        <v>74.5</v>
      </c>
      <c r="R57" s="78">
        <v>74.5</v>
      </c>
      <c r="S57" s="78"/>
      <c r="T57" s="42">
        <v>165.2</v>
      </c>
      <c r="U57" s="42">
        <f>AVERAGE(paper3[[#This Row],[Sittende høyde 1]:[Sittende høyde 3]])-56.2</f>
        <v>81.033333333333346</v>
      </c>
      <c r="V57" s="12">
        <f>paper3[[#This Row],[height]]-paper3[[#This Row],[sittingheight]]</f>
        <v>84.166666666666643</v>
      </c>
      <c r="W57" s="73">
        <v>74.5</v>
      </c>
      <c r="X57" s="43" cm="1">
        <f t="array" ref="X57">INDEX([1]!phvny[yphv], MATCH(1, (paper3[[#This Row],[id]]=[1]!phvny[id])*(paper3[[#This Row],[time]]=[1]!phvny[time]), 0))</f>
        <v>0.36919409018451366</v>
      </c>
      <c r="Y57" s="60">
        <v>1.94</v>
      </c>
      <c r="Z57" s="60">
        <v>3.3</v>
      </c>
      <c r="AA57" s="60">
        <v>4.57</v>
      </c>
      <c r="AB57" s="60">
        <v>1.95</v>
      </c>
      <c r="AC57" s="60">
        <v>3.3</v>
      </c>
      <c r="AD57" s="60">
        <v>4.58</v>
      </c>
      <c r="AE57" s="60">
        <v>1.93</v>
      </c>
      <c r="AF57" s="60">
        <v>3.28</v>
      </c>
      <c r="AG57" s="60">
        <v>4.55</v>
      </c>
      <c r="AH57" s="45">
        <v>1.93</v>
      </c>
      <c r="AI57" s="45">
        <v>3.28</v>
      </c>
      <c r="AJ57" s="45">
        <v>4.55</v>
      </c>
      <c r="AK57" s="45">
        <v>7.8740157480314963</v>
      </c>
      <c r="AL57" s="3">
        <v>10.1</v>
      </c>
      <c r="AM57" s="3">
        <v>9.66</v>
      </c>
      <c r="AN57" s="3">
        <v>9.98</v>
      </c>
      <c r="AO57" s="46"/>
      <c r="AP57" s="46">
        <v>9.66</v>
      </c>
      <c r="AQ57" s="47">
        <v>9.66</v>
      </c>
      <c r="AR57" s="47">
        <v>9.98</v>
      </c>
      <c r="AS57" s="78">
        <v>31.19</v>
      </c>
      <c r="AT57" s="78">
        <v>27.99</v>
      </c>
      <c r="AU57" s="78">
        <v>32.11</v>
      </c>
      <c r="AV57" s="78">
        <v>30.02</v>
      </c>
      <c r="AW57" s="76"/>
      <c r="AX57" s="48">
        <v>32.11</v>
      </c>
      <c r="AY57" s="3"/>
      <c r="AZ57" s="3">
        <v>9</v>
      </c>
      <c r="BA57" s="3">
        <v>280</v>
      </c>
      <c r="BB57" s="3">
        <v>10</v>
      </c>
      <c r="BC57" s="3">
        <v>306</v>
      </c>
      <c r="BD57" s="40">
        <v>1226.2973983901848</v>
      </c>
      <c r="BE57" s="40">
        <v>1203.9093518763093</v>
      </c>
      <c r="BF57" s="40"/>
      <c r="BG57" s="40">
        <v>394.43643215015379</v>
      </c>
      <c r="BH57" s="40">
        <v>425.0600696288127</v>
      </c>
      <c r="BI57" s="49">
        <v>2430.2067502664941</v>
      </c>
      <c r="BJ57" s="49">
        <v>819.49650177896649</v>
      </c>
      <c r="BK57" s="66">
        <v>1.85961231042715E-2</v>
      </c>
      <c r="BL57" s="66">
        <v>-7.2045434673271624E-2</v>
      </c>
      <c r="BM57" s="51">
        <v>32.620224835791866</v>
      </c>
      <c r="BN57" s="51">
        <v>10.999953044012972</v>
      </c>
      <c r="BO57" s="52">
        <v>291</v>
      </c>
      <c r="BP57" s="79">
        <v>270</v>
      </c>
      <c r="BQ57" s="79">
        <v>291</v>
      </c>
      <c r="BR57" s="67">
        <v>-7.2164948453608213E-2</v>
      </c>
      <c r="BS57" s="54">
        <v>3.7651006711409396</v>
      </c>
      <c r="BT57" s="3">
        <v>137</v>
      </c>
      <c r="BU57" s="40">
        <v>181</v>
      </c>
      <c r="BV57" s="3">
        <v>87</v>
      </c>
      <c r="BW57" s="3">
        <v>92</v>
      </c>
      <c r="BX57" s="70">
        <v>-0.24309392265193375</v>
      </c>
      <c r="BY57" s="70">
        <v>-5.4347826086956541E-2</v>
      </c>
      <c r="BZ57" s="64">
        <v>1.9673913043478262</v>
      </c>
      <c r="CA57" s="59">
        <v>1.5747126436781609</v>
      </c>
      <c r="CB57" s="59">
        <v>1.7963087248322143</v>
      </c>
      <c r="CC57" s="59">
        <v>1.0111297539149886</v>
      </c>
      <c r="CD57" s="60">
        <v>93</v>
      </c>
      <c r="CE57" s="60">
        <v>91</v>
      </c>
      <c r="CF57" s="61">
        <v>1.2483221476510067</v>
      </c>
      <c r="CG57" s="61">
        <v>1.2214765100671141</v>
      </c>
      <c r="CH57" s="61">
        <v>0.978494623655914</v>
      </c>
      <c r="CI57" s="41"/>
      <c r="CJ57" s="40"/>
      <c r="CK57" s="3"/>
      <c r="CL57" s="62"/>
      <c r="CM57" s="63" t="s">
        <v>110</v>
      </c>
      <c r="CN57" s="3">
        <v>181</v>
      </c>
      <c r="CO57" s="3">
        <v>92</v>
      </c>
      <c r="CP57" s="41">
        <v>15.119444444444444</v>
      </c>
      <c r="CQ57" s="3" t="s">
        <v>110</v>
      </c>
      <c r="CR57" s="40">
        <v>159</v>
      </c>
      <c r="CS57" s="40">
        <v>89.5</v>
      </c>
      <c r="CT57" s="40">
        <v>280.5</v>
      </c>
      <c r="CU57" s="40"/>
      <c r="CV57" s="40"/>
      <c r="CW57" s="40"/>
      <c r="CX57" s="40"/>
      <c r="CY57" s="40">
        <v>0</v>
      </c>
      <c r="CZ57" s="40"/>
      <c r="DA57" s="40"/>
      <c r="DB57" s="65">
        <v>19.399999999999999</v>
      </c>
      <c r="DC57" s="65">
        <v>2200</v>
      </c>
    </row>
    <row r="58" spans="1:107" ht="15.95" customHeight="1">
      <c r="A58" s="3">
        <v>182</v>
      </c>
      <c r="B58" s="38" t="s">
        <v>103</v>
      </c>
      <c r="C58" s="3" t="s">
        <v>159</v>
      </c>
      <c r="D58" s="3" t="s">
        <v>105</v>
      </c>
      <c r="E58" s="39">
        <v>44482</v>
      </c>
      <c r="F58" s="3" t="s">
        <v>106</v>
      </c>
      <c r="G58" s="3" t="s">
        <v>122</v>
      </c>
      <c r="H58" s="40">
        <v>2006</v>
      </c>
      <c r="I58" s="40" t="s">
        <v>116</v>
      </c>
      <c r="J58" s="40" t="s">
        <v>157</v>
      </c>
      <c r="K58" s="76">
        <v>177.1</v>
      </c>
      <c r="L58" s="76">
        <v>177.1</v>
      </c>
      <c r="M58" s="76"/>
      <c r="N58" s="76">
        <v>145.9</v>
      </c>
      <c r="O58" s="76">
        <v>145.69999999999999</v>
      </c>
      <c r="P58" s="76"/>
      <c r="Q58" s="76">
        <v>66</v>
      </c>
      <c r="R58" s="76">
        <v>66</v>
      </c>
      <c r="S58" s="76"/>
      <c r="T58" s="42">
        <v>177.1</v>
      </c>
      <c r="U58" s="42">
        <f>AVERAGE(paper3[[#This Row],[Sittende høyde 1]:[Sittende høyde 3]])-56.2</f>
        <v>89.600000000000009</v>
      </c>
      <c r="V58" s="12">
        <f>paper3[[#This Row],[height]]-paper3[[#This Row],[sittingheight]]</f>
        <v>87.499999999999986</v>
      </c>
      <c r="W58" s="73">
        <v>66</v>
      </c>
      <c r="X58" s="43" cm="1">
        <f t="array" ref="X58">INDEX([1]!phvny[yphv], MATCH(1, (paper3[[#This Row],[id]]=[1]!phvny[id])*(paper3[[#This Row],[time]]=[1]!phvny[time]), 0))</f>
        <v>1.5713924590165658</v>
      </c>
      <c r="Y58" s="60"/>
      <c r="Z58" s="60"/>
      <c r="AA58" s="60"/>
      <c r="AB58" s="60"/>
      <c r="AC58" s="60"/>
      <c r="AD58" s="60"/>
      <c r="AE58" s="60"/>
      <c r="AF58" s="60"/>
      <c r="AG58" s="60"/>
      <c r="AH58" s="45"/>
      <c r="AI58" s="45"/>
      <c r="AJ58" s="45"/>
      <c r="AK58" s="45"/>
      <c r="AL58" s="3" t="s">
        <v>161</v>
      </c>
      <c r="AM58" s="3"/>
      <c r="AN58" s="3"/>
      <c r="AO58" s="3"/>
      <c r="AP58" s="3"/>
      <c r="AQ58" s="47"/>
      <c r="AR58" s="47"/>
      <c r="AS58" s="76">
        <v>33.22</v>
      </c>
      <c r="AT58" s="76">
        <v>31.61</v>
      </c>
      <c r="AU58" s="76">
        <v>33.04</v>
      </c>
      <c r="AV58" s="76"/>
      <c r="AW58" s="76"/>
      <c r="AX58" s="48">
        <v>33.22</v>
      </c>
      <c r="AY58" s="3"/>
      <c r="AZ58" s="3">
        <v>10</v>
      </c>
      <c r="BA58" s="3">
        <v>320</v>
      </c>
      <c r="BB58" s="3">
        <v>10</v>
      </c>
      <c r="BC58" s="3">
        <v>350</v>
      </c>
      <c r="BD58" s="40">
        <v>1576.4801283399051</v>
      </c>
      <c r="BE58" s="40">
        <v>1454.2051138756633</v>
      </c>
      <c r="BF58" s="40"/>
      <c r="BG58" s="40">
        <v>648.91761817055192</v>
      </c>
      <c r="BH58" s="40">
        <v>610.0545546921494</v>
      </c>
      <c r="BI58" s="49">
        <v>3030.6852422155685</v>
      </c>
      <c r="BJ58" s="49">
        <v>1258.9721728627014</v>
      </c>
      <c r="BK58" s="66">
        <v>8.4083746713255358E-2</v>
      </c>
      <c r="BL58" s="66">
        <v>6.370424280827458E-2</v>
      </c>
      <c r="BM58" s="51">
        <v>45.919473366902551</v>
      </c>
      <c r="BN58" s="51">
        <v>19.075335952465174</v>
      </c>
      <c r="BO58" s="52">
        <v>260</v>
      </c>
      <c r="BP58" s="77">
        <v>235</v>
      </c>
      <c r="BQ58" s="77">
        <v>260</v>
      </c>
      <c r="BR58" s="67">
        <v>-9.6153846153846145E-2</v>
      </c>
      <c r="BS58" s="54">
        <v>3.75</v>
      </c>
      <c r="BT58" s="3">
        <v>166</v>
      </c>
      <c r="BU58" s="40">
        <v>167</v>
      </c>
      <c r="BV58" s="3">
        <v>114</v>
      </c>
      <c r="BW58" s="3">
        <v>116</v>
      </c>
      <c r="BX58" s="70">
        <v>-5.9880239520958556E-3</v>
      </c>
      <c r="BY58" s="70">
        <v>-1.7241379310344862E-2</v>
      </c>
      <c r="BZ58" s="64">
        <v>1.4396551724137931</v>
      </c>
      <c r="CA58" s="59">
        <v>1.4561403508771931</v>
      </c>
      <c r="CB58" s="59">
        <v>2.2073863636363633</v>
      </c>
      <c r="CC58" s="59">
        <v>1.5246212121212119</v>
      </c>
      <c r="CD58" s="60">
        <v>121</v>
      </c>
      <c r="CE58" s="60">
        <v>127</v>
      </c>
      <c r="CF58" s="61">
        <v>1.8333333333333333</v>
      </c>
      <c r="CG58" s="61">
        <v>1.9242424242424243</v>
      </c>
      <c r="CH58" s="61">
        <v>1.0495867768595042</v>
      </c>
      <c r="CI58" s="41"/>
      <c r="CJ58" s="40"/>
      <c r="CK58" s="3"/>
      <c r="CL58" s="62"/>
      <c r="CM58" s="63" t="s">
        <v>110</v>
      </c>
      <c r="CN58" s="3">
        <v>167</v>
      </c>
      <c r="CO58" s="3">
        <v>116</v>
      </c>
      <c r="CP58" s="41">
        <v>15.627777777777778</v>
      </c>
      <c r="CQ58" s="3" t="s">
        <v>110</v>
      </c>
      <c r="CR58" s="40">
        <v>166.5</v>
      </c>
      <c r="CS58" s="40">
        <v>115</v>
      </c>
      <c r="CT58" s="40">
        <v>247.5</v>
      </c>
      <c r="CU58" s="40"/>
      <c r="CV58" s="40"/>
      <c r="CW58" s="40"/>
      <c r="CX58" s="40"/>
      <c r="CY58" s="40">
        <v>0</v>
      </c>
      <c r="CZ58" s="40"/>
      <c r="DA58" s="40"/>
      <c r="DB58" s="65">
        <v>19.5</v>
      </c>
      <c r="DC58" s="65">
        <v>2240</v>
      </c>
    </row>
    <row r="59" spans="1:107" ht="15.75" customHeight="1">
      <c r="A59" s="3">
        <v>183</v>
      </c>
      <c r="B59" s="38" t="s">
        <v>103</v>
      </c>
      <c r="C59" s="3" t="s">
        <v>159</v>
      </c>
      <c r="D59" s="3" t="s">
        <v>105</v>
      </c>
      <c r="E59" s="39">
        <v>44482</v>
      </c>
      <c r="F59" s="3" t="s">
        <v>106</v>
      </c>
      <c r="G59" s="3" t="s">
        <v>122</v>
      </c>
      <c r="H59" s="40">
        <v>2006</v>
      </c>
      <c r="I59" s="40" t="s">
        <v>116</v>
      </c>
      <c r="J59" s="40" t="s">
        <v>157</v>
      </c>
      <c r="K59" s="78">
        <v>178.4</v>
      </c>
      <c r="L59" s="78">
        <v>178.4</v>
      </c>
      <c r="M59" s="78"/>
      <c r="N59" s="78">
        <v>147.19999999999999</v>
      </c>
      <c r="O59" s="78">
        <v>147.30000000000001</v>
      </c>
      <c r="P59" s="78"/>
      <c r="Q59" s="78">
        <v>71.7</v>
      </c>
      <c r="R59" s="78">
        <v>71.7</v>
      </c>
      <c r="S59" s="78"/>
      <c r="T59" s="42">
        <v>178.4</v>
      </c>
      <c r="U59" s="42">
        <f>AVERAGE(paper3[[#This Row],[Sittende høyde 1]:[Sittende høyde 3]])-56.2</f>
        <v>91.05</v>
      </c>
      <c r="V59" s="12">
        <f>paper3[[#This Row],[height]]-paper3[[#This Row],[sittingheight]]</f>
        <v>87.350000000000009</v>
      </c>
      <c r="W59" s="73">
        <v>71.7</v>
      </c>
      <c r="X59" s="43" cm="1">
        <f t="array" ref="X59">INDEX([1]!phvny[yphv], MATCH(1, (paper3[[#This Row],[id]]=[1]!phvny[id])*(paper3[[#This Row],[time]]=[1]!phvny[time]), 0))</f>
        <v>1.8251010368238654</v>
      </c>
      <c r="Y59" s="60">
        <v>1.81</v>
      </c>
      <c r="Z59" s="60">
        <v>3.11</v>
      </c>
      <c r="AA59" s="60">
        <v>4.34</v>
      </c>
      <c r="AB59" s="60">
        <v>1.82</v>
      </c>
      <c r="AC59" s="60">
        <v>3.11</v>
      </c>
      <c r="AD59" s="60" t="s">
        <v>162</v>
      </c>
      <c r="AE59" s="60">
        <v>1.8</v>
      </c>
      <c r="AF59" s="60">
        <v>3.1</v>
      </c>
      <c r="AG59" s="60">
        <v>4.37</v>
      </c>
      <c r="AH59" s="45">
        <v>1.8</v>
      </c>
      <c r="AI59" s="45">
        <v>3.1</v>
      </c>
      <c r="AJ59" s="45">
        <v>4.34</v>
      </c>
      <c r="AK59" s="45">
        <v>8.0645161290322598</v>
      </c>
      <c r="AL59" s="3" t="s">
        <v>161</v>
      </c>
      <c r="AM59" s="3"/>
      <c r="AN59" s="3"/>
      <c r="AO59" s="3"/>
      <c r="AP59" s="3"/>
      <c r="AQ59" s="47"/>
      <c r="AR59" s="47"/>
      <c r="AS59" s="78"/>
      <c r="AT59" s="78"/>
      <c r="AU59" s="78"/>
      <c r="AV59" s="78"/>
      <c r="AW59" s="76"/>
      <c r="AX59" s="48"/>
      <c r="AY59" s="3"/>
      <c r="AZ59" s="3">
        <v>10</v>
      </c>
      <c r="BA59" s="3">
        <v>300</v>
      </c>
      <c r="BB59" s="3">
        <v>9</v>
      </c>
      <c r="BC59" s="3">
        <v>299</v>
      </c>
      <c r="BD59" s="40">
        <v>1134.128646985615</v>
      </c>
      <c r="BE59" s="40">
        <v>1203.4042094970093</v>
      </c>
      <c r="BF59" s="40"/>
      <c r="BG59" s="40">
        <v>466.36626879514677</v>
      </c>
      <c r="BH59" s="40">
        <v>482.7399849785096</v>
      </c>
      <c r="BI59" s="49">
        <v>2337.5328564826241</v>
      </c>
      <c r="BJ59" s="49">
        <v>949.10625377365636</v>
      </c>
      <c r="BK59" s="66">
        <v>-5.7566328889899543E-2</v>
      </c>
      <c r="BL59" s="66">
        <v>-3.391829285508996E-2</v>
      </c>
      <c r="BM59" s="51">
        <v>32.601574009520554</v>
      </c>
      <c r="BN59" s="51">
        <v>13.23718624509981</v>
      </c>
      <c r="BO59" s="52">
        <v>300</v>
      </c>
      <c r="BP59" s="79">
        <v>300</v>
      </c>
      <c r="BQ59" s="79">
        <v>299</v>
      </c>
      <c r="BR59" s="67">
        <v>3.3444816053511683E-3</v>
      </c>
      <c r="BS59" s="54">
        <v>4.177126917712692</v>
      </c>
      <c r="BT59" s="3">
        <v>175</v>
      </c>
      <c r="BU59" s="40">
        <v>173</v>
      </c>
      <c r="BV59" s="3">
        <v>173</v>
      </c>
      <c r="BW59" s="3">
        <v>187</v>
      </c>
      <c r="BX59" s="70">
        <v>1.1560693641618602E-2</v>
      </c>
      <c r="BY59" s="70">
        <v>-7.4866310160427774E-2</v>
      </c>
      <c r="BZ59" s="64">
        <v>0.92513368983957223</v>
      </c>
      <c r="CA59" s="59">
        <v>1.0115606936416186</v>
      </c>
      <c r="CB59" s="59">
        <v>2.1197907949790795</v>
      </c>
      <c r="CC59" s="59">
        <v>2.1928870292887033</v>
      </c>
      <c r="CD59" s="60">
        <v>122</v>
      </c>
      <c r="CE59" s="60">
        <v>110</v>
      </c>
      <c r="CF59" s="61">
        <v>1.701534170153417</v>
      </c>
      <c r="CG59" s="61">
        <v>1.5341701534170153</v>
      </c>
      <c r="CH59" s="61">
        <v>0.90163934426229508</v>
      </c>
      <c r="CI59" s="41"/>
      <c r="CJ59" s="40"/>
      <c r="CK59" s="3"/>
      <c r="CL59" s="62"/>
      <c r="CM59" s="63" t="s">
        <v>110</v>
      </c>
      <c r="CN59" s="3">
        <v>175</v>
      </c>
      <c r="CO59" s="3">
        <v>187</v>
      </c>
      <c r="CP59" s="41">
        <v>15.605555555555556</v>
      </c>
      <c r="CQ59" s="3" t="s">
        <v>110</v>
      </c>
      <c r="CR59" s="40">
        <v>174</v>
      </c>
      <c r="CS59" s="40">
        <v>180</v>
      </c>
      <c r="CT59" s="40">
        <v>299.5</v>
      </c>
      <c r="CU59" s="40"/>
      <c r="CV59" s="40"/>
      <c r="CW59" s="40"/>
      <c r="CX59" s="40"/>
      <c r="CY59" s="40">
        <v>0</v>
      </c>
      <c r="CZ59" s="40"/>
      <c r="DA59" s="40"/>
      <c r="DB59" s="65">
        <v>19.600000000000001</v>
      </c>
      <c r="DC59" s="65">
        <v>2280</v>
      </c>
    </row>
    <row r="60" spans="1:107" ht="15.95" customHeight="1">
      <c r="A60" s="3">
        <v>185</v>
      </c>
      <c r="B60" s="38" t="s">
        <v>103</v>
      </c>
      <c r="C60" s="3" t="s">
        <v>115</v>
      </c>
      <c r="D60" s="3" t="s">
        <v>105</v>
      </c>
      <c r="E60" s="39">
        <v>44482</v>
      </c>
      <c r="F60" s="3" t="s">
        <v>106</v>
      </c>
      <c r="G60" s="3" t="s">
        <v>122</v>
      </c>
      <c r="H60" s="40">
        <v>2006</v>
      </c>
      <c r="I60" s="40" t="s">
        <v>116</v>
      </c>
      <c r="J60" s="40" t="s">
        <v>157</v>
      </c>
      <c r="K60" s="78">
        <v>178.3</v>
      </c>
      <c r="L60" s="78">
        <v>178.3</v>
      </c>
      <c r="M60" s="78"/>
      <c r="N60" s="78">
        <v>145.1</v>
      </c>
      <c r="O60" s="78">
        <v>145.5</v>
      </c>
      <c r="P60" s="78">
        <v>145.30000000000001</v>
      </c>
      <c r="Q60" s="78">
        <v>74.5</v>
      </c>
      <c r="R60" s="78">
        <v>74.5</v>
      </c>
      <c r="S60" s="78"/>
      <c r="T60" s="42">
        <v>178.3</v>
      </c>
      <c r="U60" s="42">
        <f>AVERAGE(paper3[[#This Row],[Sittende høyde 1]:[Sittende høyde 3]])-56.2</f>
        <v>89.100000000000009</v>
      </c>
      <c r="V60" s="12">
        <f>paper3[[#This Row],[height]]-paper3[[#This Row],[sittingheight]]</f>
        <v>89.2</v>
      </c>
      <c r="W60" s="73">
        <v>74.5</v>
      </c>
      <c r="X60" s="43" cm="1">
        <f t="array" ref="X60">INDEX([1]!phvny[yphv], MATCH(1, (paper3[[#This Row],[id]]=[1]!phvny[id])*(paper3[[#This Row],[time]]=[1]!phvny[time]), 0))</f>
        <v>1.4042969966674173</v>
      </c>
      <c r="Y60" s="60"/>
      <c r="Z60" s="60"/>
      <c r="AA60" s="60"/>
      <c r="AB60" s="60"/>
      <c r="AC60" s="60"/>
      <c r="AD60" s="60"/>
      <c r="AE60" s="60"/>
      <c r="AF60" s="60"/>
      <c r="AG60" s="60"/>
      <c r="AH60" s="45"/>
      <c r="AI60" s="45"/>
      <c r="AJ60" s="45"/>
      <c r="AK60" s="45"/>
      <c r="AL60" s="3" t="s">
        <v>161</v>
      </c>
      <c r="AM60" s="3"/>
      <c r="AN60" s="3"/>
      <c r="AO60" s="3"/>
      <c r="AP60" s="3"/>
      <c r="AQ60" s="47"/>
      <c r="AR60" s="47"/>
      <c r="AS60" s="78"/>
      <c r="AT60" s="78"/>
      <c r="AU60" s="78"/>
      <c r="AV60" s="78"/>
      <c r="AW60" s="76"/>
      <c r="AX60" s="48"/>
      <c r="AY60" s="3"/>
      <c r="AZ60" s="3">
        <v>10</v>
      </c>
      <c r="BA60" s="3">
        <v>320</v>
      </c>
      <c r="BB60" s="3">
        <v>12</v>
      </c>
      <c r="BC60" s="3">
        <v>410</v>
      </c>
      <c r="BD60" s="40">
        <v>1588.8581928703729</v>
      </c>
      <c r="BE60" s="40">
        <v>1596.3148639026572</v>
      </c>
      <c r="BF60" s="40"/>
      <c r="BG60" s="40">
        <v>710.13555247247336</v>
      </c>
      <c r="BH60" s="40">
        <v>701.64217858984398</v>
      </c>
      <c r="BI60" s="49">
        <v>3185.1730567730301</v>
      </c>
      <c r="BJ60" s="49">
        <v>1411.7777310623173</v>
      </c>
      <c r="BK60" s="66">
        <v>-4.671178099572515E-3</v>
      </c>
      <c r="BL60" s="66">
        <v>1.2104993316820467E-2</v>
      </c>
      <c r="BM60" s="51">
        <v>42.754000762054098</v>
      </c>
      <c r="BN60" s="51">
        <v>18.950036658554595</v>
      </c>
      <c r="BO60" s="52"/>
      <c r="BP60" s="79"/>
      <c r="BQ60" s="79"/>
      <c r="BR60" s="67"/>
      <c r="BS60" s="54" t="s">
        <v>110</v>
      </c>
      <c r="BT60" s="3">
        <v>211</v>
      </c>
      <c r="BU60" s="40">
        <v>227</v>
      </c>
      <c r="BV60" s="3" t="s">
        <v>163</v>
      </c>
      <c r="BW60" s="3"/>
      <c r="BX60" s="70">
        <v>-7.0484581497797349E-2</v>
      </c>
      <c r="BY60" s="70"/>
      <c r="BZ60" s="64"/>
      <c r="CA60" s="59"/>
      <c r="CB60" s="59">
        <v>2.6221208053691276</v>
      </c>
      <c r="CC60" s="59" t="s">
        <v>110</v>
      </c>
      <c r="CD60" s="60">
        <v>165</v>
      </c>
      <c r="CE60" s="60">
        <v>142</v>
      </c>
      <c r="CF60" s="61">
        <v>2.2147651006711411</v>
      </c>
      <c r="CG60" s="61">
        <v>1.9060402684563758</v>
      </c>
      <c r="CH60" s="61">
        <v>0.86060606060606049</v>
      </c>
      <c r="CI60" s="41"/>
      <c r="CJ60" s="40"/>
      <c r="CK60" s="3"/>
      <c r="CL60" s="62"/>
      <c r="CM60" s="63" t="s">
        <v>110</v>
      </c>
      <c r="CN60" s="3">
        <v>227</v>
      </c>
      <c r="CO60" s="3"/>
      <c r="CP60" s="41">
        <v>15.225</v>
      </c>
      <c r="CQ60" s="3" t="s">
        <v>110</v>
      </c>
      <c r="CR60" s="40">
        <v>219</v>
      </c>
      <c r="CS60" s="40" t="s">
        <v>110</v>
      </c>
      <c r="CT60" s="40" t="s">
        <v>110</v>
      </c>
      <c r="CU60" s="40"/>
      <c r="CV60" s="40"/>
      <c r="CW60" s="40"/>
      <c r="CX60" s="40"/>
      <c r="CY60" s="40">
        <v>0</v>
      </c>
      <c r="CZ60" s="40"/>
      <c r="DA60" s="40"/>
      <c r="DB60" s="65">
        <v>19.7</v>
      </c>
      <c r="DC60" s="65">
        <v>2320</v>
      </c>
    </row>
    <row r="61" spans="1:107" ht="15.95" customHeight="1">
      <c r="A61" s="3">
        <v>186</v>
      </c>
      <c r="B61" s="38" t="s">
        <v>103</v>
      </c>
      <c r="C61" s="3" t="s">
        <v>115</v>
      </c>
      <c r="D61" s="3" t="s">
        <v>105</v>
      </c>
      <c r="E61" s="39">
        <v>44482</v>
      </c>
      <c r="F61" s="3" t="s">
        <v>106</v>
      </c>
      <c r="G61" s="3" t="s">
        <v>122</v>
      </c>
      <c r="H61" s="40">
        <v>2006</v>
      </c>
      <c r="I61" s="40" t="s">
        <v>116</v>
      </c>
      <c r="J61" s="40" t="s">
        <v>157</v>
      </c>
      <c r="K61" s="76">
        <v>180.9</v>
      </c>
      <c r="L61" s="76">
        <v>180.9</v>
      </c>
      <c r="M61" s="76"/>
      <c r="N61" s="76">
        <v>147.9</v>
      </c>
      <c r="O61" s="76">
        <v>147.69999999999999</v>
      </c>
      <c r="P61" s="76"/>
      <c r="Q61" s="76">
        <v>71.099999999999994</v>
      </c>
      <c r="R61" s="76">
        <v>71.099999999999994</v>
      </c>
      <c r="S61" s="76"/>
      <c r="T61" s="42">
        <v>180.9</v>
      </c>
      <c r="U61" s="42">
        <f>AVERAGE(paper3[[#This Row],[Sittende høyde 1]:[Sittende høyde 3]])-56.2</f>
        <v>91.600000000000009</v>
      </c>
      <c r="V61" s="12">
        <f>paper3[[#This Row],[height]]-paper3[[#This Row],[sittingheight]]</f>
        <v>89.3</v>
      </c>
      <c r="W61" s="73">
        <v>71.099999999999994</v>
      </c>
      <c r="X61" s="43"/>
      <c r="Y61" s="60"/>
      <c r="Z61" s="60"/>
      <c r="AA61" s="60"/>
      <c r="AB61" s="60"/>
      <c r="AC61" s="60"/>
      <c r="AD61" s="60"/>
      <c r="AE61" s="60"/>
      <c r="AF61" s="60"/>
      <c r="AG61" s="60"/>
      <c r="AH61" s="45"/>
      <c r="AI61" s="45"/>
      <c r="AJ61" s="45"/>
      <c r="AK61" s="45"/>
      <c r="AL61" s="3"/>
      <c r="AM61" s="3"/>
      <c r="AN61" s="3"/>
      <c r="AO61" s="3"/>
      <c r="AP61" s="3"/>
      <c r="AQ61" s="47"/>
      <c r="AR61" s="47"/>
      <c r="AS61" s="76">
        <v>35.57</v>
      </c>
      <c r="AT61" s="76">
        <v>34.89</v>
      </c>
      <c r="AU61" s="76"/>
      <c r="AV61" s="76"/>
      <c r="AW61" s="76"/>
      <c r="AX61" s="48">
        <v>35.57</v>
      </c>
      <c r="AY61" s="3"/>
      <c r="AZ61" s="3">
        <v>10</v>
      </c>
      <c r="BA61" s="3">
        <v>320</v>
      </c>
      <c r="BB61" s="3">
        <v>10</v>
      </c>
      <c r="BC61" s="3">
        <v>350</v>
      </c>
      <c r="BD61" s="40">
        <v>1544.7828244390612</v>
      </c>
      <c r="BE61" s="40">
        <v>1458.8387283062864</v>
      </c>
      <c r="BF61" s="40"/>
      <c r="BG61" s="40">
        <v>630.30738143638132</v>
      </c>
      <c r="BH61" s="40">
        <v>644.27717263455145</v>
      </c>
      <c r="BI61" s="49">
        <v>3003.6215527453478</v>
      </c>
      <c r="BJ61" s="49">
        <v>1274.5845540709329</v>
      </c>
      <c r="BK61" s="66">
        <v>5.8912677916465706E-2</v>
      </c>
      <c r="BL61" s="66">
        <v>-2.1682890208643335E-2</v>
      </c>
      <c r="BM61" s="51">
        <v>42.245028871242589</v>
      </c>
      <c r="BN61" s="51">
        <v>17.926646330111573</v>
      </c>
      <c r="BO61" s="52">
        <v>439</v>
      </c>
      <c r="BP61" s="77">
        <v>439</v>
      </c>
      <c r="BQ61" s="77">
        <v>370</v>
      </c>
      <c r="BR61" s="67">
        <v>0.18648648648648658</v>
      </c>
      <c r="BS61" s="54">
        <v>5.6891701828410692</v>
      </c>
      <c r="BT61" s="3">
        <v>263</v>
      </c>
      <c r="BU61" s="40">
        <v>284</v>
      </c>
      <c r="BV61" s="3">
        <v>163</v>
      </c>
      <c r="BW61" s="3">
        <v>156</v>
      </c>
      <c r="BX61" s="70">
        <v>-7.3943661971830998E-2</v>
      </c>
      <c r="BY61" s="70">
        <v>4.4871794871794934E-2</v>
      </c>
      <c r="BZ61" s="64">
        <v>1.8205128205128205</v>
      </c>
      <c r="CA61" s="59">
        <v>1.6134969325153374</v>
      </c>
      <c r="CB61" s="59">
        <v>3.4350984528832633</v>
      </c>
      <c r="CC61" s="59">
        <v>2.003284106891702</v>
      </c>
      <c r="CD61" s="60">
        <v>163</v>
      </c>
      <c r="CE61" s="60">
        <v>122</v>
      </c>
      <c r="CF61" s="61">
        <v>2.2925457102672295</v>
      </c>
      <c r="CG61" s="61">
        <v>1.7158931082981717</v>
      </c>
      <c r="CH61" s="61">
        <v>0.74846625766871155</v>
      </c>
      <c r="CI61" s="41"/>
      <c r="CJ61" s="40"/>
      <c r="CK61" s="3"/>
      <c r="CL61" s="62"/>
      <c r="CM61" s="63" t="s">
        <v>110</v>
      </c>
      <c r="CN61" s="3">
        <v>284</v>
      </c>
      <c r="CO61" s="3">
        <v>163</v>
      </c>
      <c r="CP61" s="41"/>
      <c r="CQ61" s="3" t="s">
        <v>110</v>
      </c>
      <c r="CR61" s="40">
        <v>273.5</v>
      </c>
      <c r="CS61" s="40">
        <v>159.5</v>
      </c>
      <c r="CT61" s="40">
        <v>404.5</v>
      </c>
      <c r="CU61" s="40"/>
      <c r="CV61" s="40"/>
      <c r="CW61" s="40"/>
      <c r="CX61" s="40"/>
      <c r="CY61" s="40">
        <v>0</v>
      </c>
      <c r="CZ61" s="40"/>
      <c r="DA61" s="40"/>
      <c r="DB61" s="65">
        <v>19.8</v>
      </c>
      <c r="DC61" s="65">
        <v>2360</v>
      </c>
    </row>
    <row r="62" spans="1:107" ht="15.75" customHeight="1">
      <c r="A62" s="3">
        <v>187</v>
      </c>
      <c r="B62" s="38" t="s">
        <v>103</v>
      </c>
      <c r="C62" s="3">
        <v>0</v>
      </c>
      <c r="D62" s="3" t="s">
        <v>105</v>
      </c>
      <c r="E62" s="39">
        <v>44487</v>
      </c>
      <c r="F62" s="3" t="s">
        <v>106</v>
      </c>
      <c r="G62" s="3" t="s">
        <v>122</v>
      </c>
      <c r="H62" s="40">
        <v>2004</v>
      </c>
      <c r="I62" s="40" t="s">
        <v>121</v>
      </c>
      <c r="J62" s="40" t="s">
        <v>160</v>
      </c>
      <c r="K62" s="3">
        <v>185.4</v>
      </c>
      <c r="L62" s="3">
        <v>185.4</v>
      </c>
      <c r="M62" s="3"/>
      <c r="N62" s="3">
        <v>151.4</v>
      </c>
      <c r="O62" s="3">
        <v>151.69999999999999</v>
      </c>
      <c r="P62" s="3"/>
      <c r="Q62" s="3">
        <v>79.900000000000006</v>
      </c>
      <c r="R62" s="3">
        <v>79.2</v>
      </c>
      <c r="S62" s="3"/>
      <c r="T62" s="42">
        <v>185.4</v>
      </c>
      <c r="U62" s="42">
        <f>AVERAGE(paper3[[#This Row],[Sittende høyde 1]:[Sittende høyde 3]])-56.2</f>
        <v>95.350000000000009</v>
      </c>
      <c r="V62" s="12">
        <f>paper3[[#This Row],[height]]-paper3[[#This Row],[sittingheight]]</f>
        <v>90.05</v>
      </c>
      <c r="W62" s="73">
        <v>79.550000000000011</v>
      </c>
      <c r="X62" s="43"/>
      <c r="Y62" s="3">
        <v>1.83</v>
      </c>
      <c r="Z62" s="3">
        <v>3.05</v>
      </c>
      <c r="AA62" s="3">
        <v>4.21</v>
      </c>
      <c r="AB62" s="3">
        <v>1.79</v>
      </c>
      <c r="AC62" s="3">
        <v>3.02</v>
      </c>
      <c r="AD62" s="3">
        <v>4.17</v>
      </c>
      <c r="AE62" s="3">
        <v>1.8</v>
      </c>
      <c r="AF62" s="3">
        <v>3.02</v>
      </c>
      <c r="AG62" s="3">
        <v>4.17</v>
      </c>
      <c r="AH62" s="44">
        <v>1.79</v>
      </c>
      <c r="AI62" s="44">
        <v>3.02</v>
      </c>
      <c r="AJ62" s="44">
        <v>4.17</v>
      </c>
      <c r="AK62" s="45">
        <v>8.6956521739130448</v>
      </c>
      <c r="AL62" s="60">
        <v>10.039999999999999</v>
      </c>
      <c r="AM62" s="60">
        <v>9.92</v>
      </c>
      <c r="AN62" s="60">
        <v>9.9</v>
      </c>
      <c r="AO62" s="3">
        <v>9.7200000000000006</v>
      </c>
      <c r="AP62" s="3">
        <v>9.7200000000000006</v>
      </c>
      <c r="AQ62" s="47">
        <v>9.92</v>
      </c>
      <c r="AR62" s="47">
        <v>9.7200000000000006</v>
      </c>
      <c r="AS62" s="3">
        <v>55.47</v>
      </c>
      <c r="AT62" s="3"/>
      <c r="AU62" s="3"/>
      <c r="AV62" s="3"/>
      <c r="AW62" s="3"/>
      <c r="AX62" s="48">
        <v>55.47</v>
      </c>
      <c r="AY62" s="3"/>
      <c r="AZ62" s="3">
        <v>10</v>
      </c>
      <c r="BA62" s="3">
        <v>360</v>
      </c>
      <c r="BB62" s="3">
        <v>11</v>
      </c>
      <c r="BC62" s="3">
        <v>428</v>
      </c>
      <c r="BD62" s="40"/>
      <c r="BE62" s="40"/>
      <c r="BF62" s="40"/>
      <c r="BG62" s="40">
        <v>750.92770436833689</v>
      </c>
      <c r="BH62" s="40">
        <v>834.16511478176756</v>
      </c>
      <c r="BI62" s="49"/>
      <c r="BJ62" s="49">
        <v>1585.0928191501043</v>
      </c>
      <c r="BK62" s="66"/>
      <c r="BL62" s="66">
        <v>-9.9785293029434619E-2</v>
      </c>
      <c r="BM62" s="51"/>
      <c r="BN62" s="51">
        <v>19.838458312266635</v>
      </c>
      <c r="BO62" s="52">
        <v>461</v>
      </c>
      <c r="BP62" s="40">
        <v>461</v>
      </c>
      <c r="BQ62" s="40">
        <v>432</v>
      </c>
      <c r="BR62" s="67">
        <v>6.7129629629629539E-2</v>
      </c>
      <c r="BS62" s="54">
        <v>5.6128221244500303</v>
      </c>
      <c r="BT62" s="3">
        <v>236</v>
      </c>
      <c r="BU62" s="40">
        <v>244</v>
      </c>
      <c r="BV62" s="3">
        <v>178</v>
      </c>
      <c r="BW62" s="3">
        <v>187</v>
      </c>
      <c r="BX62" s="70">
        <v>-3.2786885245901676E-2</v>
      </c>
      <c r="BY62" s="70">
        <v>-4.8128342245989275E-2</v>
      </c>
      <c r="BZ62" s="64">
        <v>1.304812834224599</v>
      </c>
      <c r="CA62" s="59">
        <v>1.3258426966292134</v>
      </c>
      <c r="CB62" s="59">
        <v>2.7167818981772465</v>
      </c>
      <c r="CC62" s="59">
        <v>2.0658862350722815</v>
      </c>
      <c r="CD62" s="60">
        <v>143</v>
      </c>
      <c r="CE62" s="60">
        <v>162</v>
      </c>
      <c r="CF62" s="61">
        <v>1.7976115650534252</v>
      </c>
      <c r="CG62" s="61">
        <v>2.0364550597108733</v>
      </c>
      <c r="CH62" s="61">
        <v>1.1328671328671329</v>
      </c>
      <c r="CI62" s="41"/>
      <c r="CJ62" s="40"/>
      <c r="CK62" s="3"/>
      <c r="CL62" s="62"/>
      <c r="CM62" s="63" t="s">
        <v>110</v>
      </c>
      <c r="CN62" s="3">
        <v>244</v>
      </c>
      <c r="CO62" s="3">
        <v>187</v>
      </c>
      <c r="CP62" s="41"/>
      <c r="CQ62" s="3" t="s">
        <v>110</v>
      </c>
      <c r="CR62" s="40">
        <v>240</v>
      </c>
      <c r="CS62" s="40">
        <v>182.5</v>
      </c>
      <c r="CT62" s="40">
        <v>446.5</v>
      </c>
      <c r="CU62" s="40"/>
      <c r="CV62" s="40"/>
      <c r="CW62" s="40"/>
      <c r="CX62" s="40"/>
      <c r="CY62" s="40">
        <v>0</v>
      </c>
      <c r="CZ62" s="40"/>
      <c r="DA62" s="40"/>
      <c r="DB62" s="65">
        <v>19.899999999999999</v>
      </c>
      <c r="DC62" s="65">
        <v>2400</v>
      </c>
    </row>
    <row r="63" spans="1:107" ht="15.95" customHeight="1">
      <c r="A63" s="3">
        <v>188</v>
      </c>
      <c r="B63" s="38" t="s">
        <v>103</v>
      </c>
      <c r="C63" s="3" t="s">
        <v>115</v>
      </c>
      <c r="D63" s="3" t="s">
        <v>105</v>
      </c>
      <c r="E63" s="39">
        <v>44487</v>
      </c>
      <c r="F63" s="3" t="s">
        <v>106</v>
      </c>
      <c r="G63" s="3" t="s">
        <v>122</v>
      </c>
      <c r="H63" s="40">
        <v>2004</v>
      </c>
      <c r="I63" s="40" t="s">
        <v>121</v>
      </c>
      <c r="J63" s="40" t="s">
        <v>160</v>
      </c>
      <c r="K63" s="3">
        <v>184.4</v>
      </c>
      <c r="L63" s="3">
        <v>184.4</v>
      </c>
      <c r="M63" s="3"/>
      <c r="N63" s="3">
        <v>152.30000000000001</v>
      </c>
      <c r="O63" s="3">
        <v>152.6</v>
      </c>
      <c r="P63" s="3">
        <v>152.4</v>
      </c>
      <c r="Q63" s="3">
        <v>67.599999999999994</v>
      </c>
      <c r="R63" s="3">
        <v>67.599999999999994</v>
      </c>
      <c r="S63" s="3"/>
      <c r="T63" s="42">
        <v>184.4</v>
      </c>
      <c r="U63" s="42">
        <f>AVERAGE(paper3[[#This Row],[Sittende høyde 1]:[Sittende høyde 3]])-56.2</f>
        <v>96.233333333333306</v>
      </c>
      <c r="V63" s="12">
        <f>paper3[[#This Row],[height]]-paper3[[#This Row],[sittingheight]]</f>
        <v>88.1666666666667</v>
      </c>
      <c r="W63" s="73">
        <v>67.599999999999994</v>
      </c>
      <c r="X63" s="43" cm="1">
        <f t="array" ref="X63">INDEX([1]!phvny[yphv], MATCH(1, (paper3[[#This Row],[id]]=[1]!phvny[id])*(paper3[[#This Row],[time]]=[1]!phvny[time]), 0))</f>
        <v>3.5324595656336815</v>
      </c>
      <c r="Y63" s="3">
        <v>1.89</v>
      </c>
      <c r="Z63" s="3">
        <v>3.21</v>
      </c>
      <c r="AA63" s="3">
        <v>4.45</v>
      </c>
      <c r="AB63" s="3">
        <v>1.92</v>
      </c>
      <c r="AC63" s="3">
        <v>3.26</v>
      </c>
      <c r="AD63" s="3">
        <v>4.5</v>
      </c>
      <c r="AE63" s="3">
        <v>1.85</v>
      </c>
      <c r="AF63" s="3">
        <v>3.18</v>
      </c>
      <c r="AG63" s="3">
        <v>4.43</v>
      </c>
      <c r="AH63" s="44">
        <v>1.85</v>
      </c>
      <c r="AI63" s="44">
        <v>3.18</v>
      </c>
      <c r="AJ63" s="44">
        <v>4.43</v>
      </c>
      <c r="AK63" s="45">
        <v>8.0000000000000036</v>
      </c>
      <c r="AL63" s="60">
        <v>10</v>
      </c>
      <c r="AM63" s="60">
        <v>10</v>
      </c>
      <c r="AN63" s="60">
        <v>10.16</v>
      </c>
      <c r="AO63" s="3">
        <v>10.119999999999999</v>
      </c>
      <c r="AP63" s="3">
        <v>10</v>
      </c>
      <c r="AQ63" s="47">
        <v>10</v>
      </c>
      <c r="AR63" s="47">
        <v>10.119999999999999</v>
      </c>
      <c r="AS63" s="3">
        <v>34.26</v>
      </c>
      <c r="AT63" s="3"/>
      <c r="AU63" s="3"/>
      <c r="AV63" s="3"/>
      <c r="AW63" s="3"/>
      <c r="AX63" s="48">
        <v>34.26</v>
      </c>
      <c r="AY63" s="3"/>
      <c r="AZ63" s="3">
        <v>10</v>
      </c>
      <c r="BA63" s="3">
        <v>320</v>
      </c>
      <c r="BB63" s="3">
        <v>7</v>
      </c>
      <c r="BC63" s="3">
        <v>259</v>
      </c>
      <c r="BD63" s="40">
        <v>1036.5974709602997</v>
      </c>
      <c r="BE63" s="40">
        <v>1026.6816826697811</v>
      </c>
      <c r="BF63" s="40"/>
      <c r="BG63" s="40">
        <v>511.41079350899764</v>
      </c>
      <c r="BH63" s="40">
        <v>534.24734906645369</v>
      </c>
      <c r="BI63" s="49">
        <v>2063.2791536300811</v>
      </c>
      <c r="BJ63" s="49">
        <v>1045.6581425754514</v>
      </c>
      <c r="BK63" s="66">
        <v>9.6580940888451039E-3</v>
      </c>
      <c r="BL63" s="66">
        <v>-4.2745285675934053E-2</v>
      </c>
      <c r="BM63" s="51">
        <v>30.52188097085919</v>
      </c>
      <c r="BN63" s="51">
        <v>15.468315718571768</v>
      </c>
      <c r="BO63" s="52">
        <v>366</v>
      </c>
      <c r="BP63" s="40">
        <v>350</v>
      </c>
      <c r="BQ63" s="40">
        <v>366</v>
      </c>
      <c r="BR63" s="67">
        <v>-4.3715846994535568E-2</v>
      </c>
      <c r="BS63" s="54">
        <v>5.2958579881656807</v>
      </c>
      <c r="BT63" s="3">
        <v>192</v>
      </c>
      <c r="BU63" s="40">
        <v>193</v>
      </c>
      <c r="BV63" s="3">
        <v>154</v>
      </c>
      <c r="BW63" s="3">
        <v>139</v>
      </c>
      <c r="BX63" s="70">
        <v>-5.1813471502590858E-3</v>
      </c>
      <c r="BY63" s="70">
        <v>0.1079136690647482</v>
      </c>
      <c r="BZ63" s="64">
        <v>1.3884892086330936</v>
      </c>
      <c r="CA63" s="59">
        <v>1.2467532467532467</v>
      </c>
      <c r="CB63" s="59">
        <v>2.5106632149901396</v>
      </c>
      <c r="CC63" s="59">
        <v>1.9107125246548333</v>
      </c>
      <c r="CD63" s="60">
        <v>100</v>
      </c>
      <c r="CE63" s="60">
        <v>102</v>
      </c>
      <c r="CF63" s="61">
        <v>1.4792899408284026</v>
      </c>
      <c r="CG63" s="61">
        <v>1.5088757396449706</v>
      </c>
      <c r="CH63" s="61">
        <v>1.02</v>
      </c>
      <c r="CI63" s="41">
        <v>16.8</v>
      </c>
      <c r="CJ63" s="40">
        <f>VLOOKUP(paper3[[#This Row],[YYIR nivå]],$DB:$DC,2)</f>
        <v>1400</v>
      </c>
      <c r="CK63" s="3" t="s">
        <v>129</v>
      </c>
      <c r="CL63" s="62"/>
      <c r="CM63" s="63" t="s">
        <v>110</v>
      </c>
      <c r="CN63" s="3">
        <v>193</v>
      </c>
      <c r="CO63" s="3">
        <v>154</v>
      </c>
      <c r="CP63" s="41">
        <v>17.580555555555556</v>
      </c>
      <c r="CQ63" s="3" t="s">
        <v>110</v>
      </c>
      <c r="CR63" s="40">
        <v>192.5</v>
      </c>
      <c r="CS63" s="40">
        <v>146.5</v>
      </c>
      <c r="CT63" s="40">
        <v>358</v>
      </c>
      <c r="CU63" s="40"/>
      <c r="CV63" s="40"/>
      <c r="CW63" s="40"/>
      <c r="CX63" s="40"/>
      <c r="CY63" s="40">
        <v>0</v>
      </c>
      <c r="CZ63" s="40"/>
      <c r="DA63" s="40"/>
      <c r="DB63" s="85">
        <v>20</v>
      </c>
      <c r="DC63" s="65">
        <v>2440</v>
      </c>
    </row>
    <row r="64" spans="1:107" ht="15.95" customHeight="1">
      <c r="A64" s="3">
        <v>189</v>
      </c>
      <c r="B64" s="38" t="s">
        <v>103</v>
      </c>
      <c r="C64" s="3" t="s">
        <v>164</v>
      </c>
      <c r="D64" s="3" t="s">
        <v>105</v>
      </c>
      <c r="E64" s="39">
        <v>44487</v>
      </c>
      <c r="F64" s="3" t="s">
        <v>106</v>
      </c>
      <c r="G64" s="3" t="s">
        <v>122</v>
      </c>
      <c r="H64" s="40">
        <v>2004</v>
      </c>
      <c r="I64" s="40" t="s">
        <v>121</v>
      </c>
      <c r="J64" s="40" t="s">
        <v>160</v>
      </c>
      <c r="K64" s="3">
        <v>178.9</v>
      </c>
      <c r="L64" s="3">
        <v>178.6</v>
      </c>
      <c r="M64" s="3">
        <v>178.8</v>
      </c>
      <c r="N64" s="3">
        <v>146.9</v>
      </c>
      <c r="O64" s="3">
        <v>146.69999999999999</v>
      </c>
      <c r="P64" s="3"/>
      <c r="Q64" s="3">
        <v>68.8</v>
      </c>
      <c r="R64" s="3">
        <v>68.8</v>
      </c>
      <c r="S64" s="3"/>
      <c r="T64" s="42">
        <v>178.76666666666665</v>
      </c>
      <c r="U64" s="42">
        <f>AVERAGE(paper3[[#This Row],[Sittende høyde 1]:[Sittende høyde 3]])-56.2</f>
        <v>90.600000000000009</v>
      </c>
      <c r="V64" s="12">
        <f>paper3[[#This Row],[height]]-paper3[[#This Row],[sittingheight]]</f>
        <v>88.166666666666643</v>
      </c>
      <c r="W64" s="73">
        <v>68.8</v>
      </c>
      <c r="X64" s="43" cm="1">
        <f t="array" ref="X64">INDEX([1]!phvny[yphv], MATCH(1, (paper3[[#This Row],[id]]=[1]!phvny[id])*(paper3[[#This Row],[time]]=[1]!phvny[time]), 0))</f>
        <v>2.7617992475634354</v>
      </c>
      <c r="Y64" s="3">
        <v>1.95</v>
      </c>
      <c r="Z64" s="3">
        <v>3.26</v>
      </c>
      <c r="AA64" s="3">
        <v>4.4800000000000004</v>
      </c>
      <c r="AB64" s="3">
        <v>1.88</v>
      </c>
      <c r="AC64" s="3">
        <v>3.15</v>
      </c>
      <c r="AD64" s="3">
        <v>4.34</v>
      </c>
      <c r="AE64" s="3">
        <v>1.89</v>
      </c>
      <c r="AF64" s="3">
        <v>3.18</v>
      </c>
      <c r="AG64" s="3">
        <v>4.38</v>
      </c>
      <c r="AH64" s="44">
        <v>1.88</v>
      </c>
      <c r="AI64" s="44">
        <v>3.15</v>
      </c>
      <c r="AJ64" s="44">
        <v>4.34</v>
      </c>
      <c r="AK64" s="45">
        <v>8.4033613445378155</v>
      </c>
      <c r="AL64" s="60">
        <v>9.81</v>
      </c>
      <c r="AM64" s="3">
        <v>9.58</v>
      </c>
      <c r="AN64" s="60">
        <v>9.7200000000000006</v>
      </c>
      <c r="AO64" s="60">
        <v>9.85</v>
      </c>
      <c r="AP64" s="60">
        <v>9.58</v>
      </c>
      <c r="AQ64" s="47">
        <v>9.58</v>
      </c>
      <c r="AR64" s="47">
        <v>9.7200000000000006</v>
      </c>
      <c r="AS64" s="3">
        <v>38.04</v>
      </c>
      <c r="AT64" s="3"/>
      <c r="AU64" s="3"/>
      <c r="AV64" s="3"/>
      <c r="AW64" s="3"/>
      <c r="AX64" s="48">
        <v>38.04</v>
      </c>
      <c r="AY64" s="3"/>
      <c r="AZ64" s="3">
        <v>10</v>
      </c>
      <c r="BA64" s="3">
        <v>320</v>
      </c>
      <c r="BB64" s="3">
        <v>11</v>
      </c>
      <c r="BC64" s="3">
        <v>380</v>
      </c>
      <c r="BD64" s="40">
        <v>1547.5251161364188</v>
      </c>
      <c r="BE64" s="82">
        <v>1555.0599095345331</v>
      </c>
      <c r="BF64" s="40"/>
      <c r="BG64" s="40">
        <v>726.14262916091388</v>
      </c>
      <c r="BH64" s="40">
        <v>724.86463473997389</v>
      </c>
      <c r="BI64" s="49">
        <v>3102.5850256709518</v>
      </c>
      <c r="BJ64" s="49">
        <v>1451.0072639008877</v>
      </c>
      <c r="BK64" s="66">
        <v>-4.8453396244840796E-3</v>
      </c>
      <c r="BL64" s="66">
        <v>1.7630801113623917E-3</v>
      </c>
      <c r="BM64" s="51">
        <v>45.095712582426629</v>
      </c>
      <c r="BN64" s="51">
        <v>21.090221859024531</v>
      </c>
      <c r="BO64" s="52">
        <v>378</v>
      </c>
      <c r="BP64" s="40">
        <v>367</v>
      </c>
      <c r="BQ64" s="40">
        <v>378</v>
      </c>
      <c r="BR64" s="67">
        <v>-2.9100529100529071E-2</v>
      </c>
      <c r="BS64" s="54">
        <v>5.4142441860465116</v>
      </c>
      <c r="BT64" s="3">
        <v>225</v>
      </c>
      <c r="BU64" s="40">
        <v>186</v>
      </c>
      <c r="BV64" s="3">
        <v>168</v>
      </c>
      <c r="BW64" s="3">
        <v>165</v>
      </c>
      <c r="BX64" s="70">
        <v>0.20967741935483875</v>
      </c>
      <c r="BY64" s="70">
        <v>1.8181818181818077E-2</v>
      </c>
      <c r="BZ64" s="64">
        <v>1.1272727272727272</v>
      </c>
      <c r="CA64" s="59">
        <v>1.3392857142857142</v>
      </c>
      <c r="CB64" s="59">
        <v>2.6334665697674411</v>
      </c>
      <c r="CC64" s="59">
        <v>2.1336845930232551</v>
      </c>
      <c r="CD64" s="60">
        <v>137</v>
      </c>
      <c r="CE64" s="60">
        <v>136</v>
      </c>
      <c r="CF64" s="61">
        <v>1.9912790697674418</v>
      </c>
      <c r="CG64" s="61">
        <v>1.9767441860465118</v>
      </c>
      <c r="CH64" s="61">
        <v>0.99270072992700742</v>
      </c>
      <c r="CI64" s="41"/>
      <c r="CJ64" s="40"/>
      <c r="CK64" s="3"/>
      <c r="CL64" s="62"/>
      <c r="CM64" s="63" t="s">
        <v>110</v>
      </c>
      <c r="CN64" s="3">
        <v>225</v>
      </c>
      <c r="CO64" s="3">
        <v>168</v>
      </c>
      <c r="CP64" s="41">
        <v>17.652777777777779</v>
      </c>
      <c r="CQ64" s="3" t="s">
        <v>110</v>
      </c>
      <c r="CR64" s="40">
        <v>205.5</v>
      </c>
      <c r="CS64" s="40">
        <v>166.5</v>
      </c>
      <c r="CT64" s="40">
        <v>372.5</v>
      </c>
      <c r="CU64" s="40"/>
      <c r="CV64" s="40"/>
      <c r="CW64" s="40"/>
      <c r="CX64" s="40"/>
      <c r="CY64" s="40">
        <v>0</v>
      </c>
      <c r="CZ64" s="40"/>
      <c r="DA64" s="40"/>
      <c r="DB64" s="65">
        <v>20.100000000000001</v>
      </c>
      <c r="DC64" s="65">
        <v>2480</v>
      </c>
    </row>
    <row r="65" spans="1:105" ht="15.95" customHeight="1">
      <c r="A65" s="3">
        <v>190</v>
      </c>
      <c r="B65" s="38" t="s">
        <v>103</v>
      </c>
      <c r="C65" s="3" t="s">
        <v>115</v>
      </c>
      <c r="D65" s="3" t="s">
        <v>105</v>
      </c>
      <c r="E65" s="39">
        <v>44487</v>
      </c>
      <c r="F65" s="3" t="s">
        <v>106</v>
      </c>
      <c r="G65" s="3" t="s">
        <v>122</v>
      </c>
      <c r="H65" s="40">
        <v>2004</v>
      </c>
      <c r="I65" s="40" t="s">
        <v>121</v>
      </c>
      <c r="J65" s="40" t="s">
        <v>160</v>
      </c>
      <c r="K65" s="3">
        <v>182.8</v>
      </c>
      <c r="L65" s="3">
        <v>182.8</v>
      </c>
      <c r="M65" s="3"/>
      <c r="N65" s="3">
        <v>151.9</v>
      </c>
      <c r="O65" s="3">
        <v>152</v>
      </c>
      <c r="P65" s="3"/>
      <c r="Q65" s="3">
        <v>77.599999999999994</v>
      </c>
      <c r="R65" s="3">
        <v>77.599999999999994</v>
      </c>
      <c r="S65" s="3"/>
      <c r="T65" s="42">
        <v>182.8</v>
      </c>
      <c r="U65" s="42">
        <f>AVERAGE(paper3[[#This Row],[Sittende høyde 1]:[Sittende høyde 3]])-56.2</f>
        <v>95.749999999999986</v>
      </c>
      <c r="V65" s="12">
        <f>paper3[[#This Row],[height]]-paper3[[#This Row],[sittingheight]]</f>
        <v>87.050000000000026</v>
      </c>
      <c r="W65" s="73">
        <v>77.599999999999994</v>
      </c>
      <c r="X65" s="43" cm="1">
        <f t="array" ref="X65">INDEX([1]!phvny[yphv], MATCH(1, (paper3[[#This Row],[id]]=[1]!phvny[id])*(paper3[[#This Row],[time]]=[1]!phvny[time]), 0))</f>
        <v>3.6991989765271698</v>
      </c>
      <c r="Y65" s="3">
        <v>2.06</v>
      </c>
      <c r="Z65" s="3">
        <v>3.42</v>
      </c>
      <c r="AA65" s="3">
        <v>4.72</v>
      </c>
      <c r="AB65" s="3">
        <v>2.0699999999999998</v>
      </c>
      <c r="AC65" s="3">
        <v>3.42</v>
      </c>
      <c r="AD65" s="3">
        <v>4.71</v>
      </c>
      <c r="AE65" s="3">
        <v>2.0299999999999998</v>
      </c>
      <c r="AF65" s="3">
        <v>3.37</v>
      </c>
      <c r="AG65" s="3">
        <v>4.6399999999999997</v>
      </c>
      <c r="AH65" s="44">
        <v>2.0299999999999998</v>
      </c>
      <c r="AI65" s="44">
        <v>3.37</v>
      </c>
      <c r="AJ65" s="44">
        <v>4.6399999999999997</v>
      </c>
      <c r="AK65" s="45">
        <v>7.874015748031499</v>
      </c>
      <c r="AL65" s="60">
        <v>10.65</v>
      </c>
      <c r="AM65" s="60">
        <v>10.53</v>
      </c>
      <c r="AN65" s="60">
        <v>10.45</v>
      </c>
      <c r="AO65" s="3">
        <v>10.69</v>
      </c>
      <c r="AP65" s="3">
        <v>10.45</v>
      </c>
      <c r="AQ65" s="47">
        <v>10.53</v>
      </c>
      <c r="AR65" s="47">
        <v>10.45</v>
      </c>
      <c r="AS65" s="3">
        <v>41.12</v>
      </c>
      <c r="AT65" s="3"/>
      <c r="AU65" s="3"/>
      <c r="AV65" s="3"/>
      <c r="AW65" s="3"/>
      <c r="AX65" s="48">
        <v>41.12</v>
      </c>
      <c r="AY65" s="3"/>
      <c r="AZ65" s="3">
        <v>10</v>
      </c>
      <c r="BA65" s="3">
        <v>360</v>
      </c>
      <c r="BB65" s="3">
        <v>8</v>
      </c>
      <c r="BC65" s="3">
        <v>325</v>
      </c>
      <c r="BD65" s="40">
        <v>1443.4691989607679</v>
      </c>
      <c r="BE65" s="40">
        <v>1404.4554096240413</v>
      </c>
      <c r="BF65" s="40"/>
      <c r="BG65" s="40">
        <v>587.7359228257526</v>
      </c>
      <c r="BH65" s="40">
        <v>651.92605916106743</v>
      </c>
      <c r="BI65" s="49">
        <v>2847.924608584809</v>
      </c>
      <c r="BJ65" s="49">
        <v>1239.6619819868201</v>
      </c>
      <c r="BK65" s="66">
        <v>2.777858881769002E-2</v>
      </c>
      <c r="BL65" s="66">
        <v>-9.8462295582904091E-2</v>
      </c>
      <c r="BM65" s="51">
        <v>36.700059388979497</v>
      </c>
      <c r="BN65" s="51">
        <v>15.975025541067271</v>
      </c>
      <c r="BO65" s="52">
        <v>252</v>
      </c>
      <c r="BP65" s="40">
        <v>237</v>
      </c>
      <c r="BQ65" s="40">
        <v>252</v>
      </c>
      <c r="BR65" s="67">
        <v>-5.9523809523809534E-2</v>
      </c>
      <c r="BS65" s="54">
        <v>3.150773195876289</v>
      </c>
      <c r="BT65" s="3">
        <v>105</v>
      </c>
      <c r="BU65" s="40">
        <v>113</v>
      </c>
      <c r="BV65" s="3">
        <v>139</v>
      </c>
      <c r="BW65" s="3">
        <v>155</v>
      </c>
      <c r="BX65" s="70">
        <v>-7.0796460176991149E-2</v>
      </c>
      <c r="BY65" s="70">
        <v>-0.10322580645161294</v>
      </c>
      <c r="BZ65" s="64">
        <v>0.7290322580645161</v>
      </c>
      <c r="CA65" s="59">
        <v>0.75539568345323738</v>
      </c>
      <c r="CB65" s="59">
        <v>1.2227384020618561</v>
      </c>
      <c r="CC65" s="59">
        <v>1.6490141752577325</v>
      </c>
      <c r="CD65" s="60">
        <v>132</v>
      </c>
      <c r="CE65" s="60">
        <v>157</v>
      </c>
      <c r="CF65" s="61">
        <v>1.7010309278350517</v>
      </c>
      <c r="CG65" s="61">
        <v>2.0231958762886602</v>
      </c>
      <c r="CH65" s="61">
        <v>1.1893939393939394</v>
      </c>
      <c r="CI65" s="41">
        <v>14.5</v>
      </c>
      <c r="CJ65" s="40">
        <f>VLOOKUP(paper3[[#This Row],[YYIR nivå]],$DB:$DC,2)</f>
        <v>640</v>
      </c>
      <c r="CK65" s="3" t="s">
        <v>129</v>
      </c>
      <c r="CL65" s="62"/>
      <c r="CM65" s="63" t="s">
        <v>110</v>
      </c>
      <c r="CN65" s="3">
        <v>113</v>
      </c>
      <c r="CO65" s="3">
        <v>155</v>
      </c>
      <c r="CP65" s="41">
        <v>17.769444444444446</v>
      </c>
      <c r="CQ65" s="3" t="s">
        <v>110</v>
      </c>
      <c r="CR65" s="40">
        <v>109</v>
      </c>
      <c r="CS65" s="40">
        <v>147</v>
      </c>
      <c r="CT65" s="40">
        <v>244.5</v>
      </c>
      <c r="CU65" s="40"/>
      <c r="CV65" s="40"/>
      <c r="CW65" s="40"/>
      <c r="CX65" s="40"/>
      <c r="CY65" s="40">
        <v>0</v>
      </c>
      <c r="CZ65" s="40"/>
      <c r="DA65" s="40"/>
    </row>
    <row r="66" spans="1:105" ht="15.75" customHeight="1">
      <c r="A66" s="3">
        <v>191</v>
      </c>
      <c r="B66" s="38" t="s">
        <v>103</v>
      </c>
      <c r="C66" s="3" t="s">
        <v>115</v>
      </c>
      <c r="D66" s="3" t="s">
        <v>105</v>
      </c>
      <c r="E66" s="39">
        <v>44487</v>
      </c>
      <c r="F66" s="3" t="s">
        <v>106</v>
      </c>
      <c r="G66" s="3" t="s">
        <v>122</v>
      </c>
      <c r="H66" s="40">
        <v>2004</v>
      </c>
      <c r="I66" s="40" t="s">
        <v>121</v>
      </c>
      <c r="J66" s="40" t="s">
        <v>160</v>
      </c>
      <c r="K66" s="3">
        <v>176.8</v>
      </c>
      <c r="L66" s="3">
        <v>177.1</v>
      </c>
      <c r="M66" s="3">
        <v>177</v>
      </c>
      <c r="N66" s="3">
        <v>149.5</v>
      </c>
      <c r="O66" s="3">
        <v>149.5</v>
      </c>
      <c r="P66" s="3"/>
      <c r="Q66" s="3">
        <v>67</v>
      </c>
      <c r="R66" s="3">
        <v>67</v>
      </c>
      <c r="S66" s="3"/>
      <c r="T66" s="42">
        <v>176.96666666666667</v>
      </c>
      <c r="U66" s="42">
        <f>AVERAGE(paper3[[#This Row],[Sittende høyde 1]:[Sittende høyde 3]])-56.2</f>
        <v>93.3</v>
      </c>
      <c r="V66" s="12">
        <f>paper3[[#This Row],[height]]-paper3[[#This Row],[sittingheight]]</f>
        <v>83.666666666666671</v>
      </c>
      <c r="W66" s="73">
        <v>67</v>
      </c>
      <c r="X66" s="43" cm="1">
        <f t="array" ref="X66">INDEX([1]!phvny[yphv], MATCH(1, (paper3[[#This Row],[id]]=[1]!phvny[id])*(paper3[[#This Row],[time]]=[1]!phvny[time]), 0))</f>
        <v>3.1891008076314518</v>
      </c>
      <c r="Y66" s="3">
        <v>1.93</v>
      </c>
      <c r="Z66" s="3">
        <v>3.23</v>
      </c>
      <c r="AA66" s="3">
        <v>4.41</v>
      </c>
      <c r="AB66" s="3">
        <v>1.95</v>
      </c>
      <c r="AC66" s="3">
        <v>3.23</v>
      </c>
      <c r="AD66" s="3">
        <v>4.43</v>
      </c>
      <c r="AE66" s="3">
        <v>1.91</v>
      </c>
      <c r="AF66" s="3">
        <v>3.19</v>
      </c>
      <c r="AG66" s="3">
        <v>4.3899999999999997</v>
      </c>
      <c r="AH66" s="44">
        <v>1.91</v>
      </c>
      <c r="AI66" s="44">
        <v>3.19</v>
      </c>
      <c r="AJ66" s="44">
        <v>4.3899999999999997</v>
      </c>
      <c r="AK66" s="45">
        <v>8.3333333333333357</v>
      </c>
      <c r="AL66" s="60">
        <v>10.02</v>
      </c>
      <c r="AM66" s="60">
        <v>9.66</v>
      </c>
      <c r="AN66" s="60">
        <v>10.11</v>
      </c>
      <c r="AO66" s="3">
        <v>10.08</v>
      </c>
      <c r="AP66" s="3">
        <v>9.66</v>
      </c>
      <c r="AQ66" s="47">
        <v>9.66</v>
      </c>
      <c r="AR66" s="47">
        <v>10.08</v>
      </c>
      <c r="AS66" s="3">
        <v>36.130000000000003</v>
      </c>
      <c r="AT66" s="3"/>
      <c r="AU66" s="3"/>
      <c r="AV66" s="3"/>
      <c r="AW66" s="3"/>
      <c r="AX66" s="48">
        <v>36.130000000000003</v>
      </c>
      <c r="AY66" s="3"/>
      <c r="AZ66" s="3">
        <v>9</v>
      </c>
      <c r="BA66" s="3">
        <v>300</v>
      </c>
      <c r="BB66" s="3">
        <v>10</v>
      </c>
      <c r="BC66" s="3">
        <v>328</v>
      </c>
      <c r="BD66" s="40">
        <v>1485.741456174627</v>
      </c>
      <c r="BE66" s="40">
        <v>1396.5887604464619</v>
      </c>
      <c r="BF66" s="40"/>
      <c r="BG66" s="40">
        <v>632.97882283431727</v>
      </c>
      <c r="BH66" s="40">
        <v>652.39261924254117</v>
      </c>
      <c r="BI66" s="49">
        <v>2882.3302166210888</v>
      </c>
      <c r="BJ66" s="49">
        <v>1285.3714420768583</v>
      </c>
      <c r="BK66" s="66">
        <v>6.3836039822964485E-2</v>
      </c>
      <c r="BL66" s="66">
        <v>-2.9757841881724922E-2</v>
      </c>
      <c r="BM66" s="51">
        <v>43.019853979419238</v>
      </c>
      <c r="BN66" s="51">
        <v>19.184648389206842</v>
      </c>
      <c r="BO66" s="52">
        <v>371</v>
      </c>
      <c r="BP66" s="40">
        <v>288</v>
      </c>
      <c r="BQ66" s="40">
        <v>371</v>
      </c>
      <c r="BR66" s="67">
        <v>-0.22371967654986524</v>
      </c>
      <c r="BS66" s="54">
        <v>4.9179104477611943</v>
      </c>
      <c r="BT66" s="3">
        <v>158</v>
      </c>
      <c r="BU66" s="40">
        <v>161</v>
      </c>
      <c r="BV66" s="3">
        <v>85</v>
      </c>
      <c r="BW66" s="3">
        <v>104</v>
      </c>
      <c r="BX66" s="70">
        <v>-1.8633540372670843E-2</v>
      </c>
      <c r="BY66" s="70">
        <v>-0.18269230769230771</v>
      </c>
      <c r="BZ66" s="64">
        <v>1.5480769230769231</v>
      </c>
      <c r="CA66" s="59">
        <v>1.8588235294117648</v>
      </c>
      <c r="CB66" s="59">
        <v>1.9917661691542288</v>
      </c>
      <c r="CC66" s="59">
        <v>1.1800746268656717</v>
      </c>
      <c r="CD66" s="60">
        <v>150</v>
      </c>
      <c r="CE66" s="60">
        <v>122</v>
      </c>
      <c r="CF66" s="61">
        <v>2.2388059701492535</v>
      </c>
      <c r="CG66" s="61">
        <v>1.8208955223880596</v>
      </c>
      <c r="CH66" s="61">
        <v>0.81333333333333335</v>
      </c>
      <c r="CI66" s="41">
        <v>17.3</v>
      </c>
      <c r="CJ66" s="40">
        <f>VLOOKUP(paper3[[#This Row],[YYIR nivå]],$DB:$DC,2)</f>
        <v>1520</v>
      </c>
      <c r="CK66" s="3" t="s">
        <v>129</v>
      </c>
      <c r="CL66" s="62"/>
      <c r="CM66" s="63" t="s">
        <v>110</v>
      </c>
      <c r="CN66" s="3">
        <v>161</v>
      </c>
      <c r="CO66" s="3">
        <v>104</v>
      </c>
      <c r="CP66" s="41">
        <v>17.680555555555557</v>
      </c>
      <c r="CQ66" s="3" t="s">
        <v>110</v>
      </c>
      <c r="CR66" s="40">
        <v>159.5</v>
      </c>
      <c r="CS66" s="40">
        <v>94.5</v>
      </c>
      <c r="CT66" s="40">
        <v>329.5</v>
      </c>
      <c r="CU66" s="40"/>
      <c r="CV66" s="40"/>
      <c r="CW66" s="40"/>
      <c r="CX66" s="40"/>
      <c r="CY66" s="40">
        <v>0</v>
      </c>
      <c r="CZ66" s="40"/>
      <c r="DA66" s="40"/>
    </row>
    <row r="67" spans="1:105" ht="15.95" customHeight="1">
      <c r="A67" s="3">
        <v>192</v>
      </c>
      <c r="B67" s="38" t="s">
        <v>103</v>
      </c>
      <c r="C67" s="3" t="s">
        <v>115</v>
      </c>
      <c r="D67" s="3" t="s">
        <v>105</v>
      </c>
      <c r="E67" s="86">
        <v>44482</v>
      </c>
      <c r="F67" s="3" t="s">
        <v>106</v>
      </c>
      <c r="G67" s="3" t="s">
        <v>122</v>
      </c>
      <c r="H67" s="40">
        <v>2006</v>
      </c>
      <c r="I67" s="40" t="s">
        <v>116</v>
      </c>
      <c r="J67" s="40" t="s">
        <v>157</v>
      </c>
      <c r="K67" s="3">
        <v>182.1</v>
      </c>
      <c r="L67" s="3">
        <v>182.6</v>
      </c>
      <c r="M67" s="3">
        <v>182.7</v>
      </c>
      <c r="N67" s="3">
        <v>147.19999999999999</v>
      </c>
      <c r="O67" s="3">
        <v>147.6</v>
      </c>
      <c r="P67" s="3">
        <v>147.80000000000001</v>
      </c>
      <c r="Q67" s="3">
        <v>78.8</v>
      </c>
      <c r="R67" s="3">
        <v>78.8</v>
      </c>
      <c r="S67" s="3"/>
      <c r="T67" s="42">
        <v>182.46666666666667</v>
      </c>
      <c r="U67" s="42">
        <f>AVERAGE(paper3[[#This Row],[Sittende høyde 1]:[Sittende høyde 3]])-56.2</f>
        <v>91.333333333333329</v>
      </c>
      <c r="V67" s="12">
        <f>paper3[[#This Row],[height]]-paper3[[#This Row],[sittingheight]]</f>
        <v>91.13333333333334</v>
      </c>
      <c r="W67" s="73">
        <v>78.8</v>
      </c>
      <c r="X67" s="43" cm="1">
        <f t="array" ref="X67">INDEX([1]!phvny[yphv], MATCH(1, (paper3[[#This Row],[id]]=[1]!phvny[id])*(paper3[[#This Row],[time]]=[1]!phvny[time]), 0))</f>
        <v>1.6147892799878207</v>
      </c>
      <c r="Y67" s="3">
        <v>2.0099999999999998</v>
      </c>
      <c r="Z67" s="3">
        <v>3.37</v>
      </c>
      <c r="AA67" s="3">
        <v>4.6900000000000004</v>
      </c>
      <c r="AB67" s="3">
        <v>1.96</v>
      </c>
      <c r="AC67" s="3">
        <v>3.33</v>
      </c>
      <c r="AD67" s="3">
        <v>4.62</v>
      </c>
      <c r="AE67" s="60">
        <v>2</v>
      </c>
      <c r="AF67" s="3">
        <v>3.35</v>
      </c>
      <c r="AG67" s="3">
        <v>4.6399999999999997</v>
      </c>
      <c r="AH67" s="44">
        <v>1.96</v>
      </c>
      <c r="AI67" s="44">
        <v>3.33</v>
      </c>
      <c r="AJ67" s="44">
        <v>4.62</v>
      </c>
      <c r="AK67" s="45">
        <v>7.7519379844961236</v>
      </c>
      <c r="AL67" s="60">
        <v>10.130000000000001</v>
      </c>
      <c r="AM67" s="60">
        <v>9.89</v>
      </c>
      <c r="AN67" s="60">
        <v>10.07</v>
      </c>
      <c r="AO67" s="46"/>
      <c r="AP67" s="46">
        <v>9.89</v>
      </c>
      <c r="AQ67" s="47">
        <v>9.89</v>
      </c>
      <c r="AR67" s="47">
        <v>10.07</v>
      </c>
      <c r="AS67" s="3">
        <v>30.68</v>
      </c>
      <c r="AT67" s="3"/>
      <c r="AU67" s="3"/>
      <c r="AV67" s="3"/>
      <c r="AW67" s="3"/>
      <c r="AX67" s="48">
        <v>30.68</v>
      </c>
      <c r="AY67" s="3"/>
      <c r="AZ67" s="3">
        <v>11</v>
      </c>
      <c r="BA67" s="3">
        <v>280</v>
      </c>
      <c r="BB67" s="3">
        <v>10</v>
      </c>
      <c r="BC67" s="3">
        <v>306</v>
      </c>
      <c r="BD67" s="40"/>
      <c r="BE67" s="40"/>
      <c r="BF67" s="40"/>
      <c r="BG67" s="40">
        <v>695.85400318617349</v>
      </c>
      <c r="BH67" s="40">
        <v>657.08146527186227</v>
      </c>
      <c r="BI67" s="49"/>
      <c r="BJ67" s="49">
        <v>1352.9354684580358</v>
      </c>
      <c r="BK67" s="66"/>
      <c r="BL67" s="66">
        <v>5.9007200725513353E-2</v>
      </c>
      <c r="BM67" s="51"/>
      <c r="BN67" s="51">
        <v>17.169231833223805</v>
      </c>
      <c r="BO67" s="52">
        <v>462</v>
      </c>
      <c r="BP67" s="40">
        <v>380</v>
      </c>
      <c r="BQ67" s="40">
        <v>462</v>
      </c>
      <c r="BR67" s="67">
        <v>-0.17748917748917747</v>
      </c>
      <c r="BS67" s="54">
        <v>5.34263959390863</v>
      </c>
      <c r="BT67" s="3">
        <v>154</v>
      </c>
      <c r="BU67" s="40">
        <v>156</v>
      </c>
      <c r="BV67" s="3">
        <v>142</v>
      </c>
      <c r="BW67" s="3">
        <v>157</v>
      </c>
      <c r="BX67" s="70">
        <v>-1.2820512820512775E-2</v>
      </c>
      <c r="BY67" s="70">
        <v>-9.5541401273885329E-2</v>
      </c>
      <c r="BZ67" s="64">
        <v>0.99363057324840764</v>
      </c>
      <c r="CA67" s="59">
        <v>1.0845070422535212</v>
      </c>
      <c r="CB67" s="59">
        <v>1.7925972927241967</v>
      </c>
      <c r="CC67" s="59">
        <v>1.7289890016920475</v>
      </c>
      <c r="CD67" s="60">
        <v>96</v>
      </c>
      <c r="CE67" s="60">
        <v>128</v>
      </c>
      <c r="CF67" s="61">
        <v>1.218274111675127</v>
      </c>
      <c r="CG67" s="61">
        <v>1.6243654822335025</v>
      </c>
      <c r="CH67" s="61">
        <v>1.3333333333333333</v>
      </c>
      <c r="CI67" s="41">
        <v>14.8</v>
      </c>
      <c r="CJ67" s="40">
        <f>VLOOKUP(paper3[[#This Row],[YYIR nivå]],$DB:$DC,2)</f>
        <v>760</v>
      </c>
      <c r="CK67" s="3" t="s">
        <v>112</v>
      </c>
      <c r="CL67" s="62"/>
      <c r="CM67" s="63" t="s">
        <v>110</v>
      </c>
      <c r="CN67" s="3">
        <v>156</v>
      </c>
      <c r="CO67" s="3">
        <v>157</v>
      </c>
      <c r="CP67" s="41">
        <v>14.988888888888889</v>
      </c>
      <c r="CQ67" s="3" t="s">
        <v>110</v>
      </c>
      <c r="CR67" s="40">
        <v>155</v>
      </c>
      <c r="CS67" s="40">
        <v>149.5</v>
      </c>
      <c r="CT67" s="40">
        <v>421</v>
      </c>
      <c r="CU67" s="40"/>
      <c r="CV67" s="40"/>
      <c r="CW67" s="40"/>
      <c r="CX67" s="40"/>
      <c r="CY67" s="40" t="s">
        <v>125</v>
      </c>
      <c r="CZ67" s="40"/>
      <c r="DA67" s="40"/>
    </row>
    <row r="68" spans="1:105" ht="15.95" customHeight="1">
      <c r="A68" s="3">
        <v>193</v>
      </c>
      <c r="B68" s="38" t="s">
        <v>103</v>
      </c>
      <c r="C68" s="3" t="s">
        <v>115</v>
      </c>
      <c r="D68" s="3" t="s">
        <v>105</v>
      </c>
      <c r="E68" s="86">
        <v>44482</v>
      </c>
      <c r="F68" s="3" t="s">
        <v>106</v>
      </c>
      <c r="G68" s="3" t="s">
        <v>122</v>
      </c>
      <c r="H68" s="40">
        <v>2006</v>
      </c>
      <c r="I68" s="40" t="s">
        <v>116</v>
      </c>
      <c r="J68" s="40" t="s">
        <v>157</v>
      </c>
      <c r="K68" s="3">
        <v>162.4</v>
      </c>
      <c r="L68" s="3">
        <v>162</v>
      </c>
      <c r="M68" s="3">
        <v>162</v>
      </c>
      <c r="N68" s="3">
        <v>137.6</v>
      </c>
      <c r="O68" s="3">
        <v>138</v>
      </c>
      <c r="P68" s="3">
        <v>137.80000000000001</v>
      </c>
      <c r="Q68" s="3">
        <v>49.9</v>
      </c>
      <c r="R68" s="3">
        <v>49.9</v>
      </c>
      <c r="S68" s="3"/>
      <c r="T68" s="42">
        <v>162.13333333333333</v>
      </c>
      <c r="U68" s="42">
        <f>AVERAGE(paper3[[#This Row],[Sittende høyde 1]:[Sittende høyde 3]])-56.2</f>
        <v>81.600000000000009</v>
      </c>
      <c r="V68" s="12">
        <f>paper3[[#This Row],[height]]-paper3[[#This Row],[sittingheight]]</f>
        <v>80.533333333333317</v>
      </c>
      <c r="W68" s="73">
        <v>49.9</v>
      </c>
      <c r="X68" s="43" cm="1">
        <f t="array" ref="X68">INDEX([1]!phvny[yphv], MATCH(1, (paper3[[#This Row],[id]]=[1]!phvny[id])*(paper3[[#This Row],[time]]=[1]!phvny[time]), 0))</f>
        <v>0.36056211146783512</v>
      </c>
      <c r="Y68" s="60">
        <v>2</v>
      </c>
      <c r="Z68" s="3">
        <v>3.42</v>
      </c>
      <c r="AA68" s="3">
        <v>4.8</v>
      </c>
      <c r="AB68" s="3">
        <v>1.98</v>
      </c>
      <c r="AC68" s="3">
        <v>3.41</v>
      </c>
      <c r="AD68" s="3">
        <v>4.79</v>
      </c>
      <c r="AE68" s="3">
        <v>1.98</v>
      </c>
      <c r="AF68" s="3">
        <v>3.41</v>
      </c>
      <c r="AG68" s="3">
        <v>4.8</v>
      </c>
      <c r="AH68" s="45">
        <v>1.98</v>
      </c>
      <c r="AI68" s="44">
        <v>3.41</v>
      </c>
      <c r="AJ68" s="44">
        <v>4.79</v>
      </c>
      <c r="AK68" s="45">
        <v>7.2463768115942031</v>
      </c>
      <c r="AL68" s="3"/>
      <c r="AM68" s="3"/>
      <c r="AN68" s="60">
        <v>10.29</v>
      </c>
      <c r="AO68" s="3">
        <v>10.24</v>
      </c>
      <c r="AP68" s="3">
        <v>10.24</v>
      </c>
      <c r="AQ68" s="47"/>
      <c r="AR68" s="47">
        <v>10.24</v>
      </c>
      <c r="AS68" s="3">
        <v>29.28</v>
      </c>
      <c r="AT68" s="3"/>
      <c r="AU68" s="3"/>
      <c r="AV68" s="3"/>
      <c r="AW68" s="3"/>
      <c r="AX68" s="48">
        <v>29.28</v>
      </c>
      <c r="AY68" s="3"/>
      <c r="AZ68" s="3">
        <v>7</v>
      </c>
      <c r="BA68" s="3">
        <v>260</v>
      </c>
      <c r="BB68" s="3">
        <v>8</v>
      </c>
      <c r="BC68" s="3">
        <v>235</v>
      </c>
      <c r="BD68" s="40">
        <v>940.24668002112969</v>
      </c>
      <c r="BE68" s="40">
        <v>1005.1120801197167</v>
      </c>
      <c r="BF68" s="40"/>
      <c r="BG68" s="40">
        <v>424.33522038878954</v>
      </c>
      <c r="BH68" s="40">
        <v>414.61899073577877</v>
      </c>
      <c r="BI68" s="49">
        <v>1945.3587601408462</v>
      </c>
      <c r="BJ68" s="49">
        <v>838.95421112456825</v>
      </c>
      <c r="BK68" s="66">
        <v>-6.4535489505668897E-2</v>
      </c>
      <c r="BL68" s="66">
        <v>2.3434116309454245E-2</v>
      </c>
      <c r="BM68" s="51">
        <v>38.985145493804538</v>
      </c>
      <c r="BN68" s="51">
        <v>16.812709641774916</v>
      </c>
      <c r="BO68" s="52">
        <v>238</v>
      </c>
      <c r="BP68" s="40">
        <v>228</v>
      </c>
      <c r="BQ68" s="40">
        <v>238</v>
      </c>
      <c r="BR68" s="67">
        <v>-4.2016806722689037E-2</v>
      </c>
      <c r="BS68" s="54">
        <v>4.6693386773547099</v>
      </c>
      <c r="BT68" s="3">
        <v>210</v>
      </c>
      <c r="BU68" s="40">
        <v>217</v>
      </c>
      <c r="BV68" s="3">
        <v>148</v>
      </c>
      <c r="BW68" s="3">
        <v>156</v>
      </c>
      <c r="BX68" s="70">
        <v>-3.2258064516129004E-2</v>
      </c>
      <c r="BY68" s="70">
        <v>-5.1282051282051322E-2</v>
      </c>
      <c r="BZ68" s="64">
        <v>1.391025641025641</v>
      </c>
      <c r="CA68" s="59">
        <v>1.4189189189189189</v>
      </c>
      <c r="CB68" s="59">
        <v>3.44566466265865</v>
      </c>
      <c r="CC68" s="59">
        <v>2.4531195724782893</v>
      </c>
      <c r="CD68" s="60">
        <v>78</v>
      </c>
      <c r="CE68" s="60">
        <v>72</v>
      </c>
      <c r="CF68" s="61">
        <v>1.56312625250501</v>
      </c>
      <c r="CG68" s="61">
        <v>1.4428857715430863</v>
      </c>
      <c r="CH68" s="61">
        <v>0.92307692307692313</v>
      </c>
      <c r="CI68" s="41">
        <v>15.3</v>
      </c>
      <c r="CJ68" s="40">
        <f>VLOOKUP(paper3[[#This Row],[YYIR nivå]],$DB:$DC,2)</f>
        <v>880</v>
      </c>
      <c r="CK68" s="3" t="s">
        <v>112</v>
      </c>
      <c r="CL68" s="62"/>
      <c r="CM68" s="63" t="s">
        <v>110</v>
      </c>
      <c r="CN68" s="3">
        <v>217</v>
      </c>
      <c r="CO68" s="3">
        <v>156</v>
      </c>
      <c r="CP68" s="41">
        <v>15.633333333333333</v>
      </c>
      <c r="CQ68" s="3" t="s">
        <v>110</v>
      </c>
      <c r="CR68" s="40">
        <v>213.5</v>
      </c>
      <c r="CS68" s="40">
        <v>152</v>
      </c>
      <c r="CT68" s="40">
        <v>233</v>
      </c>
      <c r="CU68" s="40"/>
      <c r="CV68" s="40"/>
      <c r="CW68" s="40"/>
      <c r="CX68" s="40"/>
      <c r="CY68" s="40">
        <v>0</v>
      </c>
      <c r="CZ68" s="40"/>
      <c r="DA68" s="40"/>
    </row>
    <row r="69" spans="1:105" ht="15.75" customHeight="1">
      <c r="A69" s="3">
        <v>194</v>
      </c>
      <c r="B69" s="38" t="s">
        <v>103</v>
      </c>
      <c r="C69" s="3" t="s">
        <v>115</v>
      </c>
      <c r="D69" s="3" t="s">
        <v>105</v>
      </c>
      <c r="E69" s="86">
        <v>44482</v>
      </c>
      <c r="F69" s="3" t="s">
        <v>106</v>
      </c>
      <c r="G69" s="3" t="s">
        <v>122</v>
      </c>
      <c r="H69" s="40">
        <v>2006</v>
      </c>
      <c r="I69" s="40" t="s">
        <v>116</v>
      </c>
      <c r="J69" s="40" t="s">
        <v>157</v>
      </c>
      <c r="K69" s="3">
        <v>176.1</v>
      </c>
      <c r="L69" s="3">
        <v>176.5</v>
      </c>
      <c r="M69" s="3">
        <v>176.3</v>
      </c>
      <c r="N69" s="3">
        <v>145.19999999999999</v>
      </c>
      <c r="O69" s="3">
        <v>145.69999999999999</v>
      </c>
      <c r="P69" s="3">
        <v>145.9</v>
      </c>
      <c r="Q69" s="3">
        <v>60.9</v>
      </c>
      <c r="R69" s="3">
        <v>60.8</v>
      </c>
      <c r="S69" s="3"/>
      <c r="T69" s="42">
        <v>176.30000000000004</v>
      </c>
      <c r="U69" s="42">
        <f>AVERAGE(paper3[[#This Row],[Sittende høyde 1]:[Sittende høyde 3]])-56.2</f>
        <v>89.399999999999991</v>
      </c>
      <c r="V69" s="12">
        <f>paper3[[#This Row],[height]]-paper3[[#This Row],[sittingheight]]</f>
        <v>86.900000000000048</v>
      </c>
      <c r="W69" s="73">
        <v>60.849999999999994</v>
      </c>
      <c r="X69" s="43" cm="1">
        <f t="array" ref="X69">INDEX([1]!phvny[yphv], MATCH(1, (paper3[[#This Row],[id]]=[1]!phvny[id])*(paper3[[#This Row],[time]]=[1]!phvny[time]), 0))</f>
        <v>1.1914665444200829</v>
      </c>
      <c r="Y69" s="3">
        <v>2</v>
      </c>
      <c r="Z69" s="3">
        <v>3.35</v>
      </c>
      <c r="AA69" s="3">
        <v>4.63</v>
      </c>
      <c r="AB69" s="3">
        <v>1.97</v>
      </c>
      <c r="AC69" s="3">
        <v>3.33</v>
      </c>
      <c r="AD69" s="3">
        <v>4.62</v>
      </c>
      <c r="AE69" s="3">
        <v>1.96</v>
      </c>
      <c r="AF69" s="3">
        <v>3.32</v>
      </c>
      <c r="AG69" s="3">
        <v>4.6100000000000003</v>
      </c>
      <c r="AH69" s="45">
        <v>1.96</v>
      </c>
      <c r="AI69" s="44">
        <v>3.32</v>
      </c>
      <c r="AJ69" s="44">
        <v>4.6100000000000003</v>
      </c>
      <c r="AK69" s="45">
        <v>7.7519379844961209</v>
      </c>
      <c r="AL69" s="60">
        <v>10.44</v>
      </c>
      <c r="AM69" s="60">
        <v>10.09</v>
      </c>
      <c r="AN69" s="60">
        <v>10.36</v>
      </c>
      <c r="AO69" s="3">
        <v>9.94</v>
      </c>
      <c r="AP69" s="3">
        <v>9.94</v>
      </c>
      <c r="AQ69" s="47">
        <v>10.09</v>
      </c>
      <c r="AR69" s="47">
        <v>9.94</v>
      </c>
      <c r="AS69" s="3">
        <v>29.09</v>
      </c>
      <c r="AT69" s="3"/>
      <c r="AU69" s="3"/>
      <c r="AV69" s="3"/>
      <c r="AW69" s="3"/>
      <c r="AX69" s="48">
        <v>29.09</v>
      </c>
      <c r="AY69" s="3"/>
      <c r="AZ69" s="3">
        <v>9</v>
      </c>
      <c r="BA69" s="3">
        <v>260</v>
      </c>
      <c r="BB69" s="3">
        <v>11</v>
      </c>
      <c r="BC69" s="3">
        <v>308</v>
      </c>
      <c r="BD69" s="40">
        <v>1227.4871188457555</v>
      </c>
      <c r="BE69" s="40">
        <v>1147.4123733875017</v>
      </c>
      <c r="BF69" s="40"/>
      <c r="BG69" s="40">
        <v>516.21966693925208</v>
      </c>
      <c r="BH69" s="40">
        <v>485.58751387214085</v>
      </c>
      <c r="BI69" s="49">
        <v>2374.8994922332572</v>
      </c>
      <c r="BJ69" s="49">
        <v>1001.807180811393</v>
      </c>
      <c r="BK69" s="66">
        <v>6.9787242420830342E-2</v>
      </c>
      <c r="BL69" s="66">
        <v>6.3082662119637867E-2</v>
      </c>
      <c r="BM69" s="51">
        <v>38.996707590037062</v>
      </c>
      <c r="BN69" s="51">
        <v>16.450035809710887</v>
      </c>
      <c r="BO69" s="52">
        <v>255</v>
      </c>
      <c r="BP69" s="40">
        <v>253</v>
      </c>
      <c r="BQ69" s="40">
        <v>255</v>
      </c>
      <c r="BR69" s="67">
        <v>-7.8431372549019329E-3</v>
      </c>
      <c r="BS69" s="54">
        <v>4.1741988496302387</v>
      </c>
      <c r="BT69" s="3">
        <v>104</v>
      </c>
      <c r="BU69" s="40">
        <v>112</v>
      </c>
      <c r="BV69" s="3">
        <v>82</v>
      </c>
      <c r="BW69" s="3">
        <v>105</v>
      </c>
      <c r="BX69" s="70">
        <v>-7.1428571428571397E-2</v>
      </c>
      <c r="BY69" s="70">
        <v>-0.21904761904761905</v>
      </c>
      <c r="BZ69" s="64">
        <v>1.0666666666666667</v>
      </c>
      <c r="CA69" s="59">
        <v>1.2682926829268293</v>
      </c>
      <c r="CB69" s="59">
        <v>1.5423500410846354</v>
      </c>
      <c r="CC69" s="59">
        <v>1.335275267050124</v>
      </c>
      <c r="CD69" s="60">
        <v>70</v>
      </c>
      <c r="CE69" s="60">
        <v>71</v>
      </c>
      <c r="CF69" s="61">
        <v>1.1503697617091209</v>
      </c>
      <c r="CG69" s="61">
        <v>1.1668036154478225</v>
      </c>
      <c r="CH69" s="61">
        <v>1.0142857142857142</v>
      </c>
      <c r="CI69" s="41"/>
      <c r="CJ69" s="40"/>
      <c r="CK69" s="3"/>
      <c r="CL69" s="62"/>
      <c r="CM69" s="63" t="s">
        <v>110</v>
      </c>
      <c r="CN69" s="3">
        <v>112</v>
      </c>
      <c r="CO69" s="3">
        <v>105</v>
      </c>
      <c r="CP69" s="41">
        <v>15.047222222222222</v>
      </c>
      <c r="CQ69" s="3" t="s">
        <v>110</v>
      </c>
      <c r="CR69" s="40">
        <v>108</v>
      </c>
      <c r="CS69" s="40">
        <v>93.5</v>
      </c>
      <c r="CT69" s="40">
        <v>254</v>
      </c>
      <c r="CU69" s="40"/>
      <c r="CV69" s="40"/>
      <c r="CW69" s="40"/>
      <c r="CX69" s="40"/>
      <c r="CY69" s="40">
        <v>0</v>
      </c>
      <c r="CZ69" s="40"/>
      <c r="DA69" s="40"/>
    </row>
    <row r="70" spans="1:105" ht="15.95" customHeight="1">
      <c r="A70" s="3">
        <v>195</v>
      </c>
      <c r="B70" s="38" t="s">
        <v>103</v>
      </c>
      <c r="C70" s="3"/>
      <c r="D70" s="3" t="s">
        <v>105</v>
      </c>
      <c r="E70" s="39">
        <v>44487</v>
      </c>
      <c r="F70" s="3" t="s">
        <v>106</v>
      </c>
      <c r="G70" s="3" t="s">
        <v>122</v>
      </c>
      <c r="H70" s="40">
        <v>2008</v>
      </c>
      <c r="I70" s="40" t="s">
        <v>108</v>
      </c>
      <c r="J70" s="40" t="s">
        <v>123</v>
      </c>
      <c r="K70" s="78"/>
      <c r="L70" s="78"/>
      <c r="M70" s="78"/>
      <c r="N70" s="78"/>
      <c r="O70" s="78"/>
      <c r="P70" s="78"/>
      <c r="Q70" s="78"/>
      <c r="R70" s="78"/>
      <c r="S70" s="78"/>
      <c r="T70" s="42"/>
      <c r="U70" s="42"/>
      <c r="V70" s="12"/>
      <c r="W70" s="73"/>
      <c r="X70" s="43"/>
      <c r="Y70" s="3"/>
      <c r="Z70" s="3"/>
      <c r="AA70" s="3"/>
      <c r="AB70" s="3"/>
      <c r="AC70" s="3"/>
      <c r="AD70" s="3"/>
      <c r="AE70" s="3"/>
      <c r="AF70" s="3"/>
      <c r="AG70" s="3"/>
      <c r="AH70" s="44"/>
      <c r="AI70" s="44"/>
      <c r="AJ70" s="44"/>
      <c r="AK70" s="45"/>
      <c r="AL70" s="46"/>
      <c r="AM70" s="3"/>
      <c r="AN70" s="3"/>
      <c r="AO70" s="3"/>
      <c r="AP70" s="3"/>
      <c r="AQ70" s="47"/>
      <c r="AR70" s="47"/>
      <c r="AS70" s="78"/>
      <c r="AT70" s="78"/>
      <c r="AU70" s="78"/>
      <c r="AV70" s="78"/>
      <c r="AW70" s="76"/>
      <c r="AX70" s="48"/>
      <c r="AY70" s="71"/>
      <c r="AZ70" s="3"/>
      <c r="BA70" s="3"/>
      <c r="BB70" s="3"/>
      <c r="BC70" s="3"/>
      <c r="BD70" s="40"/>
      <c r="BE70" s="40"/>
      <c r="BF70" s="40"/>
      <c r="BG70" s="40"/>
      <c r="BH70" s="40"/>
      <c r="BI70" s="49"/>
      <c r="BJ70" s="49"/>
      <c r="BK70" s="66"/>
      <c r="BL70" s="66"/>
      <c r="BM70" s="51"/>
      <c r="BN70" s="51"/>
      <c r="BO70" s="52"/>
      <c r="BP70" s="79"/>
      <c r="BQ70" s="79"/>
      <c r="BR70" s="67"/>
      <c r="BS70" s="54" t="s">
        <v>110</v>
      </c>
      <c r="BT70" s="68"/>
      <c r="BU70" s="69"/>
      <c r="BV70" s="3"/>
      <c r="BW70" s="3"/>
      <c r="BX70" s="70"/>
      <c r="BY70" s="70"/>
      <c r="BZ70" s="64"/>
      <c r="CA70" s="59"/>
      <c r="CB70" s="59" t="s">
        <v>110</v>
      </c>
      <c r="CC70" s="59" t="s">
        <v>110</v>
      </c>
      <c r="CD70" s="72"/>
      <c r="CE70" s="72"/>
      <c r="CF70" s="61"/>
      <c r="CG70" s="61"/>
      <c r="CH70" s="61"/>
      <c r="CI70" s="41">
        <v>14.3</v>
      </c>
      <c r="CJ70" s="40">
        <f>VLOOKUP(paper3[[#This Row],[YYIR nivå]],$DB:$DC,2)</f>
        <v>560</v>
      </c>
      <c r="CK70" s="3" t="s">
        <v>129</v>
      </c>
      <c r="CL70" s="62"/>
      <c r="CM70" s="63" t="s">
        <v>110</v>
      </c>
      <c r="CN70" s="3"/>
      <c r="CO70" s="3"/>
      <c r="CP70" s="41">
        <v>12.84</v>
      </c>
      <c r="CQ70" s="3" t="s">
        <v>110</v>
      </c>
      <c r="CR70" s="40" t="s">
        <v>110</v>
      </c>
      <c r="CS70" s="40" t="s">
        <v>110</v>
      </c>
      <c r="CT70" s="40" t="s">
        <v>110</v>
      </c>
      <c r="CU70" s="40"/>
      <c r="CV70" s="40"/>
      <c r="CW70" s="40"/>
      <c r="CX70" s="40"/>
      <c r="CY70" s="40">
        <v>0</v>
      </c>
      <c r="CZ70" s="40"/>
      <c r="DA70" s="40"/>
    </row>
    <row r="71" spans="1:105" ht="15.95" customHeight="1">
      <c r="A71" s="3">
        <v>198</v>
      </c>
      <c r="B71" s="38" t="s">
        <v>103</v>
      </c>
      <c r="C71" s="3" t="s">
        <v>115</v>
      </c>
      <c r="D71" s="3" t="s">
        <v>105</v>
      </c>
      <c r="E71" s="39">
        <v>44488</v>
      </c>
      <c r="F71" s="3" t="s">
        <v>106</v>
      </c>
      <c r="G71" s="3" t="s">
        <v>122</v>
      </c>
      <c r="H71" s="40">
        <v>2006</v>
      </c>
      <c r="I71" s="40" t="s">
        <v>116</v>
      </c>
      <c r="J71" s="40" t="s">
        <v>157</v>
      </c>
      <c r="K71" s="3">
        <v>159.1</v>
      </c>
      <c r="L71" s="3">
        <v>159.1</v>
      </c>
      <c r="M71" s="3"/>
      <c r="N71" s="3">
        <v>137.30000000000001</v>
      </c>
      <c r="O71" s="3">
        <v>137.1</v>
      </c>
      <c r="P71" s="3"/>
      <c r="Q71" s="3">
        <v>52.2</v>
      </c>
      <c r="R71" s="3">
        <v>52.2</v>
      </c>
      <c r="S71" s="3"/>
      <c r="T71" s="42">
        <v>159.1</v>
      </c>
      <c r="U71" s="42">
        <f>AVERAGE(paper3[[#This Row],[Sittende høyde 1]:[Sittende høyde 3]])-56.2</f>
        <v>80.999999999999986</v>
      </c>
      <c r="V71" s="12">
        <f>paper3[[#This Row],[height]]-paper3[[#This Row],[sittingheight]]</f>
        <v>78.100000000000009</v>
      </c>
      <c r="W71" s="73">
        <v>52.2</v>
      </c>
      <c r="X71" s="43" cm="1">
        <f t="array" ref="X71">INDEX([1]!phvny[yphv], MATCH(1, (paper3[[#This Row],[id]]=[1]!phvny[id])*(paper3[[#This Row],[time]]=[1]!phvny[time]), 0))</f>
        <v>6.8543493938122202E-2</v>
      </c>
      <c r="Y71" s="3">
        <v>1.99</v>
      </c>
      <c r="Z71" s="3">
        <v>3.38</v>
      </c>
      <c r="AA71" s="3">
        <v>4.74</v>
      </c>
      <c r="AB71" s="3">
        <v>1.99</v>
      </c>
      <c r="AC71" s="57">
        <v>3.42</v>
      </c>
      <c r="AD71" s="57">
        <v>4.79</v>
      </c>
      <c r="AE71" s="57"/>
      <c r="AF71" s="57"/>
      <c r="AG71" s="3"/>
      <c r="AH71" s="44">
        <v>1.99</v>
      </c>
      <c r="AI71" s="44">
        <v>3.38</v>
      </c>
      <c r="AJ71" s="44">
        <v>4.74</v>
      </c>
      <c r="AK71" s="45">
        <v>7.3529411764705861</v>
      </c>
      <c r="AL71" s="3"/>
      <c r="AM71" s="3"/>
      <c r="AN71" s="3"/>
      <c r="AO71" s="3"/>
      <c r="AP71" s="3"/>
      <c r="AQ71" s="47"/>
      <c r="AR71" s="47"/>
      <c r="AS71" s="3"/>
      <c r="AT71" s="3"/>
      <c r="AU71" s="3"/>
      <c r="AV71" s="3"/>
      <c r="AW71" s="3"/>
      <c r="AX71" s="48"/>
      <c r="AY71" s="3"/>
      <c r="AZ71" s="3">
        <v>7</v>
      </c>
      <c r="BA71" s="3">
        <v>220</v>
      </c>
      <c r="BB71" s="3">
        <v>9</v>
      </c>
      <c r="BC71" s="3">
        <v>219</v>
      </c>
      <c r="BD71" s="40">
        <v>867.97999550487475</v>
      </c>
      <c r="BE71" s="40">
        <v>880.96360465692578</v>
      </c>
      <c r="BF71" s="40"/>
      <c r="BG71" s="40">
        <v>401.56241762603702</v>
      </c>
      <c r="BH71" s="40">
        <v>438.58852960311333</v>
      </c>
      <c r="BI71" s="49">
        <v>1748.9436001618005</v>
      </c>
      <c r="BJ71" s="49">
        <v>840.15094722915035</v>
      </c>
      <c r="BK71" s="66">
        <v>-1.4737963161494338E-2</v>
      </c>
      <c r="BL71" s="66">
        <v>-8.4421067761580315E-2</v>
      </c>
      <c r="BM71" s="51">
        <v>33.504666669766294</v>
      </c>
      <c r="BN71" s="51">
        <v>16.0948457323592</v>
      </c>
      <c r="BO71" s="52">
        <v>308</v>
      </c>
      <c r="BP71" s="40">
        <v>288</v>
      </c>
      <c r="BQ71" s="40">
        <v>308</v>
      </c>
      <c r="BR71" s="67">
        <v>-6.4935064935064957E-2</v>
      </c>
      <c r="BS71" s="54">
        <v>5.7088122605363978</v>
      </c>
      <c r="BT71" s="3">
        <v>161</v>
      </c>
      <c r="BU71" s="40">
        <v>164</v>
      </c>
      <c r="BV71" s="3">
        <v>104</v>
      </c>
      <c r="BW71" s="3">
        <v>121</v>
      </c>
      <c r="BX71" s="70">
        <v>-1.8292682926829285E-2</v>
      </c>
      <c r="BY71" s="70">
        <v>-0.14049586776859502</v>
      </c>
      <c r="BZ71" s="64">
        <v>1.3553719008264462</v>
      </c>
      <c r="CA71" s="59">
        <v>1.5480769230769231</v>
      </c>
      <c r="CB71" s="59">
        <v>2.4312739463601534</v>
      </c>
      <c r="CC71" s="59">
        <v>1.6831896551724139</v>
      </c>
      <c r="CD71" s="60">
        <v>159</v>
      </c>
      <c r="CE71" s="60">
        <v>173</v>
      </c>
      <c r="CF71" s="61">
        <v>3.0459770114942528</v>
      </c>
      <c r="CG71" s="61">
        <v>3.314176245210728</v>
      </c>
      <c r="CH71" s="61">
        <v>1.0880503144654088</v>
      </c>
      <c r="CI71" s="41"/>
      <c r="CJ71" s="40"/>
      <c r="CK71" s="3"/>
      <c r="CL71" s="62"/>
      <c r="CM71" s="63" t="s">
        <v>110</v>
      </c>
      <c r="CN71" s="3">
        <v>164</v>
      </c>
      <c r="CO71" s="3">
        <v>121</v>
      </c>
      <c r="CP71" s="41">
        <v>15.044444444444444</v>
      </c>
      <c r="CQ71" s="3" t="s">
        <v>110</v>
      </c>
      <c r="CR71" s="40">
        <v>162.5</v>
      </c>
      <c r="CS71" s="40">
        <v>112.5</v>
      </c>
      <c r="CT71" s="40">
        <v>298</v>
      </c>
      <c r="CU71" s="40"/>
      <c r="CV71" s="40"/>
      <c r="CW71" s="40"/>
      <c r="CX71" s="40"/>
      <c r="CY71" s="40">
        <v>0</v>
      </c>
      <c r="CZ71" s="40"/>
      <c r="DA71" s="40"/>
    </row>
    <row r="72" spans="1:105" ht="15.75" customHeight="1">
      <c r="A72" s="3">
        <v>199</v>
      </c>
      <c r="B72" s="38" t="s">
        <v>103</v>
      </c>
      <c r="C72" s="3" t="s">
        <v>159</v>
      </c>
      <c r="D72" s="3" t="s">
        <v>105</v>
      </c>
      <c r="E72" s="39">
        <v>44488</v>
      </c>
      <c r="F72" s="3" t="s">
        <v>106</v>
      </c>
      <c r="G72" s="3" t="s">
        <v>122</v>
      </c>
      <c r="H72" s="40">
        <v>2006</v>
      </c>
      <c r="I72" s="40" t="s">
        <v>116</v>
      </c>
      <c r="J72" s="40" t="s">
        <v>157</v>
      </c>
      <c r="K72" s="3">
        <v>177.7</v>
      </c>
      <c r="L72" s="3">
        <v>176.8</v>
      </c>
      <c r="M72" s="3">
        <v>176.8</v>
      </c>
      <c r="N72" s="3">
        <v>143.6</v>
      </c>
      <c r="O72" s="3">
        <v>143.6</v>
      </c>
      <c r="P72" s="3"/>
      <c r="Q72" s="3">
        <v>48</v>
      </c>
      <c r="R72" s="3">
        <v>48</v>
      </c>
      <c r="S72" s="3"/>
      <c r="T72" s="42">
        <v>177.1</v>
      </c>
      <c r="U72" s="42">
        <f>AVERAGE(paper3[[#This Row],[Sittende høyde 1]:[Sittende høyde 3]])-56.2</f>
        <v>87.399999999999991</v>
      </c>
      <c r="V72" s="12">
        <f>paper3[[#This Row],[height]]-paper3[[#This Row],[sittingheight]]</f>
        <v>89.7</v>
      </c>
      <c r="W72" s="73">
        <v>48</v>
      </c>
      <c r="X72" s="43" cm="1">
        <f t="array" ref="X72">INDEX([1]!phvny[yphv], MATCH(1, (paper3[[#This Row],[id]]=[1]!phvny[id])*(paper3[[#This Row],[time]]=[1]!phvny[time]), 0))</f>
        <v>0.80573141641608459</v>
      </c>
      <c r="Y72" s="3">
        <v>1.91</v>
      </c>
      <c r="Z72" s="3">
        <v>3.21</v>
      </c>
      <c r="AA72" s="3">
        <v>4.4400000000000004</v>
      </c>
      <c r="AB72" s="3">
        <v>1.84</v>
      </c>
      <c r="AC72" s="3">
        <v>3.14</v>
      </c>
      <c r="AD72" s="3">
        <v>4.37</v>
      </c>
      <c r="AE72" s="3">
        <v>1.84</v>
      </c>
      <c r="AF72" s="3">
        <v>3.14</v>
      </c>
      <c r="AG72" s="3">
        <v>4.38</v>
      </c>
      <c r="AH72" s="44">
        <v>1.84</v>
      </c>
      <c r="AI72" s="44">
        <v>3.14</v>
      </c>
      <c r="AJ72" s="44">
        <v>4.37</v>
      </c>
      <c r="AK72" s="45">
        <v>8.1300813008130088</v>
      </c>
      <c r="AL72" s="3">
        <v>10.1</v>
      </c>
      <c r="AM72" s="3">
        <v>9.5399999999999991</v>
      </c>
      <c r="AN72" s="3">
        <v>10</v>
      </c>
      <c r="AO72" s="3">
        <v>9.98</v>
      </c>
      <c r="AP72" s="3">
        <v>9.5399999999999991</v>
      </c>
      <c r="AQ72" s="47">
        <v>9.5399999999999991</v>
      </c>
      <c r="AR72" s="47">
        <v>9.98</v>
      </c>
      <c r="AS72" s="3">
        <v>31.49</v>
      </c>
      <c r="AT72" s="3">
        <v>30.34</v>
      </c>
      <c r="AU72" s="3">
        <v>26.2</v>
      </c>
      <c r="AV72" s="3"/>
      <c r="AW72" s="3"/>
      <c r="AX72" s="48">
        <v>31.49</v>
      </c>
      <c r="AY72" s="3"/>
      <c r="AZ72" s="3">
        <v>10</v>
      </c>
      <c r="BA72" s="3">
        <v>220</v>
      </c>
      <c r="BB72" s="3">
        <v>12</v>
      </c>
      <c r="BC72" s="3">
        <v>280</v>
      </c>
      <c r="BD72" s="40">
        <v>1072.0719296503294</v>
      </c>
      <c r="BE72" s="40">
        <v>983.55975588024057</v>
      </c>
      <c r="BF72" s="40"/>
      <c r="BG72" s="40">
        <v>424.84074883686549</v>
      </c>
      <c r="BH72" s="40">
        <v>382.97050016197159</v>
      </c>
      <c r="BI72" s="49">
        <v>2055.6316855305699</v>
      </c>
      <c r="BJ72" s="49">
        <v>807.81124899883707</v>
      </c>
      <c r="BK72" s="66">
        <v>8.9991658606318747E-2</v>
      </c>
      <c r="BL72" s="66">
        <v>0.10933021905652129</v>
      </c>
      <c r="BM72" s="51">
        <v>42.825660115220209</v>
      </c>
      <c r="BN72" s="51">
        <v>16.829401020809104</v>
      </c>
      <c r="BO72" s="52">
        <v>248</v>
      </c>
      <c r="BP72" s="40">
        <v>191</v>
      </c>
      <c r="BQ72" s="40">
        <v>248</v>
      </c>
      <c r="BR72" s="67">
        <v>-0.22983870967741937</v>
      </c>
      <c r="BS72" s="54">
        <v>4.572916666666667</v>
      </c>
      <c r="BT72" s="3">
        <v>125</v>
      </c>
      <c r="BU72" s="40">
        <v>135</v>
      </c>
      <c r="BV72" s="3">
        <v>97</v>
      </c>
      <c r="BW72" s="3">
        <v>93</v>
      </c>
      <c r="BX72" s="70">
        <v>-7.407407407407407E-2</v>
      </c>
      <c r="BY72" s="70">
        <v>4.3010752688172005E-2</v>
      </c>
      <c r="BZ72" s="64">
        <v>1.4516129032258065</v>
      </c>
      <c r="CA72" s="59">
        <v>1.2886597938144331</v>
      </c>
      <c r="CB72" s="59">
        <v>2.4293749999999998</v>
      </c>
      <c r="CC72" s="59">
        <v>1.7753125000000001</v>
      </c>
      <c r="CD72" s="60">
        <v>163</v>
      </c>
      <c r="CE72" s="60">
        <v>122</v>
      </c>
      <c r="CF72" s="61">
        <v>3.3958333333333335</v>
      </c>
      <c r="CG72" s="61">
        <v>2.5416666666666665</v>
      </c>
      <c r="CH72" s="61">
        <v>0.74846625766871155</v>
      </c>
      <c r="CI72" s="41"/>
      <c r="CJ72" s="40"/>
      <c r="CK72" s="3"/>
      <c r="CL72" s="62"/>
      <c r="CM72" s="63" t="s">
        <v>110</v>
      </c>
      <c r="CN72" s="3">
        <v>135</v>
      </c>
      <c r="CO72" s="3">
        <v>97</v>
      </c>
      <c r="CP72" s="41">
        <v>15.155555555555555</v>
      </c>
      <c r="CQ72" s="3" t="s">
        <v>110</v>
      </c>
      <c r="CR72" s="40">
        <v>130</v>
      </c>
      <c r="CS72" s="40">
        <v>95</v>
      </c>
      <c r="CT72" s="40">
        <v>219.5</v>
      </c>
      <c r="CU72" s="40"/>
      <c r="CV72" s="40"/>
      <c r="CW72" s="40"/>
      <c r="CX72" s="40"/>
      <c r="CY72" s="40">
        <v>0</v>
      </c>
      <c r="CZ72" s="40"/>
      <c r="DA72" s="40"/>
    </row>
    <row r="73" spans="1:105" ht="15.95" customHeight="1">
      <c r="A73" s="3">
        <v>201</v>
      </c>
      <c r="B73" s="38" t="s">
        <v>103</v>
      </c>
      <c r="C73" s="3" t="s">
        <v>115</v>
      </c>
      <c r="D73" s="3" t="s">
        <v>105</v>
      </c>
      <c r="E73" s="39">
        <v>44488</v>
      </c>
      <c r="F73" s="3" t="s">
        <v>106</v>
      </c>
      <c r="G73" s="3" t="s">
        <v>122</v>
      </c>
      <c r="H73" s="40">
        <v>2006</v>
      </c>
      <c r="I73" s="40" t="s">
        <v>116</v>
      </c>
      <c r="J73" s="40" t="s">
        <v>157</v>
      </c>
      <c r="K73" s="3">
        <v>171.6</v>
      </c>
      <c r="L73" s="3">
        <v>171.8</v>
      </c>
      <c r="M73" s="3"/>
      <c r="N73" s="3">
        <v>144.30000000000001</v>
      </c>
      <c r="O73" s="3">
        <v>144.1</v>
      </c>
      <c r="P73" s="3"/>
      <c r="Q73" s="3">
        <v>56.4</v>
      </c>
      <c r="R73" s="3">
        <v>56.4</v>
      </c>
      <c r="S73" s="3"/>
      <c r="T73" s="42">
        <v>171.7</v>
      </c>
      <c r="U73" s="42">
        <f>AVERAGE(paper3[[#This Row],[Sittende høyde 1]:[Sittende høyde 3]])-56.2</f>
        <v>87.999999999999986</v>
      </c>
      <c r="V73" s="12">
        <f>paper3[[#This Row],[height]]-paper3[[#This Row],[sittingheight]]</f>
        <v>83.7</v>
      </c>
      <c r="W73" s="73">
        <v>56.4</v>
      </c>
      <c r="X73" s="43" cm="1">
        <f t="array" ref="X73">INDEX([1]!phvny[yphv], MATCH(1, (paper3[[#This Row],[id]]=[1]!phvny[id])*(paper3[[#This Row],[time]]=[1]!phvny[time]), 0))</f>
        <v>0.90463149086261252</v>
      </c>
      <c r="Y73" s="3">
        <v>1.96</v>
      </c>
      <c r="Z73" s="3">
        <v>3.28</v>
      </c>
      <c r="AA73" s="3">
        <v>4.55</v>
      </c>
      <c r="AB73" s="3">
        <v>1.94</v>
      </c>
      <c r="AC73" s="3">
        <v>3.27</v>
      </c>
      <c r="AD73" s="3">
        <v>4.54</v>
      </c>
      <c r="AE73" s="3">
        <v>2.0099999999999998</v>
      </c>
      <c r="AF73" s="3">
        <v>3.34</v>
      </c>
      <c r="AG73" s="3">
        <v>4.63</v>
      </c>
      <c r="AH73" s="44">
        <v>1.94</v>
      </c>
      <c r="AI73" s="44">
        <v>3.27</v>
      </c>
      <c r="AJ73" s="44">
        <v>4.54</v>
      </c>
      <c r="AK73" s="45">
        <v>7.8740157480314963</v>
      </c>
      <c r="AL73" s="3">
        <v>10.31</v>
      </c>
      <c r="AM73" s="3">
        <v>10.130000000000001</v>
      </c>
      <c r="AN73" s="3">
        <v>10.41</v>
      </c>
      <c r="AO73" s="3">
        <v>10.32</v>
      </c>
      <c r="AP73" s="3">
        <v>10.130000000000001</v>
      </c>
      <c r="AQ73" s="47">
        <v>10.130000000000001</v>
      </c>
      <c r="AR73" s="47">
        <v>10.32</v>
      </c>
      <c r="AS73" s="3">
        <v>30.63</v>
      </c>
      <c r="AT73" s="3">
        <v>33</v>
      </c>
      <c r="AU73" s="3">
        <v>35.340000000000003</v>
      </c>
      <c r="AV73" s="3">
        <v>33.700000000000003</v>
      </c>
      <c r="AW73" s="3"/>
      <c r="AX73" s="48">
        <v>35.340000000000003</v>
      </c>
      <c r="AY73" s="3"/>
      <c r="AZ73" s="3">
        <v>9</v>
      </c>
      <c r="BA73" s="3">
        <v>240</v>
      </c>
      <c r="BB73" s="3">
        <v>12</v>
      </c>
      <c r="BC73" s="3">
        <v>306</v>
      </c>
      <c r="BD73" s="40">
        <v>1272.6537057394817</v>
      </c>
      <c r="BE73" s="40">
        <v>1214.3437475402675</v>
      </c>
      <c r="BF73" s="40"/>
      <c r="BG73" s="40">
        <v>569.90707544031545</v>
      </c>
      <c r="BH73" s="40">
        <v>510.96212609711904</v>
      </c>
      <c r="BI73" s="49">
        <v>2486.9974532797492</v>
      </c>
      <c r="BJ73" s="49">
        <v>1080.8692015374345</v>
      </c>
      <c r="BK73" s="66">
        <v>4.8017670710887916E-2</v>
      </c>
      <c r="BL73" s="66">
        <v>0.11536070157182787</v>
      </c>
      <c r="BM73" s="51">
        <v>44.095699526236686</v>
      </c>
      <c r="BN73" s="51">
        <v>19.164347544989973</v>
      </c>
      <c r="BO73" s="52">
        <v>332</v>
      </c>
      <c r="BP73" s="40">
        <v>310</v>
      </c>
      <c r="BQ73" s="40">
        <v>332</v>
      </c>
      <c r="BR73" s="67">
        <v>-6.6265060240963902E-2</v>
      </c>
      <c r="BS73" s="54">
        <v>5.6914893617021276</v>
      </c>
      <c r="BT73" s="3">
        <v>162</v>
      </c>
      <c r="BU73" s="40">
        <v>168</v>
      </c>
      <c r="BV73" s="3">
        <v>121</v>
      </c>
      <c r="BW73" s="3">
        <v>110</v>
      </c>
      <c r="BX73" s="70">
        <v>-3.5714285714285698E-2</v>
      </c>
      <c r="BY73" s="70">
        <v>0.10000000000000009</v>
      </c>
      <c r="BZ73" s="64">
        <v>1.5272727272727273</v>
      </c>
      <c r="CA73" s="59">
        <v>1.3388429752066116</v>
      </c>
      <c r="CB73" s="59">
        <v>2.4486702127659576</v>
      </c>
      <c r="CC73" s="59">
        <v>1.7140691489361704</v>
      </c>
      <c r="CD73" s="60">
        <v>137</v>
      </c>
      <c r="CE73" s="60">
        <v>143</v>
      </c>
      <c r="CF73" s="61">
        <v>2.4290780141843973</v>
      </c>
      <c r="CG73" s="61">
        <v>2.5354609929078014</v>
      </c>
      <c r="CH73" s="61">
        <v>1.0437956204379562</v>
      </c>
      <c r="CI73" s="41">
        <v>16.2</v>
      </c>
      <c r="CJ73" s="40">
        <f>VLOOKUP(paper3[[#This Row],[YYIR nivå]],$DB:$DC,2)</f>
        <v>1160</v>
      </c>
      <c r="CK73" s="3"/>
      <c r="CL73" s="62"/>
      <c r="CM73" s="63" t="s">
        <v>110</v>
      </c>
      <c r="CN73" s="3">
        <v>168</v>
      </c>
      <c r="CO73" s="3">
        <v>121</v>
      </c>
      <c r="CP73" s="41">
        <v>14.911111111111111</v>
      </c>
      <c r="CQ73" s="3" t="s">
        <v>110</v>
      </c>
      <c r="CR73" s="40">
        <v>165</v>
      </c>
      <c r="CS73" s="40">
        <v>115.5</v>
      </c>
      <c r="CT73" s="40">
        <v>321</v>
      </c>
      <c r="CU73" s="40"/>
      <c r="CV73" s="40"/>
      <c r="CW73" s="40"/>
      <c r="CX73" s="40"/>
      <c r="CY73" s="40">
        <v>0</v>
      </c>
      <c r="CZ73" s="40"/>
      <c r="DA73" s="40"/>
    </row>
    <row r="74" spans="1:105" ht="15.95" customHeight="1">
      <c r="A74" s="3">
        <v>203</v>
      </c>
      <c r="B74" s="38" t="s">
        <v>103</v>
      </c>
      <c r="C74" s="3" t="s">
        <v>115</v>
      </c>
      <c r="D74" s="3" t="s">
        <v>105</v>
      </c>
      <c r="E74" s="39">
        <v>44488</v>
      </c>
      <c r="F74" s="3" t="s">
        <v>106</v>
      </c>
      <c r="G74" s="3" t="s">
        <v>122</v>
      </c>
      <c r="H74" s="40">
        <v>2006</v>
      </c>
      <c r="I74" s="40" t="s">
        <v>116</v>
      </c>
      <c r="J74" s="40" t="s">
        <v>157</v>
      </c>
      <c r="K74" s="3">
        <v>181.4</v>
      </c>
      <c r="L74" s="3">
        <v>181.3</v>
      </c>
      <c r="M74" s="3"/>
      <c r="N74" s="3">
        <v>146.30000000000001</v>
      </c>
      <c r="O74" s="3">
        <v>146.19999999999999</v>
      </c>
      <c r="P74" s="3"/>
      <c r="Q74" s="3">
        <v>58.7</v>
      </c>
      <c r="R74" s="3">
        <v>58.7</v>
      </c>
      <c r="S74" s="3"/>
      <c r="T74" s="42">
        <v>181.35000000000002</v>
      </c>
      <c r="U74" s="42">
        <f>AVERAGE(paper3[[#This Row],[Sittende høyde 1]:[Sittende høyde 3]])-56.2</f>
        <v>90.05</v>
      </c>
      <c r="V74" s="12">
        <f>paper3[[#This Row],[height]]-paper3[[#This Row],[sittingheight]]</f>
        <v>91.300000000000026</v>
      </c>
      <c r="W74" s="73">
        <v>58.7</v>
      </c>
      <c r="X74" s="43" cm="1">
        <f t="array" ref="X74">INDEX([1]!phvny[yphv], MATCH(1, (paper3[[#This Row],[id]]=[1]!phvny[id])*(paper3[[#This Row],[time]]=[1]!phvny[time]), 0))</f>
        <v>1.3567395073377457</v>
      </c>
      <c r="Y74" s="3">
        <v>2.0299999999999998</v>
      </c>
      <c r="Z74" s="3">
        <v>3.45</v>
      </c>
      <c r="AA74" s="3">
        <v>4.8</v>
      </c>
      <c r="AB74" s="3">
        <v>2.04</v>
      </c>
      <c r="AC74" s="57">
        <v>3.45</v>
      </c>
      <c r="AD74" s="57">
        <v>4.8</v>
      </c>
      <c r="AE74" s="57">
        <v>2.0299999999999998</v>
      </c>
      <c r="AF74" s="57">
        <v>3.47</v>
      </c>
      <c r="AG74" s="3">
        <v>4.8600000000000003</v>
      </c>
      <c r="AH74" s="44">
        <v>2.0299999999999998</v>
      </c>
      <c r="AI74" s="44">
        <v>3.45</v>
      </c>
      <c r="AJ74" s="44">
        <v>4.8</v>
      </c>
      <c r="AK74" s="45">
        <v>7.4074074074074092</v>
      </c>
      <c r="AL74" s="3">
        <v>10.31</v>
      </c>
      <c r="AM74" s="3">
        <v>10.220000000000001</v>
      </c>
      <c r="AN74" s="3"/>
      <c r="AO74" s="3">
        <v>10.19</v>
      </c>
      <c r="AP74" s="3">
        <v>10.19</v>
      </c>
      <c r="AQ74" s="47">
        <v>10.220000000000001</v>
      </c>
      <c r="AR74" s="47">
        <v>10.19</v>
      </c>
      <c r="AS74" s="3">
        <v>27.13</v>
      </c>
      <c r="AT74" s="3">
        <v>28.72</v>
      </c>
      <c r="AU74" s="3">
        <v>27.49</v>
      </c>
      <c r="AV74" s="3"/>
      <c r="AW74" s="3"/>
      <c r="AX74" s="48">
        <v>28.72</v>
      </c>
      <c r="AY74" s="3"/>
      <c r="AZ74" s="3">
        <v>10</v>
      </c>
      <c r="BA74" s="3">
        <v>260</v>
      </c>
      <c r="BB74" s="3">
        <v>8</v>
      </c>
      <c r="BC74" s="3">
        <v>235</v>
      </c>
      <c r="BD74" s="40">
        <v>1025.2508458015623</v>
      </c>
      <c r="BE74" s="40">
        <v>983.70401491420535</v>
      </c>
      <c r="BF74" s="40"/>
      <c r="BG74" s="40">
        <v>390.84218981765594</v>
      </c>
      <c r="BH74" s="40">
        <v>389.6990874832606</v>
      </c>
      <c r="BI74" s="49">
        <v>2008.9548607157676</v>
      </c>
      <c r="BJ74" s="49">
        <v>780.54127730091659</v>
      </c>
      <c r="BK74" s="66">
        <v>4.2235093338498286E-2</v>
      </c>
      <c r="BL74" s="66">
        <v>2.9332948706082274E-3</v>
      </c>
      <c r="BM74" s="51">
        <v>34.224103248990929</v>
      </c>
      <c r="BN74" s="51">
        <v>13.297125678039464</v>
      </c>
      <c r="BO74" s="52">
        <v>324</v>
      </c>
      <c r="BP74" s="40">
        <v>324</v>
      </c>
      <c r="BQ74" s="40">
        <v>315</v>
      </c>
      <c r="BR74" s="67">
        <v>2.857142857142847E-2</v>
      </c>
      <c r="BS74" s="54">
        <v>5.4429301533219761</v>
      </c>
      <c r="BT74" s="3">
        <v>159</v>
      </c>
      <c r="BU74" s="40">
        <v>156</v>
      </c>
      <c r="BV74" s="3">
        <v>126</v>
      </c>
      <c r="BW74" s="3">
        <v>139</v>
      </c>
      <c r="BX74" s="70">
        <v>1.9230769230769162E-2</v>
      </c>
      <c r="BY74" s="70">
        <v>-9.3525179856115082E-2</v>
      </c>
      <c r="BZ74" s="64">
        <v>1.1223021582733812</v>
      </c>
      <c r="CA74" s="59">
        <v>1.2619047619047619</v>
      </c>
      <c r="CB74" s="59">
        <v>2.4497018739352647</v>
      </c>
      <c r="CC74" s="59">
        <v>2.0608603066439528</v>
      </c>
      <c r="CD74" s="60">
        <v>134</v>
      </c>
      <c r="CE74" s="60">
        <v>130</v>
      </c>
      <c r="CF74" s="61">
        <v>2.282793867120954</v>
      </c>
      <c r="CG74" s="61">
        <v>2.2146507666098807</v>
      </c>
      <c r="CH74" s="61">
        <v>0.97014925373134331</v>
      </c>
      <c r="CI74" s="41"/>
      <c r="CJ74" s="40"/>
      <c r="CK74" s="3"/>
      <c r="CL74" s="62"/>
      <c r="CM74" s="63" t="s">
        <v>110</v>
      </c>
      <c r="CN74" s="3">
        <v>159</v>
      </c>
      <c r="CO74" s="3">
        <v>139</v>
      </c>
      <c r="CP74" s="41">
        <v>15.311111111111112</v>
      </c>
      <c r="CQ74" s="3" t="s">
        <v>110</v>
      </c>
      <c r="CR74" s="40">
        <v>157.5</v>
      </c>
      <c r="CS74" s="40">
        <v>132.5</v>
      </c>
      <c r="CT74" s="40">
        <v>319.5</v>
      </c>
      <c r="CU74" s="40"/>
      <c r="CV74" s="40"/>
      <c r="CW74" s="40"/>
      <c r="CX74" s="40"/>
      <c r="CY74" s="40">
        <v>0</v>
      </c>
      <c r="CZ74" s="40"/>
      <c r="DA74" s="40"/>
    </row>
    <row r="75" spans="1:105" ht="15.95" customHeight="1">
      <c r="A75" s="75">
        <v>205</v>
      </c>
      <c r="B75" s="38" t="s">
        <v>103</v>
      </c>
      <c r="C75" s="3" t="s">
        <v>115</v>
      </c>
      <c r="D75" s="3" t="s">
        <v>105</v>
      </c>
      <c r="E75" s="39">
        <v>44490</v>
      </c>
      <c r="F75" s="3" t="s">
        <v>106</v>
      </c>
      <c r="G75" s="3" t="s">
        <v>122</v>
      </c>
      <c r="H75" s="40">
        <v>2006</v>
      </c>
      <c r="I75" s="40" t="s">
        <v>116</v>
      </c>
      <c r="J75" s="40" t="s">
        <v>157</v>
      </c>
      <c r="K75" s="3">
        <v>169.5</v>
      </c>
      <c r="L75" s="3">
        <v>169.5</v>
      </c>
      <c r="M75" s="3"/>
      <c r="N75" s="3">
        <v>145.6</v>
      </c>
      <c r="O75" s="3">
        <v>146</v>
      </c>
      <c r="P75" s="3">
        <v>146</v>
      </c>
      <c r="Q75" s="3">
        <v>76.8</v>
      </c>
      <c r="R75" s="3">
        <v>76.8</v>
      </c>
      <c r="S75" s="3"/>
      <c r="T75" s="42">
        <v>169.5</v>
      </c>
      <c r="U75" s="42">
        <f>AVERAGE(paper3[[#This Row],[Sittende høyde 1]:[Sittende høyde 3]])-56.2</f>
        <v>89.666666666666671</v>
      </c>
      <c r="V75" s="12">
        <f>paper3[[#This Row],[height]]-paper3[[#This Row],[sittingheight]]</f>
        <v>79.833333333333329</v>
      </c>
      <c r="W75" s="73">
        <v>76.8</v>
      </c>
      <c r="X75" s="43" cm="1">
        <f t="array" ref="X75">INDEX([1]!phvny[yphv], MATCH(1, (paper3[[#This Row],[id]]=[1]!phvny[id])*(paper3[[#This Row],[time]]=[1]!phvny[time]), 0))</f>
        <v>1.6379205335627667</v>
      </c>
      <c r="Y75" s="3">
        <v>1.87</v>
      </c>
      <c r="Z75" s="3">
        <v>3.22</v>
      </c>
      <c r="AA75" s="3">
        <v>4.5199999999999996</v>
      </c>
      <c r="AB75" s="3">
        <v>1.95</v>
      </c>
      <c r="AC75" s="57">
        <v>3.3</v>
      </c>
      <c r="AD75" s="57">
        <v>4.5999999999999996</v>
      </c>
      <c r="AE75" s="57">
        <v>1.97</v>
      </c>
      <c r="AF75" s="57">
        <v>3.3</v>
      </c>
      <c r="AG75" s="3">
        <v>4.62</v>
      </c>
      <c r="AH75" s="44">
        <v>1.87</v>
      </c>
      <c r="AI75" s="44">
        <v>3.22</v>
      </c>
      <c r="AJ75" s="44">
        <v>4.5199999999999996</v>
      </c>
      <c r="AK75" s="45">
        <v>7.6923076923076961</v>
      </c>
      <c r="AL75" s="87"/>
      <c r="AM75" s="3">
        <v>10.41</v>
      </c>
      <c r="AN75" s="3">
        <v>10.08</v>
      </c>
      <c r="AO75" s="3"/>
      <c r="AP75" s="3">
        <v>10.08</v>
      </c>
      <c r="AQ75" s="47">
        <v>10.41</v>
      </c>
      <c r="AR75" s="47">
        <v>10.08</v>
      </c>
      <c r="AS75" s="3"/>
      <c r="AT75" s="3"/>
      <c r="AU75" s="3"/>
      <c r="AV75" s="3"/>
      <c r="AW75" s="3"/>
      <c r="AX75" s="48"/>
      <c r="AY75" s="3"/>
      <c r="AZ75" s="3"/>
      <c r="BA75" s="3"/>
      <c r="BB75" s="3"/>
      <c r="BC75" s="3"/>
      <c r="BD75" s="40"/>
      <c r="BE75" s="40"/>
      <c r="BF75" s="40"/>
      <c r="BG75" s="40"/>
      <c r="BH75" s="40"/>
      <c r="BI75" s="49"/>
      <c r="BJ75" s="49"/>
      <c r="BK75" s="66"/>
      <c r="BL75" s="66"/>
      <c r="BM75" s="51"/>
      <c r="BN75" s="51"/>
      <c r="BO75" s="52"/>
      <c r="BP75" s="40"/>
      <c r="BQ75" s="40"/>
      <c r="BR75" s="67"/>
      <c r="BS75" s="54" t="s">
        <v>110</v>
      </c>
      <c r="BT75" s="3"/>
      <c r="BU75" s="40"/>
      <c r="BV75" s="3"/>
      <c r="BW75" s="3"/>
      <c r="BX75" s="70"/>
      <c r="BY75" s="70"/>
      <c r="BZ75" s="64"/>
      <c r="CA75" s="59"/>
      <c r="CB75" s="59" t="s">
        <v>110</v>
      </c>
      <c r="CC75" s="59" t="s">
        <v>110</v>
      </c>
      <c r="CD75" s="60"/>
      <c r="CE75" s="60"/>
      <c r="CF75" s="61"/>
      <c r="CG75" s="61"/>
      <c r="CH75" s="61"/>
      <c r="CI75" s="41"/>
      <c r="CJ75" s="40"/>
      <c r="CK75" s="3"/>
      <c r="CL75" s="62"/>
      <c r="CM75" s="63" t="s">
        <v>110</v>
      </c>
      <c r="CN75" s="3"/>
      <c r="CO75" s="3"/>
      <c r="CP75" s="41">
        <v>15.355555555555556</v>
      </c>
      <c r="CQ75" s="3" t="s">
        <v>110</v>
      </c>
      <c r="CR75" s="40" t="s">
        <v>110</v>
      </c>
      <c r="CS75" s="82" t="s">
        <v>110</v>
      </c>
      <c r="CT75" s="40" t="s">
        <v>110</v>
      </c>
      <c r="CU75" s="40"/>
      <c r="CV75" s="40"/>
      <c r="CW75" s="40"/>
      <c r="CX75" s="40"/>
      <c r="CY75" s="40">
        <v>0</v>
      </c>
      <c r="CZ75" s="40"/>
      <c r="DA75" s="40"/>
    </row>
    <row r="76" spans="1:105" ht="15.75" customHeight="1">
      <c r="A76" s="3">
        <v>206</v>
      </c>
      <c r="B76" s="38" t="s">
        <v>103</v>
      </c>
      <c r="C76" s="3" t="s">
        <v>115</v>
      </c>
      <c r="D76" s="3" t="s">
        <v>105</v>
      </c>
      <c r="E76" s="39">
        <v>44490</v>
      </c>
      <c r="F76" s="3" t="s">
        <v>106</v>
      </c>
      <c r="G76" s="3" t="s">
        <v>122</v>
      </c>
      <c r="H76" s="40">
        <v>2006</v>
      </c>
      <c r="I76" s="40" t="s">
        <v>116</v>
      </c>
      <c r="J76" s="40" t="s">
        <v>157</v>
      </c>
      <c r="K76" s="3">
        <v>182.5</v>
      </c>
      <c r="L76" s="3">
        <v>182.5</v>
      </c>
      <c r="M76" s="3"/>
      <c r="N76" s="3">
        <v>152.4</v>
      </c>
      <c r="O76" s="3">
        <v>152.4</v>
      </c>
      <c r="P76" s="3"/>
      <c r="Q76" s="3">
        <v>70.400000000000006</v>
      </c>
      <c r="R76" s="3">
        <v>70.400000000000006</v>
      </c>
      <c r="S76" s="3"/>
      <c r="T76" s="42">
        <v>182.5</v>
      </c>
      <c r="U76" s="42">
        <f>AVERAGE(paper3[[#This Row],[Sittende høyde 1]:[Sittende høyde 3]])-56.2</f>
        <v>96.2</v>
      </c>
      <c r="V76" s="12">
        <f>paper3[[#This Row],[height]]-paper3[[#This Row],[sittingheight]]</f>
        <v>86.3</v>
      </c>
      <c r="W76" s="73">
        <v>70.400000000000006</v>
      </c>
      <c r="X76" s="88"/>
      <c r="Y76" s="3">
        <v>1.89</v>
      </c>
      <c r="Z76" s="3">
        <v>3.22</v>
      </c>
      <c r="AA76" s="3">
        <v>4.54</v>
      </c>
      <c r="AB76" s="3">
        <v>1.91</v>
      </c>
      <c r="AC76" s="3">
        <v>3.26</v>
      </c>
      <c r="AD76" s="3">
        <v>4.5599999999999996</v>
      </c>
      <c r="AE76" s="3">
        <v>1.97</v>
      </c>
      <c r="AF76" s="3">
        <v>3.3</v>
      </c>
      <c r="AG76" s="3">
        <v>4.62</v>
      </c>
      <c r="AH76" s="44">
        <v>1.89</v>
      </c>
      <c r="AI76" s="44">
        <v>3.22</v>
      </c>
      <c r="AJ76" s="44">
        <v>4.54</v>
      </c>
      <c r="AK76" s="45">
        <v>7.575757575757577</v>
      </c>
      <c r="AL76" s="3">
        <v>9.85</v>
      </c>
      <c r="AM76" s="3">
        <v>9.89</v>
      </c>
      <c r="AN76" s="3">
        <v>9.64</v>
      </c>
      <c r="AO76" s="3">
        <v>9.66</v>
      </c>
      <c r="AP76" s="3">
        <v>9.64</v>
      </c>
      <c r="AQ76" s="47">
        <v>9.85</v>
      </c>
      <c r="AR76" s="47">
        <v>9.64</v>
      </c>
      <c r="AS76" s="3">
        <v>32.67</v>
      </c>
      <c r="AT76" s="3">
        <v>35.9</v>
      </c>
      <c r="AU76" s="3">
        <v>34.72</v>
      </c>
      <c r="AV76" s="3"/>
      <c r="AW76" s="3"/>
      <c r="AX76" s="48">
        <v>35.9</v>
      </c>
      <c r="AY76" s="3"/>
      <c r="AZ76" s="3">
        <v>9</v>
      </c>
      <c r="BA76" s="3">
        <v>260</v>
      </c>
      <c r="BB76" s="3">
        <v>10</v>
      </c>
      <c r="BC76" s="3">
        <v>284</v>
      </c>
      <c r="BD76" s="40">
        <v>1294.4114206081258</v>
      </c>
      <c r="BE76" s="40">
        <v>1304.6964518185005</v>
      </c>
      <c r="BF76" s="40"/>
      <c r="BG76" s="40">
        <v>543.14842543662041</v>
      </c>
      <c r="BH76" s="40">
        <v>542.45684041164986</v>
      </c>
      <c r="BI76" s="49">
        <v>2599.1078724266263</v>
      </c>
      <c r="BJ76" s="49">
        <v>1085.6052658482704</v>
      </c>
      <c r="BK76" s="66">
        <v>-7.883083606182284E-3</v>
      </c>
      <c r="BL76" s="66">
        <v>1.2749125339552858E-3</v>
      </c>
      <c r="BM76" s="51">
        <v>36.919145915150935</v>
      </c>
      <c r="BN76" s="51">
        <v>15.420529344435657</v>
      </c>
      <c r="BO76" s="52">
        <v>314</v>
      </c>
      <c r="BP76" s="40">
        <v>263</v>
      </c>
      <c r="BQ76" s="40">
        <v>314</v>
      </c>
      <c r="BR76" s="67">
        <v>-0.16242038216560506</v>
      </c>
      <c r="BS76" s="54">
        <v>4.0980113636363633</v>
      </c>
      <c r="BT76" s="3">
        <v>137</v>
      </c>
      <c r="BU76" s="40">
        <v>150</v>
      </c>
      <c r="BV76" s="3">
        <v>158</v>
      </c>
      <c r="BW76" s="3">
        <v>170</v>
      </c>
      <c r="BX76" s="70">
        <v>-8.666666666666667E-2</v>
      </c>
      <c r="BY76" s="70">
        <v>-7.0588235294117618E-2</v>
      </c>
      <c r="BZ76" s="64">
        <v>0.88235294117647056</v>
      </c>
      <c r="CA76" s="59">
        <v>0.86708860759493667</v>
      </c>
      <c r="CB76" s="59">
        <v>1.7590980113636361</v>
      </c>
      <c r="CC76" s="59">
        <v>2.0103977272727271</v>
      </c>
      <c r="CD76" s="60">
        <v>147</v>
      </c>
      <c r="CE76" s="60">
        <v>138</v>
      </c>
      <c r="CF76" s="61">
        <v>2.0880681818181817</v>
      </c>
      <c r="CG76" s="61">
        <v>1.9602272727272725</v>
      </c>
      <c r="CH76" s="61">
        <v>0.93877551020408156</v>
      </c>
      <c r="CI76" s="41"/>
      <c r="CJ76" s="40"/>
      <c r="CK76" s="3"/>
      <c r="CL76" s="62"/>
      <c r="CM76" s="63" t="s">
        <v>110</v>
      </c>
      <c r="CN76" s="3">
        <v>150</v>
      </c>
      <c r="CO76" s="3">
        <v>170</v>
      </c>
      <c r="CP76" s="41"/>
      <c r="CQ76" s="3" t="s">
        <v>110</v>
      </c>
      <c r="CR76" s="40">
        <v>143.5</v>
      </c>
      <c r="CS76" s="82">
        <v>164</v>
      </c>
      <c r="CT76" s="40">
        <v>288.5</v>
      </c>
      <c r="CU76" s="40"/>
      <c r="CV76" s="40"/>
      <c r="CW76" s="40"/>
      <c r="CX76" s="40"/>
      <c r="CY76" s="40">
        <v>0</v>
      </c>
      <c r="CZ76" s="40"/>
      <c r="DA76" s="40"/>
    </row>
    <row r="77" spans="1:105" ht="15.95" customHeight="1">
      <c r="A77" s="3">
        <v>208</v>
      </c>
      <c r="B77" s="38" t="s">
        <v>103</v>
      </c>
      <c r="C77" s="3" t="s">
        <v>158</v>
      </c>
      <c r="D77" s="3" t="s">
        <v>105</v>
      </c>
      <c r="E77" s="39">
        <v>44490</v>
      </c>
      <c r="F77" s="3" t="s">
        <v>106</v>
      </c>
      <c r="G77" s="3" t="s">
        <v>122</v>
      </c>
      <c r="H77" s="40">
        <v>2006</v>
      </c>
      <c r="I77" s="40" t="s">
        <v>116</v>
      </c>
      <c r="J77" s="40" t="s">
        <v>157</v>
      </c>
      <c r="K77" s="3">
        <v>185.5</v>
      </c>
      <c r="L77" s="3">
        <v>185.6</v>
      </c>
      <c r="M77" s="3"/>
      <c r="N77" s="3">
        <v>149.4</v>
      </c>
      <c r="O77" s="3">
        <v>149.4</v>
      </c>
      <c r="P77" s="3"/>
      <c r="Q77" s="3">
        <v>56.4</v>
      </c>
      <c r="R77" s="3">
        <v>56.4</v>
      </c>
      <c r="S77" s="3"/>
      <c r="T77" s="42">
        <v>185.55</v>
      </c>
      <c r="U77" s="42">
        <f>AVERAGE(paper3[[#This Row],[Sittende høyde 1]:[Sittende høyde 3]])-56.2</f>
        <v>93.2</v>
      </c>
      <c r="V77" s="12">
        <f>paper3[[#This Row],[height]]-paper3[[#This Row],[sittingheight]]</f>
        <v>92.350000000000009</v>
      </c>
      <c r="W77" s="73">
        <v>56.4</v>
      </c>
      <c r="X77" s="88"/>
      <c r="Y77" s="3">
        <v>2.04</v>
      </c>
      <c r="Z77" s="3">
        <v>3.42</v>
      </c>
      <c r="AA77" s="3">
        <v>4.76</v>
      </c>
      <c r="AB77" s="3">
        <v>2.0499999999999998</v>
      </c>
      <c r="AC77" s="3">
        <v>3.41</v>
      </c>
      <c r="AD77" s="3">
        <v>4.79</v>
      </c>
      <c r="AE77" s="3">
        <v>2.04</v>
      </c>
      <c r="AF77" s="3">
        <v>3.4</v>
      </c>
      <c r="AG77" s="3">
        <v>4.79</v>
      </c>
      <c r="AH77" s="44">
        <v>2.04</v>
      </c>
      <c r="AI77" s="44">
        <v>3.4</v>
      </c>
      <c r="AJ77" s="44">
        <v>4.76</v>
      </c>
      <c r="AK77" s="45">
        <v>7.3529411764705888</v>
      </c>
      <c r="AL77" s="3">
        <v>10.32</v>
      </c>
      <c r="AM77" s="46"/>
      <c r="AN77" s="57">
        <v>10.83</v>
      </c>
      <c r="AO77" s="57">
        <v>10.130000000000001</v>
      </c>
      <c r="AP77" s="57">
        <v>10.130000000000001</v>
      </c>
      <c r="AQ77" s="47">
        <v>10.32</v>
      </c>
      <c r="AR77" s="47">
        <v>10.130000000000001</v>
      </c>
      <c r="AS77" s="3">
        <v>33.979999999999997</v>
      </c>
      <c r="AT77" s="3">
        <v>31.86</v>
      </c>
      <c r="AU77" s="3">
        <v>33.770000000000003</v>
      </c>
      <c r="AV77" s="3"/>
      <c r="AW77" s="3"/>
      <c r="AX77" s="48">
        <v>33.979999999999997</v>
      </c>
      <c r="AY77" s="3"/>
      <c r="AZ77" s="3">
        <v>11</v>
      </c>
      <c r="BA77" s="3">
        <v>260</v>
      </c>
      <c r="BB77" s="3">
        <v>9</v>
      </c>
      <c r="BC77" s="3">
        <v>259</v>
      </c>
      <c r="BD77" s="40">
        <v>991.27604207584454</v>
      </c>
      <c r="BE77" s="82">
        <v>1004.5223606170691</v>
      </c>
      <c r="BF77" s="40"/>
      <c r="BG77" s="40">
        <v>401.18555120084528</v>
      </c>
      <c r="BH77" s="40">
        <v>413.44817002851795</v>
      </c>
      <c r="BI77" s="49">
        <v>1995.7984026929137</v>
      </c>
      <c r="BJ77" s="49">
        <v>814.63372122936323</v>
      </c>
      <c r="BK77" s="66">
        <v>-1.3186683602630311E-2</v>
      </c>
      <c r="BL77" s="66">
        <v>-2.9659385907614078E-2</v>
      </c>
      <c r="BM77" s="51">
        <v>35.386496501647407</v>
      </c>
      <c r="BN77" s="51">
        <v>14.443860305485163</v>
      </c>
      <c r="BO77" s="52">
        <v>284</v>
      </c>
      <c r="BP77" s="40">
        <v>265</v>
      </c>
      <c r="BQ77" s="40">
        <v>284</v>
      </c>
      <c r="BR77" s="67">
        <v>-6.6901408450704247E-2</v>
      </c>
      <c r="BS77" s="54">
        <v>4.8670212765957448</v>
      </c>
      <c r="BT77" s="3">
        <v>192</v>
      </c>
      <c r="BU77" s="40">
        <v>159</v>
      </c>
      <c r="BV77" s="3">
        <v>126</v>
      </c>
      <c r="BW77" s="3">
        <v>132</v>
      </c>
      <c r="BX77" s="70">
        <v>0.20754716981132071</v>
      </c>
      <c r="BY77" s="70">
        <v>-4.5454545454545414E-2</v>
      </c>
      <c r="BZ77" s="64">
        <v>1.2045454545454546</v>
      </c>
      <c r="CA77" s="59">
        <v>1.5238095238095237</v>
      </c>
      <c r="CB77" s="59">
        <v>2.8736569148936173</v>
      </c>
      <c r="CC77" s="59">
        <v>2.1122606382978728</v>
      </c>
      <c r="CD77" s="60">
        <v>112</v>
      </c>
      <c r="CE77" s="60">
        <v>95</v>
      </c>
      <c r="CF77" s="61">
        <v>1.9858156028368794</v>
      </c>
      <c r="CG77" s="61">
        <v>1.6843971631205674</v>
      </c>
      <c r="CH77" s="61">
        <v>0.8482142857142857</v>
      </c>
      <c r="CI77" s="41"/>
      <c r="CJ77" s="40"/>
      <c r="CK77" s="3"/>
      <c r="CL77" s="62"/>
      <c r="CM77" s="63" t="s">
        <v>110</v>
      </c>
      <c r="CN77" s="3">
        <v>192</v>
      </c>
      <c r="CO77" s="3">
        <v>132</v>
      </c>
      <c r="CP77" s="41"/>
      <c r="CQ77" s="3" t="s">
        <v>110</v>
      </c>
      <c r="CR77" s="40">
        <v>175.5</v>
      </c>
      <c r="CS77" s="82">
        <v>129</v>
      </c>
      <c r="CT77" s="40">
        <v>274.5</v>
      </c>
      <c r="CU77" s="40"/>
      <c r="CV77" s="40"/>
      <c r="CW77" s="40"/>
      <c r="CX77" s="40"/>
      <c r="CY77" s="40">
        <v>0</v>
      </c>
      <c r="CZ77" s="40"/>
      <c r="DA77" s="40"/>
    </row>
    <row r="78" spans="1:105" ht="15.95" customHeight="1">
      <c r="A78" s="3">
        <v>209</v>
      </c>
      <c r="B78" s="38" t="s">
        <v>103</v>
      </c>
      <c r="C78" s="3" t="s">
        <v>104</v>
      </c>
      <c r="D78" s="3" t="s">
        <v>105</v>
      </c>
      <c r="E78" s="39">
        <v>44490</v>
      </c>
      <c r="F78" s="3" t="s">
        <v>106</v>
      </c>
      <c r="G78" s="3" t="s">
        <v>122</v>
      </c>
      <c r="H78" s="40">
        <v>2006</v>
      </c>
      <c r="I78" s="40" t="s">
        <v>116</v>
      </c>
      <c r="J78" s="40" t="s">
        <v>157</v>
      </c>
      <c r="K78" s="3">
        <v>174.3</v>
      </c>
      <c r="L78" s="3">
        <v>174.5</v>
      </c>
      <c r="M78" s="3"/>
      <c r="N78" s="3">
        <v>146.69999999999999</v>
      </c>
      <c r="O78" s="3">
        <v>146.5</v>
      </c>
      <c r="P78" s="3"/>
      <c r="Q78" s="3">
        <v>51.5</v>
      </c>
      <c r="R78" s="3">
        <v>51.5</v>
      </c>
      <c r="S78" s="3"/>
      <c r="T78" s="42">
        <v>174.4</v>
      </c>
      <c r="U78" s="42">
        <f>AVERAGE(paper3[[#This Row],[Sittende høyde 1]:[Sittende høyde 3]])-56.2</f>
        <v>90.399999999999991</v>
      </c>
      <c r="V78" s="12">
        <f>paper3[[#This Row],[height]]-paper3[[#This Row],[sittingheight]]</f>
        <v>84.000000000000014</v>
      </c>
      <c r="W78" s="73">
        <v>51.5</v>
      </c>
      <c r="X78" s="88"/>
      <c r="Y78" s="3">
        <v>1.92</v>
      </c>
      <c r="Z78" s="3">
        <v>3.16</v>
      </c>
      <c r="AA78" s="3">
        <v>4.43</v>
      </c>
      <c r="AB78" s="3">
        <v>1.8</v>
      </c>
      <c r="AC78" s="57">
        <v>3.11</v>
      </c>
      <c r="AD78" s="57">
        <v>4.3600000000000003</v>
      </c>
      <c r="AE78" s="57">
        <v>1.81</v>
      </c>
      <c r="AF78" s="57">
        <v>3.08</v>
      </c>
      <c r="AG78" s="3">
        <v>4.3899999999999997</v>
      </c>
      <c r="AH78" s="44">
        <v>1.8</v>
      </c>
      <c r="AI78" s="44">
        <v>3.08</v>
      </c>
      <c r="AJ78" s="44">
        <v>4.3600000000000003</v>
      </c>
      <c r="AK78" s="45">
        <v>7.8124999999999982</v>
      </c>
      <c r="AL78" s="3">
        <v>9.77</v>
      </c>
      <c r="AM78" s="3">
        <v>9.56</v>
      </c>
      <c r="AN78" s="3">
        <v>9.9499999999999993</v>
      </c>
      <c r="AO78" s="3">
        <v>9.99</v>
      </c>
      <c r="AP78" s="3">
        <v>9.56</v>
      </c>
      <c r="AQ78" s="47">
        <v>9.56</v>
      </c>
      <c r="AR78" s="47">
        <v>9.9499999999999993</v>
      </c>
      <c r="AS78" s="3">
        <v>29.48</v>
      </c>
      <c r="AT78" s="3">
        <v>30.19</v>
      </c>
      <c r="AU78" s="3">
        <v>29.89</v>
      </c>
      <c r="AV78" s="3"/>
      <c r="AW78" s="3"/>
      <c r="AX78" s="48">
        <v>30.19</v>
      </c>
      <c r="AY78" s="3"/>
      <c r="AZ78" s="3">
        <v>8</v>
      </c>
      <c r="BA78" s="3">
        <v>220</v>
      </c>
      <c r="BB78" s="3">
        <v>10</v>
      </c>
      <c r="BC78" s="3">
        <v>240</v>
      </c>
      <c r="BD78" s="40">
        <v>971.50309155983314</v>
      </c>
      <c r="BE78" s="40">
        <v>923.41662513288679</v>
      </c>
      <c r="BF78" s="40"/>
      <c r="BG78" s="40">
        <v>426.9735613366866</v>
      </c>
      <c r="BH78" s="40">
        <v>402.65908666379278</v>
      </c>
      <c r="BI78" s="49">
        <v>1894.9197166927199</v>
      </c>
      <c r="BJ78" s="49">
        <v>829.63264800047932</v>
      </c>
      <c r="BK78" s="66">
        <v>5.2074507993643993E-2</v>
      </c>
      <c r="BL78" s="66">
        <v>6.0384765868193746E-2</v>
      </c>
      <c r="BM78" s="51">
        <v>36.794557605683885</v>
      </c>
      <c r="BN78" s="51">
        <v>16.109371805834549</v>
      </c>
      <c r="BO78" s="52">
        <v>284</v>
      </c>
      <c r="BP78" s="40">
        <v>251</v>
      </c>
      <c r="BQ78" s="40">
        <v>284</v>
      </c>
      <c r="BR78" s="67">
        <v>-0.11619718309859151</v>
      </c>
      <c r="BS78" s="54">
        <v>5.1941747572815533</v>
      </c>
      <c r="BT78" s="3">
        <v>145</v>
      </c>
      <c r="BU78" s="40">
        <v>159</v>
      </c>
      <c r="BV78" s="3">
        <v>118</v>
      </c>
      <c r="BW78" s="3">
        <v>130</v>
      </c>
      <c r="BX78" s="70">
        <v>-8.8050314465408785E-2</v>
      </c>
      <c r="BY78" s="70">
        <v>-9.2307692307692313E-2</v>
      </c>
      <c r="BZ78" s="64">
        <v>1.2230769230769232</v>
      </c>
      <c r="CA78" s="59">
        <v>1.228813559322034</v>
      </c>
      <c r="CB78" s="59">
        <v>2.4792233009708746</v>
      </c>
      <c r="CC78" s="59">
        <v>2.0225242718446608</v>
      </c>
      <c r="CD78" s="60">
        <v>131</v>
      </c>
      <c r="CE78" s="60">
        <v>106</v>
      </c>
      <c r="CF78" s="61">
        <v>2.5436893203883497</v>
      </c>
      <c r="CG78" s="61">
        <v>2.058252427184466</v>
      </c>
      <c r="CH78" s="61">
        <v>0.80916030534351135</v>
      </c>
      <c r="CI78" s="41"/>
      <c r="CJ78" s="40"/>
      <c r="CK78" s="3"/>
      <c r="CL78" s="62"/>
      <c r="CM78" s="63" t="s">
        <v>110</v>
      </c>
      <c r="CN78" s="3">
        <v>159</v>
      </c>
      <c r="CO78" s="3">
        <v>130</v>
      </c>
      <c r="CP78" s="41"/>
      <c r="CQ78" s="3" t="s">
        <v>110</v>
      </c>
      <c r="CR78" s="40">
        <v>152</v>
      </c>
      <c r="CS78" s="40">
        <v>124</v>
      </c>
      <c r="CT78" s="40">
        <v>267.5</v>
      </c>
      <c r="CU78" s="40"/>
      <c r="CV78" s="40"/>
      <c r="CW78" s="40"/>
      <c r="CX78" s="40"/>
      <c r="CY78" s="40">
        <v>0</v>
      </c>
      <c r="CZ78" s="40"/>
      <c r="DA78" s="40"/>
    </row>
    <row r="79" spans="1:105" ht="15.95" customHeight="1">
      <c r="A79" s="3">
        <v>210</v>
      </c>
      <c r="B79" s="38" t="s">
        <v>103</v>
      </c>
      <c r="C79" s="3" t="s">
        <v>115</v>
      </c>
      <c r="D79" s="3" t="s">
        <v>105</v>
      </c>
      <c r="E79" s="39">
        <v>44490</v>
      </c>
      <c r="F79" s="3" t="s">
        <v>106</v>
      </c>
      <c r="G79" s="3" t="s">
        <v>122</v>
      </c>
      <c r="H79" s="40">
        <v>2006</v>
      </c>
      <c r="I79" s="40" t="s">
        <v>116</v>
      </c>
      <c r="J79" s="40" t="s">
        <v>157</v>
      </c>
      <c r="K79" s="3">
        <v>175.4</v>
      </c>
      <c r="L79" s="3">
        <v>175.3</v>
      </c>
      <c r="M79" s="3"/>
      <c r="N79" s="3">
        <v>144.19999999999999</v>
      </c>
      <c r="O79" s="3">
        <v>143.80000000000001</v>
      </c>
      <c r="P79" s="3">
        <v>143.69999999999999</v>
      </c>
      <c r="Q79" s="3">
        <v>66.8</v>
      </c>
      <c r="R79" s="3">
        <v>66.7</v>
      </c>
      <c r="S79" s="3"/>
      <c r="T79" s="42">
        <v>175.35000000000002</v>
      </c>
      <c r="U79" s="42">
        <f>AVERAGE(paper3[[#This Row],[Sittende høyde 1]:[Sittende høyde 3]])-56.2</f>
        <v>87.7</v>
      </c>
      <c r="V79" s="12">
        <f>paper3[[#This Row],[height]]-paper3[[#This Row],[sittingheight]]</f>
        <v>87.65000000000002</v>
      </c>
      <c r="W79" s="73">
        <v>66.75</v>
      </c>
      <c r="X79" s="43" cm="1">
        <f t="array" ref="X79">INDEX([1]!phvny[yphv], MATCH(1, (paper3[[#This Row],[id]]=[1]!phvny[id])*(paper3[[#This Row],[time]]=[1]!phvny[time]), 0))</f>
        <v>1.3503957679056398</v>
      </c>
      <c r="Y79" s="3">
        <v>2.02</v>
      </c>
      <c r="Z79" s="3">
        <v>3.37</v>
      </c>
      <c r="AA79" s="3">
        <v>4.68</v>
      </c>
      <c r="AB79" s="3">
        <v>1.99</v>
      </c>
      <c r="AC79" s="3">
        <v>3.36</v>
      </c>
      <c r="AD79" s="3">
        <v>4.66</v>
      </c>
      <c r="AE79" s="3">
        <v>2.0099999999999998</v>
      </c>
      <c r="AF79" s="3">
        <v>3.38</v>
      </c>
      <c r="AG79" s="3">
        <v>4.6900000000000004</v>
      </c>
      <c r="AH79" s="44">
        <v>1.99</v>
      </c>
      <c r="AI79" s="44">
        <v>3.36</v>
      </c>
      <c r="AJ79" s="44">
        <v>4.66</v>
      </c>
      <c r="AK79" s="45">
        <v>7.6923076923076907</v>
      </c>
      <c r="AL79" s="3">
        <v>10.35</v>
      </c>
      <c r="AM79" s="3">
        <v>10.199999999999999</v>
      </c>
      <c r="AN79" s="3">
        <v>10.96</v>
      </c>
      <c r="AO79" s="3">
        <v>10.14</v>
      </c>
      <c r="AP79" s="3">
        <v>10.14</v>
      </c>
      <c r="AQ79" s="47">
        <v>10.199999999999999</v>
      </c>
      <c r="AR79" s="47">
        <v>10.14</v>
      </c>
      <c r="AS79" s="3">
        <v>28.27</v>
      </c>
      <c r="AT79" s="3">
        <v>28.53</v>
      </c>
      <c r="AU79" s="3">
        <v>29.05</v>
      </c>
      <c r="AV79" s="3">
        <v>29.89</v>
      </c>
      <c r="AW79" s="3">
        <v>28.91</v>
      </c>
      <c r="AX79" s="48">
        <v>29.89</v>
      </c>
      <c r="AY79" s="3"/>
      <c r="AZ79" s="3">
        <v>9</v>
      </c>
      <c r="BA79" s="3">
        <v>260</v>
      </c>
      <c r="BB79" s="3">
        <v>10</v>
      </c>
      <c r="BC79" s="3">
        <v>284</v>
      </c>
      <c r="BD79" s="40">
        <v>1271.4372217022496</v>
      </c>
      <c r="BE79" s="40">
        <v>1149.7035087887257</v>
      </c>
      <c r="BF79" s="40"/>
      <c r="BG79" s="40">
        <v>587.23161584034415</v>
      </c>
      <c r="BH79" s="40">
        <v>539.67700795528845</v>
      </c>
      <c r="BI79" s="49">
        <v>2421.1407304909753</v>
      </c>
      <c r="BJ79" s="49">
        <v>1126.9086237956326</v>
      </c>
      <c r="BK79" s="66">
        <v>0.10588270104679154</v>
      </c>
      <c r="BL79" s="66">
        <v>8.8116794275207466E-2</v>
      </c>
      <c r="BM79" s="51">
        <v>36.244621713936759</v>
      </c>
      <c r="BN79" s="51">
        <v>16.869889577778931</v>
      </c>
      <c r="BO79" s="52">
        <v>310</v>
      </c>
      <c r="BP79" s="40">
        <v>310</v>
      </c>
      <c r="BQ79" s="40">
        <v>309</v>
      </c>
      <c r="BR79" s="67">
        <v>3.2362459546926292E-3</v>
      </c>
      <c r="BS79" s="54">
        <v>4.6367041198501875</v>
      </c>
      <c r="BT79" s="3">
        <v>140</v>
      </c>
      <c r="BU79" s="40">
        <v>134</v>
      </c>
      <c r="BV79" s="3">
        <v>119</v>
      </c>
      <c r="BW79" s="3">
        <v>129</v>
      </c>
      <c r="BX79" s="70">
        <v>4.4776119402984982E-2</v>
      </c>
      <c r="BY79" s="70">
        <v>-7.7519379844961267E-2</v>
      </c>
      <c r="BZ79" s="64">
        <v>1.0387596899224807</v>
      </c>
      <c r="CA79" s="59">
        <v>1.1764705882352942</v>
      </c>
      <c r="CB79" s="59">
        <v>1.7989588014981277</v>
      </c>
      <c r="CC79" s="59">
        <v>1.6282546816479404</v>
      </c>
      <c r="CD79" s="60">
        <v>129</v>
      </c>
      <c r="CE79" s="60">
        <v>109</v>
      </c>
      <c r="CF79" s="61">
        <v>1.9325842696629214</v>
      </c>
      <c r="CG79" s="61">
        <v>1.6329588014981273</v>
      </c>
      <c r="CH79" s="61">
        <v>0.84496124031007747</v>
      </c>
      <c r="CI79" s="41"/>
      <c r="CJ79" s="40"/>
      <c r="CK79" s="3"/>
      <c r="CL79" s="62"/>
      <c r="CM79" s="63" t="s">
        <v>110</v>
      </c>
      <c r="CN79" s="3">
        <v>140</v>
      </c>
      <c r="CO79" s="3">
        <v>129</v>
      </c>
      <c r="CP79" s="41">
        <v>15.669444444444444</v>
      </c>
      <c r="CQ79" s="3" t="s">
        <v>110</v>
      </c>
      <c r="CR79" s="40">
        <v>137</v>
      </c>
      <c r="CS79" s="40">
        <v>124</v>
      </c>
      <c r="CT79" s="40">
        <v>309.5</v>
      </c>
      <c r="CU79" s="40"/>
      <c r="CV79" s="40"/>
      <c r="CW79" s="40"/>
      <c r="CX79" s="40"/>
      <c r="CY79" s="40" t="s">
        <v>125</v>
      </c>
      <c r="CZ79" s="40"/>
      <c r="DA79" s="40"/>
    </row>
    <row r="80" spans="1:105" ht="15.75" customHeight="1">
      <c r="A80" s="3">
        <v>211</v>
      </c>
      <c r="B80" s="38" t="s">
        <v>103</v>
      </c>
      <c r="C80" s="3" t="s">
        <v>158</v>
      </c>
      <c r="D80" s="3" t="s">
        <v>105</v>
      </c>
      <c r="E80" s="39">
        <v>44490</v>
      </c>
      <c r="F80" s="3" t="s">
        <v>106</v>
      </c>
      <c r="G80" s="3" t="s">
        <v>122</v>
      </c>
      <c r="H80" s="3">
        <v>2006</v>
      </c>
      <c r="I80" s="40" t="s">
        <v>116</v>
      </c>
      <c r="J80" s="40" t="s">
        <v>157</v>
      </c>
      <c r="K80" s="3">
        <v>183.8</v>
      </c>
      <c r="L80" s="3">
        <v>183.8</v>
      </c>
      <c r="M80" s="3"/>
      <c r="N80" s="3">
        <v>149.4</v>
      </c>
      <c r="O80" s="3">
        <v>149.4</v>
      </c>
      <c r="P80" s="3"/>
      <c r="Q80" s="3">
        <v>68.099999999999994</v>
      </c>
      <c r="R80" s="3">
        <v>68.099999999999994</v>
      </c>
      <c r="S80" s="3"/>
      <c r="T80" s="42">
        <v>183.8</v>
      </c>
      <c r="U80" s="42">
        <f>AVERAGE(paper3[[#This Row],[Sittende høyde 1]:[Sittende høyde 3]])-56.2</f>
        <v>93.2</v>
      </c>
      <c r="V80" s="12">
        <f>paper3[[#This Row],[height]]-paper3[[#This Row],[sittingheight]]</f>
        <v>90.600000000000009</v>
      </c>
      <c r="W80" s="73">
        <v>68.099999999999994</v>
      </c>
      <c r="X80" s="43" cm="1">
        <f t="array" ref="X80">INDEX([1]!phvny[yphv], MATCH(1, (paper3[[#This Row],[id]]=[1]!phvny[id])*(paper3[[#This Row],[time]]=[1]!phvny[time]), 0))</f>
        <v>1.8263509209377344</v>
      </c>
      <c r="Y80" s="3">
        <v>1.94</v>
      </c>
      <c r="Z80" s="3">
        <v>3.19</v>
      </c>
      <c r="AA80" s="3">
        <v>4.43</v>
      </c>
      <c r="AB80" s="3">
        <v>1.9</v>
      </c>
      <c r="AC80" s="57">
        <v>3.18</v>
      </c>
      <c r="AD80" s="57">
        <v>4.37</v>
      </c>
      <c r="AE80" s="57">
        <v>1.82</v>
      </c>
      <c r="AF80" s="57">
        <v>3.11</v>
      </c>
      <c r="AG80" s="3">
        <v>4.32</v>
      </c>
      <c r="AH80" s="44">
        <v>1.82</v>
      </c>
      <c r="AI80" s="44">
        <v>3.11</v>
      </c>
      <c r="AJ80" s="44">
        <v>4.32</v>
      </c>
      <c r="AK80" s="45">
        <v>8.2644628099173527</v>
      </c>
      <c r="AL80" s="3">
        <v>9.9499999999999993</v>
      </c>
      <c r="AM80" s="3">
        <v>10.06</v>
      </c>
      <c r="AN80" s="3">
        <v>9.85</v>
      </c>
      <c r="AO80" s="3">
        <v>9.82</v>
      </c>
      <c r="AP80" s="3">
        <v>9.82</v>
      </c>
      <c r="AQ80" s="47">
        <v>9.9499999999999993</v>
      </c>
      <c r="AR80" s="47">
        <v>9.82</v>
      </c>
      <c r="AS80" s="3">
        <v>38.56</v>
      </c>
      <c r="AT80" s="3">
        <v>38.57</v>
      </c>
      <c r="AU80" s="3">
        <v>36.57</v>
      </c>
      <c r="AV80" s="3"/>
      <c r="AW80" s="3"/>
      <c r="AX80" s="48">
        <v>38.57</v>
      </c>
      <c r="AY80" s="3"/>
      <c r="AZ80" s="3">
        <v>11</v>
      </c>
      <c r="BA80" s="3">
        <v>280</v>
      </c>
      <c r="BB80" s="3">
        <v>12</v>
      </c>
      <c r="BC80" s="3">
        <v>358</v>
      </c>
      <c r="BD80" s="40">
        <v>1520.1244504091621</v>
      </c>
      <c r="BE80" s="82">
        <v>1643.6223121290832</v>
      </c>
      <c r="BF80" s="40"/>
      <c r="BG80" s="40">
        <v>530.08164515851649</v>
      </c>
      <c r="BH80" s="40">
        <v>538.86924105799301</v>
      </c>
      <c r="BI80" s="49">
        <v>3163.7467625382451</v>
      </c>
      <c r="BJ80" s="49">
        <v>1068.9508862165094</v>
      </c>
      <c r="BK80" s="66">
        <v>-7.5137615745765052E-2</v>
      </c>
      <c r="BL80" s="66">
        <v>-1.6307473557450214E-2</v>
      </c>
      <c r="BM80" s="51">
        <v>46.457368025524893</v>
      </c>
      <c r="BN80" s="51">
        <v>15.69678247013964</v>
      </c>
      <c r="BO80" s="52">
        <v>325</v>
      </c>
      <c r="BP80" s="40">
        <v>289</v>
      </c>
      <c r="BQ80" s="40">
        <v>325</v>
      </c>
      <c r="BR80" s="67">
        <v>-0.11076923076923073</v>
      </c>
      <c r="BS80" s="54">
        <v>4.5080763582966226</v>
      </c>
      <c r="BT80" s="3">
        <v>165</v>
      </c>
      <c r="BU80" s="40">
        <v>167</v>
      </c>
      <c r="BV80" s="3">
        <v>146</v>
      </c>
      <c r="BW80" s="3">
        <v>145</v>
      </c>
      <c r="BX80" s="70">
        <v>-1.19760479041916E-2</v>
      </c>
      <c r="BY80" s="70">
        <v>6.8965517241379448E-3</v>
      </c>
      <c r="BZ80" s="64">
        <v>1.1517241379310346</v>
      </c>
      <c r="CA80" s="59">
        <v>1.1301369863013699</v>
      </c>
      <c r="CB80" s="59">
        <v>2.208458149779736</v>
      </c>
      <c r="CC80" s="59">
        <v>1.9357268722466963</v>
      </c>
      <c r="CD80" s="60">
        <v>144</v>
      </c>
      <c r="CE80" s="60">
        <v>144</v>
      </c>
      <c r="CF80" s="61">
        <v>2.1145374449339207</v>
      </c>
      <c r="CG80" s="61">
        <v>2.1145374449339207</v>
      </c>
      <c r="CH80" s="61">
        <v>1</v>
      </c>
      <c r="CI80" s="41">
        <v>16.399999999999999</v>
      </c>
      <c r="CJ80" s="40">
        <f>VLOOKUP(paper3[[#This Row],[YYIR nivå]],$DB:$DC,2)</f>
        <v>1240</v>
      </c>
      <c r="CK80" s="3" t="s">
        <v>112</v>
      </c>
      <c r="CL80" s="62"/>
      <c r="CM80" s="63" t="s">
        <v>110</v>
      </c>
      <c r="CN80" s="3">
        <v>167</v>
      </c>
      <c r="CO80" s="3">
        <v>146</v>
      </c>
      <c r="CP80" s="41">
        <v>15.188888888888888</v>
      </c>
      <c r="CQ80" s="3" t="s">
        <v>110</v>
      </c>
      <c r="CR80" s="40">
        <v>166</v>
      </c>
      <c r="CS80" s="40">
        <v>145.5</v>
      </c>
      <c r="CT80" s="40">
        <v>307</v>
      </c>
      <c r="CU80" s="40"/>
      <c r="CV80" s="40"/>
      <c r="CW80" s="40"/>
      <c r="CX80" s="40"/>
      <c r="CY80" s="40">
        <v>0</v>
      </c>
      <c r="CZ80" s="40"/>
      <c r="DA80" s="40"/>
    </row>
    <row r="81" spans="1:105" ht="15.95" customHeight="1">
      <c r="A81" s="3">
        <v>212</v>
      </c>
      <c r="B81" s="38" t="s">
        <v>103</v>
      </c>
      <c r="C81" s="3" t="s">
        <v>115</v>
      </c>
      <c r="D81" s="3" t="s">
        <v>105</v>
      </c>
      <c r="E81" s="39">
        <v>44490</v>
      </c>
      <c r="F81" s="3" t="s">
        <v>106</v>
      </c>
      <c r="G81" s="3" t="s">
        <v>122</v>
      </c>
      <c r="H81" s="40">
        <v>2006</v>
      </c>
      <c r="I81" s="40" t="s">
        <v>116</v>
      </c>
      <c r="J81" s="40" t="s">
        <v>157</v>
      </c>
      <c r="K81" s="3">
        <v>175.8</v>
      </c>
      <c r="L81" s="3">
        <v>176</v>
      </c>
      <c r="M81" s="3"/>
      <c r="N81" s="3">
        <v>146.5</v>
      </c>
      <c r="O81" s="3">
        <v>146.4</v>
      </c>
      <c r="P81" s="3"/>
      <c r="Q81" s="3">
        <v>57.8</v>
      </c>
      <c r="R81" s="3">
        <v>57.8</v>
      </c>
      <c r="S81" s="3"/>
      <c r="T81" s="42">
        <v>175.9</v>
      </c>
      <c r="U81" s="42">
        <f>AVERAGE(paper3[[#This Row],[Sittende høyde 1]:[Sittende høyde 3]])-56.2</f>
        <v>90.249999999999986</v>
      </c>
      <c r="V81" s="12">
        <f>paper3[[#This Row],[height]]-paper3[[#This Row],[sittingheight]]</f>
        <v>85.65000000000002</v>
      </c>
      <c r="W81" s="73">
        <v>57.8</v>
      </c>
      <c r="X81" s="43" cm="1">
        <f t="array" ref="X81">INDEX([1]!phvny[yphv], MATCH(1, (paper3[[#This Row],[id]]=[1]!phvny[id])*(paper3[[#This Row],[time]]=[1]!phvny[time]), 0))</f>
        <v>1.1718548279810159</v>
      </c>
      <c r="Y81" s="3">
        <v>1.93</v>
      </c>
      <c r="Z81" s="3">
        <v>3.27</v>
      </c>
      <c r="AA81" s="3">
        <v>4.58</v>
      </c>
      <c r="AB81" s="3">
        <v>1.93</v>
      </c>
      <c r="AC81" s="3">
        <v>3.29</v>
      </c>
      <c r="AD81" s="3">
        <v>4.62</v>
      </c>
      <c r="AE81" s="3">
        <v>1.97</v>
      </c>
      <c r="AF81" s="3">
        <v>3.34</v>
      </c>
      <c r="AG81" s="3">
        <v>4.67</v>
      </c>
      <c r="AH81" s="44">
        <v>1.93</v>
      </c>
      <c r="AI81" s="44">
        <v>3.27</v>
      </c>
      <c r="AJ81" s="44">
        <v>4.58</v>
      </c>
      <c r="AK81" s="45">
        <v>7.6335877862595414</v>
      </c>
      <c r="AL81" s="3">
        <v>10.08</v>
      </c>
      <c r="AM81" s="3"/>
      <c r="AN81" s="3">
        <v>10.48</v>
      </c>
      <c r="AO81" s="3">
        <v>10.46</v>
      </c>
      <c r="AP81" s="3">
        <v>10.08</v>
      </c>
      <c r="AQ81" s="47">
        <v>10.08</v>
      </c>
      <c r="AR81" s="47">
        <v>10.46</v>
      </c>
      <c r="AS81" s="3">
        <v>35.31</v>
      </c>
      <c r="AT81" s="3">
        <v>34.68</v>
      </c>
      <c r="AU81" s="3">
        <v>34.619999999999997</v>
      </c>
      <c r="AV81" s="3"/>
      <c r="AW81" s="3"/>
      <c r="AX81" s="48">
        <v>35.31</v>
      </c>
      <c r="AY81" s="3"/>
      <c r="AZ81" s="3">
        <v>10</v>
      </c>
      <c r="BA81" s="3">
        <v>260</v>
      </c>
      <c r="BB81" s="3">
        <v>11</v>
      </c>
      <c r="BC81" s="3">
        <v>308</v>
      </c>
      <c r="BD81" s="40"/>
      <c r="BE81" s="40"/>
      <c r="BF81" s="40"/>
      <c r="BG81" s="40">
        <v>456.0565501205495</v>
      </c>
      <c r="BH81" s="40">
        <v>457.01683229284208</v>
      </c>
      <c r="BI81" s="49"/>
      <c r="BJ81" s="49">
        <v>913.07338241339153</v>
      </c>
      <c r="BK81" s="66"/>
      <c r="BL81" s="66">
        <v>-2.1011965083974626E-3</v>
      </c>
      <c r="BM81" s="51"/>
      <c r="BN81" s="51">
        <v>15.797117342792241</v>
      </c>
      <c r="BO81" s="52">
        <v>254</v>
      </c>
      <c r="BP81" s="40">
        <v>234</v>
      </c>
      <c r="BQ81" s="40">
        <v>254</v>
      </c>
      <c r="BR81" s="67">
        <v>-7.8740157480314932E-2</v>
      </c>
      <c r="BS81" s="54">
        <v>4.2214532871972317</v>
      </c>
      <c r="BT81" s="3">
        <v>158</v>
      </c>
      <c r="BU81" s="40">
        <v>135</v>
      </c>
      <c r="BV81" s="3">
        <v>73</v>
      </c>
      <c r="BW81" s="3">
        <v>94</v>
      </c>
      <c r="BX81" s="70">
        <v>0.17037037037037028</v>
      </c>
      <c r="BY81" s="70">
        <v>-0.22340425531914898</v>
      </c>
      <c r="BZ81" s="64">
        <v>1.4361702127659575</v>
      </c>
      <c r="CA81" s="59">
        <v>2.1643835616438358</v>
      </c>
      <c r="CB81" s="59">
        <v>2.1708866782006928</v>
      </c>
      <c r="CC81" s="59">
        <v>1.2373313148788929</v>
      </c>
      <c r="CD81" s="60">
        <v>80</v>
      </c>
      <c r="CE81" s="60">
        <v>67</v>
      </c>
      <c r="CF81" s="61">
        <v>1.3840830449826991</v>
      </c>
      <c r="CG81" s="61">
        <v>1.1591695501730104</v>
      </c>
      <c r="CH81" s="61">
        <v>0.83749999999999991</v>
      </c>
      <c r="CI81" s="41">
        <v>16.100000000000001</v>
      </c>
      <c r="CJ81" s="40">
        <f>VLOOKUP(paper3[[#This Row],[YYIR nivå]],$DB:$DC,2)</f>
        <v>1120</v>
      </c>
      <c r="CK81" s="3" t="s">
        <v>112</v>
      </c>
      <c r="CL81" s="62"/>
      <c r="CM81" s="63" t="s">
        <v>110</v>
      </c>
      <c r="CN81" s="3">
        <v>158</v>
      </c>
      <c r="CO81" s="3">
        <v>94</v>
      </c>
      <c r="CP81" s="41">
        <v>14.861111111111111</v>
      </c>
      <c r="CQ81" s="3" t="s">
        <v>110</v>
      </c>
      <c r="CR81" s="40">
        <v>146.5</v>
      </c>
      <c r="CS81" s="40">
        <v>83.5</v>
      </c>
      <c r="CT81" s="40">
        <v>244</v>
      </c>
      <c r="CU81" s="40"/>
      <c r="CV81" s="40"/>
      <c r="CW81" s="40"/>
      <c r="CX81" s="40"/>
      <c r="CY81" s="40">
        <v>0</v>
      </c>
      <c r="CZ81" s="40"/>
      <c r="DA81" s="40"/>
    </row>
    <row r="82" spans="1:105" ht="15.95" customHeight="1">
      <c r="A82" s="3">
        <v>213</v>
      </c>
      <c r="B82" s="38" t="s">
        <v>103</v>
      </c>
      <c r="C82" s="3" t="s">
        <v>115</v>
      </c>
      <c r="D82" s="3" t="s">
        <v>105</v>
      </c>
      <c r="E82" s="39">
        <v>44490</v>
      </c>
      <c r="F82" s="3" t="s">
        <v>106</v>
      </c>
      <c r="G82" s="3" t="s">
        <v>122</v>
      </c>
      <c r="H82" s="40">
        <v>2006</v>
      </c>
      <c r="I82" s="40" t="s">
        <v>116</v>
      </c>
      <c r="J82" s="40" t="s">
        <v>157</v>
      </c>
      <c r="K82" s="3">
        <v>179.9</v>
      </c>
      <c r="L82" s="3">
        <v>179.9</v>
      </c>
      <c r="M82" s="3"/>
      <c r="N82" s="3">
        <v>144.4</v>
      </c>
      <c r="O82" s="3">
        <v>144.6</v>
      </c>
      <c r="P82" s="3"/>
      <c r="Q82" s="3">
        <v>61</v>
      </c>
      <c r="R82" s="3">
        <v>61</v>
      </c>
      <c r="S82" s="3"/>
      <c r="T82" s="42">
        <v>179.9</v>
      </c>
      <c r="U82" s="42">
        <f>AVERAGE(paper3[[#This Row],[Sittende høyde 1]:[Sittende høyde 3]])-56.2</f>
        <v>88.3</v>
      </c>
      <c r="V82" s="12">
        <f>paper3[[#This Row],[height]]-paper3[[#This Row],[sittingheight]]</f>
        <v>91.600000000000009</v>
      </c>
      <c r="W82" s="73">
        <v>61</v>
      </c>
      <c r="X82" s="43" cm="1">
        <f t="array" ref="X82">INDEX([1]!phvny[yphv], MATCH(1, (paper3[[#This Row],[id]]=[1]!phvny[id])*(paper3[[#This Row],[time]]=[1]!phvny[time]), 0))</f>
        <v>1.3636924657176202</v>
      </c>
      <c r="Y82" s="3">
        <v>2.0099999999999998</v>
      </c>
      <c r="Z82" s="3">
        <v>3.44</v>
      </c>
      <c r="AA82" s="3">
        <v>4.82</v>
      </c>
      <c r="AB82" s="3">
        <v>2.02</v>
      </c>
      <c r="AC82" s="57">
        <v>3.46</v>
      </c>
      <c r="AD82" s="57">
        <v>4.87</v>
      </c>
      <c r="AE82" s="57">
        <v>2</v>
      </c>
      <c r="AF82" s="57">
        <v>3.39</v>
      </c>
      <c r="AG82" s="3">
        <v>4.83</v>
      </c>
      <c r="AH82" s="44">
        <v>2</v>
      </c>
      <c r="AI82" s="44">
        <v>3.39</v>
      </c>
      <c r="AJ82" s="44">
        <v>4.82</v>
      </c>
      <c r="AK82" s="45">
        <v>6.9930069930069925</v>
      </c>
      <c r="AL82" s="3">
        <v>10.47</v>
      </c>
      <c r="AM82" s="3">
        <v>10.02</v>
      </c>
      <c r="AN82" s="3">
        <v>10.48</v>
      </c>
      <c r="AO82" s="3">
        <v>10.199999999999999</v>
      </c>
      <c r="AP82" s="3">
        <v>10.02</v>
      </c>
      <c r="AQ82" s="47">
        <v>10.02</v>
      </c>
      <c r="AR82" s="47">
        <v>10.199999999999999</v>
      </c>
      <c r="AS82" s="3">
        <v>27.99</v>
      </c>
      <c r="AT82" s="3">
        <v>29.15</v>
      </c>
      <c r="AU82" s="3">
        <v>28.2</v>
      </c>
      <c r="AV82" s="3"/>
      <c r="AW82" s="3"/>
      <c r="AX82" s="48">
        <v>29.15</v>
      </c>
      <c r="AY82" s="3"/>
      <c r="AZ82" s="3">
        <v>9</v>
      </c>
      <c r="BA82" s="3">
        <v>260</v>
      </c>
      <c r="BB82" s="3">
        <v>9</v>
      </c>
      <c r="BC82" s="3">
        <v>259</v>
      </c>
      <c r="BD82" s="40">
        <v>1016.8140066568669</v>
      </c>
      <c r="BE82" s="40">
        <v>1022.8347837236487</v>
      </c>
      <c r="BF82" s="40"/>
      <c r="BG82" s="40">
        <v>387.89606619473466</v>
      </c>
      <c r="BH82" s="40">
        <v>372.43796668778089</v>
      </c>
      <c r="BI82" s="49">
        <v>2039.6487903805155</v>
      </c>
      <c r="BJ82" s="49">
        <v>760.33403288251554</v>
      </c>
      <c r="BK82" s="66">
        <v>-5.8863632353829409E-3</v>
      </c>
      <c r="BL82" s="66">
        <v>4.1505165664037946E-2</v>
      </c>
      <c r="BM82" s="51">
        <v>33.436865416074028</v>
      </c>
      <c r="BN82" s="51">
        <v>12.464492342336321</v>
      </c>
      <c r="BO82" s="52">
        <v>295</v>
      </c>
      <c r="BP82" s="40">
        <v>266</v>
      </c>
      <c r="BQ82" s="40">
        <v>295</v>
      </c>
      <c r="BR82" s="67">
        <v>-9.8305084745762716E-2</v>
      </c>
      <c r="BS82" s="54">
        <v>4.5983606557377046</v>
      </c>
      <c r="BT82" s="3">
        <v>144</v>
      </c>
      <c r="BU82" s="40">
        <v>155</v>
      </c>
      <c r="BV82" s="3">
        <v>140</v>
      </c>
      <c r="BW82" s="3">
        <v>144</v>
      </c>
      <c r="BX82" s="70">
        <v>-7.096774193548383E-2</v>
      </c>
      <c r="BY82" s="70">
        <v>-2.777777777777779E-2</v>
      </c>
      <c r="BZ82" s="64">
        <v>1.0763888888888888</v>
      </c>
      <c r="CA82" s="59">
        <v>1.0285714285714285</v>
      </c>
      <c r="CB82" s="59">
        <v>2.2449508196721313</v>
      </c>
      <c r="CC82" s="59">
        <v>2.132327868852459</v>
      </c>
      <c r="CD82" s="60">
        <v>94</v>
      </c>
      <c r="CE82" s="60">
        <v>110</v>
      </c>
      <c r="CF82" s="61">
        <v>1.540983606557377</v>
      </c>
      <c r="CG82" s="61">
        <v>1.8032786885245902</v>
      </c>
      <c r="CH82" s="61">
        <v>1.1702127659574468</v>
      </c>
      <c r="CI82" s="41"/>
      <c r="CJ82" s="40"/>
      <c r="CK82" s="3"/>
      <c r="CL82" s="62"/>
      <c r="CM82" s="63" t="s">
        <v>110</v>
      </c>
      <c r="CN82" s="3">
        <v>155</v>
      </c>
      <c r="CO82" s="3">
        <v>144</v>
      </c>
      <c r="CP82" s="41">
        <v>15.741666666666667</v>
      </c>
      <c r="CQ82" s="3" t="s">
        <v>110</v>
      </c>
      <c r="CR82" s="40">
        <v>149.5</v>
      </c>
      <c r="CS82" s="40">
        <v>142</v>
      </c>
      <c r="CT82" s="40">
        <v>280.5</v>
      </c>
      <c r="CU82" s="40"/>
      <c r="CV82" s="40"/>
      <c r="CW82" s="40"/>
      <c r="CX82" s="40"/>
      <c r="CY82" s="40">
        <v>0</v>
      </c>
      <c r="CZ82" s="40"/>
      <c r="DA82" s="40"/>
    </row>
    <row r="83" spans="1:105" ht="15.75" customHeight="1">
      <c r="A83" s="3">
        <v>214</v>
      </c>
      <c r="B83" s="38" t="s">
        <v>103</v>
      </c>
      <c r="C83" s="3" t="s">
        <v>115</v>
      </c>
      <c r="D83" s="3" t="s">
        <v>105</v>
      </c>
      <c r="E83" s="39">
        <v>44490</v>
      </c>
      <c r="F83" s="3" t="s">
        <v>106</v>
      </c>
      <c r="G83" s="3" t="s">
        <v>122</v>
      </c>
      <c r="H83" s="40">
        <v>2006</v>
      </c>
      <c r="I83" s="40" t="s">
        <v>116</v>
      </c>
      <c r="J83" s="40" t="s">
        <v>157</v>
      </c>
      <c r="K83" s="3">
        <v>180</v>
      </c>
      <c r="L83" s="3">
        <v>180.1</v>
      </c>
      <c r="M83" s="3"/>
      <c r="N83" s="3">
        <v>146.4</v>
      </c>
      <c r="O83" s="3">
        <v>146.30000000000001</v>
      </c>
      <c r="P83" s="3"/>
      <c r="Q83" s="3">
        <v>63.6</v>
      </c>
      <c r="R83" s="3">
        <v>63.7</v>
      </c>
      <c r="S83" s="3"/>
      <c r="T83" s="42">
        <v>180.05</v>
      </c>
      <c r="U83" s="42">
        <f>AVERAGE(paper3[[#This Row],[Sittende høyde 1]:[Sittende høyde 3]])-56.2</f>
        <v>90.15000000000002</v>
      </c>
      <c r="V83" s="12">
        <f>paper3[[#This Row],[height]]-paper3[[#This Row],[sittingheight]]</f>
        <v>89.899999999999991</v>
      </c>
      <c r="W83" s="73">
        <v>63.650000000000006</v>
      </c>
      <c r="X83" s="43" cm="1">
        <f t="array" ref="X83">INDEX([1]!phvny[yphv], MATCH(1, (paper3[[#This Row],[id]]=[1]!phvny[id])*(paper3[[#This Row],[time]]=[1]!phvny[time]), 0))</f>
        <v>1.3719049072786751</v>
      </c>
      <c r="Y83" s="3">
        <v>1.88</v>
      </c>
      <c r="Z83" s="3">
        <v>3.18</v>
      </c>
      <c r="AA83" s="3">
        <v>4.42</v>
      </c>
      <c r="AB83" s="3">
        <v>1.9</v>
      </c>
      <c r="AC83" s="3">
        <v>3.17</v>
      </c>
      <c r="AD83" s="3">
        <v>4.4400000000000004</v>
      </c>
      <c r="AE83" s="3">
        <v>1.89</v>
      </c>
      <c r="AF83" s="3">
        <v>3.15</v>
      </c>
      <c r="AG83" s="3">
        <v>4.43</v>
      </c>
      <c r="AH83" s="44">
        <v>1.88</v>
      </c>
      <c r="AI83" s="44">
        <v>3.15</v>
      </c>
      <c r="AJ83" s="44">
        <v>4.42</v>
      </c>
      <c r="AK83" s="45">
        <v>7.8740157480314963</v>
      </c>
      <c r="AL83" s="3">
        <v>9.9700000000000006</v>
      </c>
      <c r="AM83" s="3">
        <v>9.9700000000000006</v>
      </c>
      <c r="AN83" s="3">
        <v>10.039999999999999</v>
      </c>
      <c r="AO83" s="3">
        <v>9.98</v>
      </c>
      <c r="AP83" s="3">
        <v>9.9700000000000006</v>
      </c>
      <c r="AQ83" s="47">
        <v>9.9700000000000006</v>
      </c>
      <c r="AR83" s="47">
        <v>9.98</v>
      </c>
      <c r="AS83" s="3">
        <v>33.79</v>
      </c>
      <c r="AT83" s="3">
        <v>34.869999999999997</v>
      </c>
      <c r="AU83" s="3">
        <v>34.39</v>
      </c>
      <c r="AV83" s="3"/>
      <c r="AW83" s="3"/>
      <c r="AX83" s="48">
        <v>34.869999999999997</v>
      </c>
      <c r="AY83" s="3"/>
      <c r="AZ83" s="3"/>
      <c r="BA83" s="3"/>
      <c r="BB83" s="3"/>
      <c r="BC83" s="3"/>
      <c r="BD83" s="40"/>
      <c r="BE83" s="40"/>
      <c r="BF83" s="40"/>
      <c r="BG83" s="40"/>
      <c r="BH83" s="40"/>
      <c r="BI83" s="49"/>
      <c r="BJ83" s="49"/>
      <c r="BK83" s="66"/>
      <c r="BL83" s="66"/>
      <c r="BM83" s="51"/>
      <c r="BN83" s="51"/>
      <c r="BO83" s="52">
        <v>347</v>
      </c>
      <c r="BP83" s="40">
        <v>324</v>
      </c>
      <c r="BQ83" s="40">
        <v>347</v>
      </c>
      <c r="BR83" s="67">
        <v>-6.6282420749279591E-2</v>
      </c>
      <c r="BS83" s="54">
        <v>5.2710133542812247</v>
      </c>
      <c r="BT83" s="3">
        <v>193</v>
      </c>
      <c r="BU83" s="40">
        <v>194</v>
      </c>
      <c r="BV83" s="3">
        <v>137</v>
      </c>
      <c r="BW83" s="3">
        <v>136</v>
      </c>
      <c r="BX83" s="70">
        <v>-5.1546391752577136E-3</v>
      </c>
      <c r="BY83" s="70">
        <v>7.3529411764705621E-3</v>
      </c>
      <c r="BZ83" s="64">
        <v>1.4264705882352942</v>
      </c>
      <c r="CA83" s="59">
        <v>1.4087591240875912</v>
      </c>
      <c r="CB83" s="59">
        <v>2.7330164964650425</v>
      </c>
      <c r="CC83" s="59">
        <v>1.9279418695993711</v>
      </c>
      <c r="CD83" s="60">
        <v>112</v>
      </c>
      <c r="CE83" s="60">
        <v>103</v>
      </c>
      <c r="CF83" s="61">
        <v>1.7596229379418695</v>
      </c>
      <c r="CG83" s="61">
        <v>1.6182246661429691</v>
      </c>
      <c r="CH83" s="61">
        <v>0.9196428571428571</v>
      </c>
      <c r="CI83" s="41">
        <v>16.100000000000001</v>
      </c>
      <c r="CJ83" s="40">
        <f>VLOOKUP(paper3[[#This Row],[YYIR nivå]],$DB:$DC,2)</f>
        <v>1120</v>
      </c>
      <c r="CK83" s="3" t="s">
        <v>112</v>
      </c>
      <c r="CL83" s="62"/>
      <c r="CM83" s="63" t="s">
        <v>110</v>
      </c>
      <c r="CN83" s="3">
        <v>194</v>
      </c>
      <c r="CO83" s="3">
        <v>137</v>
      </c>
      <c r="CP83" s="41">
        <v>15.175000000000001</v>
      </c>
      <c r="CQ83" s="3" t="s">
        <v>110</v>
      </c>
      <c r="CR83" s="40">
        <v>193.5</v>
      </c>
      <c r="CS83" s="40">
        <v>136.5</v>
      </c>
      <c r="CT83" s="40">
        <v>335.5</v>
      </c>
      <c r="CU83" s="40"/>
      <c r="CV83" s="40"/>
      <c r="CW83" s="40"/>
      <c r="CX83" s="40"/>
      <c r="CY83" s="40">
        <v>0</v>
      </c>
      <c r="CZ83" s="40"/>
      <c r="DA83" s="40"/>
    </row>
    <row r="84" spans="1:105" ht="15.95" customHeight="1">
      <c r="A84" s="3">
        <v>215</v>
      </c>
      <c r="B84" s="38" t="s">
        <v>103</v>
      </c>
      <c r="C84" s="3" t="s">
        <v>115</v>
      </c>
      <c r="D84" s="3" t="s">
        <v>105</v>
      </c>
      <c r="E84" s="39">
        <v>44490</v>
      </c>
      <c r="F84" s="3" t="s">
        <v>106</v>
      </c>
      <c r="G84" s="3" t="s">
        <v>122</v>
      </c>
      <c r="H84" s="40">
        <v>2006</v>
      </c>
      <c r="I84" s="40" t="s">
        <v>116</v>
      </c>
      <c r="J84" s="40" t="s">
        <v>157</v>
      </c>
      <c r="K84" s="3">
        <v>168.5</v>
      </c>
      <c r="L84" s="3">
        <v>168.5</v>
      </c>
      <c r="M84" s="3"/>
      <c r="N84" s="3">
        <v>139</v>
      </c>
      <c r="O84" s="3">
        <v>138.9</v>
      </c>
      <c r="P84" s="3"/>
      <c r="Q84" s="3">
        <v>50</v>
      </c>
      <c r="R84" s="3">
        <v>50</v>
      </c>
      <c r="S84" s="3"/>
      <c r="T84" s="42">
        <v>168.5</v>
      </c>
      <c r="U84" s="42">
        <f>AVERAGE(paper3[[#This Row],[Sittende høyde 1]:[Sittende høyde 3]])-56.2</f>
        <v>82.749999999999986</v>
      </c>
      <c r="V84" s="12">
        <f>paper3[[#This Row],[height]]-paper3[[#This Row],[sittingheight]]</f>
        <v>85.750000000000014</v>
      </c>
      <c r="W84" s="73">
        <v>50</v>
      </c>
      <c r="X84" s="43" cm="1">
        <f t="array" ref="X84">INDEX([1]!phvny[yphv], MATCH(1, (paper3[[#This Row],[id]]=[1]!phvny[id])*(paper3[[#This Row],[time]]=[1]!phvny[time]), 0))</f>
        <v>0.28954604436201481</v>
      </c>
      <c r="Y84" s="3">
        <v>2.14</v>
      </c>
      <c r="Z84" s="3">
        <v>3.64</v>
      </c>
      <c r="AA84" s="3">
        <v>5.09</v>
      </c>
      <c r="AB84" s="3">
        <v>2.1800000000000002</v>
      </c>
      <c r="AC84" s="57">
        <v>3.68</v>
      </c>
      <c r="AD84" s="57">
        <v>5.13</v>
      </c>
      <c r="AE84" s="57">
        <v>2.14</v>
      </c>
      <c r="AF84" s="57">
        <v>3.62</v>
      </c>
      <c r="AG84" s="3">
        <v>5.1100000000000003</v>
      </c>
      <c r="AH84" s="44">
        <v>2.14</v>
      </c>
      <c r="AI84" s="44">
        <v>3.62</v>
      </c>
      <c r="AJ84" s="44">
        <v>5.09</v>
      </c>
      <c r="AK84" s="45">
        <v>6.8027210884353755</v>
      </c>
      <c r="AL84" s="3">
        <v>10.67</v>
      </c>
      <c r="AM84" s="3">
        <v>10.95</v>
      </c>
      <c r="AN84" s="3">
        <v>11.09</v>
      </c>
      <c r="AO84" s="3">
        <v>10.94</v>
      </c>
      <c r="AP84" s="3">
        <v>10.67</v>
      </c>
      <c r="AQ84" s="47">
        <v>10.67</v>
      </c>
      <c r="AR84" s="47">
        <v>10.94</v>
      </c>
      <c r="AS84" s="3">
        <v>25.83</v>
      </c>
      <c r="AT84" s="3">
        <v>28.24</v>
      </c>
      <c r="AU84" s="3">
        <v>24.26</v>
      </c>
      <c r="AV84" s="3"/>
      <c r="AW84" s="3"/>
      <c r="AX84" s="48">
        <v>28.24</v>
      </c>
      <c r="AY84" s="3"/>
      <c r="AZ84" s="3">
        <v>9</v>
      </c>
      <c r="BA84" s="3">
        <v>220</v>
      </c>
      <c r="BB84" s="3">
        <v>9</v>
      </c>
      <c r="BC84" s="3">
        <v>219</v>
      </c>
      <c r="BD84" s="40">
        <v>843.35337140893091</v>
      </c>
      <c r="BE84" s="40">
        <v>858.23202643460741</v>
      </c>
      <c r="BF84" s="40"/>
      <c r="BG84" s="40">
        <v>305.43250075057648</v>
      </c>
      <c r="BH84" s="40">
        <v>298.36446555684051</v>
      </c>
      <c r="BI84" s="49">
        <v>1701.5853978435384</v>
      </c>
      <c r="BJ84" s="49">
        <v>603.79696630741705</v>
      </c>
      <c r="BK84" s="66">
        <v>-1.7336401541069968E-2</v>
      </c>
      <c r="BL84" s="66">
        <v>2.3689266014117472E-2</v>
      </c>
      <c r="BM84" s="51">
        <v>34.031707956870768</v>
      </c>
      <c r="BN84" s="51">
        <v>12.07593932614834</v>
      </c>
      <c r="BO84" s="52">
        <v>307</v>
      </c>
      <c r="BP84" s="40">
        <v>275</v>
      </c>
      <c r="BQ84" s="40">
        <v>307</v>
      </c>
      <c r="BR84" s="67">
        <v>-0.10423452768729646</v>
      </c>
      <c r="BS84" s="54">
        <v>5.82</v>
      </c>
      <c r="BT84" s="3">
        <v>109</v>
      </c>
      <c r="BU84" s="40">
        <v>114</v>
      </c>
      <c r="BV84" s="3">
        <v>124</v>
      </c>
      <c r="BW84" s="3">
        <v>114</v>
      </c>
      <c r="BX84" s="70">
        <v>-4.3859649122807043E-2</v>
      </c>
      <c r="BY84" s="70">
        <v>8.7719298245614086E-2</v>
      </c>
      <c r="BZ84" s="64">
        <v>1</v>
      </c>
      <c r="CA84" s="59">
        <v>0.87903225806451613</v>
      </c>
      <c r="CB84" s="59">
        <v>1.9122250000000003</v>
      </c>
      <c r="CC84" s="59">
        <v>2.0408500000000003</v>
      </c>
      <c r="CD84" s="60">
        <v>112</v>
      </c>
      <c r="CE84" s="60">
        <v>83</v>
      </c>
      <c r="CF84" s="61">
        <v>2.2400000000000002</v>
      </c>
      <c r="CG84" s="61">
        <v>1.66</v>
      </c>
      <c r="CH84" s="61">
        <v>0.74107142857142849</v>
      </c>
      <c r="CI84" s="41"/>
      <c r="CJ84" s="40"/>
      <c r="CK84" s="3"/>
      <c r="CL84" s="62"/>
      <c r="CM84" s="63" t="s">
        <v>110</v>
      </c>
      <c r="CN84" s="3">
        <v>114</v>
      </c>
      <c r="CO84" s="3">
        <v>124</v>
      </c>
      <c r="CP84" s="41">
        <v>15.233333333333333</v>
      </c>
      <c r="CQ84" s="3" t="s">
        <v>110</v>
      </c>
      <c r="CR84" s="40">
        <v>111.5</v>
      </c>
      <c r="CS84" s="40">
        <v>119</v>
      </c>
      <c r="CT84" s="40">
        <v>291</v>
      </c>
      <c r="CU84" s="40"/>
      <c r="CV84" s="40"/>
      <c r="CW84" s="40"/>
      <c r="CX84" s="40"/>
      <c r="CY84" s="40">
        <v>0</v>
      </c>
      <c r="CZ84" s="40"/>
      <c r="DA84" s="40"/>
    </row>
    <row r="85" spans="1:105" ht="15.95" customHeight="1">
      <c r="A85" s="3">
        <v>216</v>
      </c>
      <c r="B85" s="38" t="s">
        <v>103</v>
      </c>
      <c r="C85" s="3" t="s">
        <v>115</v>
      </c>
      <c r="D85" s="3" t="s">
        <v>105</v>
      </c>
      <c r="E85" s="39">
        <v>44490</v>
      </c>
      <c r="F85" s="3" t="s">
        <v>106</v>
      </c>
      <c r="G85" s="3" t="s">
        <v>122</v>
      </c>
      <c r="H85" s="40">
        <v>2006</v>
      </c>
      <c r="I85" s="40" t="s">
        <v>116</v>
      </c>
      <c r="J85" s="40" t="s">
        <v>157</v>
      </c>
      <c r="K85" s="3">
        <v>187.6</v>
      </c>
      <c r="L85" s="3">
        <v>187.5</v>
      </c>
      <c r="M85" s="3"/>
      <c r="N85" s="3">
        <v>150.6</v>
      </c>
      <c r="O85" s="3">
        <v>151</v>
      </c>
      <c r="P85" s="3">
        <v>151</v>
      </c>
      <c r="Q85" s="3">
        <v>80</v>
      </c>
      <c r="R85" s="3">
        <v>80</v>
      </c>
      <c r="S85" s="3"/>
      <c r="T85" s="42">
        <v>187.55</v>
      </c>
      <c r="U85" s="42">
        <f>AVERAGE(paper3[[#This Row],[Sittende høyde 1]:[Sittende høyde 3]])-56.2</f>
        <v>94.666666666666671</v>
      </c>
      <c r="V85" s="12">
        <f>paper3[[#This Row],[height]]-paper3[[#This Row],[sittingheight]]</f>
        <v>92.88333333333334</v>
      </c>
      <c r="W85" s="73">
        <v>80</v>
      </c>
      <c r="X85" s="88"/>
      <c r="Y85" s="3">
        <v>1.87</v>
      </c>
      <c r="Z85" s="3">
        <v>3.19</v>
      </c>
      <c r="AA85" s="3">
        <v>4.43</v>
      </c>
      <c r="AB85" s="3">
        <v>1.89</v>
      </c>
      <c r="AC85" s="3">
        <v>3.22</v>
      </c>
      <c r="AD85" s="3">
        <v>4.4800000000000004</v>
      </c>
      <c r="AE85" s="3">
        <v>1.86</v>
      </c>
      <c r="AF85" s="3">
        <v>3.19</v>
      </c>
      <c r="AG85" s="3">
        <v>4.4400000000000004</v>
      </c>
      <c r="AH85" s="44">
        <v>1.86</v>
      </c>
      <c r="AI85" s="44">
        <v>3.19</v>
      </c>
      <c r="AJ85" s="44">
        <v>4.43</v>
      </c>
      <c r="AK85" s="45">
        <v>8.0645161290322598</v>
      </c>
      <c r="AL85" s="3">
        <v>10.29</v>
      </c>
      <c r="AM85" s="3">
        <v>10.34</v>
      </c>
      <c r="AN85" s="3">
        <v>10.43</v>
      </c>
      <c r="AO85" s="3">
        <v>10.18</v>
      </c>
      <c r="AP85" s="3">
        <v>10.18</v>
      </c>
      <c r="AQ85" s="47">
        <v>10.29</v>
      </c>
      <c r="AR85" s="47">
        <v>10.18</v>
      </c>
      <c r="AS85" s="3">
        <v>35.67</v>
      </c>
      <c r="AT85" s="3">
        <v>34.659999999999997</v>
      </c>
      <c r="AU85" s="3">
        <v>32.159999999999997</v>
      </c>
      <c r="AV85" s="3">
        <v>36.19</v>
      </c>
      <c r="AW85" s="3">
        <v>34.49</v>
      </c>
      <c r="AX85" s="48">
        <v>36.19</v>
      </c>
      <c r="AY85" s="3"/>
      <c r="AZ85" s="3">
        <v>10</v>
      </c>
      <c r="BA85" s="3">
        <v>280</v>
      </c>
      <c r="BB85" s="3">
        <v>10</v>
      </c>
      <c r="BC85" s="3">
        <v>306</v>
      </c>
      <c r="BD85" s="40"/>
      <c r="BE85" s="40"/>
      <c r="BF85" s="40"/>
      <c r="BG85" s="40">
        <v>692.25826608726356</v>
      </c>
      <c r="BH85" s="40">
        <v>688.88224603277831</v>
      </c>
      <c r="BI85" s="49"/>
      <c r="BJ85" s="49">
        <v>1381.1405121200419</v>
      </c>
      <c r="BK85" s="66"/>
      <c r="BL85" s="66">
        <v>4.9007215295902018E-3</v>
      </c>
      <c r="BM85" s="51"/>
      <c r="BN85" s="51">
        <v>17.264256401500525</v>
      </c>
      <c r="BO85" s="52">
        <v>270</v>
      </c>
      <c r="BP85" s="40">
        <v>270</v>
      </c>
      <c r="BQ85" s="40">
        <v>267</v>
      </c>
      <c r="BR85" s="67">
        <v>1.1235955056179803E-2</v>
      </c>
      <c r="BS85" s="54">
        <v>3.3562500000000002</v>
      </c>
      <c r="BT85" s="3">
        <v>178</v>
      </c>
      <c r="BU85" s="40">
        <v>170</v>
      </c>
      <c r="BV85" s="3">
        <v>147</v>
      </c>
      <c r="BW85" s="3">
        <v>171</v>
      </c>
      <c r="BX85" s="70">
        <v>4.705882352941182E-2</v>
      </c>
      <c r="BY85" s="70">
        <v>-0.14035087719298245</v>
      </c>
      <c r="BZ85" s="64">
        <v>0.99415204678362568</v>
      </c>
      <c r="CA85" s="59">
        <v>1.2108843537414966</v>
      </c>
      <c r="CB85" s="59">
        <v>2.0202125000000004</v>
      </c>
      <c r="CC85" s="59">
        <v>1.8460562500000002</v>
      </c>
      <c r="CD85" s="60">
        <v>139</v>
      </c>
      <c r="CE85" s="60">
        <v>107</v>
      </c>
      <c r="CF85" s="61">
        <v>1.7375</v>
      </c>
      <c r="CG85" s="61">
        <v>1.3374999999999999</v>
      </c>
      <c r="CH85" s="61">
        <v>0.76978417266187038</v>
      </c>
      <c r="CI85" s="41"/>
      <c r="CJ85" s="40"/>
      <c r="CK85" s="3"/>
      <c r="CL85" s="62"/>
      <c r="CM85" s="63" t="s">
        <v>110</v>
      </c>
      <c r="CN85" s="3">
        <v>178</v>
      </c>
      <c r="CO85" s="3">
        <v>171</v>
      </c>
      <c r="CP85" s="41"/>
      <c r="CQ85" s="3" t="s">
        <v>110</v>
      </c>
      <c r="CR85" s="40">
        <v>174</v>
      </c>
      <c r="CS85" s="40">
        <v>159</v>
      </c>
      <c r="CT85" s="40">
        <v>268.5</v>
      </c>
      <c r="CU85" s="40"/>
      <c r="CV85" s="40"/>
      <c r="CW85" s="40"/>
      <c r="CX85" s="40"/>
      <c r="CY85" s="40">
        <v>0</v>
      </c>
      <c r="CZ85" s="40"/>
      <c r="DA85" s="40"/>
    </row>
    <row r="86" spans="1:105" ht="15.95" customHeight="1">
      <c r="A86" s="3">
        <v>217</v>
      </c>
      <c r="B86" s="38" t="s">
        <v>103</v>
      </c>
      <c r="C86" s="3" t="s">
        <v>115</v>
      </c>
      <c r="D86" s="3" t="s">
        <v>105</v>
      </c>
      <c r="E86" s="39">
        <v>44490</v>
      </c>
      <c r="F86" s="3" t="s">
        <v>106</v>
      </c>
      <c r="G86" s="3" t="s">
        <v>122</v>
      </c>
      <c r="H86" s="40">
        <v>2006</v>
      </c>
      <c r="I86" s="40" t="s">
        <v>116</v>
      </c>
      <c r="J86" s="40" t="s">
        <v>157</v>
      </c>
      <c r="K86" s="3">
        <v>177.4</v>
      </c>
      <c r="L86" s="3">
        <v>177.2</v>
      </c>
      <c r="M86" s="3"/>
      <c r="N86" s="3">
        <v>143</v>
      </c>
      <c r="O86" s="3">
        <v>142.9</v>
      </c>
      <c r="P86" s="3"/>
      <c r="Q86" s="3">
        <v>65.599999999999994</v>
      </c>
      <c r="R86" s="3">
        <v>65.599999999999994</v>
      </c>
      <c r="S86" s="3"/>
      <c r="T86" s="42">
        <v>177.3</v>
      </c>
      <c r="U86" s="42">
        <f>AVERAGE(paper3[[#This Row],[Sittende høyde 1]:[Sittende høyde 3]])-56.2</f>
        <v>86.749999999999986</v>
      </c>
      <c r="V86" s="12">
        <f>paper3[[#This Row],[height]]-paper3[[#This Row],[sittingheight]]</f>
        <v>90.550000000000026</v>
      </c>
      <c r="W86" s="73">
        <v>65.599999999999994</v>
      </c>
      <c r="X86" s="43" cm="1">
        <f t="array" ref="X86">INDEX([1]!phvny[yphv], MATCH(1, (paper3[[#This Row],[id]]=[1]!phvny[id])*(paper3[[#This Row],[time]]=[1]!phvny[time]), 0))</f>
        <v>0.91384750817470195</v>
      </c>
      <c r="Y86" s="3">
        <v>2.0699999999999998</v>
      </c>
      <c r="Z86" s="3">
        <v>3.53</v>
      </c>
      <c r="AA86" s="3">
        <v>4.92</v>
      </c>
      <c r="AB86" s="3">
        <v>2.02</v>
      </c>
      <c r="AC86" s="57">
        <v>3.49</v>
      </c>
      <c r="AD86" s="57">
        <v>4.87</v>
      </c>
      <c r="AE86" s="57">
        <v>2.12</v>
      </c>
      <c r="AF86" s="57">
        <v>3.57</v>
      </c>
      <c r="AG86" s="3">
        <v>4.97</v>
      </c>
      <c r="AH86" s="44">
        <v>2.02</v>
      </c>
      <c r="AI86" s="44">
        <v>3.49</v>
      </c>
      <c r="AJ86" s="44">
        <v>4.87</v>
      </c>
      <c r="AK86" s="45">
        <v>7.2463768115942031</v>
      </c>
      <c r="AL86" s="3">
        <v>10.45</v>
      </c>
      <c r="AM86" s="3">
        <v>10.41</v>
      </c>
      <c r="AN86" s="46"/>
      <c r="AO86" s="3">
        <v>10.62</v>
      </c>
      <c r="AP86" s="3">
        <v>10.41</v>
      </c>
      <c r="AQ86" s="47">
        <v>10.41</v>
      </c>
      <c r="AR86" s="47">
        <v>10.62</v>
      </c>
      <c r="AS86" s="3">
        <v>23.93</v>
      </c>
      <c r="AT86" s="3">
        <v>25.41</v>
      </c>
      <c r="AU86" s="3">
        <v>24.72</v>
      </c>
      <c r="AV86" s="3"/>
      <c r="AW86" s="3"/>
      <c r="AX86" s="48">
        <v>25.41</v>
      </c>
      <c r="AY86" s="3"/>
      <c r="AZ86" s="3">
        <v>10</v>
      </c>
      <c r="BA86" s="3">
        <v>260</v>
      </c>
      <c r="BB86" s="3">
        <v>10</v>
      </c>
      <c r="BC86" s="3">
        <v>284</v>
      </c>
      <c r="BD86" s="40">
        <v>1182.4355991987363</v>
      </c>
      <c r="BE86" s="40">
        <v>1235.171526262028</v>
      </c>
      <c r="BF86" s="40"/>
      <c r="BG86" s="40">
        <v>575.73057767033617</v>
      </c>
      <c r="BH86" s="40">
        <v>547.04334077753902</v>
      </c>
      <c r="BI86" s="49">
        <v>2417.6071254607641</v>
      </c>
      <c r="BJ86" s="49">
        <v>1122.7739184478751</v>
      </c>
      <c r="BK86" s="66">
        <v>-4.2695225676781301E-2</v>
      </c>
      <c r="BL86" s="66">
        <v>5.2440519341708125E-2</v>
      </c>
      <c r="BM86" s="51">
        <v>36.853767156414094</v>
      </c>
      <c r="BN86" s="51">
        <v>17.115456073900535</v>
      </c>
      <c r="BO86" s="52">
        <v>356</v>
      </c>
      <c r="BP86" s="40">
        <v>274</v>
      </c>
      <c r="BQ86" s="40">
        <v>356</v>
      </c>
      <c r="BR86" s="67">
        <v>-0.2303370786516854</v>
      </c>
      <c r="BS86" s="54">
        <v>4.8018292682926838</v>
      </c>
      <c r="BT86" s="3">
        <v>190</v>
      </c>
      <c r="BU86" s="40">
        <v>212</v>
      </c>
      <c r="BV86" s="3">
        <v>139</v>
      </c>
      <c r="BW86" s="3">
        <v>132</v>
      </c>
      <c r="BX86" s="70">
        <v>-0.10377358490566035</v>
      </c>
      <c r="BY86" s="70">
        <v>5.3030303030302983E-2</v>
      </c>
      <c r="BZ86" s="64">
        <v>1.606060606060606</v>
      </c>
      <c r="CA86" s="59">
        <v>1.3669064748201438</v>
      </c>
      <c r="CB86" s="59">
        <v>2.7744740853658549</v>
      </c>
      <c r="CC86" s="59">
        <v>1.8703544207317082</v>
      </c>
      <c r="CD86" s="60">
        <v>112</v>
      </c>
      <c r="CE86" s="60">
        <v>96</v>
      </c>
      <c r="CF86" s="61">
        <v>1.7073170731707319</v>
      </c>
      <c r="CG86" s="61">
        <v>1.4634146341463417</v>
      </c>
      <c r="CH86" s="61">
        <v>0.85714285714285721</v>
      </c>
      <c r="CI86" s="41"/>
      <c r="CJ86" s="40"/>
      <c r="CK86" s="3"/>
      <c r="CL86" s="62"/>
      <c r="CM86" s="63" t="s">
        <v>110</v>
      </c>
      <c r="CN86" s="3">
        <v>212</v>
      </c>
      <c r="CO86" s="3">
        <v>139</v>
      </c>
      <c r="CP86" s="41">
        <v>15.091666666666667</v>
      </c>
      <c r="CQ86" s="3" t="s">
        <v>110</v>
      </c>
      <c r="CR86" s="40">
        <v>201</v>
      </c>
      <c r="CS86" s="40">
        <v>135.5</v>
      </c>
      <c r="CT86" s="40">
        <v>315</v>
      </c>
      <c r="CU86" s="40"/>
      <c r="CV86" s="40"/>
      <c r="CW86" s="40"/>
      <c r="CX86" s="40"/>
      <c r="CY86" s="40">
        <v>0</v>
      </c>
      <c r="CZ86" s="40"/>
      <c r="DA86" s="40"/>
    </row>
    <row r="87" spans="1:105" ht="15.95" customHeight="1">
      <c r="A87" s="3">
        <v>218</v>
      </c>
      <c r="B87" s="38" t="s">
        <v>103</v>
      </c>
      <c r="C87" s="3" t="s">
        <v>115</v>
      </c>
      <c r="D87" s="3" t="s">
        <v>105</v>
      </c>
      <c r="E87" s="39">
        <v>44490</v>
      </c>
      <c r="F87" s="3" t="s">
        <v>106</v>
      </c>
      <c r="G87" s="3" t="s">
        <v>122</v>
      </c>
      <c r="H87" s="40">
        <v>2006</v>
      </c>
      <c r="I87" s="40" t="s">
        <v>116</v>
      </c>
      <c r="J87" s="40" t="s">
        <v>157</v>
      </c>
      <c r="K87" s="3">
        <v>183</v>
      </c>
      <c r="L87" s="3">
        <v>183.2</v>
      </c>
      <c r="M87" s="3"/>
      <c r="N87" s="3">
        <v>146.5</v>
      </c>
      <c r="O87" s="3">
        <v>146.69999999999999</v>
      </c>
      <c r="P87" s="3"/>
      <c r="Q87" s="3">
        <v>74.7</v>
      </c>
      <c r="R87" s="3">
        <v>74.7</v>
      </c>
      <c r="S87" s="3"/>
      <c r="T87" s="42">
        <v>183.1</v>
      </c>
      <c r="U87" s="42">
        <f>AVERAGE(paper3[[#This Row],[Sittende høyde 1]:[Sittende høyde 3]])-56.2</f>
        <v>90.399999999999991</v>
      </c>
      <c r="V87" s="12">
        <f>paper3[[#This Row],[height]]-paper3[[#This Row],[sittingheight]]</f>
        <v>92.7</v>
      </c>
      <c r="W87" s="73">
        <v>74.7</v>
      </c>
      <c r="X87" s="43" cm="1">
        <f t="array" ref="X87">INDEX([1]!phvny[yphv], MATCH(1, (paper3[[#This Row],[id]]=[1]!phvny[id])*(paper3[[#This Row],[time]]=[1]!phvny[time]), 0))</f>
        <v>1.7245741107451</v>
      </c>
      <c r="Y87" s="3">
        <v>2.06</v>
      </c>
      <c r="Z87" s="3">
        <v>3.5</v>
      </c>
      <c r="AA87" s="3">
        <v>4.97</v>
      </c>
      <c r="AB87" s="3">
        <v>2.02</v>
      </c>
      <c r="AC87" s="3">
        <v>3.5</v>
      </c>
      <c r="AD87" s="3">
        <v>4.93</v>
      </c>
      <c r="AE87" s="3">
        <v>2.02</v>
      </c>
      <c r="AF87" s="3">
        <v>3.48</v>
      </c>
      <c r="AG87" s="3">
        <v>5</v>
      </c>
      <c r="AH87" s="44">
        <v>2.02</v>
      </c>
      <c r="AI87" s="44">
        <v>3.48</v>
      </c>
      <c r="AJ87" s="44">
        <v>4.93</v>
      </c>
      <c r="AK87" s="45">
        <v>6.8965517241379324</v>
      </c>
      <c r="AL87" s="3">
        <v>10.49</v>
      </c>
      <c r="AM87" s="3">
        <v>10.36</v>
      </c>
      <c r="AN87" s="3">
        <v>10.77</v>
      </c>
      <c r="AO87" s="3">
        <v>10.72</v>
      </c>
      <c r="AP87" s="3">
        <v>10.36</v>
      </c>
      <c r="AQ87" s="47">
        <v>10.36</v>
      </c>
      <c r="AR87" s="47">
        <v>10.72</v>
      </c>
      <c r="AS87" s="3">
        <v>27.09</v>
      </c>
      <c r="AT87" s="3">
        <v>30.9</v>
      </c>
      <c r="AU87" s="3">
        <v>28.59</v>
      </c>
      <c r="AV87" s="3"/>
      <c r="AW87" s="3"/>
      <c r="AX87" s="48">
        <v>30.9</v>
      </c>
      <c r="AY87" s="3"/>
      <c r="AZ87" s="3">
        <v>10</v>
      </c>
      <c r="BA87" s="3">
        <v>280</v>
      </c>
      <c r="BB87" s="3">
        <v>8</v>
      </c>
      <c r="BC87" s="3">
        <v>253</v>
      </c>
      <c r="BD87" s="40">
        <v>1055.5919258053696</v>
      </c>
      <c r="BE87" s="40">
        <v>978.79619061749088</v>
      </c>
      <c r="BF87" s="40"/>
      <c r="BG87" s="40">
        <v>525.76676075502348</v>
      </c>
      <c r="BH87" s="40">
        <v>438.40787880415411</v>
      </c>
      <c r="BI87" s="49">
        <v>2034.3881164228605</v>
      </c>
      <c r="BJ87" s="49">
        <v>964.17463955917765</v>
      </c>
      <c r="BK87" s="66">
        <v>7.8459372772416325E-2</v>
      </c>
      <c r="BL87" s="66">
        <v>0.19926394158142946</v>
      </c>
      <c r="BM87" s="51">
        <v>27.234111330961987</v>
      </c>
      <c r="BN87" s="51">
        <v>12.90729102488859</v>
      </c>
      <c r="BO87" s="52">
        <v>322</v>
      </c>
      <c r="BP87" s="40">
        <v>292</v>
      </c>
      <c r="BQ87" s="40">
        <v>322</v>
      </c>
      <c r="BR87" s="67">
        <v>-9.3167701863353991E-2</v>
      </c>
      <c r="BS87" s="54">
        <v>4.1097724230254347</v>
      </c>
      <c r="BT87" s="3">
        <v>165</v>
      </c>
      <c r="BU87" s="40">
        <v>157</v>
      </c>
      <c r="BV87" s="3">
        <v>147</v>
      </c>
      <c r="BW87" s="3">
        <v>166</v>
      </c>
      <c r="BX87" s="70">
        <v>5.0955414012738842E-2</v>
      </c>
      <c r="BY87" s="70">
        <v>-0.11445783132530118</v>
      </c>
      <c r="BZ87" s="64">
        <v>0.94578313253012047</v>
      </c>
      <c r="CA87" s="59">
        <v>1.1224489795918366</v>
      </c>
      <c r="CB87" s="59">
        <v>1.9979518072289157</v>
      </c>
      <c r="CC87" s="59">
        <v>1.9421084337349397</v>
      </c>
      <c r="CD87" s="60">
        <v>174</v>
      </c>
      <c r="CE87" s="72">
        <v>192</v>
      </c>
      <c r="CF87" s="61">
        <v>2.3293172690763053</v>
      </c>
      <c r="CG87" s="61">
        <v>2.570281124497992</v>
      </c>
      <c r="CH87" s="61">
        <v>1.103448275862069</v>
      </c>
      <c r="CI87" s="41"/>
      <c r="CJ87" s="40"/>
      <c r="CK87" s="3"/>
      <c r="CL87" s="62"/>
      <c r="CM87" s="63" t="s">
        <v>110</v>
      </c>
      <c r="CN87" s="3">
        <v>165</v>
      </c>
      <c r="CO87" s="3">
        <v>166</v>
      </c>
      <c r="CP87" s="41">
        <v>15.569444444444445</v>
      </c>
      <c r="CQ87" s="3" t="s">
        <v>110</v>
      </c>
      <c r="CR87" s="40">
        <v>161</v>
      </c>
      <c r="CS87" s="40">
        <v>156.5</v>
      </c>
      <c r="CT87" s="40">
        <v>307</v>
      </c>
      <c r="CU87" s="40"/>
      <c r="CV87" s="40"/>
      <c r="CW87" s="40"/>
      <c r="CX87" s="40"/>
      <c r="CY87" s="40">
        <v>0</v>
      </c>
      <c r="CZ87" s="40"/>
      <c r="DA87" s="40"/>
    </row>
    <row r="88" spans="1:105" ht="15.95" customHeight="1">
      <c r="A88" s="3">
        <v>219</v>
      </c>
      <c r="B88" s="38" t="s">
        <v>103</v>
      </c>
      <c r="C88" s="3" t="s">
        <v>115</v>
      </c>
      <c r="D88" s="3" t="s">
        <v>105</v>
      </c>
      <c r="E88" s="39">
        <v>44490</v>
      </c>
      <c r="F88" s="3" t="s">
        <v>106</v>
      </c>
      <c r="G88" s="3" t="s">
        <v>122</v>
      </c>
      <c r="H88" s="40">
        <v>2006</v>
      </c>
      <c r="I88" s="40" t="s">
        <v>116</v>
      </c>
      <c r="J88" s="40" t="s">
        <v>157</v>
      </c>
      <c r="K88" s="3">
        <v>171.1</v>
      </c>
      <c r="L88" s="3">
        <v>171.1</v>
      </c>
      <c r="M88" s="3"/>
      <c r="N88" s="3">
        <v>142.5</v>
      </c>
      <c r="O88" s="3">
        <v>142.5</v>
      </c>
      <c r="P88" s="3"/>
      <c r="Q88" s="3">
        <v>55.8</v>
      </c>
      <c r="R88" s="3">
        <v>55.9</v>
      </c>
      <c r="S88" s="3"/>
      <c r="T88" s="42">
        <v>171.1</v>
      </c>
      <c r="U88" s="42">
        <f>AVERAGE(paper3[[#This Row],[Sittende høyde 1]:[Sittende høyde 3]])-56.2</f>
        <v>86.3</v>
      </c>
      <c r="V88" s="12">
        <f>paper3[[#This Row],[height]]-paper3[[#This Row],[sittingheight]]</f>
        <v>84.8</v>
      </c>
      <c r="W88" s="73">
        <v>55.849999999999994</v>
      </c>
      <c r="X88" s="88"/>
      <c r="Y88" s="3">
        <v>2.04</v>
      </c>
      <c r="Z88" s="3">
        <v>3.46</v>
      </c>
      <c r="AA88" s="3">
        <v>4.83</v>
      </c>
      <c r="AB88" s="3">
        <v>2.0099999999999998</v>
      </c>
      <c r="AC88" s="57">
        <v>3.42</v>
      </c>
      <c r="AD88" s="57">
        <v>4.78</v>
      </c>
      <c r="AE88" s="57">
        <v>2.06</v>
      </c>
      <c r="AF88" s="57">
        <v>3.47</v>
      </c>
      <c r="AG88" s="3">
        <v>4.88</v>
      </c>
      <c r="AH88" s="44">
        <v>2.0099999999999998</v>
      </c>
      <c r="AI88" s="44">
        <v>3.42</v>
      </c>
      <c r="AJ88" s="44">
        <v>4.78</v>
      </c>
      <c r="AK88" s="45">
        <v>7.3529411764705861</v>
      </c>
      <c r="AL88" s="3">
        <v>10.4</v>
      </c>
      <c r="AM88" s="3">
        <v>10.49</v>
      </c>
      <c r="AN88" s="3">
        <v>10.39</v>
      </c>
      <c r="AO88" s="3">
        <v>10.37</v>
      </c>
      <c r="AP88" s="3">
        <v>10.37</v>
      </c>
      <c r="AQ88" s="47">
        <v>10.4</v>
      </c>
      <c r="AR88" s="47">
        <v>10.37</v>
      </c>
      <c r="AS88" s="3">
        <v>26.9</v>
      </c>
      <c r="AT88" s="3">
        <v>30.42</v>
      </c>
      <c r="AU88" s="3">
        <v>29.62</v>
      </c>
      <c r="AV88" s="3"/>
      <c r="AW88" s="3"/>
      <c r="AX88" s="48">
        <v>30.42</v>
      </c>
      <c r="AY88" s="3"/>
      <c r="AZ88" s="3">
        <v>9</v>
      </c>
      <c r="BA88" s="3">
        <v>240</v>
      </c>
      <c r="BB88" s="3">
        <v>11</v>
      </c>
      <c r="BC88" s="3">
        <v>284</v>
      </c>
      <c r="BD88" s="40">
        <v>1060.0217370538132</v>
      </c>
      <c r="BE88" s="40">
        <v>1069.9798026438793</v>
      </c>
      <c r="BF88" s="40"/>
      <c r="BG88" s="40">
        <v>390.07212533892687</v>
      </c>
      <c r="BH88" s="40">
        <v>367.51238781688232</v>
      </c>
      <c r="BI88" s="49">
        <v>2130.0015396976924</v>
      </c>
      <c r="BJ88" s="49">
        <v>757.58451315580919</v>
      </c>
      <c r="BK88" s="66">
        <v>-9.3067790302771014E-3</v>
      </c>
      <c r="BL88" s="66">
        <v>6.1384971690492174E-2</v>
      </c>
      <c r="BM88" s="51">
        <v>38.172070603901297</v>
      </c>
      <c r="BN88" s="51">
        <v>13.576783389889055</v>
      </c>
      <c r="BO88" s="52">
        <v>330</v>
      </c>
      <c r="BP88" s="40">
        <v>273</v>
      </c>
      <c r="BQ88" s="40">
        <v>330</v>
      </c>
      <c r="BR88" s="67">
        <v>-0.17272727272727273</v>
      </c>
      <c r="BS88" s="54">
        <v>5.3983885407341097</v>
      </c>
      <c r="BT88" s="3">
        <v>151</v>
      </c>
      <c r="BU88" s="40">
        <v>174</v>
      </c>
      <c r="BV88" s="3">
        <v>112</v>
      </c>
      <c r="BW88" s="3">
        <v>116</v>
      </c>
      <c r="BX88" s="70">
        <v>-0.13218390804597702</v>
      </c>
      <c r="BY88" s="70">
        <v>-3.4482758620689613E-2</v>
      </c>
      <c r="BZ88" s="64">
        <v>1.5</v>
      </c>
      <c r="CA88" s="59">
        <v>1.3482142857142858</v>
      </c>
      <c r="CB88" s="59">
        <v>2.4673231871083257</v>
      </c>
      <c r="CC88" s="59">
        <v>1.7309221128021488</v>
      </c>
      <c r="CD88" s="60">
        <v>136</v>
      </c>
      <c r="CE88" s="72">
        <v>232</v>
      </c>
      <c r="CF88" s="61">
        <v>2.4350940017905107</v>
      </c>
      <c r="CG88" s="61">
        <v>4.1539838854073414</v>
      </c>
      <c r="CH88" s="61">
        <v>1.7058823529411764</v>
      </c>
      <c r="CI88" s="41"/>
      <c r="CJ88" s="40"/>
      <c r="CK88" s="3"/>
      <c r="CL88" s="62"/>
      <c r="CM88" s="63" t="s">
        <v>110</v>
      </c>
      <c r="CN88" s="3">
        <v>174</v>
      </c>
      <c r="CO88" s="3">
        <v>116</v>
      </c>
      <c r="CP88" s="41"/>
      <c r="CQ88" s="3" t="s">
        <v>110</v>
      </c>
      <c r="CR88" s="40">
        <v>162.5</v>
      </c>
      <c r="CS88" s="40">
        <v>114</v>
      </c>
      <c r="CT88" s="40">
        <v>301.5</v>
      </c>
      <c r="CU88" s="40"/>
      <c r="CV88" s="40"/>
      <c r="CW88" s="40"/>
      <c r="CX88" s="40"/>
      <c r="CY88" s="40">
        <v>0</v>
      </c>
      <c r="CZ88" s="40"/>
      <c r="DA88" s="40"/>
    </row>
    <row r="89" spans="1:105" ht="15.75" customHeight="1">
      <c r="A89" s="3">
        <v>225</v>
      </c>
      <c r="B89" s="38" t="s">
        <v>103</v>
      </c>
      <c r="C89" s="3" t="s">
        <v>115</v>
      </c>
      <c r="D89" s="3" t="s">
        <v>105</v>
      </c>
      <c r="E89" s="39">
        <v>44502</v>
      </c>
      <c r="F89" s="3" t="s">
        <v>106</v>
      </c>
      <c r="G89" s="3" t="s">
        <v>107</v>
      </c>
      <c r="H89" s="40">
        <v>2008</v>
      </c>
      <c r="I89" s="40" t="s">
        <v>108</v>
      </c>
      <c r="J89" s="40" t="s">
        <v>109</v>
      </c>
      <c r="K89" s="3">
        <v>153</v>
      </c>
      <c r="L89" s="3">
        <v>153.19999999999999</v>
      </c>
      <c r="M89" s="3"/>
      <c r="N89" s="3">
        <v>133.5</v>
      </c>
      <c r="O89" s="3">
        <v>133.4</v>
      </c>
      <c r="P89" s="3"/>
      <c r="Q89" s="3">
        <v>37.700000000000003</v>
      </c>
      <c r="R89" s="3">
        <v>37.200000000000003</v>
      </c>
      <c r="S89" s="3"/>
      <c r="T89" s="42">
        <v>153.1</v>
      </c>
      <c r="U89" s="42">
        <f>AVERAGE(paper3[[#This Row],[Sittende høyde 1]:[Sittende høyde 3]])-56.2</f>
        <v>77.249999999999986</v>
      </c>
      <c r="V89" s="12">
        <f>paper3[[#This Row],[height]]-paper3[[#This Row],[sittingheight]]</f>
        <v>75.850000000000009</v>
      </c>
      <c r="W89" s="73">
        <v>37.450000000000003</v>
      </c>
      <c r="X89" s="43" cm="1">
        <f t="array" ref="X89">INDEX([1]!phvny[yphv], MATCH(1, (paper3[[#This Row],[id]]=[1]!phvny[id])*(paper3[[#This Row],[time]]=[1]!phvny[time]), 0))</f>
        <v>0.70540320340236962</v>
      </c>
      <c r="Y89" s="3">
        <v>2.2200000000000002</v>
      </c>
      <c r="Z89" s="3">
        <v>3.83</v>
      </c>
      <c r="AA89" s="3">
        <v>5.42</v>
      </c>
      <c r="AB89" s="3">
        <v>2.2599999999999998</v>
      </c>
      <c r="AC89" s="3">
        <v>3.88</v>
      </c>
      <c r="AD89" s="3">
        <v>5.53</v>
      </c>
      <c r="AE89" s="3">
        <v>2.2400000000000002</v>
      </c>
      <c r="AF89" s="3">
        <v>3.86</v>
      </c>
      <c r="AG89" s="3">
        <v>5.47</v>
      </c>
      <c r="AH89" s="44">
        <v>2.2200000000000002</v>
      </c>
      <c r="AI89" s="44">
        <v>3.83</v>
      </c>
      <c r="AJ89" s="44">
        <v>5.42</v>
      </c>
      <c r="AK89" s="45">
        <v>6.2893081761006293</v>
      </c>
      <c r="AL89" s="3">
        <v>11.56</v>
      </c>
      <c r="AM89" s="3">
        <v>11.7</v>
      </c>
      <c r="AN89" s="3">
        <v>11.85</v>
      </c>
      <c r="AO89" s="3">
        <v>11.76</v>
      </c>
      <c r="AP89" s="3">
        <v>11.56</v>
      </c>
      <c r="AQ89" s="47">
        <v>11.56</v>
      </c>
      <c r="AR89" s="47">
        <v>11.76</v>
      </c>
      <c r="AS89" s="3">
        <v>24.44</v>
      </c>
      <c r="AT89" s="3">
        <v>24.36</v>
      </c>
      <c r="AU89" s="3">
        <v>25.71</v>
      </c>
      <c r="AV89" s="3">
        <v>23.53</v>
      </c>
      <c r="AW89" s="3"/>
      <c r="AX89" s="48">
        <v>25.71</v>
      </c>
      <c r="AY89" s="3"/>
      <c r="AZ89" s="3">
        <v>9</v>
      </c>
      <c r="BA89" s="3">
        <v>170</v>
      </c>
      <c r="BB89" s="3">
        <v>9</v>
      </c>
      <c r="BC89" s="3">
        <v>149</v>
      </c>
      <c r="BD89" s="40">
        <v>528.45889343651993</v>
      </c>
      <c r="BE89" s="40">
        <v>523.39485862921208</v>
      </c>
      <c r="BF89" s="40"/>
      <c r="BG89" s="40">
        <v>193.67925350264076</v>
      </c>
      <c r="BH89" s="40">
        <v>186.06079223766363</v>
      </c>
      <c r="BI89" s="49">
        <v>1051.8537520657319</v>
      </c>
      <c r="BJ89" s="49">
        <v>379.74004574030437</v>
      </c>
      <c r="BK89" s="66">
        <v>9.675362155009859E-3</v>
      </c>
      <c r="BL89" s="66">
        <v>4.0946086348196076E-2</v>
      </c>
      <c r="BM89" s="51">
        <v>27.900630028268747</v>
      </c>
      <c r="BN89" s="51">
        <v>10.07268025836351</v>
      </c>
      <c r="BO89" s="52">
        <v>200</v>
      </c>
      <c r="BP89" s="40">
        <v>200</v>
      </c>
      <c r="BQ89" s="40">
        <v>188</v>
      </c>
      <c r="BR89" s="67">
        <v>6.3829787234042534E-2</v>
      </c>
      <c r="BS89" s="54">
        <v>5.1802403204272363</v>
      </c>
      <c r="BT89" s="3">
        <v>133</v>
      </c>
      <c r="BU89" s="40">
        <v>130</v>
      </c>
      <c r="BV89" s="3">
        <v>84</v>
      </c>
      <c r="BW89" s="3">
        <v>79</v>
      </c>
      <c r="BX89" s="70">
        <v>2.3076923076922995E-2</v>
      </c>
      <c r="BY89" s="70">
        <v>6.3291139240506222E-2</v>
      </c>
      <c r="BZ89" s="59">
        <v>1.6455696202531647</v>
      </c>
      <c r="CA89" s="59">
        <v>1.5833333333333333</v>
      </c>
      <c r="CB89" s="59">
        <v>2.6633578104138853</v>
      </c>
      <c r="CC89" s="59">
        <v>1.6506742323097463</v>
      </c>
      <c r="CD89" s="60">
        <v>60</v>
      </c>
      <c r="CE89" s="60">
        <v>56</v>
      </c>
      <c r="CF89" s="61">
        <v>1.6021361815754338</v>
      </c>
      <c r="CG89" s="61">
        <v>1.4953271028037383</v>
      </c>
      <c r="CH89" s="61">
        <v>0.93333333333333335</v>
      </c>
      <c r="CI89" s="41">
        <v>14.1</v>
      </c>
      <c r="CJ89" s="40">
        <f>VLOOKUP(paper3[[#This Row],[YYIR nivå]],$DB:$DC,2)</f>
        <v>480</v>
      </c>
      <c r="CK89" s="3" t="s">
        <v>112</v>
      </c>
      <c r="CL89" s="62">
        <v>27165</v>
      </c>
      <c r="CM89" s="63">
        <v>27.164999999999999</v>
      </c>
      <c r="CN89" s="3">
        <v>133</v>
      </c>
      <c r="CO89" s="3">
        <v>84</v>
      </c>
      <c r="CP89" s="41">
        <v>13.686111111111112</v>
      </c>
      <c r="CQ89" s="3" t="s">
        <v>165</v>
      </c>
      <c r="CR89" s="40">
        <v>131.5</v>
      </c>
      <c r="CS89" s="40">
        <v>81.5</v>
      </c>
      <c r="CT89" s="40">
        <v>194</v>
      </c>
      <c r="CU89" s="40"/>
      <c r="CV89" s="40"/>
      <c r="CW89" s="40"/>
      <c r="CX89" s="40"/>
      <c r="CY89" s="40">
        <v>0</v>
      </c>
      <c r="CZ89" s="40"/>
      <c r="DA89" s="40"/>
    </row>
    <row r="90" spans="1:105" ht="15.95" customHeight="1">
      <c r="A90" s="3">
        <v>226</v>
      </c>
      <c r="B90" s="38" t="s">
        <v>103</v>
      </c>
      <c r="C90" s="3" t="s">
        <v>115</v>
      </c>
      <c r="D90" s="3" t="s">
        <v>105</v>
      </c>
      <c r="E90" s="39">
        <v>44502</v>
      </c>
      <c r="F90" s="3" t="s">
        <v>106</v>
      </c>
      <c r="G90" s="3" t="s">
        <v>107</v>
      </c>
      <c r="H90" s="40">
        <v>2008</v>
      </c>
      <c r="I90" s="40" t="s">
        <v>108</v>
      </c>
      <c r="J90" s="40" t="s">
        <v>109</v>
      </c>
      <c r="K90" s="3">
        <v>163.4</v>
      </c>
      <c r="L90" s="3">
        <v>163.4</v>
      </c>
      <c r="M90" s="3"/>
      <c r="N90" s="3">
        <v>137.4</v>
      </c>
      <c r="O90" s="3">
        <v>137.30000000000001</v>
      </c>
      <c r="P90" s="3"/>
      <c r="Q90" s="3">
        <v>46.1</v>
      </c>
      <c r="R90" s="3">
        <v>46.1</v>
      </c>
      <c r="S90" s="3"/>
      <c r="T90" s="42">
        <v>163.4</v>
      </c>
      <c r="U90" s="42">
        <f>AVERAGE(paper3[[#This Row],[Sittende høyde 1]:[Sittende høyde 3]])-56.2</f>
        <v>81.15000000000002</v>
      </c>
      <c r="V90" s="12">
        <f>paper3[[#This Row],[height]]-paper3[[#This Row],[sittingheight]]</f>
        <v>82.249999999999986</v>
      </c>
      <c r="W90" s="73">
        <v>46.1</v>
      </c>
      <c r="X90" s="43" cm="1">
        <f t="array" ref="X90">INDEX([1]!phvny[yphv], MATCH(1, (paper3[[#This Row],[id]]=[1]!phvny[id])*(paper3[[#This Row],[time]]=[1]!phvny[time]), 0))</f>
        <v>0.95272899246821052</v>
      </c>
      <c r="Y90" s="3">
        <v>2.19</v>
      </c>
      <c r="Z90" s="3">
        <v>3.77</v>
      </c>
      <c r="AA90" s="3">
        <v>5.29</v>
      </c>
      <c r="AB90" s="3">
        <v>2.2200000000000002</v>
      </c>
      <c r="AC90" s="3">
        <v>3.84</v>
      </c>
      <c r="AD90" s="3">
        <v>5.41</v>
      </c>
      <c r="AE90" s="3">
        <v>2.2599999999999998</v>
      </c>
      <c r="AF90" s="3">
        <v>3.88</v>
      </c>
      <c r="AG90" s="3">
        <v>5.44</v>
      </c>
      <c r="AH90" s="44">
        <v>2.19</v>
      </c>
      <c r="AI90" s="44">
        <v>3.77</v>
      </c>
      <c r="AJ90" s="44">
        <v>5.29</v>
      </c>
      <c r="AK90" s="45">
        <v>6.5789473684210522</v>
      </c>
      <c r="AL90" s="3">
        <v>12.4</v>
      </c>
      <c r="AM90" s="3">
        <v>12.75</v>
      </c>
      <c r="AN90" s="3">
        <v>12.81</v>
      </c>
      <c r="AO90" s="46"/>
      <c r="AP90" s="46">
        <v>12.4</v>
      </c>
      <c r="AQ90" s="47">
        <v>12.4</v>
      </c>
      <c r="AR90" s="47">
        <v>12.81</v>
      </c>
      <c r="AS90" s="3">
        <v>17.149999999999999</v>
      </c>
      <c r="AT90" s="3">
        <v>17.82</v>
      </c>
      <c r="AU90" s="3">
        <v>16.95</v>
      </c>
      <c r="AV90" s="3"/>
      <c r="AW90" s="3"/>
      <c r="AX90" s="48">
        <v>17.82</v>
      </c>
      <c r="AY90" s="3"/>
      <c r="AZ90" s="3">
        <v>7</v>
      </c>
      <c r="BA90" s="3">
        <v>160</v>
      </c>
      <c r="BB90" s="3"/>
      <c r="BC90" s="3"/>
      <c r="BD90" s="40"/>
      <c r="BE90" s="40"/>
      <c r="BF90" s="40"/>
      <c r="BG90" s="40"/>
      <c r="BH90" s="40"/>
      <c r="BI90" s="49"/>
      <c r="BJ90" s="49"/>
      <c r="BK90" s="66"/>
      <c r="BL90" s="66"/>
      <c r="BM90" s="51"/>
      <c r="BN90" s="51"/>
      <c r="BO90" s="52">
        <v>175</v>
      </c>
      <c r="BP90" s="40">
        <v>175</v>
      </c>
      <c r="BQ90" s="40">
        <v>171</v>
      </c>
      <c r="BR90" s="67">
        <v>2.3391812865497075E-2</v>
      </c>
      <c r="BS90" s="54">
        <v>3.7527114967462039</v>
      </c>
      <c r="BT90" s="3">
        <v>99</v>
      </c>
      <c r="BU90" s="40">
        <v>99</v>
      </c>
      <c r="BV90" s="3">
        <v>67</v>
      </c>
      <c r="BW90" s="3">
        <v>75</v>
      </c>
      <c r="BX90" s="70">
        <v>0</v>
      </c>
      <c r="BY90" s="70">
        <v>-0.10666666666666669</v>
      </c>
      <c r="BZ90" s="59">
        <v>1.32</v>
      </c>
      <c r="CA90" s="59">
        <v>1.4776119402985075</v>
      </c>
      <c r="CB90" s="59">
        <v>1.7663232104121473</v>
      </c>
      <c r="CC90" s="59">
        <v>1.2667570498915399</v>
      </c>
      <c r="CD90" s="60">
        <v>72</v>
      </c>
      <c r="CE90" s="60">
        <v>53</v>
      </c>
      <c r="CF90" s="61">
        <v>1.561822125813449</v>
      </c>
      <c r="CG90" s="61">
        <v>1.1496746203904555</v>
      </c>
      <c r="CH90" s="61">
        <v>0.73611111111111116</v>
      </c>
      <c r="CI90" s="41">
        <v>13.2</v>
      </c>
      <c r="CJ90" s="40">
        <f>VLOOKUP(paper3[[#This Row],[YYIR nivå]],$DB:$DC,2)</f>
        <v>360</v>
      </c>
      <c r="CK90" s="3"/>
      <c r="CL90" s="62">
        <v>35043</v>
      </c>
      <c r="CM90" s="63">
        <v>35.042999999999999</v>
      </c>
      <c r="CN90" s="3">
        <v>99</v>
      </c>
      <c r="CO90" s="3">
        <v>75</v>
      </c>
      <c r="CP90" s="41">
        <v>12.963888888888889</v>
      </c>
      <c r="CQ90" s="3" t="s">
        <v>166</v>
      </c>
      <c r="CR90" s="40">
        <v>99</v>
      </c>
      <c r="CS90" s="40">
        <v>71</v>
      </c>
      <c r="CT90" s="40">
        <v>173</v>
      </c>
      <c r="CU90" s="40"/>
      <c r="CV90" s="40"/>
      <c r="CW90" s="40"/>
      <c r="CX90" s="40"/>
      <c r="CY90" s="40">
        <v>0</v>
      </c>
      <c r="CZ90" s="40"/>
      <c r="DA90" s="40"/>
    </row>
    <row r="91" spans="1:105" ht="15.95" customHeight="1">
      <c r="A91" s="3">
        <v>227</v>
      </c>
      <c r="B91" s="38" t="s">
        <v>103</v>
      </c>
      <c r="C91" s="3" t="s">
        <v>115</v>
      </c>
      <c r="D91" s="3" t="s">
        <v>105</v>
      </c>
      <c r="E91" s="39">
        <v>44502</v>
      </c>
      <c r="F91" s="3" t="s">
        <v>106</v>
      </c>
      <c r="G91" s="3" t="s">
        <v>107</v>
      </c>
      <c r="H91" s="40">
        <v>2008</v>
      </c>
      <c r="I91" s="40" t="s">
        <v>108</v>
      </c>
      <c r="J91" s="40" t="s">
        <v>109</v>
      </c>
      <c r="K91" s="3">
        <v>169.3</v>
      </c>
      <c r="L91" s="3">
        <v>169.5</v>
      </c>
      <c r="M91" s="3"/>
      <c r="N91" s="3">
        <v>141.9</v>
      </c>
      <c r="O91" s="3">
        <v>141.5</v>
      </c>
      <c r="P91" s="3">
        <v>142</v>
      </c>
      <c r="Q91" s="3">
        <v>47.1</v>
      </c>
      <c r="R91" s="3">
        <v>47.1</v>
      </c>
      <c r="S91" s="3"/>
      <c r="T91" s="42">
        <v>169.4</v>
      </c>
      <c r="U91" s="42">
        <f>AVERAGE(paper3[[#This Row],[Sittende høyde 1]:[Sittende høyde 3]])-56.2</f>
        <v>85.59999999999998</v>
      </c>
      <c r="V91" s="12">
        <f>paper3[[#This Row],[height]]-paper3[[#This Row],[sittingheight]]</f>
        <v>83.800000000000026</v>
      </c>
      <c r="W91" s="73">
        <v>47.1</v>
      </c>
      <c r="X91" s="43" cm="1">
        <f t="array" ref="X91">INDEX([1]!phvny[yphv], MATCH(1, (paper3[[#This Row],[id]]=[1]!phvny[id])*(paper3[[#This Row],[time]]=[1]!phvny[time]), 0))</f>
        <v>1.6942219442506874</v>
      </c>
      <c r="Y91" s="3">
        <v>2.15</v>
      </c>
      <c r="Z91" s="3">
        <v>3.65</v>
      </c>
      <c r="AA91" s="3">
        <v>5.12</v>
      </c>
      <c r="AB91" s="3">
        <v>2.15</v>
      </c>
      <c r="AC91" s="3">
        <v>3.64</v>
      </c>
      <c r="AD91" s="3">
        <v>5.0999999999999996</v>
      </c>
      <c r="AE91" s="3">
        <v>2.19</v>
      </c>
      <c r="AF91" s="3">
        <v>3.71</v>
      </c>
      <c r="AG91" s="3">
        <v>5.18</v>
      </c>
      <c r="AH91" s="44">
        <v>2.15</v>
      </c>
      <c r="AI91" s="44">
        <v>3.64</v>
      </c>
      <c r="AJ91" s="45">
        <v>5.0999999999999996</v>
      </c>
      <c r="AK91" s="45">
        <v>6.8493150684931532</v>
      </c>
      <c r="AL91" s="3">
        <v>11.02</v>
      </c>
      <c r="AM91" s="3">
        <v>10.8</v>
      </c>
      <c r="AN91" s="3">
        <v>11.14</v>
      </c>
      <c r="AO91" s="3">
        <v>11.2</v>
      </c>
      <c r="AP91" s="3">
        <v>10.8</v>
      </c>
      <c r="AQ91" s="47">
        <v>10.8</v>
      </c>
      <c r="AR91" s="47">
        <v>11.14</v>
      </c>
      <c r="AS91" s="3">
        <v>25.27</v>
      </c>
      <c r="AT91" s="3">
        <v>27.27</v>
      </c>
      <c r="AU91" s="3">
        <v>28.72</v>
      </c>
      <c r="AV91" s="3">
        <v>26.74</v>
      </c>
      <c r="AW91" s="3"/>
      <c r="AX91" s="48">
        <v>28.72</v>
      </c>
      <c r="AY91" s="3"/>
      <c r="AZ91" s="3">
        <v>7</v>
      </c>
      <c r="BA91" s="3">
        <v>160</v>
      </c>
      <c r="BB91" s="3">
        <v>8</v>
      </c>
      <c r="BC91" s="3">
        <v>154</v>
      </c>
      <c r="BD91" s="40">
        <v>767.00045489729791</v>
      </c>
      <c r="BE91" s="40">
        <v>776.16153342923815</v>
      </c>
      <c r="BF91" s="40"/>
      <c r="BG91" s="40">
        <v>350.04626738371758</v>
      </c>
      <c r="BH91" s="40">
        <v>361.14485504967683</v>
      </c>
      <c r="BI91" s="49">
        <v>1543.1619883265362</v>
      </c>
      <c r="BJ91" s="49">
        <v>711.19112243339441</v>
      </c>
      <c r="BK91" s="66">
        <v>-1.1803056628514885E-2</v>
      </c>
      <c r="BL91" s="66">
        <v>-3.0731678745451352E-2</v>
      </c>
      <c r="BM91" s="51">
        <v>32.763524168291639</v>
      </c>
      <c r="BN91" s="51">
        <v>15.099599202407525</v>
      </c>
      <c r="BO91" s="52">
        <v>203</v>
      </c>
      <c r="BP91" s="40">
        <v>197</v>
      </c>
      <c r="BQ91" s="40">
        <v>203</v>
      </c>
      <c r="BR91" s="67">
        <v>-2.9556650246305383E-2</v>
      </c>
      <c r="BS91" s="54">
        <v>4.2462845010615711</v>
      </c>
      <c r="BT91" s="3">
        <v>111</v>
      </c>
      <c r="BU91" s="40">
        <v>104</v>
      </c>
      <c r="BV91" s="3">
        <v>96</v>
      </c>
      <c r="BW91" s="3">
        <v>96</v>
      </c>
      <c r="BX91" s="70">
        <v>6.7307692307692291E-2</v>
      </c>
      <c r="BY91" s="70">
        <v>0</v>
      </c>
      <c r="BZ91" s="59">
        <v>1.0833333333333333</v>
      </c>
      <c r="CA91" s="59">
        <v>1.15625</v>
      </c>
      <c r="CB91" s="59">
        <v>1.9126326963906588</v>
      </c>
      <c r="CC91" s="59">
        <v>1.7080254777070072</v>
      </c>
      <c r="CD91" s="60">
        <v>101</v>
      </c>
      <c r="CE91" s="60">
        <v>91</v>
      </c>
      <c r="CF91" s="61">
        <v>2.1443736730360934</v>
      </c>
      <c r="CG91" s="61">
        <v>1.9320594479830149</v>
      </c>
      <c r="CH91" s="61">
        <v>0.90099009900990101</v>
      </c>
      <c r="CI91" s="41">
        <v>14.6</v>
      </c>
      <c r="CJ91" s="40">
        <f>VLOOKUP(paper3[[#This Row],[YYIR nivå]],$DB:$DC,2)</f>
        <v>680</v>
      </c>
      <c r="CK91" s="3"/>
      <c r="CL91" s="62">
        <v>33220</v>
      </c>
      <c r="CM91" s="63">
        <v>33.22</v>
      </c>
      <c r="CN91" s="3">
        <v>111</v>
      </c>
      <c r="CO91" s="3">
        <v>96</v>
      </c>
      <c r="CP91" s="41">
        <v>13.558333333333334</v>
      </c>
      <c r="CQ91" s="3" t="s">
        <v>167</v>
      </c>
      <c r="CR91" s="40">
        <v>107.5</v>
      </c>
      <c r="CS91" s="40">
        <v>96</v>
      </c>
      <c r="CT91" s="40">
        <v>200</v>
      </c>
      <c r="CU91" s="40"/>
      <c r="CV91" s="40"/>
      <c r="CW91" s="40"/>
      <c r="CX91" s="40"/>
      <c r="CY91" s="40">
        <v>0</v>
      </c>
      <c r="CZ91" s="40"/>
      <c r="DA91" s="40"/>
    </row>
    <row r="92" spans="1:105" ht="15.95" customHeight="1">
      <c r="A92" s="3">
        <v>229</v>
      </c>
      <c r="B92" s="38" t="s">
        <v>103</v>
      </c>
      <c r="C92" s="3" t="s">
        <v>115</v>
      </c>
      <c r="D92" s="3" t="s">
        <v>105</v>
      </c>
      <c r="E92" s="39">
        <v>44502</v>
      </c>
      <c r="F92" s="3" t="s">
        <v>106</v>
      </c>
      <c r="G92" s="3" t="s">
        <v>107</v>
      </c>
      <c r="H92" s="40">
        <v>2008</v>
      </c>
      <c r="I92" s="40" t="s">
        <v>108</v>
      </c>
      <c r="J92" s="40" t="s">
        <v>109</v>
      </c>
      <c r="K92" s="3">
        <v>147.4</v>
      </c>
      <c r="L92" s="3">
        <v>147</v>
      </c>
      <c r="M92" s="3">
        <v>147.4</v>
      </c>
      <c r="N92" s="3">
        <v>129.19999999999999</v>
      </c>
      <c r="O92" s="3">
        <v>129.19999999999999</v>
      </c>
      <c r="P92" s="3"/>
      <c r="Q92" s="3">
        <v>32.9</v>
      </c>
      <c r="R92" s="3">
        <v>32.9</v>
      </c>
      <c r="S92" s="3"/>
      <c r="T92" s="42">
        <v>147.26666666666665</v>
      </c>
      <c r="U92" s="42">
        <f>AVERAGE(paper3[[#This Row],[Sittende høyde 1]:[Sittende høyde 3]])-56.2</f>
        <v>72.999999999999986</v>
      </c>
      <c r="V92" s="12">
        <f>paper3[[#This Row],[height]]-paper3[[#This Row],[sittingheight]]</f>
        <v>74.266666666666666</v>
      </c>
      <c r="W92" s="73">
        <v>32.9</v>
      </c>
      <c r="X92" s="43" cm="1">
        <f t="array" ref="X92">INDEX([1]!phvny[yphv], MATCH(1, (paper3[[#This Row],[id]]=[1]!phvny[id])*(paper3[[#This Row],[time]]=[1]!phvny[time]), 0))</f>
        <v>0.12909474579984237</v>
      </c>
      <c r="Y92" s="3">
        <v>2.1800000000000002</v>
      </c>
      <c r="Z92" s="3">
        <v>3.74</v>
      </c>
      <c r="AA92" s="3">
        <v>5.24</v>
      </c>
      <c r="AB92" s="3">
        <v>2.2000000000000002</v>
      </c>
      <c r="AC92" s="3">
        <v>3.83</v>
      </c>
      <c r="AD92" s="3">
        <v>5.44</v>
      </c>
      <c r="AE92" s="3">
        <v>2.2200000000000002</v>
      </c>
      <c r="AF92" s="3">
        <v>3.82</v>
      </c>
      <c r="AG92" s="3">
        <v>5.4</v>
      </c>
      <c r="AH92" s="44">
        <v>2.1800000000000002</v>
      </c>
      <c r="AI92" s="44">
        <v>3.74</v>
      </c>
      <c r="AJ92" s="44">
        <v>5.24</v>
      </c>
      <c r="AK92" s="45">
        <v>6.666666666666667</v>
      </c>
      <c r="AL92" s="3">
        <v>11.64</v>
      </c>
      <c r="AM92" s="3">
        <v>11.64</v>
      </c>
      <c r="AN92" s="3">
        <v>11.91</v>
      </c>
      <c r="AO92" s="3">
        <v>11.5</v>
      </c>
      <c r="AP92" s="3">
        <v>11.5</v>
      </c>
      <c r="AQ92" s="47">
        <v>11.64</v>
      </c>
      <c r="AR92" s="47">
        <v>11.5</v>
      </c>
      <c r="AS92" s="3">
        <v>24.63</v>
      </c>
      <c r="AT92" s="3">
        <v>22.38</v>
      </c>
      <c r="AU92" s="3">
        <v>22.89</v>
      </c>
      <c r="AV92" s="3">
        <v>24.2</v>
      </c>
      <c r="AW92" s="3"/>
      <c r="AX92" s="48">
        <v>24.63</v>
      </c>
      <c r="AY92" s="3"/>
      <c r="AZ92" s="3">
        <v>7</v>
      </c>
      <c r="BA92" s="3">
        <v>150</v>
      </c>
      <c r="BB92" s="3">
        <v>5</v>
      </c>
      <c r="BC92" s="3">
        <v>103</v>
      </c>
      <c r="BD92" s="40">
        <v>395.40758447305836</v>
      </c>
      <c r="BE92" s="40">
        <v>397.18130754576248</v>
      </c>
      <c r="BF92" s="40"/>
      <c r="BG92" s="40">
        <v>184.43973091976508</v>
      </c>
      <c r="BH92" s="40">
        <v>179.11550112485895</v>
      </c>
      <c r="BI92" s="49">
        <v>792.58889201882084</v>
      </c>
      <c r="BJ92" s="49">
        <v>363.55523204462406</v>
      </c>
      <c r="BK92" s="66">
        <v>-4.4657768102537299E-3</v>
      </c>
      <c r="BL92" s="66">
        <v>2.9725120168101471E-2</v>
      </c>
      <c r="BM92" s="51">
        <v>24.090847781727078</v>
      </c>
      <c r="BN92" s="51">
        <v>11.050311004395869</v>
      </c>
      <c r="BO92" s="52">
        <v>117</v>
      </c>
      <c r="BP92" s="40">
        <v>113</v>
      </c>
      <c r="BQ92" s="40">
        <v>117</v>
      </c>
      <c r="BR92" s="67">
        <v>-3.4188034188034178E-2</v>
      </c>
      <c r="BS92" s="54">
        <v>3.495440729483283</v>
      </c>
      <c r="BT92" s="3">
        <v>60</v>
      </c>
      <c r="BU92" s="40">
        <v>57</v>
      </c>
      <c r="BV92" s="3">
        <v>49</v>
      </c>
      <c r="BW92" s="3">
        <v>50</v>
      </c>
      <c r="BX92" s="70">
        <v>5.2631578947368363E-2</v>
      </c>
      <c r="BY92" s="70">
        <v>-2.0000000000000018E-2</v>
      </c>
      <c r="BZ92" s="59">
        <v>1.1399999999999999</v>
      </c>
      <c r="CA92" s="59">
        <v>1.2244897959183674</v>
      </c>
      <c r="CB92" s="59">
        <v>1.3205471124620063</v>
      </c>
      <c r="CC92" s="59">
        <v>1.1173860182370821</v>
      </c>
      <c r="CD92" s="60">
        <v>50</v>
      </c>
      <c r="CE92" s="60">
        <v>41</v>
      </c>
      <c r="CF92" s="61">
        <v>1.5197568389057752</v>
      </c>
      <c r="CG92" s="61">
        <v>1.2462006079027357</v>
      </c>
      <c r="CH92" s="61">
        <v>0.82000000000000006</v>
      </c>
      <c r="CI92" s="41">
        <v>13.4</v>
      </c>
      <c r="CJ92" s="40">
        <f>VLOOKUP(paper3[[#This Row],[YYIR nivå]],$DB:$DC,2)</f>
        <v>440</v>
      </c>
      <c r="CK92" s="3"/>
      <c r="CL92" s="62">
        <v>25417</v>
      </c>
      <c r="CM92" s="63">
        <v>25.417000000000002</v>
      </c>
      <c r="CN92" s="3">
        <v>60</v>
      </c>
      <c r="CO92" s="3">
        <v>50</v>
      </c>
      <c r="CP92" s="41">
        <v>13.469444444444445</v>
      </c>
      <c r="CQ92" s="3" t="s">
        <v>168</v>
      </c>
      <c r="CR92" s="40">
        <v>58.5</v>
      </c>
      <c r="CS92" s="40">
        <v>49.5</v>
      </c>
      <c r="CT92" s="40">
        <v>115</v>
      </c>
      <c r="CU92" s="40"/>
      <c r="CV92" s="40"/>
      <c r="CW92" s="40"/>
      <c r="CX92" s="40"/>
      <c r="CY92" s="40">
        <v>0</v>
      </c>
      <c r="CZ92" s="40"/>
      <c r="DA92" s="40"/>
    </row>
    <row r="93" spans="1:105" ht="15.95" customHeight="1">
      <c r="A93" s="3">
        <v>230</v>
      </c>
      <c r="B93" s="38" t="s">
        <v>103</v>
      </c>
      <c r="C93" s="3" t="s">
        <v>115</v>
      </c>
      <c r="D93" s="3" t="s">
        <v>105</v>
      </c>
      <c r="E93" s="39">
        <v>44502</v>
      </c>
      <c r="F93" s="3" t="s">
        <v>106</v>
      </c>
      <c r="G93" s="3" t="s">
        <v>107</v>
      </c>
      <c r="H93" s="40">
        <v>2008</v>
      </c>
      <c r="I93" s="40" t="s">
        <v>108</v>
      </c>
      <c r="J93" s="40" t="s">
        <v>109</v>
      </c>
      <c r="K93" s="3">
        <v>158.19999999999999</v>
      </c>
      <c r="L93" s="3">
        <v>158.30000000000001</v>
      </c>
      <c r="M93" s="3"/>
      <c r="N93" s="3">
        <v>140.69999999999999</v>
      </c>
      <c r="O93" s="3">
        <v>140.5</v>
      </c>
      <c r="P93" s="3"/>
      <c r="Q93" s="3"/>
      <c r="R93" s="3"/>
      <c r="S93" s="3"/>
      <c r="T93" s="42">
        <v>158.25</v>
      </c>
      <c r="U93" s="42">
        <f>AVERAGE(paper3[[#This Row],[Sittende høyde 1]:[Sittende høyde 3]])-56.2</f>
        <v>84.399999999999991</v>
      </c>
      <c r="V93" s="12">
        <f>paper3[[#This Row],[height]]-paper3[[#This Row],[sittingheight]]</f>
        <v>73.850000000000009</v>
      </c>
      <c r="W93" s="73">
        <v>48.5</v>
      </c>
      <c r="X93" s="43" cm="1">
        <f t="array" ref="X93">INDEX([1]!phvny[yphv], MATCH(1, (paper3[[#This Row],[id]]=[1]!phvny[id])*(paper3[[#This Row],[time]]=[1]!phvny[time]), 0))</f>
        <v>1.1767288565966298</v>
      </c>
      <c r="Y93" s="3">
        <v>2.16</v>
      </c>
      <c r="Z93" s="3">
        <v>3.68</v>
      </c>
      <c r="AA93" s="3">
        <v>5.16</v>
      </c>
      <c r="AB93" s="3">
        <v>2.13</v>
      </c>
      <c r="AC93" s="3">
        <v>3.68</v>
      </c>
      <c r="AD93" s="3">
        <v>5.2</v>
      </c>
      <c r="AE93" s="3">
        <v>2.15</v>
      </c>
      <c r="AF93" s="3">
        <v>3.7</v>
      </c>
      <c r="AG93" s="3">
        <v>5.21</v>
      </c>
      <c r="AH93" s="44">
        <v>2.13</v>
      </c>
      <c r="AI93" s="44">
        <v>3.68</v>
      </c>
      <c r="AJ93" s="44">
        <v>5.16</v>
      </c>
      <c r="AK93" s="45">
        <v>6.756756756756757</v>
      </c>
      <c r="AL93" s="3">
        <v>11.43</v>
      </c>
      <c r="AM93" s="3">
        <v>11.21</v>
      </c>
      <c r="AN93" s="3">
        <v>11.61</v>
      </c>
      <c r="AO93" s="3">
        <v>11.2</v>
      </c>
      <c r="AP93" s="3">
        <v>11.2</v>
      </c>
      <c r="AQ93" s="47">
        <v>11.21</v>
      </c>
      <c r="AR93" s="47">
        <v>11.2</v>
      </c>
      <c r="AS93" s="3">
        <v>24.56</v>
      </c>
      <c r="AT93" s="3">
        <v>25.77</v>
      </c>
      <c r="AU93" s="3">
        <v>24.14</v>
      </c>
      <c r="AV93" s="3"/>
      <c r="AW93" s="3"/>
      <c r="AX93" s="48">
        <v>25.77</v>
      </c>
      <c r="AY93" s="3"/>
      <c r="AZ93" s="3">
        <v>9</v>
      </c>
      <c r="BA93" s="3">
        <v>160</v>
      </c>
      <c r="BB93" s="3">
        <v>10</v>
      </c>
      <c r="BC93" s="3">
        <v>174</v>
      </c>
      <c r="BD93" s="40"/>
      <c r="BE93" s="40"/>
      <c r="BF93" s="40"/>
      <c r="BG93" s="40">
        <v>284.49657055630956</v>
      </c>
      <c r="BH93" s="40">
        <v>263.63721805443851</v>
      </c>
      <c r="BI93" s="49"/>
      <c r="BJ93" s="49">
        <v>548.13378861074807</v>
      </c>
      <c r="BK93" s="66"/>
      <c r="BL93" s="66">
        <v>7.9121425479325991E-2</v>
      </c>
      <c r="BM93" s="51"/>
      <c r="BN93" s="51">
        <v>16.660601477530339</v>
      </c>
      <c r="BO93" s="52">
        <v>232</v>
      </c>
      <c r="BP93" s="40">
        <v>224</v>
      </c>
      <c r="BQ93" s="40">
        <v>232</v>
      </c>
      <c r="BR93" s="67">
        <v>-3.4482758620689613E-2</v>
      </c>
      <c r="BS93" s="54">
        <v>6.9300911854103351</v>
      </c>
      <c r="BT93" s="3">
        <v>98</v>
      </c>
      <c r="BU93" s="40">
        <v>93</v>
      </c>
      <c r="BV93" s="3">
        <v>88</v>
      </c>
      <c r="BW93" s="3">
        <v>91</v>
      </c>
      <c r="BX93" s="70">
        <v>5.3763440860215006E-2</v>
      </c>
      <c r="BY93" s="70">
        <v>-3.2967032967032961E-2</v>
      </c>
      <c r="BZ93" s="59">
        <v>1.0219780219780219</v>
      </c>
      <c r="CA93" s="59">
        <v>1.1136363636363635</v>
      </c>
      <c r="CB93" s="59">
        <v>2.1436702127659579</v>
      </c>
      <c r="CC93" s="59">
        <v>2.0089893617021279</v>
      </c>
      <c r="CD93" s="60">
        <v>61</v>
      </c>
      <c r="CE93" s="60">
        <v>62</v>
      </c>
      <c r="CF93" s="61">
        <v>1.8541033434650456</v>
      </c>
      <c r="CG93" s="61">
        <v>1.8844984802431612</v>
      </c>
      <c r="CH93" s="61">
        <v>1.0163934426229508</v>
      </c>
      <c r="CI93" s="41">
        <v>14.2</v>
      </c>
      <c r="CJ93" s="40">
        <f>VLOOKUP(paper3[[#This Row],[YYIR nivå]],$DB:$DC,2)</f>
        <v>520</v>
      </c>
      <c r="CK93" s="3"/>
      <c r="CL93" s="62">
        <v>34933</v>
      </c>
      <c r="CM93" s="63">
        <v>34.933</v>
      </c>
      <c r="CN93" s="3">
        <v>98</v>
      </c>
      <c r="CO93" s="3">
        <v>91</v>
      </c>
      <c r="CP93" s="41">
        <v>13.33611111111111</v>
      </c>
      <c r="CQ93" s="3" t="s">
        <v>169</v>
      </c>
      <c r="CR93" s="40">
        <v>95.5</v>
      </c>
      <c r="CS93" s="40">
        <v>89.5</v>
      </c>
      <c r="CT93" s="40">
        <v>228</v>
      </c>
      <c r="CU93" s="40"/>
      <c r="CV93" s="40"/>
      <c r="CW93" s="40"/>
      <c r="CX93" s="40"/>
      <c r="CY93" s="40">
        <v>0</v>
      </c>
      <c r="CZ93" s="40"/>
      <c r="DA93" s="40"/>
    </row>
    <row r="94" spans="1:105" ht="15.95" customHeight="1">
      <c r="A94" s="3">
        <v>231</v>
      </c>
      <c r="B94" s="38" t="s">
        <v>103</v>
      </c>
      <c r="C94" s="3" t="s">
        <v>115</v>
      </c>
      <c r="D94" s="3" t="s">
        <v>105</v>
      </c>
      <c r="E94" s="39">
        <v>44502</v>
      </c>
      <c r="F94" s="3" t="s">
        <v>106</v>
      </c>
      <c r="G94" s="3" t="s">
        <v>107</v>
      </c>
      <c r="H94" s="40">
        <v>2008</v>
      </c>
      <c r="I94" s="40" t="s">
        <v>108</v>
      </c>
      <c r="J94" s="40" t="s">
        <v>109</v>
      </c>
      <c r="K94" s="3">
        <v>170.2</v>
      </c>
      <c r="L94" s="3">
        <v>170.4</v>
      </c>
      <c r="M94" s="3"/>
      <c r="N94" s="3">
        <v>143.4</v>
      </c>
      <c r="O94" s="3">
        <v>143.30000000000001</v>
      </c>
      <c r="P94" s="3"/>
      <c r="Q94" s="3">
        <v>53.6</v>
      </c>
      <c r="R94" s="3">
        <v>53.6</v>
      </c>
      <c r="S94" s="3"/>
      <c r="T94" s="42">
        <v>170.3</v>
      </c>
      <c r="U94" s="42">
        <f>AVERAGE(paper3[[#This Row],[Sittende høyde 1]:[Sittende høyde 3]])-56.2</f>
        <v>87.15000000000002</v>
      </c>
      <c r="V94" s="12">
        <f>paper3[[#This Row],[height]]-paper3[[#This Row],[sittingheight]]</f>
        <v>83.149999999999991</v>
      </c>
      <c r="W94" s="73">
        <v>53.6</v>
      </c>
      <c r="X94" s="43" cm="1">
        <f t="array" ref="X94">INDEX([1]!phvny[yphv], MATCH(1, (paper3[[#This Row],[id]]=[1]!phvny[id])*(paper3[[#This Row],[time]]=[1]!phvny[time]), 0))</f>
        <v>1.9693443414610008</v>
      </c>
      <c r="Y94" s="60">
        <v>2.1</v>
      </c>
      <c r="Z94" s="3">
        <v>3.56</v>
      </c>
      <c r="AA94" s="3">
        <v>4.97</v>
      </c>
      <c r="AB94" s="3">
        <v>2.13</v>
      </c>
      <c r="AC94" s="3">
        <v>3.61</v>
      </c>
      <c r="AD94" s="3">
        <v>5.05</v>
      </c>
      <c r="AE94" s="3">
        <v>2.12</v>
      </c>
      <c r="AF94" s="3">
        <v>3.62</v>
      </c>
      <c r="AG94" s="3">
        <v>5.09</v>
      </c>
      <c r="AH94" s="45">
        <v>2.1</v>
      </c>
      <c r="AI94" s="44">
        <v>3.56</v>
      </c>
      <c r="AJ94" s="44">
        <v>4.97</v>
      </c>
      <c r="AK94" s="45">
        <v>7.092198581560285</v>
      </c>
      <c r="AL94" s="3">
        <v>11.39</v>
      </c>
      <c r="AM94" s="3">
        <v>11.29</v>
      </c>
      <c r="AN94" s="3">
        <v>11.3</v>
      </c>
      <c r="AO94" s="3">
        <v>11.27</v>
      </c>
      <c r="AP94" s="3">
        <v>11.27</v>
      </c>
      <c r="AQ94" s="47">
        <v>11.29</v>
      </c>
      <c r="AR94" s="47">
        <v>11.27</v>
      </c>
      <c r="AS94" s="3">
        <v>25.54</v>
      </c>
      <c r="AT94" s="3">
        <v>23.47</v>
      </c>
      <c r="AU94" s="3">
        <v>26.05</v>
      </c>
      <c r="AV94" s="3">
        <v>24.18</v>
      </c>
      <c r="AW94" s="3"/>
      <c r="AX94" s="48">
        <v>26.05</v>
      </c>
      <c r="AY94" s="3"/>
      <c r="AZ94" s="3">
        <v>9</v>
      </c>
      <c r="BA94" s="3">
        <v>160</v>
      </c>
      <c r="BB94" s="3">
        <v>10</v>
      </c>
      <c r="BC94" s="3">
        <v>174</v>
      </c>
      <c r="BD94" s="40">
        <v>766.19935498268001</v>
      </c>
      <c r="BE94" s="40">
        <v>758.47688893298266</v>
      </c>
      <c r="BF94" s="40"/>
      <c r="BG94" s="40">
        <v>260.87147914155935</v>
      </c>
      <c r="BH94" s="40">
        <v>254.46083210227323</v>
      </c>
      <c r="BI94" s="49">
        <v>1524.6762439156628</v>
      </c>
      <c r="BJ94" s="49">
        <v>515.33231124383258</v>
      </c>
      <c r="BK94" s="66">
        <v>1.0181544305932988E-2</v>
      </c>
      <c r="BL94" s="66">
        <v>2.5193060111937227E-2</v>
      </c>
      <c r="BM94" s="51">
        <v>28.445452311859381</v>
      </c>
      <c r="BN94" s="51">
        <v>9.614408791862548</v>
      </c>
      <c r="BO94" s="52">
        <v>201</v>
      </c>
      <c r="BP94" s="40">
        <v>179</v>
      </c>
      <c r="BQ94" s="40">
        <v>201</v>
      </c>
      <c r="BR94" s="67">
        <v>-0.10945273631840791</v>
      </c>
      <c r="BS94" s="54">
        <v>3.544776119402985</v>
      </c>
      <c r="BT94" s="3">
        <v>126</v>
      </c>
      <c r="BU94" s="40">
        <v>124</v>
      </c>
      <c r="BV94" s="3">
        <v>100</v>
      </c>
      <c r="BW94" s="3">
        <v>105</v>
      </c>
      <c r="BX94" s="70">
        <v>1.6129032258064502E-2</v>
      </c>
      <c r="BY94" s="70">
        <v>-4.7619047619047672E-2</v>
      </c>
      <c r="BZ94" s="59">
        <v>1.180952380952381</v>
      </c>
      <c r="CA94" s="59">
        <v>1.26</v>
      </c>
      <c r="CB94" s="59">
        <v>1.9391324626865669</v>
      </c>
      <c r="CC94" s="59">
        <v>1.5900886194029848</v>
      </c>
      <c r="CD94" s="60">
        <v>72</v>
      </c>
      <c r="CE94" s="60">
        <v>72</v>
      </c>
      <c r="CF94" s="61">
        <v>1.3432835820895521</v>
      </c>
      <c r="CG94" s="61">
        <v>1.3432835820895521</v>
      </c>
      <c r="CH94" s="61">
        <v>1</v>
      </c>
      <c r="CI94" s="41">
        <v>14.1</v>
      </c>
      <c r="CJ94" s="40">
        <f>VLOOKUP(paper3[[#This Row],[YYIR nivå]],$DB:$DC,2)</f>
        <v>480</v>
      </c>
      <c r="CK94" s="3"/>
      <c r="CL94" s="62">
        <v>37893</v>
      </c>
      <c r="CM94" s="63">
        <v>37.893000000000001</v>
      </c>
      <c r="CN94" s="3">
        <v>126</v>
      </c>
      <c r="CO94" s="3">
        <v>105</v>
      </c>
      <c r="CP94" s="41">
        <v>13.758333333333333</v>
      </c>
      <c r="CQ94" s="3" t="s">
        <v>170</v>
      </c>
      <c r="CR94" s="40">
        <v>125</v>
      </c>
      <c r="CS94" s="40">
        <v>102.5</v>
      </c>
      <c r="CT94" s="40">
        <v>190</v>
      </c>
      <c r="CU94" s="40"/>
      <c r="CV94" s="40"/>
      <c r="CW94" s="40"/>
      <c r="CX94" s="40"/>
      <c r="CY94" s="40">
        <v>0</v>
      </c>
      <c r="CZ94" s="40"/>
      <c r="DA94" s="40"/>
    </row>
    <row r="95" spans="1:105" ht="15.95" customHeight="1">
      <c r="A95" s="3">
        <v>233</v>
      </c>
      <c r="B95" s="38" t="s">
        <v>103</v>
      </c>
      <c r="C95" s="3" t="s">
        <v>115</v>
      </c>
      <c r="D95" s="3" t="s">
        <v>105</v>
      </c>
      <c r="E95" s="39">
        <v>44505</v>
      </c>
      <c r="F95" s="3" t="s">
        <v>106</v>
      </c>
      <c r="G95" s="3" t="s">
        <v>107</v>
      </c>
      <c r="H95" s="40">
        <v>2004</v>
      </c>
      <c r="I95" s="40" t="s">
        <v>121</v>
      </c>
      <c r="J95" s="40" t="s">
        <v>120</v>
      </c>
      <c r="K95" s="3">
        <v>165.5</v>
      </c>
      <c r="L95" s="3">
        <v>165.6</v>
      </c>
      <c r="M95" s="3"/>
      <c r="N95" s="3">
        <v>141.1</v>
      </c>
      <c r="O95" s="3">
        <v>140.9</v>
      </c>
      <c r="P95" s="3"/>
      <c r="Q95" s="3">
        <v>57.2</v>
      </c>
      <c r="R95" s="3">
        <v>57.1</v>
      </c>
      <c r="S95" s="3"/>
      <c r="T95" s="42">
        <v>165.55</v>
      </c>
      <c r="U95" s="42">
        <f>AVERAGE(paper3[[#This Row],[Sittende høyde 1]:[Sittende høyde 3]])-56.2</f>
        <v>84.8</v>
      </c>
      <c r="V95" s="12">
        <f>paper3[[#This Row],[height]]-paper3[[#This Row],[sittingheight]]</f>
        <v>80.750000000000014</v>
      </c>
      <c r="W95" s="73">
        <v>57.150000000000006</v>
      </c>
      <c r="X95" s="43" cm="1">
        <f t="array" ref="X95">INDEX([1]!phvny[yphv], MATCH(1, (paper3[[#This Row],[id]]=[1]!phvny[id])*(paper3[[#This Row],[time]]=[1]!phvny[time]), 0))</f>
        <v>3.4221548802307993</v>
      </c>
      <c r="Y95" s="3"/>
      <c r="Z95" s="3">
        <v>3.54</v>
      </c>
      <c r="AA95" s="3"/>
      <c r="AB95" s="3">
        <v>2.02</v>
      </c>
      <c r="AC95" s="3">
        <v>3.46</v>
      </c>
      <c r="AD95" s="3">
        <v>4.83</v>
      </c>
      <c r="AE95" s="3">
        <v>2.08</v>
      </c>
      <c r="AF95" s="57"/>
      <c r="AG95" s="3">
        <v>4.92</v>
      </c>
      <c r="AH95" s="44">
        <v>2.02</v>
      </c>
      <c r="AI95" s="44">
        <v>3.46</v>
      </c>
      <c r="AJ95" s="44">
        <v>4.83</v>
      </c>
      <c r="AK95" s="45">
        <v>7.2992700729926998</v>
      </c>
      <c r="AL95" s="3">
        <v>10.83</v>
      </c>
      <c r="AM95" s="3">
        <v>10.77</v>
      </c>
      <c r="AN95" s="3">
        <v>11.09</v>
      </c>
      <c r="AO95" s="3">
        <v>10.94</v>
      </c>
      <c r="AP95" s="3">
        <v>10.77</v>
      </c>
      <c r="AQ95" s="47">
        <v>10.77</v>
      </c>
      <c r="AR95" s="47">
        <v>10.94</v>
      </c>
      <c r="AS95" s="3">
        <v>28.4</v>
      </c>
      <c r="AT95" s="3">
        <v>29.97</v>
      </c>
      <c r="AU95" s="3">
        <v>31.16</v>
      </c>
      <c r="AV95" s="3">
        <v>31.1</v>
      </c>
      <c r="AW95" s="3"/>
      <c r="AX95" s="48">
        <v>31.16</v>
      </c>
      <c r="AY95" s="3"/>
      <c r="AZ95" s="3">
        <v>8</v>
      </c>
      <c r="BA95" s="3">
        <v>270</v>
      </c>
      <c r="BB95" s="3">
        <v>7</v>
      </c>
      <c r="BC95" s="3">
        <v>219</v>
      </c>
      <c r="BD95" s="40"/>
      <c r="BE95" s="40"/>
      <c r="BF95" s="40"/>
      <c r="BG95" s="40">
        <v>450.53326842562342</v>
      </c>
      <c r="BH95" s="40">
        <v>455.6431874523264</v>
      </c>
      <c r="BI95" s="49"/>
      <c r="BJ95" s="49">
        <v>906.17645587794982</v>
      </c>
      <c r="BK95" s="66"/>
      <c r="BL95" s="66">
        <v>-1.121473812716145E-2</v>
      </c>
      <c r="BM95" s="51"/>
      <c r="BN95" s="51">
        <v>15.842245732131989</v>
      </c>
      <c r="BO95" s="52">
        <v>263</v>
      </c>
      <c r="BP95" s="40">
        <v>236</v>
      </c>
      <c r="BQ95" s="40">
        <v>263</v>
      </c>
      <c r="BR95" s="67">
        <v>-0.10266159695817489</v>
      </c>
      <c r="BS95" s="54">
        <v>4.3657042869641289</v>
      </c>
      <c r="BT95" s="3">
        <v>133</v>
      </c>
      <c r="BU95" s="40">
        <v>118</v>
      </c>
      <c r="BV95" s="3">
        <v>120</v>
      </c>
      <c r="BW95" s="3">
        <v>123</v>
      </c>
      <c r="BX95" s="70">
        <v>0.12711864406779672</v>
      </c>
      <c r="BY95" s="70">
        <v>-2.4390243902439046E-2</v>
      </c>
      <c r="BZ95" s="59">
        <v>0.95934959349593496</v>
      </c>
      <c r="CA95" s="59">
        <v>1.1083333333333334</v>
      </c>
      <c r="CB95" s="59">
        <v>1.7732502187226598</v>
      </c>
      <c r="CC95" s="59">
        <v>1.7167322834645671</v>
      </c>
      <c r="CD95" s="60">
        <v>88</v>
      </c>
      <c r="CE95" s="60">
        <v>89</v>
      </c>
      <c r="CF95" s="61">
        <v>1.5398075240594924</v>
      </c>
      <c r="CG95" s="61">
        <v>1.5573053368328957</v>
      </c>
      <c r="CH95" s="61">
        <v>1.0113636363636365</v>
      </c>
      <c r="CI95" s="41">
        <v>14.2</v>
      </c>
      <c r="CJ95" s="40">
        <f>VLOOKUP(paper3[[#This Row],[YYIR nivå]],$DB:$DC,2)</f>
        <v>520</v>
      </c>
      <c r="CK95" s="3" t="s">
        <v>112</v>
      </c>
      <c r="CL95" s="62"/>
      <c r="CM95" s="63" t="s">
        <v>110</v>
      </c>
      <c r="CN95" s="3">
        <v>133</v>
      </c>
      <c r="CO95" s="3">
        <v>123</v>
      </c>
      <c r="CP95" s="41">
        <v>16.991666666666667</v>
      </c>
      <c r="CQ95" s="3" t="s">
        <v>110</v>
      </c>
      <c r="CR95" s="40">
        <v>125.5</v>
      </c>
      <c r="CS95" s="40">
        <v>121.5</v>
      </c>
      <c r="CT95" s="40">
        <v>249.5</v>
      </c>
      <c r="CU95" s="40"/>
      <c r="CV95" s="40"/>
      <c r="CW95" s="40"/>
      <c r="CX95" s="40"/>
      <c r="CY95" s="40">
        <v>0</v>
      </c>
      <c r="CZ95" s="40"/>
      <c r="DA95" s="40"/>
    </row>
    <row r="96" spans="1:105" ht="15.75" customHeight="1">
      <c r="A96" s="3">
        <v>234</v>
      </c>
      <c r="B96" s="38" t="s">
        <v>103</v>
      </c>
      <c r="C96" s="3" t="s">
        <v>115</v>
      </c>
      <c r="D96" s="3" t="s">
        <v>105</v>
      </c>
      <c r="E96" s="39">
        <v>44505</v>
      </c>
      <c r="F96" s="3" t="s">
        <v>106</v>
      </c>
      <c r="G96" s="3" t="s">
        <v>107</v>
      </c>
      <c r="H96" s="40">
        <v>2004</v>
      </c>
      <c r="I96" s="40" t="s">
        <v>121</v>
      </c>
      <c r="J96" s="40" t="s">
        <v>120</v>
      </c>
      <c r="K96" s="3">
        <v>166</v>
      </c>
      <c r="L96" s="3">
        <v>166.2</v>
      </c>
      <c r="M96" s="3"/>
      <c r="N96" s="3">
        <v>145.9</v>
      </c>
      <c r="O96" s="3">
        <v>146</v>
      </c>
      <c r="P96" s="3"/>
      <c r="Q96" s="3">
        <v>59.8</v>
      </c>
      <c r="R96" s="3">
        <v>59.8</v>
      </c>
      <c r="S96" s="3"/>
      <c r="T96" s="42">
        <v>166.1</v>
      </c>
      <c r="U96" s="42">
        <f>AVERAGE(paper3[[#This Row],[Sittende høyde 1]:[Sittende høyde 3]])-56.2</f>
        <v>89.749999999999986</v>
      </c>
      <c r="V96" s="12">
        <f>paper3[[#This Row],[height]]-paper3[[#This Row],[sittingheight]]</f>
        <v>76.350000000000009</v>
      </c>
      <c r="W96" s="73">
        <v>59.8</v>
      </c>
      <c r="X96" s="43" cm="1">
        <f t="array" ref="X96">INDEX([1]!phvny[yphv], MATCH(1, (paper3[[#This Row],[id]]=[1]!phvny[id])*(paper3[[#This Row],[time]]=[1]!phvny[time]), 0))</f>
        <v>3.8863188431404265</v>
      </c>
      <c r="Y96" s="3">
        <v>2.0299999999999998</v>
      </c>
      <c r="Z96" s="3">
        <v>3.29</v>
      </c>
      <c r="AA96" s="3">
        <v>4.74</v>
      </c>
      <c r="AB96" s="3">
        <v>2</v>
      </c>
      <c r="AC96" s="3">
        <v>3.34</v>
      </c>
      <c r="AD96" s="3">
        <v>4.68</v>
      </c>
      <c r="AE96" s="3">
        <v>1.97</v>
      </c>
      <c r="AF96" s="3">
        <v>3.41</v>
      </c>
      <c r="AG96" s="3">
        <v>4.6500000000000004</v>
      </c>
      <c r="AH96" s="44">
        <v>1.97</v>
      </c>
      <c r="AI96" s="44">
        <v>3.29</v>
      </c>
      <c r="AJ96" s="44">
        <v>4.6500000000000004</v>
      </c>
      <c r="AK96" s="45">
        <v>7.3529411764705861</v>
      </c>
      <c r="AL96" s="3">
        <v>10.41</v>
      </c>
      <c r="AM96" s="3">
        <v>10.27</v>
      </c>
      <c r="AN96" s="3">
        <v>10.47</v>
      </c>
      <c r="AO96" s="3">
        <v>10.48</v>
      </c>
      <c r="AP96" s="3">
        <v>10.27</v>
      </c>
      <c r="AQ96" s="47">
        <v>10.27</v>
      </c>
      <c r="AR96" s="47">
        <v>10.47</v>
      </c>
      <c r="AS96" s="3">
        <v>28.44</v>
      </c>
      <c r="AT96" s="3">
        <v>29.54</v>
      </c>
      <c r="AU96" s="3">
        <v>31.37</v>
      </c>
      <c r="AV96" s="3">
        <v>34.32</v>
      </c>
      <c r="AW96" s="3">
        <v>31.16</v>
      </c>
      <c r="AX96" s="48">
        <v>34.32</v>
      </c>
      <c r="AY96" s="3"/>
      <c r="AZ96" s="3">
        <v>8</v>
      </c>
      <c r="BA96" s="3">
        <v>250</v>
      </c>
      <c r="BB96" s="3">
        <v>13</v>
      </c>
      <c r="BC96" s="3">
        <v>342</v>
      </c>
      <c r="BD96" s="40">
        <v>1291.8858861863853</v>
      </c>
      <c r="BE96" s="40">
        <v>1345.7608136338631</v>
      </c>
      <c r="BF96" s="40"/>
      <c r="BG96" s="40">
        <v>607.37873951596862</v>
      </c>
      <c r="BH96" s="40">
        <v>642.1788051133866</v>
      </c>
      <c r="BI96" s="49">
        <v>2637.6466998202486</v>
      </c>
      <c r="BJ96" s="49">
        <v>1249.5575446293551</v>
      </c>
      <c r="BK96" s="66">
        <v>-4.0033063009171088E-2</v>
      </c>
      <c r="BL96" s="66">
        <v>-5.4190616881654163E-2</v>
      </c>
      <c r="BM96" s="51">
        <v>44.10780434482021</v>
      </c>
      <c r="BN96" s="51">
        <v>20.895611114203263</v>
      </c>
      <c r="BO96" s="52">
        <v>336</v>
      </c>
      <c r="BP96" s="40">
        <v>266</v>
      </c>
      <c r="BQ96" s="40">
        <v>336</v>
      </c>
      <c r="BR96" s="67">
        <v>-0.20833333333333337</v>
      </c>
      <c r="BS96" s="54">
        <v>5.0334448160535121</v>
      </c>
      <c r="BT96" s="3">
        <v>94</v>
      </c>
      <c r="BU96" s="40">
        <v>99</v>
      </c>
      <c r="BV96" s="3">
        <v>104</v>
      </c>
      <c r="BW96" s="3">
        <v>107</v>
      </c>
      <c r="BX96" s="70">
        <v>-5.0505050505050497E-2</v>
      </c>
      <c r="BY96" s="70">
        <v>-2.8037383177570097E-2</v>
      </c>
      <c r="BZ96" s="59">
        <v>0.92523364485981308</v>
      </c>
      <c r="CA96" s="59">
        <v>0.90384615384615385</v>
      </c>
      <c r="CB96" s="59">
        <v>1.2320693979933111</v>
      </c>
      <c r="CC96" s="59">
        <v>1.3469774247491639</v>
      </c>
      <c r="CD96" s="60">
        <v>102</v>
      </c>
      <c r="CE96" s="60">
        <v>80</v>
      </c>
      <c r="CF96" s="61">
        <v>1.705685618729097</v>
      </c>
      <c r="CG96" s="61">
        <v>1.3377926421404682</v>
      </c>
      <c r="CH96" s="61">
        <v>0.78431372549019607</v>
      </c>
      <c r="CI96" s="41"/>
      <c r="CJ96" s="40"/>
      <c r="CK96" s="3"/>
      <c r="CL96" s="62"/>
      <c r="CM96" s="63" t="s">
        <v>110</v>
      </c>
      <c r="CN96" s="3">
        <v>99</v>
      </c>
      <c r="CO96" s="3">
        <v>107</v>
      </c>
      <c r="CP96" s="41">
        <v>17.258333333333333</v>
      </c>
      <c r="CQ96" s="3" t="s">
        <v>110</v>
      </c>
      <c r="CR96" s="40">
        <v>96.5</v>
      </c>
      <c r="CS96" s="40">
        <v>105.5</v>
      </c>
      <c r="CT96" s="40">
        <v>301</v>
      </c>
      <c r="CU96" s="40"/>
      <c r="CV96" s="40"/>
      <c r="CW96" s="40"/>
      <c r="CX96" s="40"/>
      <c r="CY96" s="40">
        <v>0</v>
      </c>
      <c r="CZ96" s="40"/>
      <c r="DA96" s="40"/>
    </row>
    <row r="97" spans="1:105" ht="15.95" customHeight="1">
      <c r="A97" s="3">
        <v>235</v>
      </c>
      <c r="B97" s="38" t="s">
        <v>103</v>
      </c>
      <c r="C97" s="3" t="s">
        <v>115</v>
      </c>
      <c r="D97" s="3" t="s">
        <v>105</v>
      </c>
      <c r="E97" s="39">
        <v>44505</v>
      </c>
      <c r="F97" s="3" t="s">
        <v>106</v>
      </c>
      <c r="G97" s="3" t="s">
        <v>107</v>
      </c>
      <c r="H97" s="40">
        <v>2004</v>
      </c>
      <c r="I97" s="40" t="s">
        <v>121</v>
      </c>
      <c r="J97" s="40" t="s">
        <v>120</v>
      </c>
      <c r="K97" s="3">
        <v>173.8</v>
      </c>
      <c r="L97" s="3">
        <v>173.5</v>
      </c>
      <c r="M97" s="3">
        <v>173.5</v>
      </c>
      <c r="N97" s="3">
        <v>144.30000000000001</v>
      </c>
      <c r="O97" s="3">
        <v>144.19999999999999</v>
      </c>
      <c r="P97" s="3"/>
      <c r="Q97" s="3">
        <v>68.599999999999994</v>
      </c>
      <c r="R97" s="3">
        <v>68.599999999999994</v>
      </c>
      <c r="S97" s="3"/>
      <c r="T97" s="42">
        <v>173.6</v>
      </c>
      <c r="U97" s="42">
        <f>AVERAGE(paper3[[#This Row],[Sittende høyde 1]:[Sittende høyde 3]])-56.2</f>
        <v>88.05</v>
      </c>
      <c r="V97" s="12">
        <f>paper3[[#This Row],[height]]-paper3[[#This Row],[sittingheight]]</f>
        <v>85.55</v>
      </c>
      <c r="W97" s="73">
        <v>68.599999999999994</v>
      </c>
      <c r="X97" s="43" cm="1">
        <f t="array" ref="X97">INDEX([1]!phvny[yphv], MATCH(1, (paper3[[#This Row],[id]]=[1]!phvny[id])*(paper3[[#This Row],[time]]=[1]!phvny[time]), 0))</f>
        <v>3.8595155557016114</v>
      </c>
      <c r="Y97" s="3">
        <v>2.0499999999999998</v>
      </c>
      <c r="Z97" s="3">
        <v>3.37</v>
      </c>
      <c r="AA97" s="3">
        <v>4.82</v>
      </c>
      <c r="AB97" s="3">
        <v>2.0099999999999998</v>
      </c>
      <c r="AC97" s="3">
        <v>3.39</v>
      </c>
      <c r="AD97" s="3">
        <v>4.78</v>
      </c>
      <c r="AE97" s="3">
        <v>2</v>
      </c>
      <c r="AF97" s="57">
        <v>3.45</v>
      </c>
      <c r="AG97" s="3">
        <v>4.76</v>
      </c>
      <c r="AH97" s="44">
        <v>2</v>
      </c>
      <c r="AI97" s="44">
        <v>3.37</v>
      </c>
      <c r="AJ97" s="44">
        <v>4.76</v>
      </c>
      <c r="AK97" s="45">
        <v>7.1942446043165482</v>
      </c>
      <c r="AL97" s="3">
        <v>10.15</v>
      </c>
      <c r="AM97" s="3">
        <v>10.45</v>
      </c>
      <c r="AN97" s="3">
        <v>10.5</v>
      </c>
      <c r="AO97" s="3">
        <v>9.99</v>
      </c>
      <c r="AP97" s="3">
        <v>9.99</v>
      </c>
      <c r="AQ97" s="47">
        <v>10.15</v>
      </c>
      <c r="AR97" s="47">
        <v>9.99</v>
      </c>
      <c r="AS97" s="3">
        <v>28.95</v>
      </c>
      <c r="AT97" s="3">
        <v>32.15</v>
      </c>
      <c r="AU97" s="3">
        <v>33.97</v>
      </c>
      <c r="AV97" s="3">
        <v>33.81</v>
      </c>
      <c r="AW97" s="3"/>
      <c r="AX97" s="48">
        <v>33.97</v>
      </c>
      <c r="AY97" s="3"/>
      <c r="AZ97" s="3">
        <v>10</v>
      </c>
      <c r="BA97" s="3">
        <v>300</v>
      </c>
      <c r="BB97" s="3">
        <v>10</v>
      </c>
      <c r="BC97" s="3">
        <v>328</v>
      </c>
      <c r="BD97" s="40">
        <v>1371.4133483918863</v>
      </c>
      <c r="BE97" s="40">
        <v>1338.0879231742304</v>
      </c>
      <c r="BF97" s="40"/>
      <c r="BG97" s="40">
        <v>605.18561721518483</v>
      </c>
      <c r="BH97" s="40">
        <v>600.70914838347244</v>
      </c>
      <c r="BI97" s="49">
        <v>2709.5012715661169</v>
      </c>
      <c r="BJ97" s="49">
        <v>1205.8947655986572</v>
      </c>
      <c r="BK97" s="66">
        <v>2.4905258197533753E-2</v>
      </c>
      <c r="BL97" s="66">
        <v>7.4519737942375652E-3</v>
      </c>
      <c r="BM97" s="51">
        <v>39.497103084054189</v>
      </c>
      <c r="BN97" s="51">
        <v>17.578640897939611</v>
      </c>
      <c r="BO97" s="52">
        <v>254</v>
      </c>
      <c r="BP97" s="40">
        <v>247</v>
      </c>
      <c r="BQ97" s="40">
        <v>254</v>
      </c>
      <c r="BR97" s="67">
        <v>-2.7559055118110187E-2</v>
      </c>
      <c r="BS97" s="54">
        <v>3.6516034985422743</v>
      </c>
      <c r="BT97" s="3">
        <v>141</v>
      </c>
      <c r="BU97" s="40">
        <v>153</v>
      </c>
      <c r="BV97" s="3">
        <v>149</v>
      </c>
      <c r="BW97" s="3">
        <v>158</v>
      </c>
      <c r="BX97" s="70">
        <v>-7.8431372549019662E-2</v>
      </c>
      <c r="BY97" s="70">
        <v>-5.6962025316455667E-2</v>
      </c>
      <c r="BZ97" s="59">
        <v>0.96835443037974689</v>
      </c>
      <c r="CA97" s="59">
        <v>0.94630872483221473</v>
      </c>
      <c r="CB97" s="59">
        <v>1.8332142857142857</v>
      </c>
      <c r="CC97" s="59">
        <v>1.9142747813411078</v>
      </c>
      <c r="CD97" s="60">
        <v>100</v>
      </c>
      <c r="CE97" s="60">
        <v>102</v>
      </c>
      <c r="CF97" s="61">
        <v>1.457725947521866</v>
      </c>
      <c r="CG97" s="61">
        <v>1.4868804664723034</v>
      </c>
      <c r="CH97" s="61">
        <v>1.02</v>
      </c>
      <c r="CI97" s="41">
        <v>15.1</v>
      </c>
      <c r="CJ97" s="40">
        <f>VLOOKUP(paper3[[#This Row],[YYIR nivå]],$DB:$DC,2)</f>
        <v>800</v>
      </c>
      <c r="CK97" s="3"/>
      <c r="CL97" s="62"/>
      <c r="CM97" s="63" t="s">
        <v>110</v>
      </c>
      <c r="CN97" s="3">
        <v>153</v>
      </c>
      <c r="CO97" s="3">
        <v>158</v>
      </c>
      <c r="CP97" s="41">
        <v>16.875</v>
      </c>
      <c r="CQ97" s="3" t="s">
        <v>110</v>
      </c>
      <c r="CR97" s="40">
        <v>147</v>
      </c>
      <c r="CS97" s="40">
        <v>153.5</v>
      </c>
      <c r="CT97" s="40">
        <v>250.5</v>
      </c>
      <c r="CU97" s="40"/>
      <c r="CV97" s="40"/>
      <c r="CW97" s="40"/>
      <c r="CX97" s="40"/>
      <c r="CY97" s="40">
        <v>0</v>
      </c>
      <c r="CZ97" s="40"/>
      <c r="DA97" s="40"/>
    </row>
    <row r="98" spans="1:105" ht="15.95" customHeight="1">
      <c r="A98" s="3">
        <v>236</v>
      </c>
      <c r="B98" s="38" t="s">
        <v>103</v>
      </c>
      <c r="C98" s="3" t="s">
        <v>159</v>
      </c>
      <c r="D98" s="3" t="s">
        <v>105</v>
      </c>
      <c r="E98" s="39">
        <v>44505</v>
      </c>
      <c r="F98" s="3" t="s">
        <v>106</v>
      </c>
      <c r="G98" s="3" t="s">
        <v>107</v>
      </c>
      <c r="H98" s="40">
        <v>2004</v>
      </c>
      <c r="I98" s="40" t="s">
        <v>121</v>
      </c>
      <c r="J98" s="40" t="s">
        <v>120</v>
      </c>
      <c r="K98" s="3">
        <v>157.6</v>
      </c>
      <c r="L98" s="3">
        <v>157.80000000000001</v>
      </c>
      <c r="M98" s="3"/>
      <c r="N98" s="3">
        <v>141.30000000000001</v>
      </c>
      <c r="O98" s="3">
        <v>141.30000000000001</v>
      </c>
      <c r="P98" s="3"/>
      <c r="Q98" s="3">
        <v>63.2</v>
      </c>
      <c r="R98" s="3">
        <v>63.2</v>
      </c>
      <c r="S98" s="3"/>
      <c r="T98" s="42">
        <v>157.69999999999999</v>
      </c>
      <c r="U98" s="42">
        <f>AVERAGE(paper3[[#This Row],[Sittende høyde 1]:[Sittende høyde 3]])-56.2</f>
        <v>85.100000000000009</v>
      </c>
      <c r="V98" s="12">
        <f>paper3[[#This Row],[height]]-paper3[[#This Row],[sittingheight]]</f>
        <v>72.59999999999998</v>
      </c>
      <c r="W98" s="73">
        <v>63.2</v>
      </c>
      <c r="X98" s="43" cm="1">
        <f t="array" ref="X98">INDEX([1]!phvny[yphv], MATCH(1, (paper3[[#This Row],[id]]=[1]!phvny[id])*(paper3[[#This Row],[time]]=[1]!phvny[time]), 0))</f>
        <v>3.3451120068097668</v>
      </c>
      <c r="Y98" s="3">
        <v>2.27</v>
      </c>
      <c r="Z98" s="3">
        <v>3.88</v>
      </c>
      <c r="AA98" s="3">
        <v>5.38</v>
      </c>
      <c r="AB98" s="3">
        <v>2.1800000000000002</v>
      </c>
      <c r="AC98" s="3">
        <v>3.76</v>
      </c>
      <c r="AD98" s="3">
        <v>5.28</v>
      </c>
      <c r="AE98" s="3">
        <v>2.29</v>
      </c>
      <c r="AF98" s="3">
        <v>3.84</v>
      </c>
      <c r="AG98" s="3">
        <v>5.41</v>
      </c>
      <c r="AH98" s="44">
        <v>2.1800000000000002</v>
      </c>
      <c r="AI98" s="44">
        <v>3.76</v>
      </c>
      <c r="AJ98" s="44">
        <v>5.28</v>
      </c>
      <c r="AK98" s="45">
        <v>6.5789473684210504</v>
      </c>
      <c r="AL98" s="3">
        <v>11.54</v>
      </c>
      <c r="AM98" s="3">
        <v>11.56</v>
      </c>
      <c r="AN98" s="3">
        <v>11.74</v>
      </c>
      <c r="AO98" s="3">
        <v>11.45</v>
      </c>
      <c r="AP98" s="3">
        <v>11.45</v>
      </c>
      <c r="AQ98" s="47">
        <v>11.54</v>
      </c>
      <c r="AR98" s="47">
        <v>11.45</v>
      </c>
      <c r="AS98" s="3">
        <v>26.69</v>
      </c>
      <c r="AT98" s="3">
        <v>27.06</v>
      </c>
      <c r="AU98" s="3">
        <v>26.98</v>
      </c>
      <c r="AV98" s="3"/>
      <c r="AW98" s="3"/>
      <c r="AX98" s="48">
        <v>27.06</v>
      </c>
      <c r="AY98" s="3"/>
      <c r="AZ98" s="3">
        <v>7</v>
      </c>
      <c r="BA98" s="3">
        <v>280</v>
      </c>
      <c r="BB98" s="3">
        <v>9</v>
      </c>
      <c r="BC98" s="3">
        <v>279</v>
      </c>
      <c r="BD98" s="40">
        <v>1239.1579596502665</v>
      </c>
      <c r="BE98" s="40">
        <v>1233.1628219838517</v>
      </c>
      <c r="BF98" s="40"/>
      <c r="BG98" s="40">
        <v>467.86422097790853</v>
      </c>
      <c r="BH98" s="40">
        <v>467.062978452138</v>
      </c>
      <c r="BI98" s="49">
        <v>2472.3207816341182</v>
      </c>
      <c r="BJ98" s="49">
        <v>934.92719943004658</v>
      </c>
      <c r="BK98" s="66">
        <v>4.8615945595653631E-3</v>
      </c>
      <c r="BL98" s="66">
        <v>1.7154914063750581E-3</v>
      </c>
      <c r="BM98" s="51">
        <v>39.118999709400605</v>
      </c>
      <c r="BN98" s="51">
        <v>14.793151889715926</v>
      </c>
      <c r="BO98" s="52">
        <v>326</v>
      </c>
      <c r="BP98" s="40">
        <v>326</v>
      </c>
      <c r="BQ98" s="40">
        <v>313</v>
      </c>
      <c r="BR98" s="67">
        <v>4.1533546325878579E-2</v>
      </c>
      <c r="BS98" s="54">
        <v>5.0553797468354427</v>
      </c>
      <c r="BT98" s="3">
        <v>125</v>
      </c>
      <c r="BU98" s="40">
        <v>137</v>
      </c>
      <c r="BV98" s="3">
        <v>132</v>
      </c>
      <c r="BW98" s="3">
        <v>140</v>
      </c>
      <c r="BX98" s="70">
        <v>-8.7591240875912413E-2</v>
      </c>
      <c r="BY98" s="70">
        <v>-5.7142857142857162E-2</v>
      </c>
      <c r="BZ98" s="59">
        <v>0.97857142857142854</v>
      </c>
      <c r="CA98" s="59">
        <v>0.94696969696969702</v>
      </c>
      <c r="CB98" s="59">
        <v>1.5048417721518981</v>
      </c>
      <c r="CC98" s="59">
        <v>1.5622784810126575</v>
      </c>
      <c r="CD98" s="60">
        <v>90</v>
      </c>
      <c r="CE98" s="60">
        <v>82</v>
      </c>
      <c r="CF98" s="61">
        <v>1.4240506329113924</v>
      </c>
      <c r="CG98" s="61">
        <v>1.2974683544303798</v>
      </c>
      <c r="CH98" s="61">
        <v>0.91111111111111109</v>
      </c>
      <c r="CI98" s="41">
        <v>13.1</v>
      </c>
      <c r="CJ98" s="40">
        <f>VLOOKUP(paper3[[#This Row],[YYIR nivå]],$DB:$DC,2)</f>
        <v>320</v>
      </c>
      <c r="CK98" s="3"/>
      <c r="CL98" s="62"/>
      <c r="CM98" s="63" t="s">
        <v>110</v>
      </c>
      <c r="CN98" s="3">
        <v>137</v>
      </c>
      <c r="CO98" s="3">
        <v>140</v>
      </c>
      <c r="CP98" s="41">
        <v>17.338888888888889</v>
      </c>
      <c r="CQ98" s="3" t="s">
        <v>110</v>
      </c>
      <c r="CR98" s="40">
        <v>131</v>
      </c>
      <c r="CS98" s="40">
        <v>136</v>
      </c>
      <c r="CT98" s="40">
        <v>319.5</v>
      </c>
      <c r="CU98" s="40"/>
      <c r="CV98" s="40"/>
      <c r="CW98" s="40"/>
      <c r="CX98" s="40"/>
      <c r="CY98" s="40">
        <v>0</v>
      </c>
      <c r="CZ98" s="40"/>
      <c r="DA98" s="40"/>
    </row>
    <row r="99" spans="1:105" ht="15.75" customHeight="1">
      <c r="A99" s="3">
        <v>237</v>
      </c>
      <c r="B99" s="38" t="s">
        <v>103</v>
      </c>
      <c r="C99" s="3" t="s">
        <v>115</v>
      </c>
      <c r="D99" s="3" t="s">
        <v>105</v>
      </c>
      <c r="E99" s="39">
        <v>44505</v>
      </c>
      <c r="F99" s="3" t="s">
        <v>106</v>
      </c>
      <c r="G99" s="3" t="s">
        <v>107</v>
      </c>
      <c r="H99" s="40">
        <v>2004</v>
      </c>
      <c r="I99" s="40" t="s">
        <v>121</v>
      </c>
      <c r="J99" s="40" t="s">
        <v>120</v>
      </c>
      <c r="K99" s="3">
        <v>164.3</v>
      </c>
      <c r="L99" s="3">
        <v>164.8</v>
      </c>
      <c r="M99" s="3">
        <v>164.7</v>
      </c>
      <c r="N99" s="3">
        <v>142.19999999999999</v>
      </c>
      <c r="O99" s="3">
        <v>142.1</v>
      </c>
      <c r="P99" s="3"/>
      <c r="Q99" s="3">
        <v>62.6</v>
      </c>
      <c r="R99" s="3">
        <v>62.6</v>
      </c>
      <c r="S99" s="3"/>
      <c r="T99" s="42">
        <v>164.6</v>
      </c>
      <c r="U99" s="42">
        <f>AVERAGE(paper3[[#This Row],[Sittende høyde 1]:[Sittende høyde 3]])-56.2</f>
        <v>85.949999999999974</v>
      </c>
      <c r="V99" s="12">
        <f>paper3[[#This Row],[height]]-paper3[[#This Row],[sittingheight]]</f>
        <v>78.65000000000002</v>
      </c>
      <c r="W99" s="73">
        <v>62.6</v>
      </c>
      <c r="X99" s="43" cm="1">
        <f t="array" ref="X99">INDEX([1]!phvny[yphv], MATCH(1, (paper3[[#This Row],[id]]=[1]!phvny[id])*(paper3[[#This Row],[time]]=[1]!phvny[time]), 0))</f>
        <v>3.7986643523971568</v>
      </c>
      <c r="Y99" s="3">
        <v>2.06</v>
      </c>
      <c r="Z99" s="3">
        <v>3.5</v>
      </c>
      <c r="AA99" s="3">
        <v>4.9800000000000004</v>
      </c>
      <c r="AB99" s="3">
        <v>2.0299999999999998</v>
      </c>
      <c r="AC99" s="3">
        <v>3.51</v>
      </c>
      <c r="AD99" s="3">
        <v>4.9400000000000004</v>
      </c>
      <c r="AE99" s="3">
        <v>2.06</v>
      </c>
      <c r="AF99" s="57">
        <v>3.54</v>
      </c>
      <c r="AG99" s="3">
        <v>4.95</v>
      </c>
      <c r="AH99" s="44">
        <v>2.0299999999999998</v>
      </c>
      <c r="AI99" s="44">
        <v>3.5</v>
      </c>
      <c r="AJ99" s="44">
        <v>4.9400000000000004</v>
      </c>
      <c r="AK99" s="45">
        <v>6.9444444444444429</v>
      </c>
      <c r="AL99" s="3">
        <v>11.09</v>
      </c>
      <c r="AM99" s="3">
        <v>10.8</v>
      </c>
      <c r="AN99" s="3">
        <v>10.86</v>
      </c>
      <c r="AO99" s="3">
        <v>10.59</v>
      </c>
      <c r="AP99" s="3">
        <v>10.59</v>
      </c>
      <c r="AQ99" s="47">
        <v>10.8</v>
      </c>
      <c r="AR99" s="47">
        <v>10.59</v>
      </c>
      <c r="AS99" s="3">
        <v>25.78</v>
      </c>
      <c r="AT99" s="3">
        <v>26.64</v>
      </c>
      <c r="AU99" s="3">
        <v>28.53</v>
      </c>
      <c r="AV99" s="3">
        <v>28.99</v>
      </c>
      <c r="AW99" s="3"/>
      <c r="AX99" s="48">
        <v>28.99</v>
      </c>
      <c r="AY99" s="3"/>
      <c r="AZ99" s="3">
        <v>8</v>
      </c>
      <c r="BA99" s="3">
        <v>280</v>
      </c>
      <c r="BB99" s="3">
        <v>9</v>
      </c>
      <c r="BC99" s="3">
        <v>279</v>
      </c>
      <c r="BD99" s="40">
        <v>1186.4472763144743</v>
      </c>
      <c r="BE99" s="40">
        <v>1129.0157873959893</v>
      </c>
      <c r="BF99" s="40"/>
      <c r="BG99" s="40">
        <v>542.58536301397248</v>
      </c>
      <c r="BH99" s="40">
        <v>521.91697498347992</v>
      </c>
      <c r="BI99" s="49">
        <v>2315.4630637104638</v>
      </c>
      <c r="BJ99" s="49">
        <v>1064.5023379974523</v>
      </c>
      <c r="BK99" s="66">
        <v>5.0868632272138115E-2</v>
      </c>
      <c r="BL99" s="66">
        <v>3.9600911679768203E-2</v>
      </c>
      <c r="BM99" s="51">
        <v>36.988227854799739</v>
      </c>
      <c r="BN99" s="51">
        <v>17.004829680470483</v>
      </c>
      <c r="BO99" s="52">
        <v>341</v>
      </c>
      <c r="BP99" s="40">
        <v>300</v>
      </c>
      <c r="BQ99" s="40">
        <v>341</v>
      </c>
      <c r="BR99" s="67">
        <v>-0.12023460410557185</v>
      </c>
      <c r="BS99" s="54">
        <v>5.119808306709265</v>
      </c>
      <c r="BT99" s="3">
        <v>162</v>
      </c>
      <c r="BU99" s="40">
        <v>160</v>
      </c>
      <c r="BV99" s="3">
        <v>135</v>
      </c>
      <c r="BW99" s="3">
        <v>148</v>
      </c>
      <c r="BX99" s="70">
        <v>1.2499999999999956E-2</v>
      </c>
      <c r="BY99" s="70">
        <v>-8.7837837837837829E-2</v>
      </c>
      <c r="BZ99" s="59">
        <v>1.0810810810810811</v>
      </c>
      <c r="CA99" s="59">
        <v>1.2</v>
      </c>
      <c r="CB99" s="59">
        <v>2.0227875399361026</v>
      </c>
      <c r="CC99" s="59">
        <v>1.7777915335463264</v>
      </c>
      <c r="CD99" s="60">
        <v>93</v>
      </c>
      <c r="CE99" s="60">
        <v>109</v>
      </c>
      <c r="CF99" s="61">
        <v>1.485623003194888</v>
      </c>
      <c r="CG99" s="61">
        <v>1.7412140575079871</v>
      </c>
      <c r="CH99" s="61">
        <v>1.1720430107526882</v>
      </c>
      <c r="CI99" s="41"/>
      <c r="CJ99" s="40"/>
      <c r="CK99" s="3"/>
      <c r="CL99" s="62"/>
      <c r="CM99" s="63" t="s">
        <v>110</v>
      </c>
      <c r="CN99" s="3">
        <v>162</v>
      </c>
      <c r="CO99" s="3">
        <v>148</v>
      </c>
      <c r="CP99" s="41">
        <v>17.647222222222222</v>
      </c>
      <c r="CQ99" s="3" t="s">
        <v>110</v>
      </c>
      <c r="CR99" s="40">
        <v>161</v>
      </c>
      <c r="CS99" s="40">
        <v>141.5</v>
      </c>
      <c r="CT99" s="40">
        <v>320.5</v>
      </c>
      <c r="CU99" s="40"/>
      <c r="CV99" s="40"/>
      <c r="CW99" s="40"/>
      <c r="CX99" s="40"/>
      <c r="CY99" s="40">
        <v>0</v>
      </c>
      <c r="CZ99" s="40"/>
      <c r="DA99" s="40"/>
    </row>
    <row r="100" spans="1:105" ht="15.95" customHeight="1">
      <c r="A100" s="3">
        <v>238</v>
      </c>
      <c r="B100" s="38" t="s">
        <v>103</v>
      </c>
      <c r="C100" s="3" t="s">
        <v>104</v>
      </c>
      <c r="D100" s="3" t="s">
        <v>105</v>
      </c>
      <c r="E100" s="39">
        <v>44505</v>
      </c>
      <c r="F100" s="3" t="s">
        <v>106</v>
      </c>
      <c r="G100" s="3" t="s">
        <v>107</v>
      </c>
      <c r="H100" s="40">
        <v>2004</v>
      </c>
      <c r="I100" s="40" t="s">
        <v>121</v>
      </c>
      <c r="J100" s="40" t="s">
        <v>120</v>
      </c>
      <c r="K100" s="3">
        <v>160</v>
      </c>
      <c r="L100" s="3">
        <v>160.19999999999999</v>
      </c>
      <c r="M100" s="3"/>
      <c r="N100" s="3">
        <v>136.9</v>
      </c>
      <c r="O100" s="3">
        <v>136.5</v>
      </c>
      <c r="P100" s="3">
        <v>136.5</v>
      </c>
      <c r="Q100" s="3">
        <v>57.3</v>
      </c>
      <c r="R100" s="3">
        <v>57.3</v>
      </c>
      <c r="S100" s="3"/>
      <c r="T100" s="42">
        <v>160.1</v>
      </c>
      <c r="U100" s="42">
        <f>AVERAGE(paper3[[#This Row],[Sittende høyde 1]:[Sittende høyde 3]])-56.2</f>
        <v>80.433333333333323</v>
      </c>
      <c r="V100" s="12">
        <f>paper3[[#This Row],[height]]-paper3[[#This Row],[sittingheight]]</f>
        <v>79.666666666666671</v>
      </c>
      <c r="W100" s="73">
        <v>57.3</v>
      </c>
      <c r="X100" s="43" cm="1">
        <f t="array" ref="X100">INDEX([1]!phvny[yphv], MATCH(1, (paper3[[#This Row],[id]]=[1]!phvny[id])*(paper3[[#This Row],[time]]=[1]!phvny[time]), 0))</f>
        <v>2.9358187213113323</v>
      </c>
      <c r="Y100" s="3"/>
      <c r="Z100" s="3">
        <v>3.46</v>
      </c>
      <c r="AA100" s="3"/>
      <c r="AB100" s="3">
        <v>2</v>
      </c>
      <c r="AC100" s="3">
        <v>3.41</v>
      </c>
      <c r="AD100" s="3">
        <v>4.7699999999999996</v>
      </c>
      <c r="AE100" s="3">
        <v>2.06</v>
      </c>
      <c r="AF100" s="3"/>
      <c r="AG100" s="3">
        <v>4.8</v>
      </c>
      <c r="AH100" s="44">
        <v>2</v>
      </c>
      <c r="AI100" s="44">
        <v>3.41</v>
      </c>
      <c r="AJ100" s="44">
        <v>4.7699999999999996</v>
      </c>
      <c r="AK100" s="45">
        <v>7.3529411764705914</v>
      </c>
      <c r="AL100" s="3">
        <v>10.77</v>
      </c>
      <c r="AM100" s="3">
        <v>10.47</v>
      </c>
      <c r="AN100" s="3">
        <v>10.65</v>
      </c>
      <c r="AO100" s="3">
        <v>10.7</v>
      </c>
      <c r="AP100" s="3">
        <v>10.47</v>
      </c>
      <c r="AQ100" s="47">
        <v>10.47</v>
      </c>
      <c r="AR100" s="47">
        <v>10.65</v>
      </c>
      <c r="AS100" s="3">
        <v>34.549999999999997</v>
      </c>
      <c r="AT100" s="3">
        <v>32</v>
      </c>
      <c r="AU100" s="3">
        <v>32.53</v>
      </c>
      <c r="AV100" s="3"/>
      <c r="AW100" s="3"/>
      <c r="AX100" s="48">
        <v>34.549999999999997</v>
      </c>
      <c r="AY100" s="3"/>
      <c r="AZ100" s="3">
        <v>8</v>
      </c>
      <c r="BA100" s="3">
        <v>280</v>
      </c>
      <c r="BB100" s="3">
        <v>9</v>
      </c>
      <c r="BC100" s="3">
        <v>279</v>
      </c>
      <c r="BD100" s="40">
        <v>1115.5470506543015</v>
      </c>
      <c r="BE100" s="40">
        <v>1189.8234154708537</v>
      </c>
      <c r="BF100" s="40"/>
      <c r="BG100" s="40">
        <v>494.09667577816668</v>
      </c>
      <c r="BH100" s="40">
        <v>474.01625418717401</v>
      </c>
      <c r="BI100" s="49">
        <v>2305.370466125155</v>
      </c>
      <c r="BJ100" s="49">
        <v>968.11292996534075</v>
      </c>
      <c r="BK100" s="66">
        <v>-6.2426376763780933E-2</v>
      </c>
      <c r="BL100" s="66">
        <v>4.2362305962325708E-2</v>
      </c>
      <c r="BM100" s="51">
        <v>40.233341468152794</v>
      </c>
      <c r="BN100" s="51">
        <v>16.895513611960574</v>
      </c>
      <c r="BO100" s="52">
        <v>279</v>
      </c>
      <c r="BP100" s="40">
        <v>279</v>
      </c>
      <c r="BQ100" s="40">
        <v>278</v>
      </c>
      <c r="BR100" s="67">
        <v>3.597122302158251E-3</v>
      </c>
      <c r="BS100" s="54">
        <v>4.8603839441535781</v>
      </c>
      <c r="BT100" s="3">
        <v>146</v>
      </c>
      <c r="BU100" s="40">
        <v>138</v>
      </c>
      <c r="BV100" s="3">
        <v>122</v>
      </c>
      <c r="BW100" s="3">
        <v>128</v>
      </c>
      <c r="BX100" s="70">
        <v>5.7971014492753659E-2</v>
      </c>
      <c r="BY100" s="70">
        <v>-4.6875E-2</v>
      </c>
      <c r="BZ100" s="59">
        <v>1.078125</v>
      </c>
      <c r="CA100" s="59">
        <v>1.1967213114754098</v>
      </c>
      <c r="CB100" s="59">
        <v>1.9742873763816176</v>
      </c>
      <c r="CC100" s="59">
        <v>1.7379290285049449</v>
      </c>
      <c r="CD100" s="60">
        <v>92</v>
      </c>
      <c r="CE100" s="60">
        <v>76</v>
      </c>
      <c r="CF100" s="61">
        <v>1.6055846422338569</v>
      </c>
      <c r="CG100" s="61">
        <v>1.3263525305410122</v>
      </c>
      <c r="CH100" s="61">
        <v>0.82608695652173914</v>
      </c>
      <c r="CI100" s="41">
        <v>14.7</v>
      </c>
      <c r="CJ100" s="40">
        <f>VLOOKUP(paper3[[#This Row],[YYIR nivå]],$DB:$DC,2)</f>
        <v>720</v>
      </c>
      <c r="CK100" s="3"/>
      <c r="CL100" s="62"/>
      <c r="CM100" s="63" t="s">
        <v>110</v>
      </c>
      <c r="CN100" s="3">
        <v>146</v>
      </c>
      <c r="CO100" s="3">
        <v>128</v>
      </c>
      <c r="CP100" s="41">
        <v>16.95</v>
      </c>
      <c r="CQ100" s="3" t="s">
        <v>110</v>
      </c>
      <c r="CR100" s="40">
        <v>142</v>
      </c>
      <c r="CS100" s="40">
        <v>125</v>
      </c>
      <c r="CT100" s="40">
        <v>278.5</v>
      </c>
      <c r="CU100" s="40"/>
      <c r="CV100" s="40"/>
      <c r="CW100" s="40"/>
      <c r="CX100" s="40"/>
      <c r="CY100" s="40">
        <v>0</v>
      </c>
      <c r="CZ100" s="40"/>
      <c r="DA100" s="40"/>
    </row>
    <row r="101" spans="1:105" ht="15.95" customHeight="1">
      <c r="A101" s="3">
        <v>239</v>
      </c>
      <c r="B101" s="38" t="s">
        <v>103</v>
      </c>
      <c r="C101" s="3" t="s">
        <v>115</v>
      </c>
      <c r="D101" s="3" t="s">
        <v>105</v>
      </c>
      <c r="E101" s="39">
        <v>44505</v>
      </c>
      <c r="F101" s="3" t="s">
        <v>106</v>
      </c>
      <c r="G101" s="3" t="s">
        <v>107</v>
      </c>
      <c r="H101" s="40">
        <v>2004</v>
      </c>
      <c r="I101" s="40" t="s">
        <v>121</v>
      </c>
      <c r="J101" s="40" t="s">
        <v>120</v>
      </c>
      <c r="K101" s="3">
        <v>169.5</v>
      </c>
      <c r="L101" s="3">
        <v>169.5</v>
      </c>
      <c r="M101" s="3"/>
      <c r="N101" s="3">
        <v>149.1</v>
      </c>
      <c r="O101" s="3">
        <v>149.1</v>
      </c>
      <c r="P101" s="3"/>
      <c r="Q101" s="3">
        <v>74.099999999999994</v>
      </c>
      <c r="R101" s="3">
        <v>74.2</v>
      </c>
      <c r="S101" s="3"/>
      <c r="T101" s="42">
        <v>169.5</v>
      </c>
      <c r="U101" s="42">
        <f>AVERAGE(paper3[[#This Row],[Sittende høyde 1]:[Sittende høyde 3]])-56.2</f>
        <v>92.899999999999991</v>
      </c>
      <c r="V101" s="12">
        <f>paper3[[#This Row],[height]]-paper3[[#This Row],[sittingheight]]</f>
        <v>76.600000000000009</v>
      </c>
      <c r="W101" s="73">
        <v>74.150000000000006</v>
      </c>
      <c r="X101" s="43" cm="1">
        <f t="array" ref="X101">INDEX([1]!phvny[yphv], MATCH(1, (paper3[[#This Row],[id]]=[1]!phvny[id])*(paper3[[#This Row],[time]]=[1]!phvny[time]), 0))</f>
        <v>3.9891141133638164</v>
      </c>
      <c r="Y101" s="3">
        <v>2.2599999999999998</v>
      </c>
      <c r="Z101" s="3">
        <v>3.82</v>
      </c>
      <c r="AA101" s="3">
        <v>5.24</v>
      </c>
      <c r="AB101" s="3">
        <v>2.2200000000000002</v>
      </c>
      <c r="AC101" s="3">
        <v>3.72</v>
      </c>
      <c r="AD101" s="3">
        <v>5.14</v>
      </c>
      <c r="AE101" s="3">
        <v>2.33</v>
      </c>
      <c r="AF101" s="57">
        <v>3.77</v>
      </c>
      <c r="AG101" s="3">
        <v>5.24</v>
      </c>
      <c r="AH101" s="44">
        <v>2.2200000000000002</v>
      </c>
      <c r="AI101" s="44">
        <v>3.72</v>
      </c>
      <c r="AJ101" s="44">
        <v>5.14</v>
      </c>
      <c r="AK101" s="45">
        <v>7.0422535211267627</v>
      </c>
      <c r="AL101" s="3">
        <v>11.45</v>
      </c>
      <c r="AM101" s="87"/>
      <c r="AN101" s="3">
        <v>11.62</v>
      </c>
      <c r="AO101" s="3">
        <v>11.46</v>
      </c>
      <c r="AP101" s="3">
        <v>11.45</v>
      </c>
      <c r="AQ101" s="47">
        <v>11.45</v>
      </c>
      <c r="AR101" s="47">
        <v>11.46</v>
      </c>
      <c r="AS101" s="3">
        <v>27.96</v>
      </c>
      <c r="AT101" s="3">
        <v>28.9</v>
      </c>
      <c r="AU101" s="3">
        <v>28.18</v>
      </c>
      <c r="AV101" s="3"/>
      <c r="AW101" s="3"/>
      <c r="AX101" s="48">
        <v>28.9</v>
      </c>
      <c r="AY101" s="3"/>
      <c r="AZ101" s="3"/>
      <c r="BA101" s="3"/>
      <c r="BB101" s="3"/>
      <c r="BC101" s="3"/>
      <c r="BD101" s="40"/>
      <c r="BE101" s="40"/>
      <c r="BF101" s="40"/>
      <c r="BG101" s="40"/>
      <c r="BH101" s="40"/>
      <c r="BI101" s="49"/>
      <c r="BJ101" s="49"/>
      <c r="BK101" s="66"/>
      <c r="BL101" s="66"/>
      <c r="BM101" s="51"/>
      <c r="BN101" s="51"/>
      <c r="BO101" s="52">
        <v>344</v>
      </c>
      <c r="BP101" s="40">
        <v>344</v>
      </c>
      <c r="BQ101" s="40">
        <v>315</v>
      </c>
      <c r="BR101" s="67">
        <v>9.2063492063491958E-2</v>
      </c>
      <c r="BS101" s="54">
        <v>4.4436952124072819</v>
      </c>
      <c r="BT101" s="3">
        <v>219</v>
      </c>
      <c r="BU101" s="40">
        <v>220</v>
      </c>
      <c r="BV101" s="3">
        <v>170</v>
      </c>
      <c r="BW101" s="3">
        <v>187</v>
      </c>
      <c r="BX101" s="70">
        <v>-4.5454545454545192E-3</v>
      </c>
      <c r="BY101" s="70">
        <v>-9.0909090909090939E-2</v>
      </c>
      <c r="BZ101" s="59">
        <v>1.1764705882352942</v>
      </c>
      <c r="CA101" s="59">
        <v>1.2882352941176471</v>
      </c>
      <c r="CB101" s="59">
        <v>2.2675252865812543</v>
      </c>
      <c r="CC101" s="59">
        <v>1.8439784221173299</v>
      </c>
      <c r="CD101" s="60">
        <v>87</v>
      </c>
      <c r="CE101" s="60">
        <v>83</v>
      </c>
      <c r="CF101" s="61">
        <v>1.1732973701955496</v>
      </c>
      <c r="CG101" s="61">
        <v>1.119352663519892</v>
      </c>
      <c r="CH101" s="61">
        <v>0.95402298850574707</v>
      </c>
      <c r="CI101" s="41"/>
      <c r="CJ101" s="40"/>
      <c r="CK101" s="3"/>
      <c r="CL101" s="62"/>
      <c r="CM101" s="63" t="s">
        <v>110</v>
      </c>
      <c r="CN101" s="3">
        <v>220</v>
      </c>
      <c r="CO101" s="3">
        <v>187</v>
      </c>
      <c r="CP101" s="41">
        <v>16.847222222222221</v>
      </c>
      <c r="CQ101" s="3" t="s">
        <v>110</v>
      </c>
      <c r="CR101" s="40">
        <v>219.5</v>
      </c>
      <c r="CS101" s="40">
        <v>178.5</v>
      </c>
      <c r="CT101" s="40">
        <v>329.5</v>
      </c>
      <c r="CU101" s="40"/>
      <c r="CV101" s="40"/>
      <c r="CW101" s="40"/>
      <c r="CX101" s="40"/>
      <c r="CY101" s="40">
        <v>0</v>
      </c>
      <c r="CZ101" s="40"/>
      <c r="DA101" s="40"/>
    </row>
    <row r="102" spans="1:105" ht="15.95" customHeight="1">
      <c r="A102" s="3">
        <v>241</v>
      </c>
      <c r="B102" s="38" t="s">
        <v>103</v>
      </c>
      <c r="C102" s="3" t="s">
        <v>104</v>
      </c>
      <c r="D102" s="3" t="s">
        <v>105</v>
      </c>
      <c r="E102" s="39">
        <v>44505</v>
      </c>
      <c r="F102" s="3" t="s">
        <v>106</v>
      </c>
      <c r="G102" s="3" t="s">
        <v>107</v>
      </c>
      <c r="H102" s="40">
        <v>2006</v>
      </c>
      <c r="I102" s="40" t="s">
        <v>116</v>
      </c>
      <c r="J102" s="40" t="s">
        <v>117</v>
      </c>
      <c r="K102" s="3">
        <v>161.80000000000001</v>
      </c>
      <c r="L102" s="3">
        <v>161.80000000000001</v>
      </c>
      <c r="M102" s="3"/>
      <c r="N102" s="3">
        <v>143.80000000000001</v>
      </c>
      <c r="O102" s="3">
        <v>143.6</v>
      </c>
      <c r="P102" s="3"/>
      <c r="Q102" s="3">
        <v>58.3</v>
      </c>
      <c r="R102" s="3">
        <v>58.3</v>
      </c>
      <c r="S102" s="3"/>
      <c r="T102" s="42">
        <v>161.80000000000001</v>
      </c>
      <c r="U102" s="42">
        <f>AVERAGE(paper3[[#This Row],[Sittende høyde 1]:[Sittende høyde 3]])-56.2</f>
        <v>87.499999999999986</v>
      </c>
      <c r="V102" s="12">
        <f>paper3[[#This Row],[height]]-paper3[[#This Row],[sittingheight]]</f>
        <v>74.300000000000026</v>
      </c>
      <c r="W102" s="73">
        <v>58.3</v>
      </c>
      <c r="X102" s="43" cm="1">
        <f t="array" ref="X102">INDEX([1]!phvny[yphv], MATCH(1, (paper3[[#This Row],[id]]=[1]!phvny[id])*(paper3[[#This Row],[time]]=[1]!phvny[time]), 0))</f>
        <v>2.5143097909387437</v>
      </c>
      <c r="Y102" s="3">
        <v>2.12</v>
      </c>
      <c r="Z102" s="3">
        <v>3.62</v>
      </c>
      <c r="AA102" s="3">
        <v>5.14</v>
      </c>
      <c r="AB102" s="3">
        <v>2.09</v>
      </c>
      <c r="AC102" s="3">
        <v>3.53</v>
      </c>
      <c r="AD102" s="3">
        <v>5.05</v>
      </c>
      <c r="AE102" s="3">
        <v>2.13</v>
      </c>
      <c r="AF102" s="3">
        <v>3.62</v>
      </c>
      <c r="AG102" s="3">
        <v>5.07</v>
      </c>
      <c r="AH102" s="44">
        <v>2.09</v>
      </c>
      <c r="AI102" s="44">
        <v>3.53</v>
      </c>
      <c r="AJ102" s="44">
        <v>5.05</v>
      </c>
      <c r="AK102" s="45">
        <v>6.5789473684210522</v>
      </c>
      <c r="AL102" s="3">
        <v>11.96</v>
      </c>
      <c r="AM102" s="3">
        <v>11.42</v>
      </c>
      <c r="AN102" s="3">
        <v>11.5</v>
      </c>
      <c r="AO102" s="3">
        <v>11.18</v>
      </c>
      <c r="AP102" s="3">
        <v>11.18</v>
      </c>
      <c r="AQ102" s="47">
        <v>11.42</v>
      </c>
      <c r="AR102" s="47">
        <v>11.18</v>
      </c>
      <c r="AS102" s="3">
        <v>22.76</v>
      </c>
      <c r="AT102" s="3">
        <v>23.7</v>
      </c>
      <c r="AU102" s="3">
        <v>24.56</v>
      </c>
      <c r="AV102" s="3">
        <v>25.61</v>
      </c>
      <c r="AW102" s="3">
        <v>21.39</v>
      </c>
      <c r="AX102" s="48">
        <v>25.61</v>
      </c>
      <c r="AY102" s="3"/>
      <c r="AZ102" s="3">
        <v>7</v>
      </c>
      <c r="BA102" s="3">
        <v>260</v>
      </c>
      <c r="BB102" s="3">
        <v>9</v>
      </c>
      <c r="BC102" s="3">
        <v>259</v>
      </c>
      <c r="BD102" s="40">
        <v>908.95514007791894</v>
      </c>
      <c r="BE102" s="40">
        <v>967.98377617948836</v>
      </c>
      <c r="BF102" s="40"/>
      <c r="BG102" s="40">
        <v>229.76499624399847</v>
      </c>
      <c r="BH102" s="40">
        <v>281.26125758670366</v>
      </c>
      <c r="BI102" s="49">
        <v>1876.9389162574073</v>
      </c>
      <c r="BJ102" s="49">
        <v>511.0262538307021</v>
      </c>
      <c r="BK102" s="66">
        <v>-6.0981018023409606E-2</v>
      </c>
      <c r="BL102" s="66">
        <v>-0.18309048954895812</v>
      </c>
      <c r="BM102" s="51">
        <v>32.194492560161365</v>
      </c>
      <c r="BN102" s="51">
        <v>8.765458899325937</v>
      </c>
      <c r="BO102" s="52">
        <v>194</v>
      </c>
      <c r="BP102" s="40">
        <v>168</v>
      </c>
      <c r="BQ102" s="40">
        <v>194</v>
      </c>
      <c r="BR102" s="67">
        <v>-0.134020618556701</v>
      </c>
      <c r="BS102" s="54">
        <v>3.1046312178387652</v>
      </c>
      <c r="BT102" s="3">
        <v>113</v>
      </c>
      <c r="BU102" s="40">
        <v>117</v>
      </c>
      <c r="BV102" s="3">
        <v>74</v>
      </c>
      <c r="BW102" s="3">
        <v>84</v>
      </c>
      <c r="BX102" s="70">
        <v>-3.4188034188034178E-2</v>
      </c>
      <c r="BY102" s="70">
        <v>-0.11904761904761907</v>
      </c>
      <c r="BZ102" s="59">
        <v>1.3928571428571428</v>
      </c>
      <c r="CA102" s="59">
        <v>1.527027027027027</v>
      </c>
      <c r="CB102" s="59">
        <v>1.4656089193825048</v>
      </c>
      <c r="CC102" s="59">
        <v>1.0068096054888511</v>
      </c>
      <c r="CD102" s="60">
        <v>61</v>
      </c>
      <c r="CE102" s="60">
        <v>58</v>
      </c>
      <c r="CF102" s="61">
        <v>1.0463121783876501</v>
      </c>
      <c r="CG102" s="61">
        <v>0.99485420240137223</v>
      </c>
      <c r="CH102" s="61">
        <v>0.95081967213114749</v>
      </c>
      <c r="CI102" s="41">
        <v>14.2</v>
      </c>
      <c r="CJ102" s="40">
        <f>VLOOKUP(paper3[[#This Row],[YYIR nivå]],$DB:$DC,2)</f>
        <v>520</v>
      </c>
      <c r="CK102" s="3" t="s">
        <v>112</v>
      </c>
      <c r="CL102" s="62"/>
      <c r="CM102" s="63" t="s">
        <v>110</v>
      </c>
      <c r="CN102" s="3">
        <v>117</v>
      </c>
      <c r="CO102" s="3">
        <v>84</v>
      </c>
      <c r="CP102" s="41">
        <v>15.194444444444445</v>
      </c>
      <c r="CQ102" s="3" t="s">
        <v>110</v>
      </c>
      <c r="CR102" s="40">
        <v>115</v>
      </c>
      <c r="CS102" s="40">
        <v>79</v>
      </c>
      <c r="CT102" s="40">
        <v>181</v>
      </c>
      <c r="CU102" s="40"/>
      <c r="CV102" s="40"/>
      <c r="CW102" s="40"/>
      <c r="CX102" s="40"/>
      <c r="CY102" s="40">
        <v>0</v>
      </c>
      <c r="CZ102" s="40"/>
      <c r="DA102" s="40"/>
    </row>
    <row r="103" spans="1:105" ht="15.75" customHeight="1">
      <c r="A103" s="3">
        <v>242</v>
      </c>
      <c r="B103" s="38" t="s">
        <v>103</v>
      </c>
      <c r="C103" s="3" t="s">
        <v>171</v>
      </c>
      <c r="D103" s="3" t="s">
        <v>105</v>
      </c>
      <c r="E103" s="39">
        <v>44505</v>
      </c>
      <c r="F103" s="3" t="s">
        <v>106</v>
      </c>
      <c r="G103" s="3" t="s">
        <v>107</v>
      </c>
      <c r="H103" s="40">
        <v>2006</v>
      </c>
      <c r="I103" s="40" t="s">
        <v>116</v>
      </c>
      <c r="J103" s="40" t="s">
        <v>117</v>
      </c>
      <c r="K103" s="3">
        <v>170.8</v>
      </c>
      <c r="L103" s="3">
        <v>170.9</v>
      </c>
      <c r="M103" s="3"/>
      <c r="N103" s="3">
        <v>147.80000000000001</v>
      </c>
      <c r="O103" s="3">
        <v>148</v>
      </c>
      <c r="P103" s="3"/>
      <c r="Q103" s="3">
        <v>59.9</v>
      </c>
      <c r="R103" s="3">
        <v>59.9</v>
      </c>
      <c r="S103" s="3"/>
      <c r="T103" s="42">
        <v>170.85000000000002</v>
      </c>
      <c r="U103" s="42">
        <f>AVERAGE(paper3[[#This Row],[Sittende høyde 1]:[Sittende høyde 3]])-56.2</f>
        <v>91.7</v>
      </c>
      <c r="V103" s="12">
        <f>paper3[[#This Row],[height]]-paper3[[#This Row],[sittingheight]]</f>
        <v>79.15000000000002</v>
      </c>
      <c r="W103" s="73">
        <v>59.9</v>
      </c>
      <c r="X103" s="43" cm="1">
        <f t="array" ref="X103">INDEX([1]!phvny[yphv], MATCH(1, (paper3[[#This Row],[id]]=[1]!phvny[id])*(paper3[[#This Row],[time]]=[1]!phvny[time]), 0))</f>
        <v>3.0980903284997567</v>
      </c>
      <c r="Y103" s="3">
        <v>2.09</v>
      </c>
      <c r="Z103" s="3">
        <v>3.56</v>
      </c>
      <c r="AA103" s="3">
        <v>4.95</v>
      </c>
      <c r="AB103" s="3"/>
      <c r="AC103" s="3"/>
      <c r="AD103" s="3"/>
      <c r="AE103" s="3">
        <v>2.09</v>
      </c>
      <c r="AF103" s="57">
        <v>3.56</v>
      </c>
      <c r="AG103" s="3">
        <v>4.95</v>
      </c>
      <c r="AH103" s="44">
        <v>2.09</v>
      </c>
      <c r="AI103" s="44">
        <v>3.56</v>
      </c>
      <c r="AJ103" s="44">
        <v>4.95</v>
      </c>
      <c r="AK103" s="45">
        <v>7.1942446043165464</v>
      </c>
      <c r="AL103" s="57">
        <v>10.78</v>
      </c>
      <c r="AM103" s="57">
        <v>10.7</v>
      </c>
      <c r="AN103" s="3">
        <v>10.58</v>
      </c>
      <c r="AO103" s="3">
        <v>10.54</v>
      </c>
      <c r="AP103" s="3">
        <v>10.54</v>
      </c>
      <c r="AQ103" s="47">
        <v>10.7</v>
      </c>
      <c r="AR103" s="47">
        <v>10.54</v>
      </c>
      <c r="AS103" s="3">
        <v>26.29</v>
      </c>
      <c r="AT103" s="3">
        <v>26.75</v>
      </c>
      <c r="AU103" s="3">
        <v>27.39</v>
      </c>
      <c r="AV103" s="3"/>
      <c r="AW103" s="3"/>
      <c r="AX103" s="48">
        <v>27.39</v>
      </c>
      <c r="AY103" s="3"/>
      <c r="AZ103" s="3">
        <v>8</v>
      </c>
      <c r="BA103" s="3">
        <v>280</v>
      </c>
      <c r="BB103" s="3">
        <v>8</v>
      </c>
      <c r="BC103" s="3">
        <v>253</v>
      </c>
      <c r="BD103" s="40">
        <v>1166.1099514566081</v>
      </c>
      <c r="BE103" s="40">
        <v>1049.5524169273199</v>
      </c>
      <c r="BF103" s="40"/>
      <c r="BG103" s="40">
        <v>413.31407495118498</v>
      </c>
      <c r="BH103" s="40">
        <v>384.57796662190424</v>
      </c>
      <c r="BI103" s="49">
        <v>2215.662368383928</v>
      </c>
      <c r="BJ103" s="49">
        <v>797.89204157308927</v>
      </c>
      <c r="BK103" s="66">
        <v>0.11105451490505192</v>
      </c>
      <c r="BL103" s="66">
        <v>7.4721151036539979E-2</v>
      </c>
      <c r="BM103" s="51">
        <v>36.989355064840204</v>
      </c>
      <c r="BN103" s="51">
        <v>13.32040136182119</v>
      </c>
      <c r="BO103" s="52">
        <v>292</v>
      </c>
      <c r="BP103" s="40">
        <v>261</v>
      </c>
      <c r="BQ103" s="40">
        <v>292</v>
      </c>
      <c r="BR103" s="67">
        <v>-0.10616438356164382</v>
      </c>
      <c r="BS103" s="54">
        <v>4.6160267111853086</v>
      </c>
      <c r="BT103" s="3">
        <v>172</v>
      </c>
      <c r="BU103" s="40">
        <v>156</v>
      </c>
      <c r="BV103" s="3">
        <v>143</v>
      </c>
      <c r="BW103" s="3">
        <v>163</v>
      </c>
      <c r="BX103" s="70">
        <v>0.10256410256410264</v>
      </c>
      <c r="BY103" s="70">
        <v>-0.12269938650306744</v>
      </c>
      <c r="BZ103" s="59">
        <v>0.95705521472392641</v>
      </c>
      <c r="CA103" s="59">
        <v>1.2027972027972027</v>
      </c>
      <c r="CB103" s="59">
        <v>2.1670450751252095</v>
      </c>
      <c r="CC103" s="59">
        <v>2.0216944908180308</v>
      </c>
      <c r="CD103" s="60">
        <v>77</v>
      </c>
      <c r="CE103" s="60">
        <v>78</v>
      </c>
      <c r="CF103" s="61">
        <v>1.2854757929883138</v>
      </c>
      <c r="CG103" s="61">
        <v>1.302170283806344</v>
      </c>
      <c r="CH103" s="61">
        <v>1.0129870129870131</v>
      </c>
      <c r="CI103" s="41"/>
      <c r="CJ103" s="40"/>
      <c r="CK103" s="3"/>
      <c r="CL103" s="62"/>
      <c r="CM103" s="63" t="s">
        <v>110</v>
      </c>
      <c r="CN103" s="3">
        <v>172</v>
      </c>
      <c r="CO103" s="3">
        <v>163</v>
      </c>
      <c r="CP103" s="41">
        <v>15.277777777777779</v>
      </c>
      <c r="CQ103" s="3" t="s">
        <v>110</v>
      </c>
      <c r="CR103" s="40">
        <v>164</v>
      </c>
      <c r="CS103" s="40">
        <v>153</v>
      </c>
      <c r="CT103" s="40">
        <v>276.5</v>
      </c>
      <c r="CU103" s="40"/>
      <c r="CV103" s="40"/>
      <c r="CW103" s="40"/>
      <c r="CX103" s="40"/>
      <c r="CY103" s="40">
        <v>0</v>
      </c>
      <c r="CZ103" s="40"/>
      <c r="DA103" s="40"/>
    </row>
    <row r="104" spans="1:105" ht="15.95" customHeight="1">
      <c r="A104" s="3">
        <v>243</v>
      </c>
      <c r="B104" s="38" t="s">
        <v>103</v>
      </c>
      <c r="C104" s="3" t="s">
        <v>115</v>
      </c>
      <c r="D104" s="3" t="s">
        <v>105</v>
      </c>
      <c r="E104" s="39">
        <v>44505</v>
      </c>
      <c r="F104" s="3" t="s">
        <v>106</v>
      </c>
      <c r="G104" s="3" t="s">
        <v>107</v>
      </c>
      <c r="H104" s="40">
        <v>2006</v>
      </c>
      <c r="I104" s="40" t="s">
        <v>116</v>
      </c>
      <c r="J104" s="40" t="s">
        <v>117</v>
      </c>
      <c r="K104" s="3">
        <v>171.4</v>
      </c>
      <c r="L104" s="3">
        <v>171.5</v>
      </c>
      <c r="M104" s="3"/>
      <c r="N104" s="3">
        <v>145.9</v>
      </c>
      <c r="O104" s="3">
        <v>145.80000000000001</v>
      </c>
      <c r="P104" s="3"/>
      <c r="Q104" s="3">
        <v>60.4</v>
      </c>
      <c r="R104" s="3">
        <v>60.4</v>
      </c>
      <c r="S104" s="3"/>
      <c r="T104" s="42">
        <v>171.45</v>
      </c>
      <c r="U104" s="42">
        <f>AVERAGE(paper3[[#This Row],[Sittende høyde 1]:[Sittende høyde 3]])-56.2</f>
        <v>89.65000000000002</v>
      </c>
      <c r="V104" s="12">
        <f>paper3[[#This Row],[height]]-paper3[[#This Row],[sittingheight]]</f>
        <v>81.799999999999969</v>
      </c>
      <c r="W104" s="73">
        <v>60.4</v>
      </c>
      <c r="X104" s="43" cm="1">
        <f t="array" ref="X104">INDEX([1]!phvny[yphv], MATCH(1, (paper3[[#This Row],[id]]=[1]!phvny[id])*(paper3[[#This Row],[time]]=[1]!phvny[time]), 0))</f>
        <v>3.0638869658879422</v>
      </c>
      <c r="Y104" s="3">
        <v>2.23</v>
      </c>
      <c r="Z104" s="3">
        <v>3.75</v>
      </c>
      <c r="AA104" s="3">
        <v>5.19</v>
      </c>
      <c r="AB104" s="3">
        <v>2.2200000000000002</v>
      </c>
      <c r="AC104" s="3">
        <v>3.71</v>
      </c>
      <c r="AD104" s="3">
        <v>5.15</v>
      </c>
      <c r="AE104" s="3">
        <v>2.25</v>
      </c>
      <c r="AF104" s="3">
        <v>3.74</v>
      </c>
      <c r="AG104" s="3">
        <v>5.19</v>
      </c>
      <c r="AH104" s="44">
        <v>2.2200000000000002</v>
      </c>
      <c r="AI104" s="44">
        <v>3.71</v>
      </c>
      <c r="AJ104" s="44">
        <v>5.15</v>
      </c>
      <c r="AK104" s="45">
        <v>6.9444444444444429</v>
      </c>
      <c r="AL104" s="87"/>
      <c r="AM104" s="3">
        <v>11.29</v>
      </c>
      <c r="AN104" s="3">
        <v>11.56</v>
      </c>
      <c r="AO104" s="3">
        <v>11.44</v>
      </c>
      <c r="AP104" s="3">
        <v>11.29</v>
      </c>
      <c r="AQ104" s="47">
        <v>11.29</v>
      </c>
      <c r="AR104" s="47">
        <v>11.44</v>
      </c>
      <c r="AS104" s="3">
        <v>22.89</v>
      </c>
      <c r="AT104" s="3">
        <v>24.37</v>
      </c>
      <c r="AU104" s="3">
        <v>22.69</v>
      </c>
      <c r="AV104" s="3"/>
      <c r="AW104" s="3"/>
      <c r="AX104" s="48">
        <v>24.37</v>
      </c>
      <c r="AY104" s="3"/>
      <c r="AZ104" s="3">
        <v>9</v>
      </c>
      <c r="BA104" s="3">
        <v>220</v>
      </c>
      <c r="BB104" s="3">
        <v>11</v>
      </c>
      <c r="BC104" s="3">
        <v>260</v>
      </c>
      <c r="BD104" s="40">
        <v>974.64725159981231</v>
      </c>
      <c r="BE104" s="40">
        <v>937.75083837284501</v>
      </c>
      <c r="BF104" s="40"/>
      <c r="BG104" s="40">
        <v>354.97425356110239</v>
      </c>
      <c r="BH104" s="40">
        <v>381.51183658271862</v>
      </c>
      <c r="BI104" s="49">
        <v>1912.3980899726573</v>
      </c>
      <c r="BJ104" s="49">
        <v>736.486090143821</v>
      </c>
      <c r="BK104" s="66">
        <v>3.9345646750888363E-2</v>
      </c>
      <c r="BL104" s="66">
        <v>-6.9559003094947003E-2</v>
      </c>
      <c r="BM104" s="51">
        <v>31.662220032659889</v>
      </c>
      <c r="BN104" s="51">
        <v>12.193478313639421</v>
      </c>
      <c r="BO104" s="52">
        <v>271</v>
      </c>
      <c r="BP104" s="40">
        <v>238</v>
      </c>
      <c r="BQ104" s="40">
        <v>271</v>
      </c>
      <c r="BR104" s="67">
        <v>-0.12177121771217714</v>
      </c>
      <c r="BS104" s="54">
        <v>4.2135761589403975</v>
      </c>
      <c r="BT104" s="3">
        <v>121</v>
      </c>
      <c r="BU104" s="40">
        <v>126</v>
      </c>
      <c r="BV104" s="3">
        <v>107</v>
      </c>
      <c r="BW104" s="3">
        <v>111</v>
      </c>
      <c r="BX104" s="70">
        <v>-3.9682539682539653E-2</v>
      </c>
      <c r="BY104" s="70">
        <v>-3.6036036036036001E-2</v>
      </c>
      <c r="BZ104" s="59">
        <v>1.1351351351351351</v>
      </c>
      <c r="CA104" s="59">
        <v>1.1308411214953271</v>
      </c>
      <c r="CB104" s="59">
        <v>1.6725662251655624</v>
      </c>
      <c r="CC104" s="59">
        <v>1.4761920529801318</v>
      </c>
      <c r="CD104" s="60">
        <v>79</v>
      </c>
      <c r="CE104" s="60">
        <v>83</v>
      </c>
      <c r="CF104" s="61">
        <v>1.3079470198675498</v>
      </c>
      <c r="CG104" s="61">
        <v>1.3741721854304636</v>
      </c>
      <c r="CH104" s="61">
        <v>1.0506329113924049</v>
      </c>
      <c r="CI104" s="41">
        <v>14.2</v>
      </c>
      <c r="CJ104" s="40">
        <f>VLOOKUP(paper3[[#This Row],[YYIR nivå]],$DB:$DC,2)</f>
        <v>520</v>
      </c>
      <c r="CK104" s="3" t="s">
        <v>112</v>
      </c>
      <c r="CL104" s="62"/>
      <c r="CM104" s="63" t="s">
        <v>110</v>
      </c>
      <c r="CN104" s="3">
        <v>126</v>
      </c>
      <c r="CO104" s="3">
        <v>111</v>
      </c>
      <c r="CP104" s="41">
        <v>15.375</v>
      </c>
      <c r="CQ104" s="3" t="s">
        <v>110</v>
      </c>
      <c r="CR104" s="40">
        <v>123.5</v>
      </c>
      <c r="CS104" s="40">
        <v>109</v>
      </c>
      <c r="CT104" s="40">
        <v>254.5</v>
      </c>
      <c r="CU104" s="40"/>
      <c r="CV104" s="40"/>
      <c r="CW104" s="40"/>
      <c r="CX104" s="40"/>
      <c r="CY104" s="40" t="s">
        <v>125</v>
      </c>
      <c r="CZ104" s="40"/>
      <c r="DA104" s="40"/>
    </row>
    <row r="105" spans="1:105" ht="15.95" customHeight="1">
      <c r="A105" s="3">
        <v>244</v>
      </c>
      <c r="B105" s="38" t="s">
        <v>103</v>
      </c>
      <c r="C105" s="3" t="s">
        <v>171</v>
      </c>
      <c r="D105" s="3" t="s">
        <v>105</v>
      </c>
      <c r="E105" s="39">
        <v>44505</v>
      </c>
      <c r="F105" s="3" t="s">
        <v>106</v>
      </c>
      <c r="G105" s="3" t="s">
        <v>107</v>
      </c>
      <c r="H105" s="40">
        <v>2006</v>
      </c>
      <c r="I105" s="40" t="s">
        <v>116</v>
      </c>
      <c r="J105" s="40" t="s">
        <v>117</v>
      </c>
      <c r="K105" s="3">
        <v>167.7</v>
      </c>
      <c r="L105" s="3">
        <v>167.9</v>
      </c>
      <c r="M105" s="3"/>
      <c r="N105" s="3">
        <v>142.69999999999999</v>
      </c>
      <c r="O105" s="3">
        <v>143.1</v>
      </c>
      <c r="P105" s="3">
        <v>143.19999999999999</v>
      </c>
      <c r="Q105" s="3">
        <v>57.8</v>
      </c>
      <c r="R105" s="3">
        <v>57.8</v>
      </c>
      <c r="S105" s="3"/>
      <c r="T105" s="42">
        <v>167.8</v>
      </c>
      <c r="U105" s="42">
        <f>AVERAGE(paper3[[#This Row],[Sittende høyde 1]:[Sittende høyde 3]])-56.2</f>
        <v>86.799999999999969</v>
      </c>
      <c r="V105" s="12">
        <f>paper3[[#This Row],[height]]-paper3[[#This Row],[sittingheight]]</f>
        <v>81.000000000000043</v>
      </c>
      <c r="W105" s="73">
        <v>57.8</v>
      </c>
      <c r="X105" s="43" cm="1">
        <f t="array" ref="X105">INDEX([1]!phvny[yphv], MATCH(1, (paper3[[#This Row],[id]]=[1]!phvny[id])*(paper3[[#This Row],[time]]=[1]!phvny[time]), 0))</f>
        <v>2.6665828183234006</v>
      </c>
      <c r="Y105" s="3">
        <v>2.0499999999999998</v>
      </c>
      <c r="Z105" s="3">
        <v>3.54</v>
      </c>
      <c r="AA105" s="3">
        <v>4.88</v>
      </c>
      <c r="AB105" s="3">
        <v>2.09</v>
      </c>
      <c r="AC105" s="3">
        <v>3.54</v>
      </c>
      <c r="AD105" s="3">
        <v>4.93</v>
      </c>
      <c r="AE105" s="3">
        <v>2.11</v>
      </c>
      <c r="AF105" s="57">
        <v>3.5</v>
      </c>
      <c r="AG105" s="3">
        <v>4.93</v>
      </c>
      <c r="AH105" s="44">
        <v>2.0499999999999998</v>
      </c>
      <c r="AI105" s="44">
        <v>3.5</v>
      </c>
      <c r="AJ105" s="44">
        <v>4.88</v>
      </c>
      <c r="AK105" s="45">
        <v>7.2463768115942031</v>
      </c>
      <c r="AL105" s="57">
        <v>10.95</v>
      </c>
      <c r="AM105" s="57">
        <v>10.92</v>
      </c>
      <c r="AN105" s="3">
        <v>10.88</v>
      </c>
      <c r="AO105" s="3">
        <v>10.9</v>
      </c>
      <c r="AP105" s="3">
        <v>10.88</v>
      </c>
      <c r="AQ105" s="47">
        <v>10.92</v>
      </c>
      <c r="AR105" s="47">
        <v>10.88</v>
      </c>
      <c r="AS105" s="3">
        <v>25.35</v>
      </c>
      <c r="AT105" s="3">
        <v>23.94</v>
      </c>
      <c r="AU105" s="3">
        <v>27.65</v>
      </c>
      <c r="AV105" s="3">
        <v>27.5</v>
      </c>
      <c r="AW105" s="3"/>
      <c r="AX105" s="48">
        <v>27.65</v>
      </c>
      <c r="AY105" s="3"/>
      <c r="AZ105" s="3">
        <v>8</v>
      </c>
      <c r="BA105" s="3">
        <v>280</v>
      </c>
      <c r="BB105" s="3">
        <v>7</v>
      </c>
      <c r="BC105" s="3">
        <v>227</v>
      </c>
      <c r="BD105" s="40">
        <v>916.58413585451899</v>
      </c>
      <c r="BE105" s="40">
        <v>923.19877246873466</v>
      </c>
      <c r="BF105" s="40"/>
      <c r="BG105" s="40">
        <v>388.19015222897735</v>
      </c>
      <c r="BH105" s="40">
        <v>383.30215391252818</v>
      </c>
      <c r="BI105" s="49">
        <v>1839.7829083232537</v>
      </c>
      <c r="BJ105" s="49">
        <v>771.49230614150554</v>
      </c>
      <c r="BK105" s="66">
        <v>-7.1649105387427969E-3</v>
      </c>
      <c r="BL105" s="66">
        <v>1.2752337200705233E-2</v>
      </c>
      <c r="BM105" s="51">
        <v>31.830154123239684</v>
      </c>
      <c r="BN105" s="51">
        <v>13.347617753313246</v>
      </c>
      <c r="BO105" s="52">
        <v>211</v>
      </c>
      <c r="BP105" s="89">
        <v>211</v>
      </c>
      <c r="BQ105" s="40">
        <v>181</v>
      </c>
      <c r="BR105" s="67">
        <v>0.16574585635359118</v>
      </c>
      <c r="BS105" s="54">
        <v>3.3910034602076125</v>
      </c>
      <c r="BT105" s="3">
        <v>128</v>
      </c>
      <c r="BU105" s="40">
        <v>125</v>
      </c>
      <c r="BV105" s="3">
        <v>112</v>
      </c>
      <c r="BW105" s="3">
        <v>110</v>
      </c>
      <c r="BX105" s="70">
        <v>2.4000000000000021E-2</v>
      </c>
      <c r="BY105" s="70">
        <v>1.8181818181818077E-2</v>
      </c>
      <c r="BZ105" s="59">
        <v>1.1363636363636365</v>
      </c>
      <c r="CA105" s="59">
        <v>1.1428571428571428</v>
      </c>
      <c r="CB105" s="59">
        <v>1.7727508650519039</v>
      </c>
      <c r="CC105" s="59">
        <v>1.5555363321799316</v>
      </c>
      <c r="CD105" s="60">
        <v>88</v>
      </c>
      <c r="CE105" s="60">
        <v>70</v>
      </c>
      <c r="CF105" s="61">
        <v>1.5224913494809689</v>
      </c>
      <c r="CG105" s="61">
        <v>1.2110726643598617</v>
      </c>
      <c r="CH105" s="61">
        <v>0.79545454545454553</v>
      </c>
      <c r="CI105" s="41">
        <v>15.3</v>
      </c>
      <c r="CJ105" s="40">
        <f>VLOOKUP(paper3[[#This Row],[YYIR nivå]],$DB:$DC,2)</f>
        <v>880</v>
      </c>
      <c r="CK105" s="3" t="s">
        <v>112</v>
      </c>
      <c r="CL105" s="62"/>
      <c r="CM105" s="63" t="s">
        <v>110</v>
      </c>
      <c r="CN105" s="3">
        <v>128</v>
      </c>
      <c r="CO105" s="3">
        <v>112</v>
      </c>
      <c r="CP105" s="41">
        <v>15.180555555555555</v>
      </c>
      <c r="CQ105" s="3" t="s">
        <v>110</v>
      </c>
      <c r="CR105" s="40">
        <v>126.5</v>
      </c>
      <c r="CS105" s="40">
        <v>111</v>
      </c>
      <c r="CT105" s="40">
        <v>196</v>
      </c>
      <c r="CU105" s="40"/>
      <c r="CV105" s="40"/>
      <c r="CW105" s="40"/>
      <c r="CX105" s="40"/>
      <c r="CY105" s="40">
        <v>0</v>
      </c>
      <c r="CZ105" s="40"/>
      <c r="DA105" s="40"/>
    </row>
    <row r="106" spans="1:105" ht="15.95" customHeight="1">
      <c r="A106" s="3">
        <v>245</v>
      </c>
      <c r="B106" s="38" t="s">
        <v>103</v>
      </c>
      <c r="C106" s="3" t="s">
        <v>159</v>
      </c>
      <c r="D106" s="3" t="s">
        <v>105</v>
      </c>
      <c r="E106" s="39">
        <v>44505</v>
      </c>
      <c r="F106" s="3" t="s">
        <v>106</v>
      </c>
      <c r="G106" s="3" t="s">
        <v>107</v>
      </c>
      <c r="H106" s="40">
        <v>2006</v>
      </c>
      <c r="I106" s="40" t="s">
        <v>116</v>
      </c>
      <c r="J106" s="40" t="s">
        <v>117</v>
      </c>
      <c r="K106" s="3">
        <v>163.5</v>
      </c>
      <c r="L106" s="3">
        <v>163.6</v>
      </c>
      <c r="M106" s="3"/>
      <c r="N106" s="3">
        <v>140.19999999999999</v>
      </c>
      <c r="O106" s="3">
        <v>140.19999999999999</v>
      </c>
      <c r="P106" s="3"/>
      <c r="Q106" s="3">
        <v>54</v>
      </c>
      <c r="R106" s="3">
        <v>54</v>
      </c>
      <c r="S106" s="3"/>
      <c r="T106" s="42">
        <v>163.55000000000001</v>
      </c>
      <c r="U106" s="42">
        <f>AVERAGE(paper3[[#This Row],[Sittende høyde 1]:[Sittende høyde 3]])-56.2</f>
        <v>83.999999999999986</v>
      </c>
      <c r="V106" s="12">
        <f>paper3[[#This Row],[height]]-paper3[[#This Row],[sittingheight]]</f>
        <v>79.550000000000026</v>
      </c>
      <c r="W106" s="73">
        <v>54</v>
      </c>
      <c r="X106" s="43" cm="1">
        <f t="array" ref="X106">INDEX([1]!phvny[yphv], MATCH(1, (paper3[[#This Row],[id]]=[1]!phvny[id])*(paper3[[#This Row],[time]]=[1]!phvny[time]), 0))</f>
        <v>1.8560577561350589</v>
      </c>
      <c r="Y106" s="3">
        <v>2.2000000000000002</v>
      </c>
      <c r="Z106" s="3">
        <v>3.73</v>
      </c>
      <c r="AA106" s="3">
        <v>5.12</v>
      </c>
      <c r="AB106" s="3">
        <v>2.1800000000000002</v>
      </c>
      <c r="AC106" s="3">
        <v>3.67</v>
      </c>
      <c r="AD106" s="3">
        <v>5.0999999999999996</v>
      </c>
      <c r="AE106" s="3">
        <v>2.2400000000000002</v>
      </c>
      <c r="AF106" s="3">
        <v>3.67</v>
      </c>
      <c r="AG106" s="3">
        <v>5.15</v>
      </c>
      <c r="AH106" s="44">
        <v>2.1800000000000002</v>
      </c>
      <c r="AI106" s="44">
        <v>3.67</v>
      </c>
      <c r="AJ106" s="44">
        <v>5.0999999999999996</v>
      </c>
      <c r="AK106" s="45">
        <v>6.9930069930069942</v>
      </c>
      <c r="AL106" s="87"/>
      <c r="AM106" s="3">
        <v>10.58</v>
      </c>
      <c r="AN106" s="3">
        <v>10.9</v>
      </c>
      <c r="AO106" s="3">
        <v>10.76</v>
      </c>
      <c r="AP106" s="3">
        <v>10.58</v>
      </c>
      <c r="AQ106" s="47">
        <v>10.58</v>
      </c>
      <c r="AR106" s="47">
        <v>10.76</v>
      </c>
      <c r="AS106" s="3">
        <v>26.78</v>
      </c>
      <c r="AT106" s="3">
        <v>26.21</v>
      </c>
      <c r="AU106" s="3">
        <v>25.5</v>
      </c>
      <c r="AV106" s="3"/>
      <c r="AW106" s="3"/>
      <c r="AX106" s="48">
        <v>26.78</v>
      </c>
      <c r="AY106" s="3"/>
      <c r="AZ106" s="3">
        <v>7</v>
      </c>
      <c r="BA106" s="3">
        <v>240</v>
      </c>
      <c r="BB106" s="3">
        <v>8</v>
      </c>
      <c r="BC106" s="3">
        <v>217</v>
      </c>
      <c r="BD106" s="40">
        <v>896.36752479015581</v>
      </c>
      <c r="BE106" s="40">
        <v>849.92011458402328</v>
      </c>
      <c r="BF106" s="40"/>
      <c r="BG106" s="40">
        <v>385.97271139071745</v>
      </c>
      <c r="BH106" s="40">
        <v>356.73770103850859</v>
      </c>
      <c r="BI106" s="49">
        <v>1746.287639374179</v>
      </c>
      <c r="BJ106" s="49">
        <v>742.71041242922604</v>
      </c>
      <c r="BK106" s="66">
        <v>5.4649148089482846E-2</v>
      </c>
      <c r="BL106" s="66">
        <v>8.1950997237191459E-2</v>
      </c>
      <c r="BM106" s="51">
        <v>32.338659988410718</v>
      </c>
      <c r="BN106" s="51">
        <v>13.753896526467148</v>
      </c>
      <c r="BO106" s="52"/>
      <c r="BP106" s="40"/>
      <c r="BQ106" s="40"/>
      <c r="BR106" s="67"/>
      <c r="BS106" s="54" t="s">
        <v>110</v>
      </c>
      <c r="BT106" s="3">
        <v>121</v>
      </c>
      <c r="BU106" s="40">
        <v>130</v>
      </c>
      <c r="BV106" s="3">
        <v>88</v>
      </c>
      <c r="BW106" s="3">
        <v>86</v>
      </c>
      <c r="BX106" s="70">
        <v>-6.9230769230769207E-2</v>
      </c>
      <c r="BY106" s="70">
        <v>2.3255813953488413E-2</v>
      </c>
      <c r="BZ106" s="59">
        <v>1.5116279069767442</v>
      </c>
      <c r="CA106" s="59">
        <v>1.375</v>
      </c>
      <c r="CB106" s="59">
        <v>1.8488009259259266</v>
      </c>
      <c r="CC106" s="59">
        <v>1.2816388888888892</v>
      </c>
      <c r="CD106" s="60">
        <v>104</v>
      </c>
      <c r="CE106" s="60">
        <v>80</v>
      </c>
      <c r="CF106" s="61">
        <v>1.9259259259259258</v>
      </c>
      <c r="CG106" s="61">
        <v>1.4814814814814814</v>
      </c>
      <c r="CH106" s="61">
        <v>0.76923076923076927</v>
      </c>
      <c r="CI106" s="41">
        <v>15.3</v>
      </c>
      <c r="CJ106" s="40">
        <f>VLOOKUP(paper3[[#This Row],[YYIR nivå]],$DB:$DC,2)</f>
        <v>880</v>
      </c>
      <c r="CK106" s="3"/>
      <c r="CL106" s="62"/>
      <c r="CM106" s="63" t="s">
        <v>110</v>
      </c>
      <c r="CN106" s="3">
        <v>130</v>
      </c>
      <c r="CO106" s="3">
        <v>88</v>
      </c>
      <c r="CP106" s="41">
        <v>14.238888888888889</v>
      </c>
      <c r="CQ106" s="3" t="s">
        <v>110</v>
      </c>
      <c r="CR106" s="40">
        <v>125.5</v>
      </c>
      <c r="CS106" s="40">
        <v>87</v>
      </c>
      <c r="CT106" s="40" t="s">
        <v>110</v>
      </c>
      <c r="CU106" s="40"/>
      <c r="CV106" s="40"/>
      <c r="CW106" s="40"/>
      <c r="CX106" s="40"/>
      <c r="CY106" s="40">
        <v>0</v>
      </c>
      <c r="CZ106" s="40"/>
      <c r="DA106" s="40"/>
    </row>
    <row r="107" spans="1:105" ht="15.95" customHeight="1">
      <c r="A107" s="3">
        <v>246</v>
      </c>
      <c r="B107" s="38" t="s">
        <v>103</v>
      </c>
      <c r="C107" s="3" t="s">
        <v>104</v>
      </c>
      <c r="D107" s="3" t="s">
        <v>105</v>
      </c>
      <c r="E107" s="39">
        <v>44505</v>
      </c>
      <c r="F107" s="3" t="s">
        <v>106</v>
      </c>
      <c r="G107" s="3" t="s">
        <v>107</v>
      </c>
      <c r="H107" s="40">
        <v>2006</v>
      </c>
      <c r="I107" s="40" t="s">
        <v>116</v>
      </c>
      <c r="J107" s="40" t="s">
        <v>117</v>
      </c>
      <c r="K107" s="3">
        <v>168.6</v>
      </c>
      <c r="L107" s="3">
        <v>169.3</v>
      </c>
      <c r="M107" s="3">
        <v>169.1</v>
      </c>
      <c r="N107" s="3">
        <v>142.80000000000001</v>
      </c>
      <c r="O107" s="3">
        <v>143.4</v>
      </c>
      <c r="P107" s="3">
        <v>143.4</v>
      </c>
      <c r="Q107" s="3">
        <v>63</v>
      </c>
      <c r="R107" s="3">
        <v>63</v>
      </c>
      <c r="S107" s="3"/>
      <c r="T107" s="42">
        <v>169</v>
      </c>
      <c r="U107" s="42">
        <f>AVERAGE(paper3[[#This Row],[Sittende høyde 1]:[Sittende høyde 3]])-56.2</f>
        <v>87.000000000000014</v>
      </c>
      <c r="V107" s="12">
        <f>paper3[[#This Row],[height]]-paper3[[#This Row],[sittingheight]]</f>
        <v>81.999999999999986</v>
      </c>
      <c r="W107" s="73">
        <v>63</v>
      </c>
      <c r="X107" s="43" cm="1">
        <f t="array" ref="X107">INDEX([1]!phvny[yphv], MATCH(1, (paper3[[#This Row],[id]]=[1]!phvny[id])*(paper3[[#This Row],[time]]=[1]!phvny[time]), 0))</f>
        <v>2.863906342061147</v>
      </c>
      <c r="Y107" s="3">
        <v>1.98</v>
      </c>
      <c r="Z107" s="3">
        <v>3.38</v>
      </c>
      <c r="AA107" s="3">
        <v>4.75</v>
      </c>
      <c r="AB107" s="3">
        <v>1.98</v>
      </c>
      <c r="AC107" s="3">
        <v>3.38</v>
      </c>
      <c r="AD107" s="3">
        <v>4.78</v>
      </c>
      <c r="AE107" s="3">
        <v>1.99</v>
      </c>
      <c r="AF107" s="57">
        <v>3.35</v>
      </c>
      <c r="AG107" s="3">
        <v>4.78</v>
      </c>
      <c r="AH107" s="44">
        <v>1.98</v>
      </c>
      <c r="AI107" s="44">
        <v>3.35</v>
      </c>
      <c r="AJ107" s="44">
        <v>4.75</v>
      </c>
      <c r="AK107" s="45">
        <v>7.1428571428571432</v>
      </c>
      <c r="AL107" s="87"/>
      <c r="AM107" s="3">
        <v>10.45</v>
      </c>
      <c r="AN107" s="3">
        <v>10.67</v>
      </c>
      <c r="AO107" s="3">
        <v>10.28</v>
      </c>
      <c r="AP107" s="3">
        <v>10.28</v>
      </c>
      <c r="AQ107" s="47">
        <v>10.45</v>
      </c>
      <c r="AR107" s="47">
        <v>10.28</v>
      </c>
      <c r="AS107" s="3">
        <v>29.78</v>
      </c>
      <c r="AT107" s="3">
        <v>29.9</v>
      </c>
      <c r="AU107" s="3">
        <v>27.3</v>
      </c>
      <c r="AV107" s="3">
        <v>28.05</v>
      </c>
      <c r="AW107" s="3"/>
      <c r="AX107" s="48">
        <v>29.9</v>
      </c>
      <c r="AY107" s="3"/>
      <c r="AZ107" s="3">
        <v>8</v>
      </c>
      <c r="BA107" s="3">
        <v>300</v>
      </c>
      <c r="BB107" s="3">
        <v>7</v>
      </c>
      <c r="BC107" s="3">
        <v>243</v>
      </c>
      <c r="BD107" s="40">
        <v>909.92455968715149</v>
      </c>
      <c r="BE107" s="40">
        <v>889.26596922321278</v>
      </c>
      <c r="BF107" s="40"/>
      <c r="BG107" s="40">
        <v>408.45550458715627</v>
      </c>
      <c r="BH107" s="40">
        <v>394.70346676822385</v>
      </c>
      <c r="BI107" s="49">
        <v>1799.1905289103643</v>
      </c>
      <c r="BJ107" s="49">
        <v>803.15897135538012</v>
      </c>
      <c r="BK107" s="66">
        <v>2.3231059299372747E-2</v>
      </c>
      <c r="BL107" s="66">
        <v>3.484144168160519E-2</v>
      </c>
      <c r="BM107" s="51">
        <v>28.558579823974036</v>
      </c>
      <c r="BN107" s="51">
        <v>12.748555100879049</v>
      </c>
      <c r="BO107" s="52">
        <v>257</v>
      </c>
      <c r="BP107" s="40">
        <v>250</v>
      </c>
      <c r="BQ107" s="40">
        <v>257</v>
      </c>
      <c r="BR107" s="67">
        <v>-2.7237354085603127E-2</v>
      </c>
      <c r="BS107" s="54">
        <v>4.0238095238095237</v>
      </c>
      <c r="BT107" s="3">
        <v>135</v>
      </c>
      <c r="BU107" s="40">
        <v>141</v>
      </c>
      <c r="BV107" s="3">
        <v>128</v>
      </c>
      <c r="BW107" s="3">
        <v>133</v>
      </c>
      <c r="BX107" s="70">
        <v>-4.2553191489361653E-2</v>
      </c>
      <c r="BY107" s="70">
        <v>-3.7593984962406068E-2</v>
      </c>
      <c r="BZ107" s="59">
        <v>1.0601503759398496</v>
      </c>
      <c r="CA107" s="59">
        <v>1.0546875</v>
      </c>
      <c r="CB107" s="59">
        <v>1.7961904761904759</v>
      </c>
      <c r="CC107" s="59">
        <v>1.6985714285714282</v>
      </c>
      <c r="CD107" s="60">
        <v>69</v>
      </c>
      <c r="CE107" s="60">
        <v>63</v>
      </c>
      <c r="CF107" s="61">
        <v>1.0952380952380953</v>
      </c>
      <c r="CG107" s="61">
        <v>1</v>
      </c>
      <c r="CH107" s="61">
        <v>0.91304347826086951</v>
      </c>
      <c r="CI107" s="41"/>
      <c r="CJ107" s="40"/>
      <c r="CK107" s="3"/>
      <c r="CL107" s="62"/>
      <c r="CM107" s="63" t="s">
        <v>110</v>
      </c>
      <c r="CN107" s="3">
        <v>141</v>
      </c>
      <c r="CO107" s="3">
        <v>133</v>
      </c>
      <c r="CP107" s="41">
        <v>15.408333333333333</v>
      </c>
      <c r="CQ107" s="3" t="s">
        <v>110</v>
      </c>
      <c r="CR107" s="40">
        <v>138</v>
      </c>
      <c r="CS107" s="40">
        <v>130.5</v>
      </c>
      <c r="CT107" s="40">
        <v>253.5</v>
      </c>
      <c r="CU107" s="40"/>
      <c r="CV107" s="40"/>
      <c r="CW107" s="40"/>
      <c r="CX107" s="40"/>
      <c r="CY107" s="40">
        <v>0</v>
      </c>
      <c r="CZ107" s="40"/>
      <c r="DA107" s="40"/>
    </row>
    <row r="108" spans="1:105" ht="15.75" customHeight="1">
      <c r="A108" s="3">
        <v>252</v>
      </c>
      <c r="B108" s="38" t="s">
        <v>103</v>
      </c>
      <c r="C108" s="3" t="s">
        <v>104</v>
      </c>
      <c r="D108" s="3" t="s">
        <v>105</v>
      </c>
      <c r="E108" s="39">
        <v>44511</v>
      </c>
      <c r="F108" s="3" t="s">
        <v>106</v>
      </c>
      <c r="G108" s="3" t="s">
        <v>107</v>
      </c>
      <c r="H108" s="40">
        <v>2006</v>
      </c>
      <c r="I108" s="40" t="s">
        <v>116</v>
      </c>
      <c r="J108" s="40" t="s">
        <v>117</v>
      </c>
      <c r="K108" s="3">
        <v>161.4</v>
      </c>
      <c r="L108" s="3">
        <v>161.30000000000001</v>
      </c>
      <c r="M108" s="3"/>
      <c r="N108" s="3">
        <v>139.9</v>
      </c>
      <c r="O108" s="3">
        <v>139.9</v>
      </c>
      <c r="P108" s="3"/>
      <c r="Q108" s="3">
        <v>60.5</v>
      </c>
      <c r="R108" s="3">
        <v>60.5</v>
      </c>
      <c r="S108" s="3"/>
      <c r="T108" s="42">
        <v>161.35000000000002</v>
      </c>
      <c r="U108" s="42">
        <f>AVERAGE(paper3[[#This Row],[Sittende høyde 1]:[Sittende høyde 3]])-56.2</f>
        <v>83.7</v>
      </c>
      <c r="V108" s="12">
        <f>paper3[[#This Row],[height]]-paper3[[#This Row],[sittingheight]]</f>
        <v>77.65000000000002</v>
      </c>
      <c r="W108" s="73">
        <v>60.5</v>
      </c>
      <c r="X108" s="43" cm="1">
        <f t="array" ref="X108">INDEX([1]!phvny[yphv], MATCH(1, (paper3[[#This Row],[id]]=[1]!phvny[id])*(paper3[[#This Row],[time]]=[1]!phvny[time]), 0))</f>
        <v>2.5813060208409273</v>
      </c>
      <c r="Y108" s="3">
        <v>2.08</v>
      </c>
      <c r="Z108" s="3">
        <v>3.56</v>
      </c>
      <c r="AA108" s="3">
        <v>5</v>
      </c>
      <c r="AB108" s="3">
        <v>2.06</v>
      </c>
      <c r="AC108" s="3">
        <v>3.54</v>
      </c>
      <c r="AD108" s="3">
        <v>4.9800000000000004</v>
      </c>
      <c r="AE108" s="3">
        <v>2.1</v>
      </c>
      <c r="AF108" s="57">
        <v>3.6</v>
      </c>
      <c r="AG108" s="3">
        <v>5.03</v>
      </c>
      <c r="AH108" s="44">
        <v>2.06</v>
      </c>
      <c r="AI108" s="44">
        <v>3.54</v>
      </c>
      <c r="AJ108" s="44">
        <v>4.9800000000000004</v>
      </c>
      <c r="AK108" s="45">
        <v>6.9444444444444429</v>
      </c>
      <c r="AL108" s="3">
        <v>11.07</v>
      </c>
      <c r="AM108" s="3">
        <v>10.96</v>
      </c>
      <c r="AN108" s="3">
        <v>11.07</v>
      </c>
      <c r="AO108" s="3">
        <v>11.06</v>
      </c>
      <c r="AP108" s="3">
        <v>10.96</v>
      </c>
      <c r="AQ108" s="47">
        <v>10.96</v>
      </c>
      <c r="AR108" s="47">
        <v>11.06</v>
      </c>
      <c r="AS108" s="3">
        <v>23.43</v>
      </c>
      <c r="AT108" s="3">
        <v>25.2</v>
      </c>
      <c r="AU108" s="3">
        <v>25</v>
      </c>
      <c r="AV108" s="3"/>
      <c r="AW108" s="3"/>
      <c r="AX108" s="48">
        <v>25.2</v>
      </c>
      <c r="AY108" s="3"/>
      <c r="AZ108" s="3">
        <v>8</v>
      </c>
      <c r="BA108" s="3">
        <v>240</v>
      </c>
      <c r="BB108" s="3">
        <v>10</v>
      </c>
      <c r="BC108" s="3">
        <v>262</v>
      </c>
      <c r="BD108" s="40">
        <v>1101.9476397227338</v>
      </c>
      <c r="BE108" s="40">
        <v>1048.5570867384206</v>
      </c>
      <c r="BF108" s="40"/>
      <c r="BG108" s="40">
        <v>419.40862179101219</v>
      </c>
      <c r="BH108" s="40">
        <v>399.73094213989896</v>
      </c>
      <c r="BI108" s="49">
        <v>2150.5047264611544</v>
      </c>
      <c r="BJ108" s="49">
        <v>819.13956393091121</v>
      </c>
      <c r="BK108" s="66">
        <v>5.0918117534627161E-2</v>
      </c>
      <c r="BL108" s="66">
        <v>4.9227311615587688E-2</v>
      </c>
      <c r="BM108" s="51">
        <v>35.545532668779408</v>
      </c>
      <c r="BN108" s="51">
        <v>13.539496924477872</v>
      </c>
      <c r="BO108" s="52">
        <v>267</v>
      </c>
      <c r="BP108" s="40">
        <v>267</v>
      </c>
      <c r="BQ108" s="40">
        <v>266</v>
      </c>
      <c r="BR108" s="67">
        <v>3.759398496240518E-3</v>
      </c>
      <c r="BS108" s="54">
        <v>4.4049586776859506</v>
      </c>
      <c r="BT108" s="3">
        <v>128</v>
      </c>
      <c r="BU108" s="40">
        <v>127</v>
      </c>
      <c r="BV108" s="3">
        <v>129</v>
      </c>
      <c r="BW108" s="3">
        <v>122</v>
      </c>
      <c r="BX108" s="70">
        <v>7.8740157480314821E-3</v>
      </c>
      <c r="BY108" s="70">
        <v>5.7377049180327822E-2</v>
      </c>
      <c r="BZ108" s="59">
        <v>1.040983606557377</v>
      </c>
      <c r="CA108" s="59">
        <v>0.99224806201550386</v>
      </c>
      <c r="CB108" s="59">
        <v>1.6364256198347111</v>
      </c>
      <c r="CC108" s="59">
        <v>1.6107561983471079</v>
      </c>
      <c r="CD108" s="60">
        <v>70</v>
      </c>
      <c r="CE108" s="60">
        <v>90</v>
      </c>
      <c r="CF108" s="61">
        <v>1.1570247933884297</v>
      </c>
      <c r="CG108" s="61">
        <v>1.4876033057851239</v>
      </c>
      <c r="CH108" s="61">
        <v>1.2857142857142858</v>
      </c>
      <c r="CI108" s="41">
        <v>13.4</v>
      </c>
      <c r="CJ108" s="40">
        <f>VLOOKUP(paper3[[#This Row],[YYIR nivå]],$DB:$DC,2)</f>
        <v>440</v>
      </c>
      <c r="CK108" s="3" t="s">
        <v>112</v>
      </c>
      <c r="CL108" s="62"/>
      <c r="CM108" s="63" t="s">
        <v>110</v>
      </c>
      <c r="CN108" s="3">
        <v>128</v>
      </c>
      <c r="CO108" s="3">
        <v>129</v>
      </c>
      <c r="CP108" s="41">
        <v>15.733333333333333</v>
      </c>
      <c r="CQ108" s="3" t="s">
        <v>110</v>
      </c>
      <c r="CR108" s="40">
        <v>127.5</v>
      </c>
      <c r="CS108" s="40">
        <v>125.5</v>
      </c>
      <c r="CT108" s="40">
        <v>266.5</v>
      </c>
      <c r="CU108" s="40"/>
      <c r="CV108" s="40"/>
      <c r="CW108" s="40"/>
      <c r="CX108" s="40"/>
      <c r="CY108" s="40">
        <v>0</v>
      </c>
      <c r="CZ108" s="40"/>
      <c r="DA108" s="40"/>
    </row>
    <row r="109" spans="1:105" ht="15.95" customHeight="1">
      <c r="A109" s="3">
        <v>253</v>
      </c>
      <c r="B109" s="38" t="s">
        <v>103</v>
      </c>
      <c r="C109" s="3" t="s">
        <v>115</v>
      </c>
      <c r="D109" s="3" t="s">
        <v>105</v>
      </c>
      <c r="E109" s="39">
        <v>44511</v>
      </c>
      <c r="F109" s="3" t="s">
        <v>106</v>
      </c>
      <c r="G109" s="3" t="s">
        <v>107</v>
      </c>
      <c r="H109" s="40">
        <v>2006</v>
      </c>
      <c r="I109" s="40" t="s">
        <v>116</v>
      </c>
      <c r="J109" s="40" t="s">
        <v>117</v>
      </c>
      <c r="K109" s="3">
        <v>170</v>
      </c>
      <c r="L109" s="3">
        <v>169.9</v>
      </c>
      <c r="M109" s="3"/>
      <c r="N109" s="3">
        <v>144</v>
      </c>
      <c r="O109" s="3">
        <v>143.6</v>
      </c>
      <c r="P109" s="3">
        <v>143.69999999999999</v>
      </c>
      <c r="Q109" s="3">
        <v>50.9</v>
      </c>
      <c r="R109" s="3">
        <v>50.9</v>
      </c>
      <c r="S109" s="3"/>
      <c r="T109" s="42">
        <v>169.95</v>
      </c>
      <c r="U109" s="42">
        <f>AVERAGE(paper3[[#This Row],[Sittende høyde 1]:[Sittende høyde 3]])-56.2</f>
        <v>87.566666666666677</v>
      </c>
      <c r="V109" s="12">
        <f>paper3[[#This Row],[height]]-paper3[[#This Row],[sittingheight]]</f>
        <v>82.383333333333312</v>
      </c>
      <c r="W109" s="73">
        <v>50.9</v>
      </c>
      <c r="X109" s="43" cm="1">
        <f t="array" ref="X109">INDEX([1]!phvny[yphv], MATCH(1, (paper3[[#This Row],[id]]=[1]!phvny[id])*(paper3[[#This Row],[time]]=[1]!phvny[time]), 0))</f>
        <v>2.6998000271584468</v>
      </c>
      <c r="Y109" s="3">
        <v>2.14</v>
      </c>
      <c r="Z109" s="3">
        <v>3.63</v>
      </c>
      <c r="AA109" s="3">
        <v>5.07</v>
      </c>
      <c r="AB109" s="3">
        <v>2.12</v>
      </c>
      <c r="AC109" s="3">
        <v>3.57</v>
      </c>
      <c r="AD109" s="3">
        <v>5</v>
      </c>
      <c r="AE109" s="3">
        <v>2.08</v>
      </c>
      <c r="AF109" s="3">
        <v>3.56</v>
      </c>
      <c r="AG109" s="3">
        <v>5.05</v>
      </c>
      <c r="AH109" s="44">
        <v>2.08</v>
      </c>
      <c r="AI109" s="44">
        <v>3.56</v>
      </c>
      <c r="AJ109" s="44">
        <v>5</v>
      </c>
      <c r="AK109" s="45">
        <v>6.9444444444444446</v>
      </c>
      <c r="AL109" s="3">
        <v>11.8</v>
      </c>
      <c r="AM109" s="3">
        <v>11.92</v>
      </c>
      <c r="AN109" s="46" t="s">
        <v>172</v>
      </c>
      <c r="AO109" s="3">
        <v>11.54</v>
      </c>
      <c r="AP109" s="3">
        <v>11.54</v>
      </c>
      <c r="AQ109" s="47">
        <v>11.8</v>
      </c>
      <c r="AR109" s="47">
        <v>11.54</v>
      </c>
      <c r="AS109" s="3">
        <v>24.68</v>
      </c>
      <c r="AT109" s="3">
        <v>24.33</v>
      </c>
      <c r="AU109" s="3">
        <v>25.73</v>
      </c>
      <c r="AV109" s="3">
        <v>27.8</v>
      </c>
      <c r="AW109" s="3">
        <v>25.25</v>
      </c>
      <c r="AX109" s="48">
        <v>27.8</v>
      </c>
      <c r="AY109" s="3"/>
      <c r="AZ109" s="3">
        <v>8</v>
      </c>
      <c r="BA109" s="3">
        <v>220</v>
      </c>
      <c r="BB109" s="3">
        <v>7</v>
      </c>
      <c r="BC109" s="3">
        <v>179</v>
      </c>
      <c r="BD109" s="40"/>
      <c r="BE109" s="40"/>
      <c r="BF109" s="40"/>
      <c r="BG109" s="40">
        <v>380.44139481514094</v>
      </c>
      <c r="BH109" s="40">
        <v>337.76515178447988</v>
      </c>
      <c r="BI109" s="49"/>
      <c r="BJ109" s="49">
        <v>718.20654659962088</v>
      </c>
      <c r="BK109" s="66"/>
      <c r="BL109" s="66">
        <v>0.1263488634194323</v>
      </c>
      <c r="BM109" s="51"/>
      <c r="BN109" s="51">
        <v>14.11014826325385</v>
      </c>
      <c r="BO109" s="52">
        <v>248</v>
      </c>
      <c r="BP109" s="40">
        <v>210</v>
      </c>
      <c r="BQ109" s="40">
        <v>248</v>
      </c>
      <c r="BR109" s="67">
        <v>-0.15322580645161288</v>
      </c>
      <c r="BS109" s="54">
        <v>4.4990176817288807</v>
      </c>
      <c r="BT109" s="3">
        <v>160</v>
      </c>
      <c r="BU109" s="40">
        <v>183</v>
      </c>
      <c r="BV109" s="3">
        <v>124</v>
      </c>
      <c r="BW109" s="3">
        <v>131</v>
      </c>
      <c r="BX109" s="70">
        <v>-0.12568306010928965</v>
      </c>
      <c r="BY109" s="70">
        <v>-5.3435114503816772E-2</v>
      </c>
      <c r="BZ109" s="59">
        <v>1.3969465648854962</v>
      </c>
      <c r="CA109" s="59">
        <v>1.2903225806451613</v>
      </c>
      <c r="CB109" s="59">
        <v>2.7757842174197762</v>
      </c>
      <c r="CC109" s="59">
        <v>2.0636296660117872</v>
      </c>
      <c r="CD109" s="60">
        <v>63</v>
      </c>
      <c r="CE109" s="60">
        <v>69</v>
      </c>
      <c r="CF109" s="61">
        <v>1.2377210216110019</v>
      </c>
      <c r="CG109" s="61">
        <v>1.3555992141453832</v>
      </c>
      <c r="CH109" s="61">
        <v>1.0952380952380953</v>
      </c>
      <c r="CI109" s="41">
        <v>15.6</v>
      </c>
      <c r="CJ109" s="40">
        <f>VLOOKUP(paper3[[#This Row],[YYIR nivå]],$DB:$DC,2)</f>
        <v>1000</v>
      </c>
      <c r="CK109" s="3" t="s">
        <v>112</v>
      </c>
      <c r="CL109" s="62"/>
      <c r="CM109" s="63" t="s">
        <v>110</v>
      </c>
      <c r="CN109" s="3">
        <v>183</v>
      </c>
      <c r="CO109" s="3">
        <v>131</v>
      </c>
      <c r="CP109" s="41">
        <v>15.094444444444445</v>
      </c>
      <c r="CQ109" s="3" t="s">
        <v>110</v>
      </c>
      <c r="CR109" s="40">
        <v>171.5</v>
      </c>
      <c r="CS109" s="40">
        <v>127.5</v>
      </c>
      <c r="CT109" s="40">
        <v>229</v>
      </c>
      <c r="CU109" s="40"/>
      <c r="CV109" s="40"/>
      <c r="CW109" s="40"/>
      <c r="CX109" s="40"/>
      <c r="CY109" s="40">
        <v>0</v>
      </c>
      <c r="CZ109" s="40"/>
      <c r="DA109" s="40"/>
    </row>
    <row r="110" spans="1:105" ht="15.95" customHeight="1">
      <c r="A110" s="3">
        <v>254</v>
      </c>
      <c r="B110" s="38" t="s">
        <v>103</v>
      </c>
      <c r="C110" s="3" t="s">
        <v>104</v>
      </c>
      <c r="D110" s="3" t="s">
        <v>105</v>
      </c>
      <c r="E110" s="39">
        <v>44511</v>
      </c>
      <c r="F110" s="3" t="s">
        <v>106</v>
      </c>
      <c r="G110" s="3" t="s">
        <v>107</v>
      </c>
      <c r="H110" s="40">
        <v>2006</v>
      </c>
      <c r="I110" s="40" t="s">
        <v>116</v>
      </c>
      <c r="J110" s="40" t="s">
        <v>117</v>
      </c>
      <c r="K110" s="3">
        <v>169.4</v>
      </c>
      <c r="L110" s="3">
        <v>170</v>
      </c>
      <c r="M110" s="3">
        <v>169.9</v>
      </c>
      <c r="N110" s="3">
        <v>144.69999999999999</v>
      </c>
      <c r="O110" s="3">
        <v>144.5</v>
      </c>
      <c r="P110" s="3"/>
      <c r="Q110" s="3">
        <v>60.9</v>
      </c>
      <c r="R110" s="3">
        <v>60.9</v>
      </c>
      <c r="S110" s="3"/>
      <c r="T110" s="42">
        <v>169.76666666666665</v>
      </c>
      <c r="U110" s="42">
        <f>AVERAGE(paper3[[#This Row],[Sittende høyde 1]:[Sittende høyde 3]])-56.2</f>
        <v>88.399999999999991</v>
      </c>
      <c r="V110" s="12">
        <f>paper3[[#This Row],[height]]-paper3[[#This Row],[sittingheight]]</f>
        <v>81.36666666666666</v>
      </c>
      <c r="W110" s="73">
        <v>60.9</v>
      </c>
      <c r="X110" s="43" cm="1">
        <f t="array" ref="X110">INDEX([1]!phvny[yphv], MATCH(1, (paper3[[#This Row],[id]]=[1]!phvny[id])*(paper3[[#This Row],[time]]=[1]!phvny[time]), 0))</f>
        <v>3.0670591481371718</v>
      </c>
      <c r="Y110" s="3">
        <v>2.15</v>
      </c>
      <c r="Z110" s="3">
        <v>3.63</v>
      </c>
      <c r="AA110" s="3">
        <v>5.07</v>
      </c>
      <c r="AB110" s="3">
        <v>2.11</v>
      </c>
      <c r="AC110" s="3">
        <v>3.59</v>
      </c>
      <c r="AD110" s="3">
        <v>5.05</v>
      </c>
      <c r="AE110" s="3">
        <v>2.12</v>
      </c>
      <c r="AF110" s="57">
        <v>3.59</v>
      </c>
      <c r="AG110" s="3">
        <v>5.08</v>
      </c>
      <c r="AH110" s="44">
        <v>2.11</v>
      </c>
      <c r="AI110" s="44">
        <v>3.59</v>
      </c>
      <c r="AJ110" s="44">
        <v>5.05</v>
      </c>
      <c r="AK110" s="45">
        <v>6.8493150684931505</v>
      </c>
      <c r="AL110" s="3">
        <v>11.27</v>
      </c>
      <c r="AM110" s="3">
        <v>11.24</v>
      </c>
      <c r="AN110" s="3">
        <v>11.37</v>
      </c>
      <c r="AO110" s="3">
        <v>11.23</v>
      </c>
      <c r="AP110" s="3">
        <v>11.23</v>
      </c>
      <c r="AQ110" s="47">
        <v>11.24</v>
      </c>
      <c r="AR110" s="47">
        <v>11.23</v>
      </c>
      <c r="AS110" s="3">
        <v>26.55</v>
      </c>
      <c r="AT110" s="3">
        <v>27.21</v>
      </c>
      <c r="AU110" s="3">
        <v>26.83</v>
      </c>
      <c r="AV110" s="3"/>
      <c r="AW110" s="3"/>
      <c r="AX110" s="48">
        <v>27.21</v>
      </c>
      <c r="AY110" s="3"/>
      <c r="AZ110" s="3">
        <v>8</v>
      </c>
      <c r="BA110" s="3">
        <v>220</v>
      </c>
      <c r="BB110" s="3">
        <v>12</v>
      </c>
      <c r="BC110" s="3">
        <v>280</v>
      </c>
      <c r="BD110" s="40">
        <v>1163.2467184577554</v>
      </c>
      <c r="BE110" s="40">
        <v>1108.3690374368084</v>
      </c>
      <c r="BF110" s="40"/>
      <c r="BG110" s="40">
        <v>388.13673926794934</v>
      </c>
      <c r="BH110" s="40">
        <v>386.98982023181054</v>
      </c>
      <c r="BI110" s="49">
        <v>2271.6157558945638</v>
      </c>
      <c r="BJ110" s="49">
        <v>775.12655949975988</v>
      </c>
      <c r="BK110" s="66">
        <v>4.9512102167573957E-2</v>
      </c>
      <c r="BL110" s="66">
        <v>2.9636930383640792E-3</v>
      </c>
      <c r="BM110" s="51">
        <v>37.300751328317965</v>
      </c>
      <c r="BN110" s="51">
        <v>12.727858119864695</v>
      </c>
      <c r="BO110" s="52">
        <v>311</v>
      </c>
      <c r="BP110" s="40">
        <v>311</v>
      </c>
      <c r="BQ110" s="40">
        <v>264</v>
      </c>
      <c r="BR110" s="67">
        <v>0.17803030303030298</v>
      </c>
      <c r="BS110" s="54">
        <v>4.7208538587848929</v>
      </c>
      <c r="BT110" s="3">
        <v>134</v>
      </c>
      <c r="BU110" s="40">
        <v>135</v>
      </c>
      <c r="BV110" s="3">
        <v>132</v>
      </c>
      <c r="BW110" s="3">
        <v>124</v>
      </c>
      <c r="BX110" s="70">
        <v>-7.4074074074074181E-3</v>
      </c>
      <c r="BY110" s="70">
        <v>6.4516129032258007E-2</v>
      </c>
      <c r="BZ110" s="59">
        <v>1.0887096774193548</v>
      </c>
      <c r="CA110" s="59">
        <v>1.0151515151515151</v>
      </c>
      <c r="CB110" s="59">
        <v>1.7970142309797481</v>
      </c>
      <c r="CC110" s="59">
        <v>1.7101696770662287</v>
      </c>
      <c r="CD110" s="60">
        <v>85</v>
      </c>
      <c r="CE110" s="60">
        <v>76</v>
      </c>
      <c r="CF110" s="61">
        <v>1.3957307060755337</v>
      </c>
      <c r="CG110" s="61">
        <v>1.2479474548440066</v>
      </c>
      <c r="CH110" s="61">
        <v>0.89411764705882346</v>
      </c>
      <c r="CI110" s="41">
        <v>14.5</v>
      </c>
      <c r="CJ110" s="40">
        <f>VLOOKUP(paper3[[#This Row],[YYIR nivå]],$DB:$DC,2)</f>
        <v>640</v>
      </c>
      <c r="CK110" s="3" t="s">
        <v>112</v>
      </c>
      <c r="CL110" s="62"/>
      <c r="CM110" s="63" t="s">
        <v>110</v>
      </c>
      <c r="CN110" s="3">
        <v>135</v>
      </c>
      <c r="CO110" s="3">
        <v>132</v>
      </c>
      <c r="CP110" s="41">
        <v>15.613888888888889</v>
      </c>
      <c r="CQ110" s="3" t="s">
        <v>110</v>
      </c>
      <c r="CR110" s="40">
        <v>134.5</v>
      </c>
      <c r="CS110" s="40">
        <v>128</v>
      </c>
      <c r="CT110" s="40">
        <v>287.5</v>
      </c>
      <c r="CU110" s="40"/>
      <c r="CV110" s="40"/>
      <c r="CW110" s="40"/>
      <c r="CX110" s="40"/>
      <c r="CY110" s="40">
        <v>0</v>
      </c>
      <c r="CZ110" s="40"/>
      <c r="DA110" s="40"/>
    </row>
    <row r="111" spans="1:105" ht="15.95" customHeight="1">
      <c r="A111" s="3">
        <v>255</v>
      </c>
      <c r="B111" s="38" t="s">
        <v>103</v>
      </c>
      <c r="C111" s="3" t="s">
        <v>104</v>
      </c>
      <c r="D111" s="3" t="s">
        <v>105</v>
      </c>
      <c r="E111" s="39">
        <v>44511</v>
      </c>
      <c r="F111" s="3" t="s">
        <v>106</v>
      </c>
      <c r="G111" s="3" t="s">
        <v>107</v>
      </c>
      <c r="H111" s="40">
        <v>2006</v>
      </c>
      <c r="I111" s="40" t="s">
        <v>116</v>
      </c>
      <c r="J111" s="40" t="s">
        <v>117</v>
      </c>
      <c r="K111" s="3">
        <v>161.5</v>
      </c>
      <c r="L111" s="3">
        <v>161.69999999999999</v>
      </c>
      <c r="M111" s="3"/>
      <c r="N111" s="3">
        <v>143.19999999999999</v>
      </c>
      <c r="O111" s="3">
        <v>143.4</v>
      </c>
      <c r="P111" s="3"/>
      <c r="Q111" s="3">
        <v>53.4</v>
      </c>
      <c r="R111" s="3">
        <v>53.3</v>
      </c>
      <c r="S111" s="3"/>
      <c r="T111" s="42">
        <v>161.6</v>
      </c>
      <c r="U111" s="42">
        <f>AVERAGE(paper3[[#This Row],[Sittende høyde 1]:[Sittende høyde 3]])-56.2</f>
        <v>87.100000000000009</v>
      </c>
      <c r="V111" s="12">
        <f>paper3[[#This Row],[height]]-paper3[[#This Row],[sittingheight]]</f>
        <v>74.499999999999986</v>
      </c>
      <c r="W111" s="73">
        <v>53.349999999999994</v>
      </c>
      <c r="X111" s="43" cm="1">
        <f t="array" ref="X111">INDEX([1]!phvny[yphv], MATCH(1, (paper3[[#This Row],[id]]=[1]!phvny[id])*(paper3[[#This Row],[time]]=[1]!phvny[time]), 0))</f>
        <v>2.3343885343564348</v>
      </c>
      <c r="Y111" s="3">
        <v>2.09</v>
      </c>
      <c r="Z111" s="3">
        <v>3.54</v>
      </c>
      <c r="AA111" s="3">
        <v>4.9400000000000004</v>
      </c>
      <c r="AB111" s="3">
        <v>2.04</v>
      </c>
      <c r="AC111" s="3">
        <v>3.49</v>
      </c>
      <c r="AD111" s="3">
        <v>4.9000000000000004</v>
      </c>
      <c r="AE111" s="3">
        <v>2.04</v>
      </c>
      <c r="AF111" s="3">
        <v>3.47</v>
      </c>
      <c r="AG111" s="3">
        <v>4.88</v>
      </c>
      <c r="AH111" s="44">
        <v>2.04</v>
      </c>
      <c r="AI111" s="44">
        <v>3.47</v>
      </c>
      <c r="AJ111" s="44">
        <v>4.88</v>
      </c>
      <c r="AK111" s="45">
        <v>7.092198581560285</v>
      </c>
      <c r="AL111" s="3">
        <v>10.96</v>
      </c>
      <c r="AM111" s="3">
        <v>10.62</v>
      </c>
      <c r="AN111" s="3">
        <v>11.01</v>
      </c>
      <c r="AO111" s="3">
        <v>10.88</v>
      </c>
      <c r="AP111" s="3">
        <v>10.62</v>
      </c>
      <c r="AQ111" s="47">
        <v>10.62</v>
      </c>
      <c r="AR111" s="47">
        <v>10.88</v>
      </c>
      <c r="AS111" s="3">
        <v>27.85</v>
      </c>
      <c r="AT111" s="3">
        <v>28.24</v>
      </c>
      <c r="AU111" s="3">
        <v>30.55</v>
      </c>
      <c r="AV111" s="3">
        <v>29.85</v>
      </c>
      <c r="AW111" s="3"/>
      <c r="AX111" s="48">
        <v>30.55</v>
      </c>
      <c r="AY111" s="3"/>
      <c r="AZ111" s="3">
        <v>8</v>
      </c>
      <c r="BA111" s="3">
        <v>220</v>
      </c>
      <c r="BB111" s="3">
        <v>10</v>
      </c>
      <c r="BC111" s="3">
        <v>240</v>
      </c>
      <c r="BD111" s="40">
        <v>998.26536127488157</v>
      </c>
      <c r="BE111" s="40">
        <v>1051.3769998007592</v>
      </c>
      <c r="BF111" s="40"/>
      <c r="BG111" s="40">
        <v>320.25362645719758</v>
      </c>
      <c r="BH111" s="40">
        <v>370.02897647657329</v>
      </c>
      <c r="BI111" s="49">
        <v>2049.642361075641</v>
      </c>
      <c r="BJ111" s="49">
        <v>690.28260293377093</v>
      </c>
      <c r="BK111" s="66">
        <v>-5.051626441889312E-2</v>
      </c>
      <c r="BL111" s="66">
        <v>-0.13451743831885288</v>
      </c>
      <c r="BM111" s="51">
        <v>38.382815750480169</v>
      </c>
      <c r="BN111" s="51">
        <v>12.926640504377733</v>
      </c>
      <c r="BO111" s="52">
        <v>196</v>
      </c>
      <c r="BP111" s="40">
        <v>196</v>
      </c>
      <c r="BQ111" s="40">
        <v>174</v>
      </c>
      <c r="BR111" s="67">
        <v>0.12643678160919536</v>
      </c>
      <c r="BS111" s="54">
        <v>3.4676663542642929</v>
      </c>
      <c r="BT111" s="3">
        <v>121</v>
      </c>
      <c r="BU111" s="40">
        <v>121</v>
      </c>
      <c r="BV111" s="3">
        <v>120</v>
      </c>
      <c r="BW111" s="3">
        <v>122</v>
      </c>
      <c r="BX111" s="70">
        <v>0</v>
      </c>
      <c r="BY111" s="70">
        <v>-1.6393442622950838E-2</v>
      </c>
      <c r="BZ111" s="59">
        <v>0.99180327868852458</v>
      </c>
      <c r="CA111" s="59">
        <v>1.0083333333333333</v>
      </c>
      <c r="CB111" s="59">
        <v>1.6896907216494843</v>
      </c>
      <c r="CC111" s="59">
        <v>1.6896907216494843</v>
      </c>
      <c r="CD111" s="60">
        <v>69</v>
      </c>
      <c r="CE111" s="60">
        <v>70</v>
      </c>
      <c r="CF111" s="61">
        <v>1.2933458294283038</v>
      </c>
      <c r="CG111" s="61">
        <v>1.3120899718837864</v>
      </c>
      <c r="CH111" s="61">
        <v>1.0144927536231885</v>
      </c>
      <c r="CI111" s="41"/>
      <c r="CJ111" s="40"/>
      <c r="CK111" s="3"/>
      <c r="CL111" s="62"/>
      <c r="CM111" s="63" t="s">
        <v>110</v>
      </c>
      <c r="CN111" s="3">
        <v>121</v>
      </c>
      <c r="CO111" s="3">
        <v>122</v>
      </c>
      <c r="CP111" s="41">
        <v>14.975</v>
      </c>
      <c r="CQ111" s="3" t="s">
        <v>110</v>
      </c>
      <c r="CR111" s="40">
        <v>121</v>
      </c>
      <c r="CS111" s="40">
        <v>121</v>
      </c>
      <c r="CT111" s="40">
        <v>185</v>
      </c>
      <c r="CU111" s="40"/>
      <c r="CV111" s="40"/>
      <c r="CW111" s="40"/>
      <c r="CX111" s="40"/>
      <c r="CY111" s="40">
        <v>0</v>
      </c>
      <c r="CZ111" s="40"/>
      <c r="DA111" s="40"/>
    </row>
    <row r="112" spans="1:105" ht="15.75" customHeight="1">
      <c r="A112" s="3">
        <v>256</v>
      </c>
      <c r="B112" s="38" t="s">
        <v>103</v>
      </c>
      <c r="C112" s="3" t="s">
        <v>104</v>
      </c>
      <c r="D112" s="3" t="s">
        <v>105</v>
      </c>
      <c r="E112" s="39">
        <v>44511</v>
      </c>
      <c r="F112" s="3" t="s">
        <v>106</v>
      </c>
      <c r="G112" s="3" t="s">
        <v>107</v>
      </c>
      <c r="H112" s="40">
        <v>2006</v>
      </c>
      <c r="I112" s="40" t="s">
        <v>116</v>
      </c>
      <c r="J112" s="40" t="s">
        <v>117</v>
      </c>
      <c r="K112" s="3">
        <v>168.3</v>
      </c>
      <c r="L112" s="3">
        <v>168.4</v>
      </c>
      <c r="M112" s="3"/>
      <c r="N112" s="3">
        <v>146</v>
      </c>
      <c r="O112" s="3">
        <v>146</v>
      </c>
      <c r="P112" s="3"/>
      <c r="Q112" s="3">
        <v>59.8</v>
      </c>
      <c r="R112" s="3">
        <v>59.8</v>
      </c>
      <c r="S112" s="3"/>
      <c r="T112" s="42">
        <v>168.35000000000002</v>
      </c>
      <c r="U112" s="42">
        <f>AVERAGE(paper3[[#This Row],[Sittende høyde 1]:[Sittende høyde 3]])-56.2</f>
        <v>89.8</v>
      </c>
      <c r="V112" s="12">
        <f>paper3[[#This Row],[height]]-paper3[[#This Row],[sittingheight]]</f>
        <v>78.550000000000026</v>
      </c>
      <c r="W112" s="73">
        <v>59.8</v>
      </c>
      <c r="X112" s="43" cm="1">
        <f t="array" ref="X112">INDEX([1]!phvny[yphv], MATCH(1, (paper3[[#This Row],[id]]=[1]!phvny[id])*(paper3[[#This Row],[time]]=[1]!phvny[time]), 0))</f>
        <v>2.6821564355375398</v>
      </c>
      <c r="Y112" s="3">
        <v>2.09</v>
      </c>
      <c r="Z112" s="3">
        <v>3.56</v>
      </c>
      <c r="AA112" s="3">
        <v>4.97</v>
      </c>
      <c r="AB112" s="3">
        <v>2.11</v>
      </c>
      <c r="AC112" s="3">
        <v>3.55</v>
      </c>
      <c r="AD112" s="3">
        <v>4.99</v>
      </c>
      <c r="AE112" s="3">
        <v>2.11</v>
      </c>
      <c r="AF112" s="57">
        <v>3.57</v>
      </c>
      <c r="AG112" s="3">
        <v>5.0199999999999996</v>
      </c>
      <c r="AH112" s="44">
        <v>2.09</v>
      </c>
      <c r="AI112" s="44">
        <v>3.55</v>
      </c>
      <c r="AJ112" s="44">
        <v>4.97</v>
      </c>
      <c r="AK112" s="45">
        <v>7.042253521126761</v>
      </c>
      <c r="AL112" s="3">
        <v>10.86</v>
      </c>
      <c r="AM112" s="3">
        <v>10.82</v>
      </c>
      <c r="AN112" s="3">
        <v>10.93</v>
      </c>
      <c r="AO112" s="3">
        <v>10.72</v>
      </c>
      <c r="AP112" s="3">
        <v>10.72</v>
      </c>
      <c r="AQ112" s="47">
        <v>10.82</v>
      </c>
      <c r="AR112" s="47">
        <v>10.72</v>
      </c>
      <c r="AS112" s="3">
        <v>33.54</v>
      </c>
      <c r="AT112" s="3">
        <v>32.33</v>
      </c>
      <c r="AU112" s="3">
        <v>31.99</v>
      </c>
      <c r="AV112" s="3"/>
      <c r="AW112" s="3"/>
      <c r="AX112" s="48">
        <v>33.54</v>
      </c>
      <c r="AY112" s="3"/>
      <c r="AZ112" s="3">
        <v>8</v>
      </c>
      <c r="BA112" s="3">
        <v>220</v>
      </c>
      <c r="BB112" s="3">
        <v>10</v>
      </c>
      <c r="BC112" s="3">
        <v>240</v>
      </c>
      <c r="BD112" s="40">
        <v>1051.0781911177887</v>
      </c>
      <c r="BE112" s="40">
        <v>1019.4960525298679</v>
      </c>
      <c r="BF112" s="40"/>
      <c r="BG112" s="40">
        <v>360.16666730894497</v>
      </c>
      <c r="BH112" s="40">
        <v>351.29310604063301</v>
      </c>
      <c r="BI112" s="49">
        <v>2070.5742436476567</v>
      </c>
      <c r="BJ112" s="49">
        <v>711.45977334957797</v>
      </c>
      <c r="BK112" s="66">
        <v>3.0978186241673145E-2</v>
      </c>
      <c r="BL112" s="66">
        <v>2.5259707963883438E-2</v>
      </c>
      <c r="BM112" s="51">
        <v>34.624987351967505</v>
      </c>
      <c r="BN112" s="51">
        <v>11.897320624574883</v>
      </c>
      <c r="BO112" s="52">
        <v>254</v>
      </c>
      <c r="BP112" s="40">
        <v>254</v>
      </c>
      <c r="BQ112" s="40">
        <v>254</v>
      </c>
      <c r="BR112" s="67">
        <v>0</v>
      </c>
      <c r="BS112" s="54">
        <v>4.2474916387959869</v>
      </c>
      <c r="BT112" s="3">
        <v>139</v>
      </c>
      <c r="BU112" s="40">
        <v>137</v>
      </c>
      <c r="BV112" s="3">
        <v>98</v>
      </c>
      <c r="BW112" s="3">
        <v>104</v>
      </c>
      <c r="BX112" s="70">
        <v>1.4598540145985384E-2</v>
      </c>
      <c r="BY112" s="70">
        <v>-5.7692307692307709E-2</v>
      </c>
      <c r="BZ112" s="59">
        <v>1.3173076923076923</v>
      </c>
      <c r="CA112" s="59">
        <v>1.4183673469387754</v>
      </c>
      <c r="CB112" s="59">
        <v>1.8126923076923085</v>
      </c>
      <c r="CC112" s="59">
        <v>1.3266806020066895</v>
      </c>
      <c r="CD112" s="60">
        <v>64</v>
      </c>
      <c r="CE112" s="60">
        <v>76</v>
      </c>
      <c r="CF112" s="61">
        <v>1.0702341137123745</v>
      </c>
      <c r="CG112" s="61">
        <v>1.2709030100334449</v>
      </c>
      <c r="CH112" s="61">
        <v>1.1875</v>
      </c>
      <c r="CI112" s="41">
        <v>14.2</v>
      </c>
      <c r="CJ112" s="40">
        <f>VLOOKUP(paper3[[#This Row],[YYIR nivå]],$DB:$DC,2)</f>
        <v>520</v>
      </c>
      <c r="CK112" s="3" t="s">
        <v>112</v>
      </c>
      <c r="CL112" s="62"/>
      <c r="CM112" s="63" t="s">
        <v>110</v>
      </c>
      <c r="CN112" s="3">
        <v>139</v>
      </c>
      <c r="CO112" s="3">
        <v>104</v>
      </c>
      <c r="CP112" s="41">
        <v>14.855555555555556</v>
      </c>
      <c r="CQ112" s="3" t="s">
        <v>110</v>
      </c>
      <c r="CR112" s="40">
        <v>138</v>
      </c>
      <c r="CS112" s="40">
        <v>101</v>
      </c>
      <c r="CT112" s="40">
        <v>254</v>
      </c>
      <c r="CU112" s="40"/>
      <c r="CV112" s="40"/>
      <c r="CW112" s="40"/>
      <c r="CX112" s="40"/>
      <c r="CY112" s="40">
        <v>0</v>
      </c>
      <c r="CZ112" s="40"/>
      <c r="DA112" s="40"/>
    </row>
    <row r="113" spans="1:105" ht="15.95" customHeight="1">
      <c r="A113" s="3">
        <v>257</v>
      </c>
      <c r="B113" s="38" t="s">
        <v>103</v>
      </c>
      <c r="C113" s="3" t="s">
        <v>115</v>
      </c>
      <c r="D113" s="3" t="s">
        <v>105</v>
      </c>
      <c r="E113" s="39">
        <v>44511</v>
      </c>
      <c r="F113" s="3" t="s">
        <v>106</v>
      </c>
      <c r="G113" s="3" t="s">
        <v>107</v>
      </c>
      <c r="H113" s="40">
        <v>2006</v>
      </c>
      <c r="I113" s="40" t="s">
        <v>116</v>
      </c>
      <c r="J113" s="40" t="s">
        <v>117</v>
      </c>
      <c r="K113" s="3">
        <v>159.30000000000001</v>
      </c>
      <c r="L113" s="3">
        <v>158.9</v>
      </c>
      <c r="M113" s="3">
        <v>158.9</v>
      </c>
      <c r="N113" s="3">
        <v>141.5</v>
      </c>
      <c r="O113" s="3">
        <v>141.19999999999999</v>
      </c>
      <c r="P113" s="3">
        <v>141.30000000000001</v>
      </c>
      <c r="Q113" s="3">
        <v>60.4</v>
      </c>
      <c r="R113" s="3">
        <v>60.4</v>
      </c>
      <c r="S113" s="3"/>
      <c r="T113" s="42">
        <v>159.03333333333333</v>
      </c>
      <c r="U113" s="42">
        <f>AVERAGE(paper3[[#This Row],[Sittende høyde 1]:[Sittende høyde 3]])-56.2</f>
        <v>85.13333333333334</v>
      </c>
      <c r="V113" s="12">
        <f>paper3[[#This Row],[height]]-paper3[[#This Row],[sittingheight]]</f>
        <v>73.899999999999991</v>
      </c>
      <c r="W113" s="73">
        <v>60.4</v>
      </c>
      <c r="X113" s="43" cm="1">
        <f t="array" ref="X113">INDEX([1]!phvny[yphv], MATCH(1, (paper3[[#This Row],[id]]=[1]!phvny[id])*(paper3[[#This Row],[time]]=[1]!phvny[time]), 0))</f>
        <v>2.2622968255620992</v>
      </c>
      <c r="Y113" s="3">
        <v>2.0699999999999998</v>
      </c>
      <c r="Z113" s="3">
        <v>3.52</v>
      </c>
      <c r="AA113" s="3">
        <v>4.92</v>
      </c>
      <c r="AB113" s="3">
        <v>2.0299999999999998</v>
      </c>
      <c r="AC113" s="3">
        <v>3.47</v>
      </c>
      <c r="AD113" s="3">
        <v>4.87</v>
      </c>
      <c r="AE113" s="3">
        <v>2.14</v>
      </c>
      <c r="AF113" s="3">
        <v>3.59</v>
      </c>
      <c r="AG113" s="3">
        <v>5.0199999999999996</v>
      </c>
      <c r="AH113" s="44">
        <v>2.0299999999999998</v>
      </c>
      <c r="AI113" s="44">
        <v>3.47</v>
      </c>
      <c r="AJ113" s="44">
        <v>4.87</v>
      </c>
      <c r="AK113" s="45">
        <v>7.1428571428571432</v>
      </c>
      <c r="AL113" s="3">
        <v>10.85</v>
      </c>
      <c r="AM113" s="3">
        <v>10.65</v>
      </c>
      <c r="AN113" s="3">
        <v>10.91</v>
      </c>
      <c r="AO113" s="3">
        <v>10.77</v>
      </c>
      <c r="AP113" s="3">
        <v>10.65</v>
      </c>
      <c r="AQ113" s="47">
        <v>10.65</v>
      </c>
      <c r="AR113" s="47">
        <v>10.77</v>
      </c>
      <c r="AS113" s="3">
        <v>31.09</v>
      </c>
      <c r="AT113" s="3">
        <v>30.86</v>
      </c>
      <c r="AU113" s="3">
        <v>30.1</v>
      </c>
      <c r="AV113" s="3"/>
      <c r="AW113" s="3"/>
      <c r="AX113" s="48">
        <v>31.09</v>
      </c>
      <c r="AY113" s="3"/>
      <c r="AZ113" s="3">
        <v>7</v>
      </c>
      <c r="BA113" s="3">
        <v>220</v>
      </c>
      <c r="BB113" s="3">
        <v>13</v>
      </c>
      <c r="BC113" s="3">
        <v>300</v>
      </c>
      <c r="BD113" s="40">
        <v>1285.4936112502342</v>
      </c>
      <c r="BE113" s="40">
        <v>1266.0296436967201</v>
      </c>
      <c r="BF113" s="40"/>
      <c r="BG113" s="40">
        <v>427.00676148638695</v>
      </c>
      <c r="BH113" s="40">
        <v>441.7321795918084</v>
      </c>
      <c r="BI113" s="49">
        <v>2551.5232549469542</v>
      </c>
      <c r="BJ113" s="49">
        <v>868.73894107819535</v>
      </c>
      <c r="BK113" s="66">
        <v>1.5374021967353491E-2</v>
      </c>
      <c r="BL113" s="66">
        <v>-3.3335624583721191E-2</v>
      </c>
      <c r="BM113" s="51">
        <v>42.243762499121758</v>
      </c>
      <c r="BN113" s="51">
        <v>14.383095050963499</v>
      </c>
      <c r="BO113" s="52">
        <v>287</v>
      </c>
      <c r="BP113" s="40">
        <v>280</v>
      </c>
      <c r="BQ113" s="40">
        <v>287</v>
      </c>
      <c r="BR113" s="67">
        <v>-2.4390243902439046E-2</v>
      </c>
      <c r="BS113" s="54">
        <v>4.693708609271523</v>
      </c>
      <c r="BT113" s="3">
        <v>132</v>
      </c>
      <c r="BU113" s="40">
        <v>127</v>
      </c>
      <c r="BV113" s="3">
        <v>129</v>
      </c>
      <c r="BW113" s="3">
        <v>130</v>
      </c>
      <c r="BX113" s="70">
        <v>3.937007874015741E-2</v>
      </c>
      <c r="BY113" s="70">
        <v>-7.692307692307665E-3</v>
      </c>
      <c r="BZ113" s="59">
        <v>0.97692307692307689</v>
      </c>
      <c r="CA113" s="59">
        <v>1.0232558139534884</v>
      </c>
      <c r="CB113" s="59">
        <v>1.5844453642384104</v>
      </c>
      <c r="CC113" s="59">
        <v>1.5844453642384104</v>
      </c>
      <c r="CD113" s="60">
        <v>76</v>
      </c>
      <c r="CE113" s="60">
        <v>89</v>
      </c>
      <c r="CF113" s="61">
        <v>1.2582781456953642</v>
      </c>
      <c r="CG113" s="61">
        <v>1.4735099337748345</v>
      </c>
      <c r="CH113" s="61">
        <v>1.1710526315789473</v>
      </c>
      <c r="CI113" s="41">
        <v>13.3</v>
      </c>
      <c r="CJ113" s="40">
        <f>VLOOKUP(paper3[[#This Row],[YYIR nivå]],$DB:$DC,2)</f>
        <v>400</v>
      </c>
      <c r="CK113" s="3" t="s">
        <v>112</v>
      </c>
      <c r="CL113" s="62"/>
      <c r="CM113" s="63" t="s">
        <v>110</v>
      </c>
      <c r="CN113" s="3">
        <v>132</v>
      </c>
      <c r="CO113" s="3">
        <v>130</v>
      </c>
      <c r="CP113" s="41">
        <v>15.08611111111111</v>
      </c>
      <c r="CQ113" s="3" t="s">
        <v>110</v>
      </c>
      <c r="CR113" s="40">
        <v>129.5</v>
      </c>
      <c r="CS113" s="40">
        <v>129.5</v>
      </c>
      <c r="CT113" s="40">
        <v>283.5</v>
      </c>
      <c r="CU113" s="40"/>
      <c r="CV113" s="40"/>
      <c r="CW113" s="40"/>
      <c r="CX113" s="40"/>
      <c r="CY113" s="40">
        <v>0</v>
      </c>
      <c r="CZ113" s="40"/>
      <c r="DA113" s="40"/>
    </row>
    <row r="114" spans="1:105" ht="15.95" customHeight="1">
      <c r="A114" s="3">
        <v>258</v>
      </c>
      <c r="B114" s="38" t="s">
        <v>103</v>
      </c>
      <c r="C114" s="3" t="s">
        <v>115</v>
      </c>
      <c r="D114" s="3" t="s">
        <v>105</v>
      </c>
      <c r="E114" s="39">
        <v>44511</v>
      </c>
      <c r="F114" s="3" t="s">
        <v>106</v>
      </c>
      <c r="G114" s="3" t="s">
        <v>107</v>
      </c>
      <c r="H114" s="40">
        <v>2006</v>
      </c>
      <c r="I114" s="40" t="s">
        <v>116</v>
      </c>
      <c r="J114" s="40" t="s">
        <v>117</v>
      </c>
      <c r="K114" s="3">
        <v>170</v>
      </c>
      <c r="L114" s="3">
        <v>169.9</v>
      </c>
      <c r="M114" s="3"/>
      <c r="N114" s="3">
        <v>144.30000000000001</v>
      </c>
      <c r="O114" s="3">
        <v>143.9</v>
      </c>
      <c r="P114" s="3">
        <v>143.9</v>
      </c>
      <c r="Q114" s="3">
        <v>69</v>
      </c>
      <c r="R114" s="3">
        <v>69</v>
      </c>
      <c r="S114" s="3"/>
      <c r="T114" s="42">
        <v>169.95</v>
      </c>
      <c r="U114" s="42">
        <f>AVERAGE(paper3[[#This Row],[Sittende høyde 1]:[Sittende høyde 3]])-56.2</f>
        <v>87.833333333333329</v>
      </c>
      <c r="V114" s="12">
        <f>paper3[[#This Row],[height]]-paper3[[#This Row],[sittingheight]]</f>
        <v>82.11666666666666</v>
      </c>
      <c r="W114" s="73">
        <v>69</v>
      </c>
      <c r="X114" s="43" cm="1">
        <f t="array" ref="X114">INDEX([1]!phvny[yphv], MATCH(1, (paper3[[#This Row],[id]]=[1]!phvny[id])*(paper3[[#This Row],[time]]=[1]!phvny[time]), 0))</f>
        <v>2.9589799973764341</v>
      </c>
      <c r="Y114" s="3"/>
      <c r="Z114" s="3"/>
      <c r="AA114" s="3"/>
      <c r="AB114" s="3"/>
      <c r="AC114" s="3"/>
      <c r="AD114" s="3"/>
      <c r="AE114" s="3"/>
      <c r="AF114" s="57"/>
      <c r="AG114" s="3"/>
      <c r="AH114" s="44"/>
      <c r="AI114" s="44"/>
      <c r="AJ114" s="44"/>
      <c r="AK114" s="45"/>
      <c r="AL114" s="3"/>
      <c r="AM114" s="3"/>
      <c r="AN114" s="3"/>
      <c r="AO114" s="3"/>
      <c r="AP114" s="3"/>
      <c r="AQ114" s="47"/>
      <c r="AR114" s="47"/>
      <c r="AS114" s="3">
        <v>25.78</v>
      </c>
      <c r="AT114" s="3">
        <v>25.77</v>
      </c>
      <c r="AU114" s="3">
        <v>26.03</v>
      </c>
      <c r="AV114" s="3">
        <v>28.18</v>
      </c>
      <c r="AW114" s="3">
        <v>23.91</v>
      </c>
      <c r="AX114" s="48">
        <v>28.18</v>
      </c>
      <c r="AY114" s="3"/>
      <c r="AZ114" s="3"/>
      <c r="BA114" s="3"/>
      <c r="BB114" s="3"/>
      <c r="BC114" s="3"/>
      <c r="BD114" s="40"/>
      <c r="BE114" s="40"/>
      <c r="BF114" s="40"/>
      <c r="BG114" s="40"/>
      <c r="BH114" s="40"/>
      <c r="BI114" s="49"/>
      <c r="BJ114" s="49"/>
      <c r="BK114" s="66"/>
      <c r="BL114" s="66"/>
      <c r="BM114" s="51"/>
      <c r="BN114" s="51"/>
      <c r="BO114" s="52">
        <v>233</v>
      </c>
      <c r="BP114" s="40">
        <v>233</v>
      </c>
      <c r="BQ114" s="40">
        <v>216</v>
      </c>
      <c r="BR114" s="67">
        <v>7.870370370370372E-2</v>
      </c>
      <c r="BS114" s="54">
        <v>3.2536231884057969</v>
      </c>
      <c r="BT114" s="3">
        <v>147</v>
      </c>
      <c r="BU114" s="40">
        <v>157</v>
      </c>
      <c r="BV114" s="3">
        <v>131</v>
      </c>
      <c r="BW114" s="3">
        <v>136</v>
      </c>
      <c r="BX114" s="70">
        <v>-6.3694267515923553E-2</v>
      </c>
      <c r="BY114" s="70">
        <v>-3.6764705882352922E-2</v>
      </c>
      <c r="BZ114" s="59">
        <v>1.1544117647058822</v>
      </c>
      <c r="CA114" s="59">
        <v>1.1221374045801527</v>
      </c>
      <c r="CB114" s="59">
        <v>1.8089468599033816</v>
      </c>
      <c r="CC114" s="59">
        <v>1.5887789855072463</v>
      </c>
      <c r="CD114" s="60">
        <v>84</v>
      </c>
      <c r="CE114" s="60">
        <v>81</v>
      </c>
      <c r="CF114" s="61">
        <v>1.2173913043478262</v>
      </c>
      <c r="CG114" s="61">
        <v>1.173913043478261</v>
      </c>
      <c r="CH114" s="61">
        <v>0.9642857142857143</v>
      </c>
      <c r="CI114" s="41"/>
      <c r="CJ114" s="40"/>
      <c r="CK114" s="3"/>
      <c r="CL114" s="62"/>
      <c r="CM114" s="63" t="s">
        <v>110</v>
      </c>
      <c r="CN114" s="3">
        <v>157</v>
      </c>
      <c r="CO114" s="3">
        <v>136</v>
      </c>
      <c r="CP114" s="41">
        <v>15.391666666666667</v>
      </c>
      <c r="CQ114" s="3" t="s">
        <v>110</v>
      </c>
      <c r="CR114" s="40">
        <v>152</v>
      </c>
      <c r="CS114" s="40">
        <v>133.5</v>
      </c>
      <c r="CT114" s="40">
        <v>224.5</v>
      </c>
      <c r="CU114" s="40"/>
      <c r="CV114" s="40"/>
      <c r="CW114" s="40"/>
      <c r="CX114" s="40"/>
      <c r="CY114" s="40">
        <v>0</v>
      </c>
      <c r="CZ114" s="40"/>
      <c r="DA114" s="40"/>
    </row>
    <row r="115" spans="1:105" ht="15.95" customHeight="1">
      <c r="A115" s="3">
        <v>259</v>
      </c>
      <c r="B115" s="38" t="s">
        <v>103</v>
      </c>
      <c r="C115" s="3" t="s">
        <v>115</v>
      </c>
      <c r="D115" s="3" t="s">
        <v>105</v>
      </c>
      <c r="E115" s="39">
        <v>44511</v>
      </c>
      <c r="F115" s="3" t="s">
        <v>106</v>
      </c>
      <c r="G115" s="3" t="s">
        <v>107</v>
      </c>
      <c r="H115" s="40">
        <v>2006</v>
      </c>
      <c r="I115" s="40" t="s">
        <v>116</v>
      </c>
      <c r="J115" s="40" t="s">
        <v>117</v>
      </c>
      <c r="K115" s="3">
        <v>164.5</v>
      </c>
      <c r="L115" s="3">
        <v>164.4</v>
      </c>
      <c r="M115" s="3"/>
      <c r="N115" s="3">
        <v>137.5</v>
      </c>
      <c r="O115" s="3">
        <v>137.30000000000001</v>
      </c>
      <c r="P115" s="3"/>
      <c r="Q115" s="3">
        <v>57.5</v>
      </c>
      <c r="R115" s="3">
        <v>57.5</v>
      </c>
      <c r="S115" s="3"/>
      <c r="T115" s="42">
        <v>164.45</v>
      </c>
      <c r="U115" s="42">
        <f>AVERAGE(paper3[[#This Row],[Sittende høyde 1]:[Sittende høyde 3]])-56.2</f>
        <v>81.2</v>
      </c>
      <c r="V115" s="12">
        <f>paper3[[#This Row],[height]]-paper3[[#This Row],[sittingheight]]</f>
        <v>83.249999999999986</v>
      </c>
      <c r="W115" s="73">
        <v>57.5</v>
      </c>
      <c r="X115" s="43" cm="1">
        <f t="array" ref="X115">INDEX([1]!phvny[yphv], MATCH(1, (paper3[[#This Row],[id]]=[1]!phvny[id])*(paper3[[#This Row],[time]]=[1]!phvny[time]), 0))</f>
        <v>2.334551146526807</v>
      </c>
      <c r="Y115" s="3"/>
      <c r="Z115" s="3"/>
      <c r="AA115" s="3"/>
      <c r="AB115" s="3"/>
      <c r="AC115" s="3"/>
      <c r="AD115" s="3"/>
      <c r="AE115" s="3"/>
      <c r="AF115" s="3"/>
      <c r="AG115" s="3"/>
      <c r="AH115" s="44"/>
      <c r="AI115" s="44"/>
      <c r="AJ115" s="44"/>
      <c r="AK115" s="45"/>
      <c r="AL115" s="3"/>
      <c r="AM115" s="3"/>
      <c r="AN115" s="3"/>
      <c r="AO115" s="3"/>
      <c r="AP115" s="3"/>
      <c r="AQ115" s="47"/>
      <c r="AR115" s="47"/>
      <c r="AS115" s="3">
        <v>29.48</v>
      </c>
      <c r="AT115" s="3">
        <v>27.19</v>
      </c>
      <c r="AU115" s="3">
        <v>28.29</v>
      </c>
      <c r="AV115" s="3"/>
      <c r="AW115" s="3"/>
      <c r="AX115" s="48">
        <v>29.48</v>
      </c>
      <c r="AY115" s="3"/>
      <c r="AZ115" s="3"/>
      <c r="BA115" s="3"/>
      <c r="BB115" s="3"/>
      <c r="BC115" s="3"/>
      <c r="BD115" s="40"/>
      <c r="BE115" s="40"/>
      <c r="BF115" s="40"/>
      <c r="BG115" s="40"/>
      <c r="BH115" s="40"/>
      <c r="BI115" s="49"/>
      <c r="BJ115" s="49"/>
      <c r="BK115" s="66"/>
      <c r="BL115" s="66"/>
      <c r="BM115" s="51"/>
      <c r="BN115" s="51"/>
      <c r="BO115" s="52">
        <v>276</v>
      </c>
      <c r="BP115" s="40">
        <v>276</v>
      </c>
      <c r="BQ115" s="40">
        <v>239</v>
      </c>
      <c r="BR115" s="67">
        <v>0.15481171548117145</v>
      </c>
      <c r="BS115" s="54">
        <v>4.4782608695652177</v>
      </c>
      <c r="BT115" s="3">
        <v>133</v>
      </c>
      <c r="BU115" s="40">
        <v>162</v>
      </c>
      <c r="BV115" s="3">
        <v>93</v>
      </c>
      <c r="BW115" s="3">
        <v>95</v>
      </c>
      <c r="BX115" s="70">
        <v>-0.17901234567901236</v>
      </c>
      <c r="BY115" s="70">
        <v>-2.1052631578947323E-2</v>
      </c>
      <c r="BZ115" s="59">
        <v>1.7052631578947368</v>
      </c>
      <c r="CA115" s="59">
        <v>1.4301075268817205</v>
      </c>
      <c r="CB115" s="59">
        <v>2.1355434782608693</v>
      </c>
      <c r="CC115" s="59">
        <v>1.3609565217391304</v>
      </c>
      <c r="CD115" s="60">
        <v>64</v>
      </c>
      <c r="CE115" s="60">
        <v>61</v>
      </c>
      <c r="CF115" s="61">
        <v>1.1130434782608696</v>
      </c>
      <c r="CG115" s="61">
        <v>1.0608695652173914</v>
      </c>
      <c r="CH115" s="61">
        <v>0.95312500000000011</v>
      </c>
      <c r="CI115" s="41"/>
      <c r="CJ115" s="40"/>
      <c r="CK115" s="3"/>
      <c r="CL115" s="62"/>
      <c r="CM115" s="63" t="s">
        <v>110</v>
      </c>
      <c r="CN115" s="3">
        <v>162</v>
      </c>
      <c r="CO115" s="3">
        <v>95</v>
      </c>
      <c r="CP115" s="41">
        <v>15.355555555555556</v>
      </c>
      <c r="CQ115" s="3" t="s">
        <v>110</v>
      </c>
      <c r="CR115" s="40">
        <v>147.5</v>
      </c>
      <c r="CS115" s="40">
        <v>94</v>
      </c>
      <c r="CT115" s="40">
        <v>257.5</v>
      </c>
      <c r="CU115" s="40"/>
      <c r="CV115" s="40"/>
      <c r="CW115" s="40"/>
      <c r="CX115" s="40"/>
      <c r="CY115" s="40" t="s">
        <v>125</v>
      </c>
      <c r="CZ115" s="40"/>
      <c r="DA115" s="40"/>
    </row>
    <row r="116" spans="1:105" ht="15.95" customHeight="1">
      <c r="A116" s="3">
        <v>260</v>
      </c>
      <c r="B116" s="38" t="s">
        <v>103</v>
      </c>
      <c r="C116" s="3" t="s">
        <v>115</v>
      </c>
      <c r="D116" s="3" t="s">
        <v>105</v>
      </c>
      <c r="E116" s="39">
        <v>44511</v>
      </c>
      <c r="F116" s="3" t="s">
        <v>106</v>
      </c>
      <c r="G116" s="3" t="s">
        <v>107</v>
      </c>
      <c r="H116" s="40">
        <v>2008</v>
      </c>
      <c r="I116" s="40" t="s">
        <v>108</v>
      </c>
      <c r="J116" s="40" t="s">
        <v>109</v>
      </c>
      <c r="K116" s="3">
        <v>164.6</v>
      </c>
      <c r="L116" s="3">
        <v>164.6</v>
      </c>
      <c r="M116" s="3"/>
      <c r="N116" s="3">
        <v>141.1</v>
      </c>
      <c r="O116" s="3">
        <v>140.9</v>
      </c>
      <c r="P116" s="3"/>
      <c r="Q116" s="3">
        <v>56.3</v>
      </c>
      <c r="R116" s="3">
        <v>56.4</v>
      </c>
      <c r="S116" s="3"/>
      <c r="T116" s="42">
        <v>164.6</v>
      </c>
      <c r="U116" s="42">
        <f>AVERAGE(paper3[[#This Row],[Sittende høyde 1]:[Sittende høyde 3]])-56.2</f>
        <v>84.8</v>
      </c>
      <c r="V116" s="12">
        <f>paper3[[#This Row],[height]]-paper3[[#This Row],[sittingheight]]</f>
        <v>79.8</v>
      </c>
      <c r="W116" s="73">
        <v>56.349999999999994</v>
      </c>
      <c r="X116" s="43" cm="1">
        <f t="array" ref="X116">INDEX([1]!phvny[yphv], MATCH(1, (paper3[[#This Row],[id]]=[1]!phvny[id])*(paper3[[#This Row],[time]]=[1]!phvny[time]), 0))</f>
        <v>1.6717145664214255</v>
      </c>
      <c r="Y116" s="3">
        <v>2.0699999999999998</v>
      </c>
      <c r="Z116" s="3">
        <v>3.54</v>
      </c>
      <c r="AA116" s="3">
        <v>4.95</v>
      </c>
      <c r="AB116" s="3">
        <v>2.06</v>
      </c>
      <c r="AC116" s="3">
        <v>3.52</v>
      </c>
      <c r="AD116" s="3">
        <v>4.92</v>
      </c>
      <c r="AE116" s="3">
        <v>2.0699999999999998</v>
      </c>
      <c r="AF116" s="57">
        <v>3.54</v>
      </c>
      <c r="AG116" s="3">
        <v>4.96</v>
      </c>
      <c r="AH116" s="44">
        <v>2.06</v>
      </c>
      <c r="AI116" s="44">
        <v>3.52</v>
      </c>
      <c r="AJ116" s="44">
        <v>4.92</v>
      </c>
      <c r="AK116" s="45">
        <v>7.1428571428571432</v>
      </c>
      <c r="AL116" s="3">
        <v>11.13</v>
      </c>
      <c r="AM116" s="3">
        <v>10.86</v>
      </c>
      <c r="AN116" s="3">
        <v>11.26</v>
      </c>
      <c r="AO116" s="3">
        <v>10.77</v>
      </c>
      <c r="AP116" s="3">
        <v>10.77</v>
      </c>
      <c r="AQ116" s="47">
        <v>10.86</v>
      </c>
      <c r="AR116" s="47">
        <v>10.77</v>
      </c>
      <c r="AS116" s="3">
        <v>26.85</v>
      </c>
      <c r="AT116" s="3">
        <v>27.4</v>
      </c>
      <c r="AU116" s="3">
        <v>27.29</v>
      </c>
      <c r="AV116" s="3"/>
      <c r="AW116" s="3"/>
      <c r="AX116" s="48">
        <v>27.4</v>
      </c>
      <c r="AY116" s="3"/>
      <c r="AZ116" s="3">
        <v>8</v>
      </c>
      <c r="BA116" s="3">
        <v>180</v>
      </c>
      <c r="BB116" s="3">
        <v>10</v>
      </c>
      <c r="BC116" s="3">
        <v>196</v>
      </c>
      <c r="BD116" s="40">
        <v>844.95694121661313</v>
      </c>
      <c r="BE116" s="40">
        <v>855.90513147534421</v>
      </c>
      <c r="BF116" s="40"/>
      <c r="BG116" s="40">
        <v>308.48921710818558</v>
      </c>
      <c r="BH116" s="40">
        <v>306.05597815894134</v>
      </c>
      <c r="BI116" s="49">
        <v>1700.8620726919573</v>
      </c>
      <c r="BJ116" s="49">
        <v>614.54519526712693</v>
      </c>
      <c r="BK116" s="66">
        <v>-1.2791359528198432E-2</v>
      </c>
      <c r="BL116" s="66">
        <v>7.9503068813790989E-3</v>
      </c>
      <c r="BM116" s="51">
        <v>30.210694008738141</v>
      </c>
      <c r="BN116" s="51">
        <v>10.915545209007584</v>
      </c>
      <c r="BO116" s="52">
        <v>169</v>
      </c>
      <c r="BP116" s="40">
        <v>169</v>
      </c>
      <c r="BQ116" s="40">
        <v>151</v>
      </c>
      <c r="BR116" s="67">
        <v>0.11920529801324498</v>
      </c>
      <c r="BS116" s="54">
        <v>2.8393966282165044</v>
      </c>
      <c r="BT116" s="3">
        <v>119</v>
      </c>
      <c r="BU116" s="40">
        <v>102</v>
      </c>
      <c r="BV116" s="3">
        <v>108</v>
      </c>
      <c r="BW116" s="3">
        <v>105</v>
      </c>
      <c r="BX116" s="70">
        <v>0.16666666666666674</v>
      </c>
      <c r="BY116" s="70">
        <v>2.857142857142847E-2</v>
      </c>
      <c r="BZ116" s="59">
        <v>0.97142857142857142</v>
      </c>
      <c r="CA116" s="59">
        <v>1.1018518518518519</v>
      </c>
      <c r="CB116" s="59">
        <v>1.5648447204968943</v>
      </c>
      <c r="CC116" s="59">
        <v>1.5081987577639753</v>
      </c>
      <c r="CD116" s="60">
        <v>81</v>
      </c>
      <c r="CE116" s="60">
        <v>71</v>
      </c>
      <c r="CF116" s="61">
        <v>1.4374445430346052</v>
      </c>
      <c r="CG116" s="61">
        <v>1.2599822537710739</v>
      </c>
      <c r="CH116" s="61">
        <v>0.87654320987654333</v>
      </c>
      <c r="CI116" s="41"/>
      <c r="CJ116" s="40"/>
      <c r="CK116" s="3"/>
      <c r="CL116" s="62">
        <v>39194</v>
      </c>
      <c r="CM116" s="63">
        <v>39.194000000000003</v>
      </c>
      <c r="CN116" s="3">
        <v>119</v>
      </c>
      <c r="CO116" s="3">
        <v>108</v>
      </c>
      <c r="CP116" s="41">
        <v>13.702777777777778</v>
      </c>
      <c r="CQ116" s="3" t="s">
        <v>173</v>
      </c>
      <c r="CR116" s="40">
        <v>110.5</v>
      </c>
      <c r="CS116" s="40">
        <v>106.5</v>
      </c>
      <c r="CT116" s="40">
        <v>160</v>
      </c>
      <c r="CU116" s="40"/>
      <c r="CV116" s="40"/>
      <c r="CW116" s="40"/>
      <c r="CX116" s="40"/>
      <c r="CY116" s="40">
        <v>0</v>
      </c>
      <c r="CZ116" s="40"/>
      <c r="DA116" s="40"/>
    </row>
    <row r="117" spans="1:105" ht="15.95" customHeight="1">
      <c r="A117" s="3">
        <v>261</v>
      </c>
      <c r="B117" s="38" t="s">
        <v>103</v>
      </c>
      <c r="C117" s="3" t="s">
        <v>115</v>
      </c>
      <c r="D117" s="3" t="s">
        <v>105</v>
      </c>
      <c r="E117" s="39">
        <v>44511</v>
      </c>
      <c r="F117" s="3" t="s">
        <v>106</v>
      </c>
      <c r="G117" s="3" t="s">
        <v>107</v>
      </c>
      <c r="H117" s="40">
        <v>2008</v>
      </c>
      <c r="I117" s="40" t="s">
        <v>108</v>
      </c>
      <c r="J117" s="40" t="s">
        <v>109</v>
      </c>
      <c r="K117" s="3">
        <v>162.5</v>
      </c>
      <c r="L117" s="3">
        <v>162.6</v>
      </c>
      <c r="M117" s="3"/>
      <c r="N117" s="3">
        <v>140.19999999999999</v>
      </c>
      <c r="O117" s="3">
        <v>140.4</v>
      </c>
      <c r="P117" s="3"/>
      <c r="Q117" s="3">
        <v>62.2</v>
      </c>
      <c r="R117" s="3">
        <v>62.2</v>
      </c>
      <c r="S117" s="3"/>
      <c r="T117" s="42">
        <v>162.55000000000001</v>
      </c>
      <c r="U117" s="42">
        <f>AVERAGE(paper3[[#This Row],[Sittende høyde 1]:[Sittende høyde 3]])-56.2</f>
        <v>84.100000000000009</v>
      </c>
      <c r="V117" s="12">
        <f>paper3[[#This Row],[height]]-paper3[[#This Row],[sittingheight]]</f>
        <v>78.45</v>
      </c>
      <c r="W117" s="73">
        <v>62.2</v>
      </c>
      <c r="X117" s="43" cm="1">
        <f t="array" ref="X117">INDEX([1]!phvny[yphv], MATCH(1, (paper3[[#This Row],[id]]=[1]!phvny[id])*(paper3[[#This Row],[time]]=[1]!phvny[time]), 0))</f>
        <v>1.5390364657917566</v>
      </c>
      <c r="Y117" s="3">
        <v>2.2200000000000002</v>
      </c>
      <c r="Z117" s="3">
        <v>3.82</v>
      </c>
      <c r="AA117" s="3">
        <v>5.38</v>
      </c>
      <c r="AB117" s="3">
        <v>2.23</v>
      </c>
      <c r="AC117" s="3">
        <v>3.82</v>
      </c>
      <c r="AD117" s="3">
        <v>5.38</v>
      </c>
      <c r="AE117" s="3">
        <v>2.2400000000000002</v>
      </c>
      <c r="AF117" s="3">
        <v>3.83</v>
      </c>
      <c r="AG117" s="3">
        <v>5.38</v>
      </c>
      <c r="AH117" s="44">
        <v>2.2200000000000002</v>
      </c>
      <c r="AI117" s="44">
        <v>3.82</v>
      </c>
      <c r="AJ117" s="44">
        <v>5.38</v>
      </c>
      <c r="AK117" s="45">
        <v>6.4102564102564097</v>
      </c>
      <c r="AL117" s="3">
        <v>11.28</v>
      </c>
      <c r="AM117" s="3">
        <v>11.43</v>
      </c>
      <c r="AN117" s="3">
        <v>11.63</v>
      </c>
      <c r="AO117" s="3">
        <v>11.59</v>
      </c>
      <c r="AP117" s="3">
        <v>11.28</v>
      </c>
      <c r="AQ117" s="47">
        <v>11.28</v>
      </c>
      <c r="AR117" s="47">
        <v>11.59</v>
      </c>
      <c r="AS117" s="3">
        <v>21.65</v>
      </c>
      <c r="AT117" s="3">
        <v>22.47</v>
      </c>
      <c r="AU117" s="3">
        <v>21.74</v>
      </c>
      <c r="AV117" s="3"/>
      <c r="AW117" s="3"/>
      <c r="AX117" s="48">
        <v>22.47</v>
      </c>
      <c r="AY117" s="3"/>
      <c r="AZ117" s="3">
        <v>7</v>
      </c>
      <c r="BA117" s="3">
        <v>180</v>
      </c>
      <c r="BB117" s="3">
        <v>12</v>
      </c>
      <c r="BC117" s="3">
        <v>228</v>
      </c>
      <c r="BD117" s="40">
        <v>1023.9792140698042</v>
      </c>
      <c r="BE117" s="40">
        <v>985.01388325794517</v>
      </c>
      <c r="BF117" s="40"/>
      <c r="BG117" s="40">
        <v>353.52596849623842</v>
      </c>
      <c r="BH117" s="40">
        <v>365.62525657831549</v>
      </c>
      <c r="BI117" s="49">
        <v>2008.9930973277494</v>
      </c>
      <c r="BJ117" s="49">
        <v>719.15122507455385</v>
      </c>
      <c r="BK117" s="66">
        <v>3.9558153924674322E-2</v>
      </c>
      <c r="BL117" s="66">
        <v>-3.3092046745642256E-2</v>
      </c>
      <c r="BM117" s="51">
        <v>32.298924394336808</v>
      </c>
      <c r="BN117" s="51">
        <v>11.561916801841701</v>
      </c>
      <c r="BO117" s="52">
        <v>245</v>
      </c>
      <c r="BP117" s="40">
        <v>245</v>
      </c>
      <c r="BQ117" s="40">
        <v>235</v>
      </c>
      <c r="BR117" s="67">
        <v>4.2553191489361764E-2</v>
      </c>
      <c r="BS117" s="54">
        <v>3.858520900321543</v>
      </c>
      <c r="BT117" s="3">
        <v>118</v>
      </c>
      <c r="BU117" s="40">
        <v>127</v>
      </c>
      <c r="BV117" s="3">
        <v>130</v>
      </c>
      <c r="BW117" s="3">
        <v>129</v>
      </c>
      <c r="BX117" s="70">
        <v>-7.086614173228345E-2</v>
      </c>
      <c r="BY117" s="70">
        <v>7.7519379844961378E-3</v>
      </c>
      <c r="BZ117" s="59">
        <v>0.98449612403100772</v>
      </c>
      <c r="CA117" s="59">
        <v>0.90769230769230769</v>
      </c>
      <c r="CB117" s="59">
        <v>1.5450361736334404</v>
      </c>
      <c r="CC117" s="59">
        <v>1.6333239549839227</v>
      </c>
      <c r="CD117" s="60">
        <v>64</v>
      </c>
      <c r="CE117" s="60">
        <v>65</v>
      </c>
      <c r="CF117" s="61">
        <v>1.0289389067524115</v>
      </c>
      <c r="CG117" s="61">
        <v>1.045016077170418</v>
      </c>
      <c r="CH117" s="61">
        <v>1.015625</v>
      </c>
      <c r="CI117" s="41">
        <v>14.2</v>
      </c>
      <c r="CJ117" s="40">
        <f>VLOOKUP(paper3[[#This Row],[YYIR nivå]],$DB:$DC,2)</f>
        <v>520</v>
      </c>
      <c r="CK117" s="3" t="s">
        <v>112</v>
      </c>
      <c r="CL117" s="62">
        <v>41593</v>
      </c>
      <c r="CM117" s="63">
        <v>41.593000000000004</v>
      </c>
      <c r="CN117" s="3">
        <v>127</v>
      </c>
      <c r="CO117" s="3">
        <v>130</v>
      </c>
      <c r="CP117" s="41">
        <v>13.5</v>
      </c>
      <c r="CQ117" s="3" t="s">
        <v>174</v>
      </c>
      <c r="CR117" s="40">
        <v>122.5</v>
      </c>
      <c r="CS117" s="40">
        <v>129.5</v>
      </c>
      <c r="CT117" s="40">
        <v>240</v>
      </c>
      <c r="CU117" s="40"/>
      <c r="CV117" s="40"/>
      <c r="CW117" s="40"/>
      <c r="CX117" s="40"/>
      <c r="CY117" s="40">
        <v>0</v>
      </c>
      <c r="CZ117" s="40"/>
      <c r="DA117" s="40"/>
    </row>
    <row r="118" spans="1:105" ht="15.75" customHeight="1">
      <c r="A118" s="3">
        <v>265</v>
      </c>
      <c r="B118" s="38" t="s">
        <v>103</v>
      </c>
      <c r="C118" s="3" t="s">
        <v>115</v>
      </c>
      <c r="D118" s="3" t="s">
        <v>105</v>
      </c>
      <c r="E118" s="39">
        <v>44511</v>
      </c>
      <c r="F118" s="3" t="s">
        <v>106</v>
      </c>
      <c r="G118" s="3" t="s">
        <v>107</v>
      </c>
      <c r="H118" s="40">
        <v>2008</v>
      </c>
      <c r="I118" s="40" t="s">
        <v>108</v>
      </c>
      <c r="J118" s="40" t="s">
        <v>109</v>
      </c>
      <c r="K118" s="3">
        <v>156.4</v>
      </c>
      <c r="L118" s="3">
        <v>156.4</v>
      </c>
      <c r="M118" s="3"/>
      <c r="N118" s="3">
        <v>134.5</v>
      </c>
      <c r="O118" s="3">
        <v>133.9</v>
      </c>
      <c r="P118" s="3">
        <v>133.9</v>
      </c>
      <c r="Q118" s="3">
        <v>44.8</v>
      </c>
      <c r="R118" s="3">
        <v>44.7</v>
      </c>
      <c r="S118" s="3"/>
      <c r="T118" s="42">
        <v>156.4</v>
      </c>
      <c r="U118" s="42">
        <f>AVERAGE(paper3[[#This Row],[Sittende høyde 1]:[Sittende høyde 3]])-56.2</f>
        <v>77.899999999999991</v>
      </c>
      <c r="V118" s="12">
        <f>paper3[[#This Row],[height]]-paper3[[#This Row],[sittingheight]]</f>
        <v>78.500000000000014</v>
      </c>
      <c r="W118" s="73">
        <v>44.75</v>
      </c>
      <c r="X118" s="43" cm="1">
        <f t="array" ref="X118">INDEX([1]!phvny[yphv], MATCH(1, (paper3[[#This Row],[id]]=[1]!phvny[id])*(paper3[[#This Row],[time]]=[1]!phvny[time]), 0))</f>
        <v>0.91224250106564209</v>
      </c>
      <c r="Y118" s="3">
        <v>2.2200000000000002</v>
      </c>
      <c r="Z118" s="3">
        <v>3.87</v>
      </c>
      <c r="AA118" s="3">
        <v>5.48</v>
      </c>
      <c r="AB118" s="3">
        <v>2.2000000000000002</v>
      </c>
      <c r="AC118" s="3">
        <v>3.81</v>
      </c>
      <c r="AD118" s="3">
        <v>5.42</v>
      </c>
      <c r="AE118" s="3">
        <v>2.2599999999999998</v>
      </c>
      <c r="AF118" s="57">
        <v>3.92</v>
      </c>
      <c r="AG118" s="3">
        <v>5.58</v>
      </c>
      <c r="AH118" s="44">
        <v>2.2000000000000002</v>
      </c>
      <c r="AI118" s="44">
        <v>3.81</v>
      </c>
      <c r="AJ118" s="44">
        <v>5.42</v>
      </c>
      <c r="AK118" s="45">
        <v>6.2111801242236027</v>
      </c>
      <c r="AL118" s="3">
        <v>11.67</v>
      </c>
      <c r="AM118" s="3">
        <v>11.61</v>
      </c>
      <c r="AN118" s="3">
        <v>11.97</v>
      </c>
      <c r="AO118" s="3">
        <v>11.83</v>
      </c>
      <c r="AP118" s="3">
        <v>11.61</v>
      </c>
      <c r="AQ118" s="47">
        <v>11.61</v>
      </c>
      <c r="AR118" s="47">
        <v>11.83</v>
      </c>
      <c r="AS118" s="3">
        <v>20.99</v>
      </c>
      <c r="AT118" s="3">
        <v>21.2</v>
      </c>
      <c r="AU118" s="3">
        <v>20.54</v>
      </c>
      <c r="AV118" s="3"/>
      <c r="AW118" s="3"/>
      <c r="AX118" s="48">
        <v>21.2</v>
      </c>
      <c r="AY118" s="3"/>
      <c r="AZ118" s="3">
        <v>6</v>
      </c>
      <c r="BA118" s="3">
        <v>180</v>
      </c>
      <c r="BB118" s="3">
        <v>6</v>
      </c>
      <c r="BC118" s="3">
        <v>131</v>
      </c>
      <c r="BD118" s="40">
        <v>559.19888642806677</v>
      </c>
      <c r="BE118" s="40">
        <v>538.38699541179517</v>
      </c>
      <c r="BF118" s="40"/>
      <c r="BG118" s="40">
        <v>194.13088043741655</v>
      </c>
      <c r="BH118" s="40">
        <v>201.22176965923978</v>
      </c>
      <c r="BI118" s="49">
        <v>1097.5858818398619</v>
      </c>
      <c r="BJ118" s="49">
        <v>395.35265009665636</v>
      </c>
      <c r="BK118" s="66">
        <v>3.865600616960152E-2</v>
      </c>
      <c r="BL118" s="66">
        <v>-3.52391753329242E-2</v>
      </c>
      <c r="BM118" s="51">
        <v>24.49968486249692</v>
      </c>
      <c r="BN118" s="51">
        <v>8.8248359396575093</v>
      </c>
      <c r="BO118" s="52">
        <v>186</v>
      </c>
      <c r="BP118" s="40">
        <v>179</v>
      </c>
      <c r="BQ118" s="40">
        <v>186</v>
      </c>
      <c r="BR118" s="67">
        <v>-3.7634408602150504E-2</v>
      </c>
      <c r="BS118" s="54">
        <v>4.0782122905027931</v>
      </c>
      <c r="BT118" s="3">
        <v>101</v>
      </c>
      <c r="BU118" s="40">
        <v>95</v>
      </c>
      <c r="BV118" s="3">
        <v>99</v>
      </c>
      <c r="BW118" s="3">
        <v>96</v>
      </c>
      <c r="BX118" s="70">
        <v>6.315789473684208E-2</v>
      </c>
      <c r="BY118" s="70">
        <v>3.125E-2</v>
      </c>
      <c r="BZ118" s="59">
        <v>0.98958333333333337</v>
      </c>
      <c r="CA118" s="59">
        <v>1.0202020202020201</v>
      </c>
      <c r="CB118" s="59">
        <v>1.7191061452513967</v>
      </c>
      <c r="CC118" s="59">
        <v>1.7103351955307264</v>
      </c>
      <c r="CD118" s="60">
        <v>55</v>
      </c>
      <c r="CE118" s="60">
        <v>61</v>
      </c>
      <c r="CF118" s="61">
        <v>1.229050279329609</v>
      </c>
      <c r="CG118" s="61">
        <v>1.3631284916201116</v>
      </c>
      <c r="CH118" s="61">
        <v>1.1090909090909089</v>
      </c>
      <c r="CI118" s="41">
        <v>14.1</v>
      </c>
      <c r="CJ118" s="40">
        <f>VLOOKUP(paper3[[#This Row],[YYIR nivå]],$DB:$DC,2)</f>
        <v>480</v>
      </c>
      <c r="CK118" s="3" t="s">
        <v>112</v>
      </c>
      <c r="CL118" s="62">
        <v>32919</v>
      </c>
      <c r="CM118" s="63">
        <v>32.918999999999997</v>
      </c>
      <c r="CN118" s="3">
        <v>101</v>
      </c>
      <c r="CO118" s="3">
        <v>99</v>
      </c>
      <c r="CP118" s="41">
        <v>13.633333333333333</v>
      </c>
      <c r="CQ118" s="3" t="s">
        <v>175</v>
      </c>
      <c r="CR118" s="40">
        <v>98</v>
      </c>
      <c r="CS118" s="40">
        <v>97.5</v>
      </c>
      <c r="CT118" s="40">
        <v>182.5</v>
      </c>
      <c r="CU118" s="40"/>
      <c r="CV118" s="40"/>
      <c r="CW118" s="40"/>
      <c r="CX118" s="40"/>
      <c r="CY118" s="40">
        <v>0</v>
      </c>
      <c r="CZ118" s="40"/>
      <c r="DA118" s="40"/>
    </row>
    <row r="119" spans="1:105" ht="15.95" customHeight="1">
      <c r="A119" s="3">
        <v>266</v>
      </c>
      <c r="B119" s="38" t="s">
        <v>103</v>
      </c>
      <c r="C119" s="3" t="s">
        <v>115</v>
      </c>
      <c r="D119" s="3" t="s">
        <v>105</v>
      </c>
      <c r="E119" s="39">
        <v>44511</v>
      </c>
      <c r="F119" s="3" t="s">
        <v>106</v>
      </c>
      <c r="G119" s="3" t="s">
        <v>107</v>
      </c>
      <c r="H119" s="40">
        <v>2008</v>
      </c>
      <c r="I119" s="40" t="s">
        <v>108</v>
      </c>
      <c r="J119" s="40" t="s">
        <v>109</v>
      </c>
      <c r="K119" s="3">
        <v>148.30000000000001</v>
      </c>
      <c r="L119" s="3">
        <v>148.5</v>
      </c>
      <c r="M119" s="3"/>
      <c r="N119" s="3">
        <v>129.9</v>
      </c>
      <c r="O119" s="3">
        <v>129.9</v>
      </c>
      <c r="P119" s="3"/>
      <c r="Q119" s="3">
        <v>32.6</v>
      </c>
      <c r="R119" s="3">
        <v>32.6</v>
      </c>
      <c r="S119" s="3"/>
      <c r="T119" s="42">
        <v>148.4</v>
      </c>
      <c r="U119" s="42">
        <f>AVERAGE(paper3[[#This Row],[Sittende høyde 1]:[Sittende høyde 3]])-56.2</f>
        <v>73.7</v>
      </c>
      <c r="V119" s="12">
        <f>paper3[[#This Row],[height]]-paper3[[#This Row],[sittingheight]]</f>
        <v>74.7</v>
      </c>
      <c r="W119" s="73">
        <v>32.6</v>
      </c>
      <c r="X119" s="43" cm="1">
        <f t="array" ref="X119">INDEX([1]!phvny[yphv], MATCH(1, (paper3[[#This Row],[id]]=[1]!phvny[id])*(paper3[[#This Row],[time]]=[1]!phvny[time]), 0))</f>
        <v>0.30496949694654107</v>
      </c>
      <c r="Y119" s="3">
        <v>2.15</v>
      </c>
      <c r="Z119" s="3">
        <v>3.71</v>
      </c>
      <c r="AA119" s="3">
        <v>5.27</v>
      </c>
      <c r="AB119" s="3">
        <v>2.12</v>
      </c>
      <c r="AC119" s="3">
        <v>3.7</v>
      </c>
      <c r="AD119" s="3">
        <v>5.31</v>
      </c>
      <c r="AE119" s="3">
        <v>2.14</v>
      </c>
      <c r="AF119" s="3">
        <v>3.71</v>
      </c>
      <c r="AG119" s="3">
        <v>5.28</v>
      </c>
      <c r="AH119" s="44">
        <v>2.12</v>
      </c>
      <c r="AI119" s="44">
        <v>3.7</v>
      </c>
      <c r="AJ119" s="44">
        <v>5.27</v>
      </c>
      <c r="AK119" s="45">
        <v>6.3694267515923588</v>
      </c>
      <c r="AL119" s="3">
        <v>11.25</v>
      </c>
      <c r="AM119" s="3">
        <v>11.29</v>
      </c>
      <c r="AN119" s="46">
        <v>11.11</v>
      </c>
      <c r="AO119" s="3">
        <v>11.42</v>
      </c>
      <c r="AP119" s="3">
        <v>11.11</v>
      </c>
      <c r="AQ119" s="47">
        <v>11.25</v>
      </c>
      <c r="AR119" s="47">
        <v>11.11</v>
      </c>
      <c r="AS119" s="3">
        <v>20.58</v>
      </c>
      <c r="AT119" s="3">
        <v>19.260000000000002</v>
      </c>
      <c r="AU119" s="3">
        <v>22.22</v>
      </c>
      <c r="AV119" s="3">
        <v>20.87</v>
      </c>
      <c r="AW119" s="3"/>
      <c r="AX119" s="48">
        <v>22.22</v>
      </c>
      <c r="AY119" s="3"/>
      <c r="AZ119" s="3">
        <v>6</v>
      </c>
      <c r="BA119" s="3">
        <v>120</v>
      </c>
      <c r="BB119" s="3">
        <v>8</v>
      </c>
      <c r="BC119" s="3">
        <v>109</v>
      </c>
      <c r="BD119" s="40">
        <v>439.55476968554183</v>
      </c>
      <c r="BE119" s="40">
        <v>451.25287058150366</v>
      </c>
      <c r="BF119" s="40"/>
      <c r="BG119" s="40">
        <v>164.1601066876338</v>
      </c>
      <c r="BH119" s="40">
        <v>146.39641534037287</v>
      </c>
      <c r="BI119" s="49">
        <v>890.80764026704549</v>
      </c>
      <c r="BJ119" s="49">
        <v>310.55652202800667</v>
      </c>
      <c r="BK119" s="66">
        <v>-2.5923604388127575E-2</v>
      </c>
      <c r="BL119" s="66">
        <v>0.12133966057816514</v>
      </c>
      <c r="BM119" s="51">
        <v>27.325387738252928</v>
      </c>
      <c r="BN119" s="51">
        <v>9.5262736818406957</v>
      </c>
      <c r="BO119" s="52">
        <v>104</v>
      </c>
      <c r="BP119" s="40">
        <v>104</v>
      </c>
      <c r="BQ119" s="40">
        <v>84</v>
      </c>
      <c r="BR119" s="67">
        <v>0.23809523809523814</v>
      </c>
      <c r="BS119" s="54">
        <v>2.8834355828220857</v>
      </c>
      <c r="BT119" s="3">
        <v>80</v>
      </c>
      <c r="BU119" s="40">
        <v>124</v>
      </c>
      <c r="BV119" s="3">
        <v>73</v>
      </c>
      <c r="BW119" s="3">
        <v>82</v>
      </c>
      <c r="BX119" s="70">
        <v>-0.35483870967741937</v>
      </c>
      <c r="BY119" s="70">
        <v>-0.1097560975609756</v>
      </c>
      <c r="BZ119" s="59">
        <v>1.5121951219512195</v>
      </c>
      <c r="CA119" s="59">
        <v>1.095890410958904</v>
      </c>
      <c r="CB119" s="59">
        <v>2.337239263803681</v>
      </c>
      <c r="CC119" s="59">
        <v>1.7758435582822085</v>
      </c>
      <c r="CD119" s="60">
        <v>60</v>
      </c>
      <c r="CE119" s="60">
        <v>57</v>
      </c>
      <c r="CF119" s="61">
        <v>1.8404907975460121</v>
      </c>
      <c r="CG119" s="61">
        <v>1.7484662576687116</v>
      </c>
      <c r="CH119" s="61">
        <v>0.95000000000000007</v>
      </c>
      <c r="CI119" s="41"/>
      <c r="CJ119" s="40"/>
      <c r="CK119" s="3"/>
      <c r="CL119" s="62"/>
      <c r="CM119" s="63" t="s">
        <v>110</v>
      </c>
      <c r="CN119" s="3">
        <v>124</v>
      </c>
      <c r="CO119" s="3">
        <v>82</v>
      </c>
      <c r="CP119" s="41">
        <v>13.686111111111112</v>
      </c>
      <c r="CQ119" s="3" t="s">
        <v>110</v>
      </c>
      <c r="CR119" s="40">
        <v>102</v>
      </c>
      <c r="CS119" s="40">
        <v>77.5</v>
      </c>
      <c r="CT119" s="40">
        <v>94</v>
      </c>
      <c r="CU119" s="40"/>
      <c r="CV119" s="40"/>
      <c r="CW119" s="40"/>
      <c r="CX119" s="40"/>
      <c r="CY119" s="40">
        <v>0</v>
      </c>
      <c r="CZ119" s="40"/>
      <c r="DA119" s="40"/>
    </row>
    <row r="120" spans="1:105" ht="15.75" customHeight="1">
      <c r="A120" s="3">
        <v>267</v>
      </c>
      <c r="B120" s="38" t="s">
        <v>103</v>
      </c>
      <c r="C120" s="90">
        <v>0</v>
      </c>
      <c r="D120" s="46" t="s">
        <v>105</v>
      </c>
      <c r="E120" s="39">
        <v>44935</v>
      </c>
      <c r="F120" s="3" t="s">
        <v>106</v>
      </c>
      <c r="G120" s="3" t="s">
        <v>122</v>
      </c>
      <c r="H120" s="3">
        <v>2005</v>
      </c>
      <c r="I120" s="40" t="s">
        <v>121</v>
      </c>
      <c r="J120" s="39" t="s">
        <v>160</v>
      </c>
      <c r="K120" s="38"/>
      <c r="L120" s="38"/>
      <c r="M120" s="38"/>
      <c r="N120" s="38"/>
      <c r="O120" s="38"/>
      <c r="P120" s="38"/>
      <c r="Q120" s="38"/>
      <c r="R120" s="38"/>
      <c r="S120" s="38"/>
      <c r="T120" s="42"/>
      <c r="U120" s="42"/>
      <c r="V120" s="12"/>
      <c r="W120" s="42">
        <v>73.150000000000006</v>
      </c>
      <c r="X120" s="88"/>
      <c r="Y120" s="60">
        <v>1.84</v>
      </c>
      <c r="Z120" s="60">
        <v>3.13</v>
      </c>
      <c r="AA120" s="60">
        <v>4.4000000000000004</v>
      </c>
      <c r="AB120" s="60">
        <v>1.85</v>
      </c>
      <c r="AC120" s="60">
        <v>3.13</v>
      </c>
      <c r="AD120" s="60">
        <v>4.42</v>
      </c>
      <c r="AE120" s="60">
        <v>1.83</v>
      </c>
      <c r="AF120" s="60">
        <v>3.14</v>
      </c>
      <c r="AG120" s="60">
        <v>4.43</v>
      </c>
      <c r="AH120" s="44">
        <v>1.83</v>
      </c>
      <c r="AI120" s="44">
        <v>3.13</v>
      </c>
      <c r="AJ120" s="44">
        <v>4.4000000000000004</v>
      </c>
      <c r="AK120" s="45">
        <v>7.8740157480314936</v>
      </c>
      <c r="AL120" s="3">
        <v>9.6199999999999992</v>
      </c>
      <c r="AM120" s="3">
        <v>9.57</v>
      </c>
      <c r="AN120" s="3">
        <v>9.5399999999999991</v>
      </c>
      <c r="AO120" s="3">
        <v>9.3000000000000007</v>
      </c>
      <c r="AP120" s="3">
        <v>9.3000000000000007</v>
      </c>
      <c r="AQ120" s="47">
        <v>9.57</v>
      </c>
      <c r="AR120" s="47">
        <v>9.3000000000000007</v>
      </c>
      <c r="AS120" s="3">
        <v>33.35</v>
      </c>
      <c r="AT120" s="3">
        <v>34.82</v>
      </c>
      <c r="AU120" s="3">
        <v>32.44</v>
      </c>
      <c r="AV120" s="38"/>
      <c r="AW120" s="38"/>
      <c r="AX120" s="48">
        <v>34.82</v>
      </c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91"/>
      <c r="BL120" s="91"/>
      <c r="BM120" s="38"/>
      <c r="BN120" s="38"/>
      <c r="BO120" s="52"/>
      <c r="BP120" s="92"/>
      <c r="BQ120" s="92"/>
      <c r="BR120" s="91"/>
      <c r="BS120" s="54" t="s">
        <v>110</v>
      </c>
      <c r="BT120" s="38"/>
      <c r="BU120" s="93"/>
      <c r="BV120" s="38"/>
      <c r="BW120" s="38"/>
      <c r="BX120" s="59"/>
      <c r="BY120" s="59"/>
      <c r="BZ120" s="59"/>
      <c r="CA120" s="59"/>
      <c r="CB120" s="59" t="s">
        <v>110</v>
      </c>
      <c r="CC120" s="59" t="s">
        <v>110</v>
      </c>
      <c r="CD120" s="94"/>
      <c r="CE120" s="94"/>
      <c r="CF120" s="94"/>
      <c r="CG120" s="94"/>
      <c r="CH120" s="38"/>
      <c r="CI120" s="41"/>
      <c r="CJ120" s="40"/>
      <c r="CK120" s="38"/>
      <c r="CL120" s="38"/>
      <c r="CM120" s="95" t="s">
        <v>110</v>
      </c>
      <c r="CN120" s="3"/>
      <c r="CO120" s="3"/>
      <c r="CP120" s="41">
        <v>17.730555555555554</v>
      </c>
      <c r="CQ120" s="3" t="s">
        <v>110</v>
      </c>
      <c r="CR120" s="40" t="s">
        <v>110</v>
      </c>
      <c r="CS120" s="40" t="s">
        <v>110</v>
      </c>
      <c r="CT120" s="40" t="s">
        <v>110</v>
      </c>
      <c r="CU120" s="40"/>
      <c r="CV120" s="40"/>
      <c r="CW120" s="40"/>
      <c r="CX120" s="40"/>
      <c r="CY120" s="40">
        <v>0</v>
      </c>
      <c r="CZ120" s="40"/>
      <c r="DA120" s="84"/>
    </row>
    <row r="121" spans="1:105" ht="15.95" customHeight="1">
      <c r="A121" s="3">
        <v>275</v>
      </c>
      <c r="B121" s="38" t="s">
        <v>103</v>
      </c>
      <c r="C121" s="3">
        <v>0</v>
      </c>
      <c r="D121" s="3" t="s">
        <v>105</v>
      </c>
      <c r="E121" s="39">
        <v>44518</v>
      </c>
      <c r="F121" s="3" t="s">
        <v>106</v>
      </c>
      <c r="G121" s="3" t="s">
        <v>122</v>
      </c>
      <c r="H121" s="40">
        <v>2006</v>
      </c>
      <c r="I121" s="40" t="s">
        <v>116</v>
      </c>
      <c r="J121" s="40" t="s">
        <v>157</v>
      </c>
      <c r="K121" s="3">
        <v>175.9</v>
      </c>
      <c r="L121" s="3">
        <v>175.9</v>
      </c>
      <c r="M121" s="3"/>
      <c r="N121" s="3">
        <v>148.5</v>
      </c>
      <c r="O121" s="3">
        <v>148.5</v>
      </c>
      <c r="P121" s="3"/>
      <c r="Q121" s="3">
        <v>65.900000000000006</v>
      </c>
      <c r="R121" s="3">
        <v>65.900000000000006</v>
      </c>
      <c r="S121" s="3"/>
      <c r="T121" s="42">
        <v>175.9</v>
      </c>
      <c r="U121" s="42">
        <f>AVERAGE(paper3[[#This Row],[Sittende høyde 1]:[Sittende høyde 3]])-56.2</f>
        <v>92.3</v>
      </c>
      <c r="V121" s="12">
        <f>paper3[[#This Row],[height]]-paper3[[#This Row],[sittingheight]]</f>
        <v>83.600000000000009</v>
      </c>
      <c r="W121" s="73">
        <v>65.900000000000006</v>
      </c>
      <c r="X121" s="43" cm="1">
        <f t="array" ref="X121">INDEX([1]!phvny[yphv], MATCH(1, (paper3[[#This Row],[id]]=[1]!phvny[id])*(paper3[[#This Row],[time]]=[1]!phvny[time]), 0))</f>
        <v>1.9131154074944083</v>
      </c>
      <c r="Y121" s="3">
        <v>1.83</v>
      </c>
      <c r="Z121" s="3">
        <v>3.16</v>
      </c>
      <c r="AA121" s="3">
        <v>4.43</v>
      </c>
      <c r="AB121" s="3">
        <v>1.86</v>
      </c>
      <c r="AC121" s="3">
        <v>3.18</v>
      </c>
      <c r="AD121" s="3">
        <v>4.46</v>
      </c>
      <c r="AE121" s="3">
        <v>1.87</v>
      </c>
      <c r="AF121" s="57">
        <v>3.24</v>
      </c>
      <c r="AG121" s="3">
        <v>4.53</v>
      </c>
      <c r="AH121" s="44">
        <v>1.83</v>
      </c>
      <c r="AI121" s="44">
        <v>3.16</v>
      </c>
      <c r="AJ121" s="44">
        <v>4.43</v>
      </c>
      <c r="AK121" s="45">
        <v>7.874015748031499</v>
      </c>
      <c r="AL121" s="3">
        <v>9.74</v>
      </c>
      <c r="AM121" s="3">
        <v>9.59</v>
      </c>
      <c r="AN121" s="3">
        <v>9.76</v>
      </c>
      <c r="AO121" s="3">
        <v>9.5299999999999994</v>
      </c>
      <c r="AP121" s="3">
        <v>9.5299999999999994</v>
      </c>
      <c r="AQ121" s="47">
        <v>9.59</v>
      </c>
      <c r="AR121" s="47">
        <v>9.5299999999999994</v>
      </c>
      <c r="AS121" s="3">
        <v>34.51</v>
      </c>
      <c r="AT121" s="3">
        <v>35.200000000000003</v>
      </c>
      <c r="AU121" s="3">
        <v>34.19</v>
      </c>
      <c r="AV121" s="3"/>
      <c r="AW121" s="3"/>
      <c r="AX121" s="48">
        <v>35.200000000000003</v>
      </c>
      <c r="AY121" s="3"/>
      <c r="AZ121" s="3">
        <v>9</v>
      </c>
      <c r="BA121" s="3">
        <v>320</v>
      </c>
      <c r="BB121" s="3">
        <v>9</v>
      </c>
      <c r="BC121" s="3">
        <v>319</v>
      </c>
      <c r="BD121" s="40">
        <v>1258.9540491824894</v>
      </c>
      <c r="BE121" s="40">
        <v>1244.8768852563467</v>
      </c>
      <c r="BF121" s="40"/>
      <c r="BG121" s="40">
        <v>602.3758899082377</v>
      </c>
      <c r="BH121" s="40">
        <v>599.3576620583724</v>
      </c>
      <c r="BI121" s="49">
        <v>2503.8309344388363</v>
      </c>
      <c r="BJ121" s="49">
        <v>1201.7335519666101</v>
      </c>
      <c r="BK121" s="66">
        <v>1.1308077202545119E-2</v>
      </c>
      <c r="BL121" s="66">
        <v>5.0357708609243268E-3</v>
      </c>
      <c r="BM121" s="51">
        <v>37.994399612121946</v>
      </c>
      <c r="BN121" s="51">
        <v>18.235713990388618</v>
      </c>
      <c r="BO121" s="52">
        <v>367</v>
      </c>
      <c r="BP121" s="40">
        <v>353</v>
      </c>
      <c r="BQ121" s="40">
        <v>367</v>
      </c>
      <c r="BR121" s="67">
        <v>-3.8147138964577665E-2</v>
      </c>
      <c r="BS121" s="54">
        <v>5.4628224582701055</v>
      </c>
      <c r="BT121" s="3">
        <v>207</v>
      </c>
      <c r="BU121" s="40">
        <v>212</v>
      </c>
      <c r="BV121" s="3">
        <v>150</v>
      </c>
      <c r="BW121" s="3">
        <v>146</v>
      </c>
      <c r="BX121" s="70">
        <v>-2.3584905660377409E-2</v>
      </c>
      <c r="BY121" s="70">
        <v>2.7397260273972712E-2</v>
      </c>
      <c r="BZ121" s="59">
        <v>1.452054794520548</v>
      </c>
      <c r="CA121" s="59">
        <v>1.38</v>
      </c>
      <c r="CB121" s="59">
        <v>2.657693474962064</v>
      </c>
      <c r="CC121" s="59">
        <v>1.8775113808801214</v>
      </c>
      <c r="CD121" s="60">
        <v>154</v>
      </c>
      <c r="CE121" s="60">
        <v>129</v>
      </c>
      <c r="CF121" s="61">
        <v>2.3368740515933228</v>
      </c>
      <c r="CG121" s="61">
        <v>1.9575113808801212</v>
      </c>
      <c r="CH121" s="61">
        <v>0.83766233766233777</v>
      </c>
      <c r="CI121" s="41"/>
      <c r="CJ121" s="40"/>
      <c r="CK121" s="3"/>
      <c r="CL121" s="62"/>
      <c r="CM121" s="63" t="s">
        <v>110</v>
      </c>
      <c r="CN121" s="3">
        <v>212</v>
      </c>
      <c r="CO121" s="3">
        <v>150</v>
      </c>
      <c r="CP121" s="41">
        <v>15.561111111111112</v>
      </c>
      <c r="CQ121" s="3" t="s">
        <v>110</v>
      </c>
      <c r="CR121" s="40">
        <v>209.5</v>
      </c>
      <c r="CS121" s="40">
        <v>148</v>
      </c>
      <c r="CT121" s="40">
        <v>360</v>
      </c>
      <c r="CU121" s="40"/>
      <c r="CV121" s="40"/>
      <c r="CW121" s="40"/>
      <c r="CX121" s="40"/>
      <c r="CY121" s="40" t="s">
        <v>125</v>
      </c>
      <c r="CZ121" s="40"/>
      <c r="DA121" s="40"/>
    </row>
    <row r="122" spans="1:105" ht="15.75" customHeight="1">
      <c r="A122" s="3">
        <v>276</v>
      </c>
      <c r="B122" s="38" t="s">
        <v>103</v>
      </c>
      <c r="C122" s="3">
        <v>0</v>
      </c>
      <c r="D122" s="3" t="s">
        <v>105</v>
      </c>
      <c r="E122" s="39">
        <v>44518</v>
      </c>
      <c r="F122" s="3" t="s">
        <v>106</v>
      </c>
      <c r="G122" s="3" t="s">
        <v>122</v>
      </c>
      <c r="H122" s="40">
        <v>2005</v>
      </c>
      <c r="I122" s="40"/>
      <c r="J122" s="40" t="s">
        <v>160</v>
      </c>
      <c r="K122" s="3">
        <v>177.5</v>
      </c>
      <c r="L122" s="3">
        <v>177.5</v>
      </c>
      <c r="M122" s="3"/>
      <c r="N122" s="3">
        <v>146.30000000000001</v>
      </c>
      <c r="O122" s="3">
        <v>146.19999999999999</v>
      </c>
      <c r="P122" s="3"/>
      <c r="Q122" s="3">
        <v>59.9</v>
      </c>
      <c r="R122" s="3">
        <v>59.9</v>
      </c>
      <c r="S122" s="3"/>
      <c r="T122" s="42">
        <v>177.5</v>
      </c>
      <c r="U122" s="42">
        <f>AVERAGE(paper3[[#This Row],[Sittende høyde 1]:[Sittende høyde 3]])-56.2</f>
        <v>90.05</v>
      </c>
      <c r="V122" s="12">
        <f>paper3[[#This Row],[height]]-paper3[[#This Row],[sittingheight]]</f>
        <v>87.45</v>
      </c>
      <c r="W122" s="73">
        <v>59.9</v>
      </c>
      <c r="X122" s="43" cm="1">
        <f t="array" ref="X122">INDEX([1]!phvny[yphv], MATCH(1, (paper3[[#This Row],[id]]=[1]!phvny[id])*(paper3[[#This Row],[time]]=[1]!phvny[time]), 0))</f>
        <v>2.1154044926635347</v>
      </c>
      <c r="Y122" s="3">
        <v>1.89</v>
      </c>
      <c r="Z122" s="3">
        <v>3.21</v>
      </c>
      <c r="AA122" s="3">
        <v>4.46</v>
      </c>
      <c r="AB122" s="3">
        <v>1.88</v>
      </c>
      <c r="AC122" s="3">
        <v>3.18</v>
      </c>
      <c r="AD122" s="3">
        <v>4.42</v>
      </c>
      <c r="AE122" s="3">
        <v>1.81</v>
      </c>
      <c r="AF122" s="3">
        <v>3.13</v>
      </c>
      <c r="AG122" s="3">
        <v>4.3899999999999997</v>
      </c>
      <c r="AH122" s="44">
        <v>1.81</v>
      </c>
      <c r="AI122" s="44">
        <v>3.13</v>
      </c>
      <c r="AJ122" s="44">
        <v>4.3899999999999997</v>
      </c>
      <c r="AK122" s="45">
        <v>7.9365079365079376</v>
      </c>
      <c r="AL122" s="3">
        <v>9.2100000000000009</v>
      </c>
      <c r="AM122" s="3">
        <v>9.25</v>
      </c>
      <c r="AN122" s="3">
        <v>9.24</v>
      </c>
      <c r="AO122" s="3">
        <v>9.09</v>
      </c>
      <c r="AP122" s="3">
        <v>9.09</v>
      </c>
      <c r="AQ122" s="47">
        <v>9.2100000000000009</v>
      </c>
      <c r="AR122" s="47">
        <v>9.09</v>
      </c>
      <c r="AS122" s="3">
        <v>31.36</v>
      </c>
      <c r="AT122" s="3">
        <v>31.21</v>
      </c>
      <c r="AU122" s="3">
        <v>29.6</v>
      </c>
      <c r="AV122" s="3"/>
      <c r="AW122" s="3"/>
      <c r="AX122" s="48">
        <v>31.36</v>
      </c>
      <c r="AY122" s="3"/>
      <c r="AZ122" s="3">
        <v>9</v>
      </c>
      <c r="BA122" s="3">
        <v>300</v>
      </c>
      <c r="BB122" s="3">
        <v>9</v>
      </c>
      <c r="BC122" s="3">
        <v>299</v>
      </c>
      <c r="BD122" s="40">
        <v>1211.3548658278223</v>
      </c>
      <c r="BE122" s="40">
        <v>1245.7443794085348</v>
      </c>
      <c r="BF122" s="40"/>
      <c r="BG122" s="40">
        <v>538.62608869437986</v>
      </c>
      <c r="BH122" s="40">
        <v>554.43480483838289</v>
      </c>
      <c r="BI122" s="49">
        <v>2457.0992452363571</v>
      </c>
      <c r="BJ122" s="49">
        <v>1093.0608935327627</v>
      </c>
      <c r="BK122" s="66">
        <v>-2.7605594012023671E-2</v>
      </c>
      <c r="BL122" s="66">
        <v>-2.8513210220652119E-2</v>
      </c>
      <c r="BM122" s="51">
        <v>41.020020788586933</v>
      </c>
      <c r="BN122" s="51">
        <v>18.248095050630429</v>
      </c>
      <c r="BO122" s="52">
        <v>295</v>
      </c>
      <c r="BP122" s="40">
        <v>264</v>
      </c>
      <c r="BQ122" s="40">
        <v>295</v>
      </c>
      <c r="BR122" s="67">
        <v>-0.10508474576271187</v>
      </c>
      <c r="BS122" s="54">
        <v>4.6661101836393994</v>
      </c>
      <c r="BT122" s="3">
        <v>140</v>
      </c>
      <c r="BU122" s="40">
        <v>132</v>
      </c>
      <c r="BV122" s="3">
        <v>144</v>
      </c>
      <c r="BW122" s="3">
        <v>145</v>
      </c>
      <c r="BX122" s="70">
        <v>6.0606060606060552E-2</v>
      </c>
      <c r="BY122" s="70">
        <v>-6.8965517241379448E-3</v>
      </c>
      <c r="BZ122" s="59">
        <v>0.91034482758620694</v>
      </c>
      <c r="CA122" s="59">
        <v>0.97222222222222221</v>
      </c>
      <c r="CB122" s="59">
        <v>1.98550918196995</v>
      </c>
      <c r="CC122" s="59">
        <v>2.1096035058430718</v>
      </c>
      <c r="CD122" s="60">
        <v>101</v>
      </c>
      <c r="CE122" s="60">
        <v>107</v>
      </c>
      <c r="CF122" s="61">
        <v>1.6861435726210352</v>
      </c>
      <c r="CG122" s="61">
        <v>1.7863105175292153</v>
      </c>
      <c r="CH122" s="61">
        <v>1.0594059405940592</v>
      </c>
      <c r="CI122" s="41"/>
      <c r="CJ122" s="40"/>
      <c r="CK122" s="3"/>
      <c r="CL122" s="62"/>
      <c r="CM122" s="63" t="s">
        <v>110</v>
      </c>
      <c r="CN122" s="3">
        <v>140</v>
      </c>
      <c r="CO122" s="3">
        <v>145</v>
      </c>
      <c r="CP122" s="41">
        <v>16.744444444444444</v>
      </c>
      <c r="CQ122" s="3" t="s">
        <v>110</v>
      </c>
      <c r="CR122" s="40">
        <v>136</v>
      </c>
      <c r="CS122" s="40">
        <v>144.5</v>
      </c>
      <c r="CT122" s="40">
        <v>279.5</v>
      </c>
      <c r="CU122" s="40"/>
      <c r="CV122" s="40"/>
      <c r="CW122" s="40"/>
      <c r="CX122" s="40"/>
      <c r="CY122" s="40">
        <v>0</v>
      </c>
      <c r="CZ122" s="40"/>
      <c r="DA122" s="40"/>
    </row>
    <row r="123" spans="1:105" ht="15.95" customHeight="1">
      <c r="A123" s="3">
        <v>277</v>
      </c>
      <c r="B123" s="38" t="s">
        <v>103</v>
      </c>
      <c r="C123" s="3">
        <v>0</v>
      </c>
      <c r="D123" s="3" t="s">
        <v>105</v>
      </c>
      <c r="E123" s="39">
        <v>44518</v>
      </c>
      <c r="F123" s="3" t="s">
        <v>106</v>
      </c>
      <c r="G123" s="3" t="s">
        <v>122</v>
      </c>
      <c r="H123" s="40">
        <v>2004</v>
      </c>
      <c r="I123" s="40" t="s">
        <v>121</v>
      </c>
      <c r="J123" s="40" t="s">
        <v>160</v>
      </c>
      <c r="K123" s="3">
        <v>181.4</v>
      </c>
      <c r="L123" s="3">
        <v>181.3</v>
      </c>
      <c r="M123" s="3"/>
      <c r="N123" s="3">
        <v>148.6</v>
      </c>
      <c r="O123" s="3">
        <v>148.5</v>
      </c>
      <c r="P123" s="3"/>
      <c r="Q123" s="3">
        <v>74.7</v>
      </c>
      <c r="R123" s="3">
        <v>74.7</v>
      </c>
      <c r="S123" s="3"/>
      <c r="T123" s="42">
        <v>181.35000000000002</v>
      </c>
      <c r="U123" s="42">
        <f>AVERAGE(paper3[[#This Row],[Sittende høyde 1]:[Sittende høyde 3]])-56.2</f>
        <v>92.350000000000009</v>
      </c>
      <c r="V123" s="12">
        <f>paper3[[#This Row],[height]]-paper3[[#This Row],[sittingheight]]</f>
        <v>89.000000000000014</v>
      </c>
      <c r="W123" s="73">
        <v>74.7</v>
      </c>
      <c r="X123" s="43" cm="1">
        <f t="array" ref="X123">INDEX([1]!phvny[yphv], MATCH(1, (paper3[[#This Row],[id]]=[1]!phvny[id])*(paper3[[#This Row],[time]]=[1]!phvny[time]), 0))</f>
        <v>2.8861627428053489</v>
      </c>
      <c r="Y123" s="3">
        <v>1.98</v>
      </c>
      <c r="Z123" s="3">
        <v>3.33</v>
      </c>
      <c r="AA123" s="3">
        <v>4.57</v>
      </c>
      <c r="AB123" s="3">
        <v>2.0099999999999998</v>
      </c>
      <c r="AC123" s="3">
        <v>3.34</v>
      </c>
      <c r="AD123" s="3">
        <v>4.57</v>
      </c>
      <c r="AE123" s="3">
        <v>2.02</v>
      </c>
      <c r="AF123" s="57">
        <v>3.34</v>
      </c>
      <c r="AG123" s="3">
        <v>4.57</v>
      </c>
      <c r="AH123" s="44">
        <v>1.98</v>
      </c>
      <c r="AI123" s="44">
        <v>3.33</v>
      </c>
      <c r="AJ123" s="44">
        <v>4.57</v>
      </c>
      <c r="AK123" s="45">
        <v>8.0645161290322562</v>
      </c>
      <c r="AL123" s="3">
        <v>9.86</v>
      </c>
      <c r="AM123" s="3">
        <v>9.82</v>
      </c>
      <c r="AN123" s="3">
        <v>10.06</v>
      </c>
      <c r="AO123" s="3">
        <v>9.8000000000000007</v>
      </c>
      <c r="AP123" s="60">
        <v>9.8000000000000007</v>
      </c>
      <c r="AQ123" s="47">
        <v>9.82</v>
      </c>
      <c r="AR123" s="47">
        <v>9.8000000000000007</v>
      </c>
      <c r="AS123" s="3">
        <v>31.27</v>
      </c>
      <c r="AT123" s="3">
        <v>32.119999999999997</v>
      </c>
      <c r="AU123" s="3">
        <v>32.07</v>
      </c>
      <c r="AV123" s="3"/>
      <c r="AW123" s="3"/>
      <c r="AX123" s="48">
        <v>32.119999999999997</v>
      </c>
      <c r="AY123" s="3"/>
      <c r="AZ123" s="3">
        <v>10</v>
      </c>
      <c r="BA123" s="3">
        <v>340</v>
      </c>
      <c r="BB123" s="3">
        <v>10</v>
      </c>
      <c r="BC123" s="3">
        <v>372</v>
      </c>
      <c r="BD123" s="40">
        <v>1561.5305287033059</v>
      </c>
      <c r="BE123" s="40">
        <v>1622.6646135944204</v>
      </c>
      <c r="BF123" s="40"/>
      <c r="BG123" s="40">
        <v>594.03343214015081</v>
      </c>
      <c r="BH123" s="40">
        <v>590.9443215238017</v>
      </c>
      <c r="BI123" s="49">
        <v>3184.1951422977263</v>
      </c>
      <c r="BJ123" s="49">
        <v>1184.9777536639526</v>
      </c>
      <c r="BK123" s="66">
        <v>-3.7675120526412642E-2</v>
      </c>
      <c r="BL123" s="66">
        <v>5.2274139945767129E-3</v>
      </c>
      <c r="BM123" s="51">
        <v>42.626440994614811</v>
      </c>
      <c r="BN123" s="51">
        <v>15.863156006210877</v>
      </c>
      <c r="BO123" s="52">
        <v>465</v>
      </c>
      <c r="BP123" s="40">
        <v>465</v>
      </c>
      <c r="BQ123" s="40">
        <v>453</v>
      </c>
      <c r="BR123" s="67">
        <v>2.6490066225165476E-2</v>
      </c>
      <c r="BS123" s="54">
        <v>6.1445783132530121</v>
      </c>
      <c r="BT123" s="3">
        <v>252</v>
      </c>
      <c r="BU123" s="40">
        <v>213</v>
      </c>
      <c r="BV123" s="3">
        <v>156</v>
      </c>
      <c r="BW123" s="3">
        <v>152</v>
      </c>
      <c r="BX123" s="70">
        <v>0.18309859154929575</v>
      </c>
      <c r="BY123" s="70">
        <v>2.6315789473684292E-2</v>
      </c>
      <c r="BZ123" s="59">
        <v>1.4013157894736843</v>
      </c>
      <c r="CA123" s="59">
        <v>1.6153846153846154</v>
      </c>
      <c r="CB123" s="59">
        <v>2.7700803212851408</v>
      </c>
      <c r="CC123" s="59">
        <v>1.8348058902275772</v>
      </c>
      <c r="CD123" s="60">
        <v>151</v>
      </c>
      <c r="CE123" s="60">
        <v>156</v>
      </c>
      <c r="CF123" s="61">
        <v>2.0214190093708164</v>
      </c>
      <c r="CG123" s="61">
        <v>2.0883534136546182</v>
      </c>
      <c r="CH123" s="61">
        <v>1.0331125827814569</v>
      </c>
      <c r="CI123" s="41"/>
      <c r="CJ123" s="40"/>
      <c r="CK123" s="3"/>
      <c r="CL123" s="62"/>
      <c r="CM123" s="63" t="s">
        <v>110</v>
      </c>
      <c r="CN123" s="3">
        <v>252</v>
      </c>
      <c r="CO123" s="3">
        <v>156</v>
      </c>
      <c r="CP123" s="41">
        <v>17.269444444444446</v>
      </c>
      <c r="CQ123" s="3" t="s">
        <v>110</v>
      </c>
      <c r="CR123" s="40">
        <v>232.5</v>
      </c>
      <c r="CS123" s="40">
        <v>154</v>
      </c>
      <c r="CT123" s="40">
        <v>459</v>
      </c>
      <c r="CU123" s="40"/>
      <c r="CV123" s="40"/>
      <c r="CW123" s="40"/>
      <c r="CX123" s="40"/>
      <c r="CY123" s="40">
        <v>0</v>
      </c>
      <c r="CZ123" s="40"/>
      <c r="DA123" s="40"/>
    </row>
    <row r="124" spans="1:105" ht="15.95" customHeight="1">
      <c r="A124" s="3">
        <v>279</v>
      </c>
      <c r="B124" s="38" t="s">
        <v>103</v>
      </c>
      <c r="C124" s="3">
        <v>0</v>
      </c>
      <c r="D124" s="3" t="s">
        <v>105</v>
      </c>
      <c r="E124" s="39">
        <v>44518</v>
      </c>
      <c r="F124" s="3" t="s">
        <v>106</v>
      </c>
      <c r="G124" s="3" t="s">
        <v>122</v>
      </c>
      <c r="H124" s="40">
        <v>2005</v>
      </c>
      <c r="I124" s="40"/>
      <c r="J124" s="40" t="s">
        <v>160</v>
      </c>
      <c r="K124" s="3">
        <v>185.6</v>
      </c>
      <c r="L124" s="3">
        <v>185.6</v>
      </c>
      <c r="M124" s="3"/>
      <c r="N124" s="3">
        <v>153.5</v>
      </c>
      <c r="O124" s="3">
        <v>154</v>
      </c>
      <c r="P124" s="3">
        <v>153.9</v>
      </c>
      <c r="Q124" s="3">
        <v>77.7</v>
      </c>
      <c r="R124" s="3">
        <v>77.7</v>
      </c>
      <c r="S124" s="3"/>
      <c r="T124" s="42">
        <v>185.6</v>
      </c>
      <c r="U124" s="42">
        <f>AVERAGE(paper3[[#This Row],[Sittende høyde 1]:[Sittende høyde 3]])-56.2</f>
        <v>97.59999999999998</v>
      </c>
      <c r="V124" s="12">
        <f>paper3[[#This Row],[height]]-paper3[[#This Row],[sittingheight]]</f>
        <v>88.000000000000014</v>
      </c>
      <c r="W124" s="73">
        <v>77.7</v>
      </c>
      <c r="X124" s="43" cm="1">
        <f t="array" ref="X124">INDEX([1]!phvny[yphv], MATCH(1, (paper3[[#This Row],[id]]=[1]!phvny[id])*(paper3[[#This Row],[time]]=[1]!phvny[time]), 0))</f>
        <v>3.421176910574709</v>
      </c>
      <c r="Y124" s="3">
        <v>1.82</v>
      </c>
      <c r="Z124" s="3">
        <v>3.04</v>
      </c>
      <c r="AA124" s="3">
        <v>4.17</v>
      </c>
      <c r="AB124" s="3">
        <v>1.72</v>
      </c>
      <c r="AC124" s="3">
        <v>2.94</v>
      </c>
      <c r="AD124" s="3">
        <v>4.0599999999999996</v>
      </c>
      <c r="AE124" s="3">
        <v>1.71</v>
      </c>
      <c r="AF124" s="3">
        <v>2.93</v>
      </c>
      <c r="AG124" s="3">
        <v>4.0599999999999996</v>
      </c>
      <c r="AH124" s="44">
        <v>1.71</v>
      </c>
      <c r="AI124" s="44">
        <v>2.93</v>
      </c>
      <c r="AJ124" s="44">
        <v>4.0599999999999996</v>
      </c>
      <c r="AK124" s="45">
        <v>8.8495575221238987</v>
      </c>
      <c r="AL124" s="3">
        <v>9.48</v>
      </c>
      <c r="AM124" s="3">
        <v>9.2799999999999994</v>
      </c>
      <c r="AN124" s="3">
        <v>9.43</v>
      </c>
      <c r="AO124" s="3">
        <v>9.3699999999999992</v>
      </c>
      <c r="AP124" s="3">
        <v>9.2799999999999994</v>
      </c>
      <c r="AQ124" s="47">
        <v>9.2799999999999994</v>
      </c>
      <c r="AR124" s="47">
        <v>9.3699999999999992</v>
      </c>
      <c r="AS124" s="3">
        <v>40.299999999999997</v>
      </c>
      <c r="AT124" s="3">
        <v>38.9</v>
      </c>
      <c r="AU124" s="3">
        <v>34.869999999999997</v>
      </c>
      <c r="AV124" s="3"/>
      <c r="AW124" s="3"/>
      <c r="AX124" s="48">
        <v>40.299999999999997</v>
      </c>
      <c r="AY124" s="3"/>
      <c r="AZ124" s="3">
        <v>10</v>
      </c>
      <c r="BA124" s="3">
        <v>360</v>
      </c>
      <c r="BB124" s="3">
        <v>12</v>
      </c>
      <c r="BC124" s="3">
        <v>462</v>
      </c>
      <c r="BD124" s="40">
        <v>1974.0595493202873</v>
      </c>
      <c r="BE124" s="40">
        <v>1925.2806681648503</v>
      </c>
      <c r="BF124" s="40"/>
      <c r="BG124" s="40">
        <v>887.84162236049315</v>
      </c>
      <c r="BH124" s="40">
        <v>808.79121837775335</v>
      </c>
      <c r="BI124" s="49">
        <v>3899.3402174851376</v>
      </c>
      <c r="BJ124" s="49">
        <v>1696.6328407382466</v>
      </c>
      <c r="BK124" s="66">
        <v>2.533598449411123E-2</v>
      </c>
      <c r="BL124" s="66">
        <v>9.7738949417992549E-2</v>
      </c>
      <c r="BM124" s="51">
        <v>50.1845587835925</v>
      </c>
      <c r="BN124" s="51">
        <v>21.83568649598773</v>
      </c>
      <c r="BO124" s="52">
        <v>433</v>
      </c>
      <c r="BP124" s="40">
        <v>376</v>
      </c>
      <c r="BQ124" s="40">
        <v>433</v>
      </c>
      <c r="BR124" s="67">
        <v>-0.13163972286374137</v>
      </c>
      <c r="BS124" s="54">
        <v>5.2059202059202061</v>
      </c>
      <c r="BT124" s="3">
        <v>231</v>
      </c>
      <c r="BU124" s="40">
        <v>195</v>
      </c>
      <c r="BV124" s="3">
        <v>146</v>
      </c>
      <c r="BW124" s="3">
        <v>199</v>
      </c>
      <c r="BX124" s="70">
        <v>0.18461538461538463</v>
      </c>
      <c r="BY124" s="70">
        <v>-0.26633165829145733</v>
      </c>
      <c r="BZ124" s="59">
        <v>0.97989949748743721</v>
      </c>
      <c r="CA124" s="59">
        <v>1.5821917808219179</v>
      </c>
      <c r="CB124" s="59">
        <v>2.4123552123552128</v>
      </c>
      <c r="CC124" s="59">
        <v>1.9536679536679538</v>
      </c>
      <c r="CD124" s="60">
        <v>127</v>
      </c>
      <c r="CE124" s="60">
        <v>99</v>
      </c>
      <c r="CF124" s="61">
        <v>1.6344916344916345</v>
      </c>
      <c r="CG124" s="61">
        <v>1.274131274131274</v>
      </c>
      <c r="CH124" s="61">
        <v>0.77952755905511806</v>
      </c>
      <c r="CI124" s="41"/>
      <c r="CJ124" s="40"/>
      <c r="CK124" s="3"/>
      <c r="CL124" s="62"/>
      <c r="CM124" s="63" t="s">
        <v>110</v>
      </c>
      <c r="CN124" s="3">
        <v>231</v>
      </c>
      <c r="CO124" s="3">
        <v>199</v>
      </c>
      <c r="CP124" s="41">
        <v>16.797222222222221</v>
      </c>
      <c r="CQ124" s="3" t="s">
        <v>110</v>
      </c>
      <c r="CR124" s="40">
        <v>213</v>
      </c>
      <c r="CS124" s="40">
        <v>172.5</v>
      </c>
      <c r="CT124" s="40">
        <v>404.5</v>
      </c>
      <c r="CU124" s="40"/>
      <c r="CV124" s="40"/>
      <c r="CW124" s="40"/>
      <c r="CX124" s="40"/>
      <c r="CY124" s="40">
        <v>0</v>
      </c>
      <c r="CZ124" s="40"/>
      <c r="DA124" s="40"/>
    </row>
    <row r="125" spans="1:105" ht="15.95" customHeight="1">
      <c r="A125" s="3">
        <v>280</v>
      </c>
      <c r="B125" s="38" t="s">
        <v>103</v>
      </c>
      <c r="C125" s="3">
        <v>0</v>
      </c>
      <c r="D125" s="3" t="s">
        <v>105</v>
      </c>
      <c r="E125" s="39">
        <v>44518</v>
      </c>
      <c r="F125" s="3" t="s">
        <v>106</v>
      </c>
      <c r="G125" s="3" t="s">
        <v>122</v>
      </c>
      <c r="H125" s="40">
        <v>2004</v>
      </c>
      <c r="I125" s="40" t="s">
        <v>121</v>
      </c>
      <c r="J125" s="40" t="s">
        <v>160</v>
      </c>
      <c r="K125" s="3">
        <v>177</v>
      </c>
      <c r="L125" s="3">
        <v>177</v>
      </c>
      <c r="M125" s="3"/>
      <c r="N125" s="3">
        <v>151.69999999999999</v>
      </c>
      <c r="O125" s="3">
        <v>151.19999999999999</v>
      </c>
      <c r="P125" s="3">
        <v>151.30000000000001</v>
      </c>
      <c r="Q125" s="3">
        <v>77.8</v>
      </c>
      <c r="R125" s="3">
        <v>77.8</v>
      </c>
      <c r="S125" s="3"/>
      <c r="T125" s="42">
        <v>177</v>
      </c>
      <c r="U125" s="42">
        <f>AVERAGE(paper3[[#This Row],[Sittende høyde 1]:[Sittende høyde 3]])-56.2</f>
        <v>95.2</v>
      </c>
      <c r="V125" s="12">
        <f>paper3[[#This Row],[height]]-paper3[[#This Row],[sittingheight]]</f>
        <v>81.8</v>
      </c>
      <c r="W125" s="73">
        <v>77.8</v>
      </c>
      <c r="X125" s="88"/>
      <c r="Y125" s="3">
        <v>1.91</v>
      </c>
      <c r="Z125" s="3">
        <v>3.16</v>
      </c>
      <c r="AA125" s="3">
        <v>4.34</v>
      </c>
      <c r="AB125" s="3">
        <v>1.91</v>
      </c>
      <c r="AC125" s="3">
        <v>3.16</v>
      </c>
      <c r="AD125" s="3">
        <v>4.33</v>
      </c>
      <c r="AE125" s="3">
        <v>1.92</v>
      </c>
      <c r="AF125" s="3">
        <v>3.19</v>
      </c>
      <c r="AG125" s="3">
        <v>4.3600000000000003</v>
      </c>
      <c r="AH125" s="44">
        <v>1.91</v>
      </c>
      <c r="AI125" s="44">
        <v>3.16</v>
      </c>
      <c r="AJ125" s="44">
        <v>4.33</v>
      </c>
      <c r="AK125" s="45">
        <v>8.5470085470085468</v>
      </c>
      <c r="AL125" s="3">
        <v>9.65</v>
      </c>
      <c r="AM125" s="3">
        <v>9.8800000000000008</v>
      </c>
      <c r="AN125" s="3">
        <v>9.73</v>
      </c>
      <c r="AO125" s="3"/>
      <c r="AP125" s="3">
        <v>9.65</v>
      </c>
      <c r="AQ125" s="47">
        <v>9.65</v>
      </c>
      <c r="AR125" s="47">
        <v>9.73</v>
      </c>
      <c r="AS125" s="3">
        <v>42.4</v>
      </c>
      <c r="AT125" s="3"/>
      <c r="AU125" s="3"/>
      <c r="AV125" s="3"/>
      <c r="AW125" s="3"/>
      <c r="AX125" s="48">
        <v>42.4</v>
      </c>
      <c r="AY125" s="3"/>
      <c r="AZ125" s="3"/>
      <c r="BA125" s="3">
        <v>380</v>
      </c>
      <c r="BB125" s="3">
        <v>10</v>
      </c>
      <c r="BC125" s="3">
        <v>416</v>
      </c>
      <c r="BD125" s="40"/>
      <c r="BE125" s="40"/>
      <c r="BF125" s="40"/>
      <c r="BG125" s="40">
        <v>842.52817029522396</v>
      </c>
      <c r="BH125" s="40">
        <v>809.13075321932274</v>
      </c>
      <c r="BI125" s="49"/>
      <c r="BJ125" s="49">
        <v>1651.6589235145466</v>
      </c>
      <c r="BK125" s="66"/>
      <c r="BL125" s="66">
        <v>4.1275673854962891E-2</v>
      </c>
      <c r="BM125" s="51"/>
      <c r="BN125" s="51">
        <v>21.229549145431189</v>
      </c>
      <c r="BO125" s="52">
        <v>470</v>
      </c>
      <c r="BP125" s="40">
        <v>426</v>
      </c>
      <c r="BQ125" s="40">
        <v>470</v>
      </c>
      <c r="BR125" s="67">
        <v>-9.3617021276595769E-2</v>
      </c>
      <c r="BS125" s="54">
        <v>5.7583547557840618</v>
      </c>
      <c r="BT125" s="3">
        <v>173</v>
      </c>
      <c r="BU125" s="40">
        <v>180</v>
      </c>
      <c r="BV125" s="3">
        <v>119</v>
      </c>
      <c r="BW125" s="3">
        <v>134</v>
      </c>
      <c r="BX125" s="70">
        <v>-3.8888888888888862E-2</v>
      </c>
      <c r="BY125" s="70">
        <v>-0.11194029850746268</v>
      </c>
      <c r="BZ125" s="59">
        <v>1.3432835820895523</v>
      </c>
      <c r="CA125" s="59">
        <v>1.453781512605042</v>
      </c>
      <c r="CB125" s="59">
        <v>1.8557455012853468</v>
      </c>
      <c r="CC125" s="59">
        <v>1.330038560411311</v>
      </c>
      <c r="CD125" s="60">
        <v>96</v>
      </c>
      <c r="CE125" s="60">
        <v>99</v>
      </c>
      <c r="CF125" s="61">
        <v>1.2339331619537275</v>
      </c>
      <c r="CG125" s="61">
        <v>1.2724935732647815</v>
      </c>
      <c r="CH125" s="61">
        <v>1.03125</v>
      </c>
      <c r="CI125" s="41"/>
      <c r="CJ125" s="40"/>
      <c r="CK125" s="3"/>
      <c r="CL125" s="62"/>
      <c r="CM125" s="63" t="s">
        <v>110</v>
      </c>
      <c r="CN125" s="3">
        <v>180</v>
      </c>
      <c r="CO125" s="3">
        <v>134</v>
      </c>
      <c r="CP125" s="41"/>
      <c r="CQ125" s="3" t="s">
        <v>110</v>
      </c>
      <c r="CR125" s="40">
        <v>176.5</v>
      </c>
      <c r="CS125" s="40">
        <v>126.5</v>
      </c>
      <c r="CT125" s="40">
        <v>448</v>
      </c>
      <c r="CU125" s="40"/>
      <c r="CV125" s="40"/>
      <c r="CW125" s="40"/>
      <c r="CX125" s="40"/>
      <c r="CY125" s="40">
        <v>0</v>
      </c>
      <c r="CZ125" s="40"/>
      <c r="DA125" s="40"/>
    </row>
    <row r="126" spans="1:105" ht="15.95" customHeight="1">
      <c r="A126" s="3">
        <v>281</v>
      </c>
      <c r="B126" s="38" t="s">
        <v>103</v>
      </c>
      <c r="C126" s="3">
        <v>0</v>
      </c>
      <c r="D126" s="3" t="s">
        <v>105</v>
      </c>
      <c r="E126" s="39">
        <v>44518</v>
      </c>
      <c r="F126" s="3" t="s">
        <v>106</v>
      </c>
      <c r="G126" s="3" t="s">
        <v>122</v>
      </c>
      <c r="H126" s="40">
        <v>2005</v>
      </c>
      <c r="I126" s="40"/>
      <c r="J126" s="40" t="s">
        <v>160</v>
      </c>
      <c r="K126" s="3">
        <v>189.1</v>
      </c>
      <c r="L126" s="3">
        <v>189.2</v>
      </c>
      <c r="M126" s="3"/>
      <c r="N126" s="3">
        <v>150.80000000000001</v>
      </c>
      <c r="O126" s="3">
        <v>150.19999999999999</v>
      </c>
      <c r="P126" s="3">
        <v>150</v>
      </c>
      <c r="Q126" s="3">
        <v>77</v>
      </c>
      <c r="R126" s="3">
        <v>77</v>
      </c>
      <c r="S126" s="3"/>
      <c r="T126" s="42">
        <v>189.14999999999998</v>
      </c>
      <c r="U126" s="42">
        <f>AVERAGE(paper3[[#This Row],[Sittende høyde 1]:[Sittende høyde 3]])-56.2</f>
        <v>94.13333333333334</v>
      </c>
      <c r="V126" s="12">
        <f>paper3[[#This Row],[height]]-paper3[[#This Row],[sittingheight]]</f>
        <v>95.016666666666637</v>
      </c>
      <c r="W126" s="73">
        <v>77</v>
      </c>
      <c r="X126" s="43" cm="1">
        <f t="array" ref="X126">INDEX([1]!phvny[yphv], MATCH(1, (paper3[[#This Row],[id]]=[1]!phvny[id])*(paper3[[#This Row],[time]]=[1]!phvny[time]), 0))</f>
        <v>2.7328489708674555</v>
      </c>
      <c r="Y126" s="3">
        <v>1.85</v>
      </c>
      <c r="Z126" s="3">
        <v>3.1</v>
      </c>
      <c r="AA126" s="3">
        <v>4.3099999999999996</v>
      </c>
      <c r="AB126" s="3">
        <v>1.82</v>
      </c>
      <c r="AC126" s="3">
        <v>3.06</v>
      </c>
      <c r="AD126" s="3">
        <v>4.25</v>
      </c>
      <c r="AE126" s="3">
        <v>1.86</v>
      </c>
      <c r="AF126" s="57">
        <v>3.11</v>
      </c>
      <c r="AG126" s="3">
        <v>4.3099999999999996</v>
      </c>
      <c r="AH126" s="44">
        <v>1.82</v>
      </c>
      <c r="AI126" s="44">
        <v>3.06</v>
      </c>
      <c r="AJ126" s="44">
        <v>4.25</v>
      </c>
      <c r="AK126" s="45">
        <v>8.4033613445378155</v>
      </c>
      <c r="AL126" s="3">
        <v>9.2899999999999991</v>
      </c>
      <c r="AM126" s="3">
        <v>9.2899999999999991</v>
      </c>
      <c r="AN126" s="3">
        <v>9.36</v>
      </c>
      <c r="AO126" s="3">
        <v>9.1300000000000008</v>
      </c>
      <c r="AP126" s="3">
        <v>9.1300000000000008</v>
      </c>
      <c r="AQ126" s="47">
        <v>9.2899999999999991</v>
      </c>
      <c r="AR126" s="47">
        <v>9.1300000000000008</v>
      </c>
      <c r="AS126" s="3">
        <v>37.22</v>
      </c>
      <c r="AT126" s="3"/>
      <c r="AU126" s="3"/>
      <c r="AV126" s="3"/>
      <c r="AW126" s="3"/>
      <c r="AX126" s="48">
        <v>37.22</v>
      </c>
      <c r="AY126" s="3"/>
      <c r="AZ126" s="3">
        <v>12</v>
      </c>
      <c r="BA126" s="3">
        <v>380</v>
      </c>
      <c r="BB126" s="3">
        <v>9</v>
      </c>
      <c r="BC126" s="3">
        <v>379</v>
      </c>
      <c r="BD126" s="40">
        <v>1642.2947745952906</v>
      </c>
      <c r="BE126" s="40">
        <v>1650.0578142852078</v>
      </c>
      <c r="BF126" s="40"/>
      <c r="BG126" s="40">
        <v>662.02298870491359</v>
      </c>
      <c r="BH126" s="40">
        <v>656.25061774073515</v>
      </c>
      <c r="BI126" s="49">
        <v>3292.3525888804984</v>
      </c>
      <c r="BJ126" s="49">
        <v>1318.2736064456487</v>
      </c>
      <c r="BK126" s="66">
        <v>-4.7047076912756225E-3</v>
      </c>
      <c r="BL126" s="66">
        <v>8.7959855703463319E-3</v>
      </c>
      <c r="BM126" s="51">
        <v>42.757825829616863</v>
      </c>
      <c r="BN126" s="51">
        <v>17.120436447346087</v>
      </c>
      <c r="BO126" s="52">
        <v>420</v>
      </c>
      <c r="BP126" s="40">
        <v>396</v>
      </c>
      <c r="BQ126" s="40">
        <v>420</v>
      </c>
      <c r="BR126" s="67">
        <v>-5.7142857142857162E-2</v>
      </c>
      <c r="BS126" s="54">
        <v>5.2987012987012987</v>
      </c>
      <c r="BT126" s="3">
        <v>199</v>
      </c>
      <c r="BU126" s="40">
        <v>195</v>
      </c>
      <c r="BV126" s="3">
        <v>150</v>
      </c>
      <c r="BW126" s="3">
        <v>140</v>
      </c>
      <c r="BX126" s="70">
        <v>2.051282051282044E-2</v>
      </c>
      <c r="BY126" s="70">
        <v>7.1428571428571397E-2</v>
      </c>
      <c r="BZ126" s="59">
        <v>1.3928571428571428</v>
      </c>
      <c r="CA126" s="59">
        <v>1.3266666666666667</v>
      </c>
      <c r="CB126" s="59">
        <v>2.4309458874458865</v>
      </c>
      <c r="CC126" s="59">
        <v>1.7892748917748911</v>
      </c>
      <c r="CD126" s="60">
        <v>189</v>
      </c>
      <c r="CE126" s="60">
        <v>128</v>
      </c>
      <c r="CF126" s="61">
        <v>2.4545454545454546</v>
      </c>
      <c r="CG126" s="61">
        <v>1.6623376623376624</v>
      </c>
      <c r="CH126" s="61">
        <v>0.67724867724867732</v>
      </c>
      <c r="CI126" s="41"/>
      <c r="CJ126" s="40"/>
      <c r="CK126" s="3"/>
      <c r="CL126" s="62"/>
      <c r="CM126" s="63" t="s">
        <v>110</v>
      </c>
      <c r="CN126" s="3">
        <v>199</v>
      </c>
      <c r="CO126" s="3">
        <v>150</v>
      </c>
      <c r="CP126" s="41">
        <v>16.541666666666668</v>
      </c>
      <c r="CQ126" s="3" t="s">
        <v>110</v>
      </c>
      <c r="CR126" s="40">
        <v>197</v>
      </c>
      <c r="CS126" s="40">
        <v>145</v>
      </c>
      <c r="CT126" s="40">
        <v>408</v>
      </c>
      <c r="CU126" s="40"/>
      <c r="CV126" s="40"/>
      <c r="CW126" s="40"/>
      <c r="CX126" s="40"/>
      <c r="CY126" s="40">
        <v>0</v>
      </c>
      <c r="CZ126" s="40"/>
      <c r="DA126" s="40"/>
    </row>
    <row r="127" spans="1:105" ht="15.95" customHeight="1">
      <c r="A127" s="3">
        <v>282</v>
      </c>
      <c r="B127" s="38" t="s">
        <v>103</v>
      </c>
      <c r="C127" s="3">
        <v>0</v>
      </c>
      <c r="D127" s="3" t="s">
        <v>105</v>
      </c>
      <c r="E127" s="39">
        <v>44518</v>
      </c>
      <c r="F127" s="3" t="s">
        <v>106</v>
      </c>
      <c r="G127" s="3" t="s">
        <v>122</v>
      </c>
      <c r="H127" s="40">
        <v>2005</v>
      </c>
      <c r="I127" s="40"/>
      <c r="J127" s="40" t="s">
        <v>160</v>
      </c>
      <c r="K127" s="3">
        <v>168.1</v>
      </c>
      <c r="L127" s="3">
        <v>168.3</v>
      </c>
      <c r="M127" s="3"/>
      <c r="N127" s="3">
        <v>142.5</v>
      </c>
      <c r="O127" s="3">
        <v>142.30000000000001</v>
      </c>
      <c r="P127" s="3"/>
      <c r="Q127" s="3">
        <v>56</v>
      </c>
      <c r="R127" s="3">
        <v>56</v>
      </c>
      <c r="S127" s="3"/>
      <c r="T127" s="42">
        <v>168.2</v>
      </c>
      <c r="U127" s="42">
        <f>AVERAGE(paper3[[#This Row],[Sittende høyde 1]:[Sittende høyde 3]])-56.2</f>
        <v>86.2</v>
      </c>
      <c r="V127" s="12">
        <f>paper3[[#This Row],[height]]-paper3[[#This Row],[sittingheight]]</f>
        <v>81.999999999999986</v>
      </c>
      <c r="W127" s="73">
        <v>56</v>
      </c>
      <c r="X127" s="43" cm="1">
        <f t="array" ref="X127">INDEX([1]!phvny[yphv], MATCH(1, (paper3[[#This Row],[id]]=[1]!phvny[id])*(paper3[[#This Row],[time]]=[1]!phvny[time]), 0))</f>
        <v>1.2265048810027737</v>
      </c>
      <c r="Y127" s="3">
        <v>2.08</v>
      </c>
      <c r="Z127" s="3">
        <v>3.45</v>
      </c>
      <c r="AA127" s="3">
        <v>4.78</v>
      </c>
      <c r="AB127" s="3">
        <v>1.94</v>
      </c>
      <c r="AC127" s="3">
        <v>3.31</v>
      </c>
      <c r="AD127" s="3">
        <v>4.6399999999999997</v>
      </c>
      <c r="AE127" s="3">
        <v>1.97</v>
      </c>
      <c r="AF127" s="3">
        <v>3.35</v>
      </c>
      <c r="AG127" s="3">
        <v>4.67</v>
      </c>
      <c r="AH127" s="44">
        <v>1.94</v>
      </c>
      <c r="AI127" s="44">
        <v>3.31</v>
      </c>
      <c r="AJ127" s="44">
        <v>4.6399999999999997</v>
      </c>
      <c r="AK127" s="45">
        <v>7.5187969924812048</v>
      </c>
      <c r="AL127" s="3">
        <v>9.7799999999999994</v>
      </c>
      <c r="AM127" s="3">
        <v>9.5299999999999994</v>
      </c>
      <c r="AN127" s="3">
        <v>9.99</v>
      </c>
      <c r="AO127" s="3">
        <v>9.67</v>
      </c>
      <c r="AP127" s="3">
        <v>9.5299999999999994</v>
      </c>
      <c r="AQ127" s="47">
        <v>9.5299999999999994</v>
      </c>
      <c r="AR127" s="47">
        <v>9.67</v>
      </c>
      <c r="AS127" s="3">
        <v>31.16</v>
      </c>
      <c r="AT127" s="3"/>
      <c r="AU127" s="3"/>
      <c r="AV127" s="3"/>
      <c r="AW127" s="3"/>
      <c r="AX127" s="48">
        <v>31.16</v>
      </c>
      <c r="AY127" s="3"/>
      <c r="AZ127" s="3">
        <v>7</v>
      </c>
      <c r="BA127" s="3">
        <v>300</v>
      </c>
      <c r="BB127" s="3">
        <v>7</v>
      </c>
      <c r="BC127" s="3">
        <v>243</v>
      </c>
      <c r="BD127" s="40">
        <v>1020.3804392973923</v>
      </c>
      <c r="BE127" s="40">
        <v>1106.6925040529068</v>
      </c>
      <c r="BF127" s="40"/>
      <c r="BG127" s="40">
        <v>479.18178748829939</v>
      </c>
      <c r="BH127" s="40">
        <v>477.64412252819432</v>
      </c>
      <c r="BI127" s="49">
        <v>2127.0729433502993</v>
      </c>
      <c r="BJ127" s="49">
        <v>956.82591001649371</v>
      </c>
      <c r="BK127" s="66">
        <v>-7.79910087394865E-2</v>
      </c>
      <c r="BL127" s="66">
        <v>3.2192690909000898E-3</v>
      </c>
      <c r="BM127" s="51">
        <v>37.98344541696963</v>
      </c>
      <c r="BN127" s="51">
        <v>17.086176964580243</v>
      </c>
      <c r="BO127" s="52">
        <v>279</v>
      </c>
      <c r="BP127" s="40">
        <v>271</v>
      </c>
      <c r="BQ127" s="40">
        <v>279</v>
      </c>
      <c r="BR127" s="67">
        <v>-2.8673835125448077E-2</v>
      </c>
      <c r="BS127" s="54">
        <v>4.9107142857142856</v>
      </c>
      <c r="BT127" s="3">
        <v>175</v>
      </c>
      <c r="BU127" s="40">
        <v>189</v>
      </c>
      <c r="BV127" s="3">
        <v>135</v>
      </c>
      <c r="BW127" s="3">
        <v>115</v>
      </c>
      <c r="BX127" s="70">
        <v>-7.407407407407407E-2</v>
      </c>
      <c r="BY127" s="70">
        <v>0.17391304347826098</v>
      </c>
      <c r="BZ127" s="59">
        <v>1.6434782608695653</v>
      </c>
      <c r="CA127" s="59">
        <v>1.2962962962962963</v>
      </c>
      <c r="CB127" s="59">
        <v>2.6649999999999996</v>
      </c>
      <c r="CC127" s="59">
        <v>1.8303571428571426</v>
      </c>
      <c r="CD127" s="60">
        <v>120</v>
      </c>
      <c r="CE127" s="60">
        <v>161</v>
      </c>
      <c r="CF127" s="61">
        <v>2.1428571428571428</v>
      </c>
      <c r="CG127" s="61">
        <v>2.875</v>
      </c>
      <c r="CH127" s="61">
        <v>1.3416666666666668</v>
      </c>
      <c r="CI127" s="41"/>
      <c r="CJ127" s="40"/>
      <c r="CK127" s="3"/>
      <c r="CL127" s="62"/>
      <c r="CM127" s="63" t="s">
        <v>110</v>
      </c>
      <c r="CN127" s="3">
        <v>189</v>
      </c>
      <c r="CO127" s="3">
        <v>135</v>
      </c>
      <c r="CP127" s="41">
        <v>16.047222222222221</v>
      </c>
      <c r="CQ127" s="3" t="s">
        <v>110</v>
      </c>
      <c r="CR127" s="40">
        <v>182</v>
      </c>
      <c r="CS127" s="40">
        <v>125</v>
      </c>
      <c r="CT127" s="40">
        <v>275</v>
      </c>
      <c r="CU127" s="40"/>
      <c r="CV127" s="40"/>
      <c r="CW127" s="40"/>
      <c r="CX127" s="40"/>
      <c r="CY127" s="40">
        <v>0</v>
      </c>
      <c r="CZ127" s="40"/>
      <c r="DA127" s="40"/>
    </row>
    <row r="128" spans="1:105" ht="15.75" customHeight="1">
      <c r="A128" s="3">
        <v>283</v>
      </c>
      <c r="B128" s="38" t="s">
        <v>103</v>
      </c>
      <c r="C128" s="90">
        <v>0</v>
      </c>
      <c r="D128" s="46" t="s">
        <v>105</v>
      </c>
      <c r="E128" s="39">
        <v>44935</v>
      </c>
      <c r="F128" s="3" t="s">
        <v>106</v>
      </c>
      <c r="G128" s="3" t="s">
        <v>122</v>
      </c>
      <c r="H128" s="3">
        <v>2005</v>
      </c>
      <c r="I128" s="40" t="s">
        <v>121</v>
      </c>
      <c r="J128" s="39" t="s">
        <v>160</v>
      </c>
      <c r="K128" s="38"/>
      <c r="L128" s="38"/>
      <c r="M128" s="38"/>
      <c r="N128" s="38"/>
      <c r="O128" s="38"/>
      <c r="P128" s="38"/>
      <c r="Q128" s="38"/>
      <c r="R128" s="38"/>
      <c r="S128" s="38"/>
      <c r="T128" s="42"/>
      <c r="U128" s="42"/>
      <c r="V128" s="12"/>
      <c r="W128" s="42">
        <v>64.099999999999994</v>
      </c>
      <c r="X128" s="43"/>
      <c r="Y128" s="60">
        <v>1.82</v>
      </c>
      <c r="Z128" s="60">
        <v>3.08</v>
      </c>
      <c r="AA128" s="60">
        <v>4.28</v>
      </c>
      <c r="AB128" s="60">
        <v>1.85</v>
      </c>
      <c r="AC128" s="60">
        <v>3.11</v>
      </c>
      <c r="AD128" s="60">
        <v>4.2699999999999996</v>
      </c>
      <c r="AE128" s="60">
        <v>1.81</v>
      </c>
      <c r="AF128" s="60">
        <v>3.08</v>
      </c>
      <c r="AG128" s="60">
        <v>4.28</v>
      </c>
      <c r="AH128" s="44">
        <v>1.81</v>
      </c>
      <c r="AI128" s="44">
        <v>3.08</v>
      </c>
      <c r="AJ128" s="44">
        <v>4.2699999999999996</v>
      </c>
      <c r="AK128" s="45">
        <v>8.403361344537819</v>
      </c>
      <c r="AL128" s="3">
        <v>9.7100000000000009</v>
      </c>
      <c r="AM128" s="3">
        <v>9.5399999999999991</v>
      </c>
      <c r="AN128" s="3">
        <v>9.52</v>
      </c>
      <c r="AO128" s="3"/>
      <c r="AP128" s="3">
        <v>9.52</v>
      </c>
      <c r="AQ128" s="47">
        <v>9.5399999999999991</v>
      </c>
      <c r="AR128" s="47">
        <v>9.52</v>
      </c>
      <c r="AS128" s="3">
        <v>29.9</v>
      </c>
      <c r="AT128" s="3">
        <v>29.76</v>
      </c>
      <c r="AU128" s="3">
        <v>31.45</v>
      </c>
      <c r="AV128" s="3">
        <v>32.89</v>
      </c>
      <c r="AW128" s="3">
        <v>32.409999999999997</v>
      </c>
      <c r="AX128" s="48">
        <v>32.89</v>
      </c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91"/>
      <c r="BL128" s="91"/>
      <c r="BM128" s="38"/>
      <c r="BN128" s="38"/>
      <c r="BO128" s="52"/>
      <c r="BP128" s="92"/>
      <c r="BQ128" s="92"/>
      <c r="BR128" s="91"/>
      <c r="BS128" s="54" t="s">
        <v>110</v>
      </c>
      <c r="BT128" s="38"/>
      <c r="BU128" s="93"/>
      <c r="BV128" s="38"/>
      <c r="BW128" s="38"/>
      <c r="BX128" s="59"/>
      <c r="BY128" s="59"/>
      <c r="BZ128" s="59"/>
      <c r="CA128" s="59"/>
      <c r="CB128" s="59" t="s">
        <v>110</v>
      </c>
      <c r="CC128" s="59" t="s">
        <v>110</v>
      </c>
      <c r="CD128" s="94"/>
      <c r="CE128" s="94"/>
      <c r="CF128" s="94"/>
      <c r="CG128" s="94"/>
      <c r="CH128" s="38"/>
      <c r="CI128" s="41"/>
      <c r="CJ128" s="40"/>
      <c r="CK128" s="38"/>
      <c r="CL128" s="38"/>
      <c r="CM128" s="95" t="s">
        <v>110</v>
      </c>
      <c r="CN128" s="3"/>
      <c r="CO128" s="3"/>
      <c r="CP128" s="41"/>
      <c r="CQ128" s="3" t="s">
        <v>110</v>
      </c>
      <c r="CR128" s="40" t="s">
        <v>110</v>
      </c>
      <c r="CS128" s="40" t="s">
        <v>110</v>
      </c>
      <c r="CT128" s="40" t="s">
        <v>110</v>
      </c>
      <c r="CU128" s="40"/>
      <c r="CV128" s="40"/>
      <c r="CW128" s="40"/>
      <c r="CX128" s="40"/>
      <c r="CY128" s="40">
        <v>0</v>
      </c>
      <c r="CZ128" s="40"/>
      <c r="DA128" s="40"/>
    </row>
    <row r="129" spans="1:105" ht="15.95" customHeight="1">
      <c r="A129" s="3">
        <v>284</v>
      </c>
      <c r="B129" s="38" t="s">
        <v>103</v>
      </c>
      <c r="C129" s="3">
        <v>0</v>
      </c>
      <c r="D129" s="3" t="s">
        <v>105</v>
      </c>
      <c r="E129" s="39">
        <v>44518</v>
      </c>
      <c r="F129" s="3" t="s">
        <v>106</v>
      </c>
      <c r="G129" s="3" t="s">
        <v>122</v>
      </c>
      <c r="H129" s="40">
        <v>2005</v>
      </c>
      <c r="I129" s="40"/>
      <c r="J129" s="40" t="s">
        <v>160</v>
      </c>
      <c r="K129" s="3">
        <v>183.5</v>
      </c>
      <c r="L129" s="3">
        <v>183.3</v>
      </c>
      <c r="M129" s="3"/>
      <c r="N129" s="3">
        <v>151</v>
      </c>
      <c r="O129" s="3">
        <v>151</v>
      </c>
      <c r="P129" s="3"/>
      <c r="Q129" s="3">
        <v>65.400000000000006</v>
      </c>
      <c r="R129" s="3">
        <v>65.400000000000006</v>
      </c>
      <c r="S129" s="3"/>
      <c r="T129" s="42">
        <v>183.4</v>
      </c>
      <c r="U129" s="42">
        <f>AVERAGE(paper3[[#This Row],[Sittende høyde 1]:[Sittende høyde 3]])-56.2</f>
        <v>94.8</v>
      </c>
      <c r="V129" s="12">
        <f>paper3[[#This Row],[height]]-paper3[[#This Row],[sittingheight]]</f>
        <v>88.600000000000009</v>
      </c>
      <c r="W129" s="73">
        <v>65.400000000000006</v>
      </c>
      <c r="X129" s="43" cm="1">
        <f t="array" ref="X129">INDEX([1]!phvny[yphv], MATCH(1, (paper3[[#This Row],[id]]=[1]!phvny[id])*(paper3[[#This Row],[time]]=[1]!phvny[time]), 0))</f>
        <v>2.461497891866232</v>
      </c>
      <c r="Y129" s="3">
        <v>1.83</v>
      </c>
      <c r="Z129" s="3">
        <v>3.07</v>
      </c>
      <c r="AA129" s="3">
        <v>4.2300000000000004</v>
      </c>
      <c r="AB129" s="3">
        <v>1.82</v>
      </c>
      <c r="AC129" s="3">
        <v>3.07</v>
      </c>
      <c r="AD129" s="3">
        <v>4.2300000000000004</v>
      </c>
      <c r="AE129" s="3">
        <v>1.82</v>
      </c>
      <c r="AF129" s="57">
        <v>3.07</v>
      </c>
      <c r="AG129" s="3">
        <v>4.2300000000000004</v>
      </c>
      <c r="AH129" s="44">
        <v>1.82</v>
      </c>
      <c r="AI129" s="44">
        <v>3.07</v>
      </c>
      <c r="AJ129" s="44">
        <v>4.2300000000000004</v>
      </c>
      <c r="AK129" s="45">
        <v>8.6206896551724093</v>
      </c>
      <c r="AL129" s="3">
        <v>9.49</v>
      </c>
      <c r="AM129" s="3">
        <v>9.39</v>
      </c>
      <c r="AN129" s="3">
        <v>9.49</v>
      </c>
      <c r="AO129" s="3">
        <v>9.32</v>
      </c>
      <c r="AP129" s="3">
        <v>9.32</v>
      </c>
      <c r="AQ129" s="47">
        <v>9.39</v>
      </c>
      <c r="AR129" s="47">
        <v>9.32</v>
      </c>
      <c r="AS129" s="3">
        <v>39.909999999999997</v>
      </c>
      <c r="AT129" s="3"/>
      <c r="AU129" s="3"/>
      <c r="AV129" s="3"/>
      <c r="AW129" s="3"/>
      <c r="AX129" s="48">
        <v>39.909999999999997</v>
      </c>
      <c r="AY129" s="3"/>
      <c r="AZ129" s="3">
        <v>10</v>
      </c>
      <c r="BA129" s="3">
        <v>320</v>
      </c>
      <c r="BB129" s="3">
        <v>10</v>
      </c>
      <c r="BC129" s="3">
        <v>350</v>
      </c>
      <c r="BD129" s="40">
        <v>1467.4792175842506</v>
      </c>
      <c r="BE129" s="40">
        <v>1527.2621071232215</v>
      </c>
      <c r="BF129" s="40"/>
      <c r="BG129" s="40">
        <v>615.29787961595287</v>
      </c>
      <c r="BH129" s="40">
        <v>607.33759767955212</v>
      </c>
      <c r="BI129" s="49">
        <v>2994.7413247074719</v>
      </c>
      <c r="BJ129" s="49">
        <v>1222.6354772955051</v>
      </c>
      <c r="BK129" s="66">
        <v>-3.9143830819962533E-2</v>
      </c>
      <c r="BL129" s="66">
        <v>1.3106848590988873E-2</v>
      </c>
      <c r="BM129" s="51">
        <v>45.791151753936873</v>
      </c>
      <c r="BN129" s="51">
        <v>18.69473206873861</v>
      </c>
      <c r="BO129" s="52">
        <v>348</v>
      </c>
      <c r="BP129" s="40">
        <v>348</v>
      </c>
      <c r="BQ129" s="40">
        <v>330</v>
      </c>
      <c r="BR129" s="67">
        <v>5.4545454545454453E-2</v>
      </c>
      <c r="BS129" s="54">
        <v>5.1834862385321099</v>
      </c>
      <c r="BT129" s="3">
        <v>153</v>
      </c>
      <c r="BU129" s="40">
        <v>145</v>
      </c>
      <c r="BV129" s="3">
        <v>120</v>
      </c>
      <c r="BW129" s="3">
        <v>114</v>
      </c>
      <c r="BX129" s="70">
        <v>5.5172413793103559E-2</v>
      </c>
      <c r="BY129" s="70">
        <v>5.2631578947368363E-2</v>
      </c>
      <c r="BZ129" s="59">
        <v>1.2719298245614035</v>
      </c>
      <c r="CA129" s="59">
        <v>1.2749999999999999</v>
      </c>
      <c r="CB129" s="59">
        <v>2.0185626911314984</v>
      </c>
      <c r="CC129" s="59">
        <v>1.5850458715596332</v>
      </c>
      <c r="CD129" s="60">
        <v>109</v>
      </c>
      <c r="CE129" s="60">
        <v>87</v>
      </c>
      <c r="CF129" s="61">
        <v>1.6666666666666665</v>
      </c>
      <c r="CG129" s="61">
        <v>1.330275229357798</v>
      </c>
      <c r="CH129" s="61">
        <v>0.79816513761467889</v>
      </c>
      <c r="CI129" s="41"/>
      <c r="CJ129" s="40"/>
      <c r="CK129" s="3"/>
      <c r="CL129" s="62"/>
      <c r="CM129" s="63" t="s">
        <v>110</v>
      </c>
      <c r="CN129" s="3">
        <v>153</v>
      </c>
      <c r="CO129" s="3">
        <v>120</v>
      </c>
      <c r="CP129" s="41">
        <v>16.05</v>
      </c>
      <c r="CQ129" s="3" t="s">
        <v>110</v>
      </c>
      <c r="CR129" s="40">
        <v>149</v>
      </c>
      <c r="CS129" s="40">
        <v>117</v>
      </c>
      <c r="CT129" s="40">
        <v>339</v>
      </c>
      <c r="CU129" s="40"/>
      <c r="CV129" s="40"/>
      <c r="CW129" s="40"/>
      <c r="CX129" s="40"/>
      <c r="CY129" s="40">
        <v>0</v>
      </c>
      <c r="CZ129" s="40"/>
      <c r="DA129" s="40"/>
    </row>
    <row r="130" spans="1:105" ht="15.95" customHeight="1">
      <c r="A130" s="46">
        <v>286</v>
      </c>
      <c r="B130" s="38" t="s">
        <v>103</v>
      </c>
      <c r="C130" s="46"/>
      <c r="D130" s="46" t="s">
        <v>105</v>
      </c>
      <c r="E130" s="86">
        <v>44227</v>
      </c>
      <c r="F130" s="46" t="s">
        <v>106</v>
      </c>
      <c r="G130" s="46" t="s">
        <v>122</v>
      </c>
      <c r="H130" s="84">
        <v>2004</v>
      </c>
      <c r="I130" s="84" t="s">
        <v>121</v>
      </c>
      <c r="J130" s="40" t="s">
        <v>160</v>
      </c>
      <c r="K130" s="3"/>
      <c r="L130" s="3"/>
      <c r="M130" s="3"/>
      <c r="N130" s="3"/>
      <c r="O130" s="3"/>
      <c r="P130" s="3"/>
      <c r="Q130" s="3"/>
      <c r="R130" s="3"/>
      <c r="S130" s="3"/>
      <c r="T130" s="42"/>
      <c r="U130" s="42"/>
      <c r="V130" s="12"/>
      <c r="W130" s="73"/>
      <c r="X130" s="43"/>
      <c r="Y130" s="3"/>
      <c r="Z130" s="3"/>
      <c r="AA130" s="3"/>
      <c r="AB130" s="3"/>
      <c r="AC130" s="3"/>
      <c r="AD130" s="3"/>
      <c r="AE130" s="3"/>
      <c r="AF130" s="3"/>
      <c r="AG130" s="3"/>
      <c r="AH130" s="44"/>
      <c r="AI130" s="45"/>
      <c r="AJ130" s="44"/>
      <c r="AK130" s="45"/>
      <c r="AL130" s="3">
        <v>9.56</v>
      </c>
      <c r="AM130" s="3">
        <v>9.56</v>
      </c>
      <c r="AN130" s="3">
        <v>9.8000000000000007</v>
      </c>
      <c r="AO130" s="3">
        <v>9.8000000000000007</v>
      </c>
      <c r="AP130" s="3">
        <v>9.56</v>
      </c>
      <c r="AQ130" s="47">
        <v>9.56</v>
      </c>
      <c r="AR130" s="47">
        <v>9.8000000000000007</v>
      </c>
      <c r="AS130" s="3"/>
      <c r="AT130" s="3"/>
      <c r="AU130" s="3"/>
      <c r="AV130" s="3"/>
      <c r="AW130" s="3"/>
      <c r="AX130" s="48"/>
      <c r="AY130" s="3"/>
      <c r="AZ130" s="3">
        <v>9</v>
      </c>
      <c r="BA130" s="3">
        <v>350</v>
      </c>
      <c r="BB130" s="3">
        <v>9</v>
      </c>
      <c r="BC130" s="3">
        <v>349</v>
      </c>
      <c r="BD130" s="40"/>
      <c r="BE130" s="40"/>
      <c r="BF130" s="40"/>
      <c r="BG130" s="40">
        <v>691.65292986402801</v>
      </c>
      <c r="BH130" s="40">
        <v>725.42862980514838</v>
      </c>
      <c r="BI130" s="49"/>
      <c r="BJ130" s="49">
        <v>1417.0815596691764</v>
      </c>
      <c r="BK130" s="66"/>
      <c r="BL130" s="66">
        <v>-4.6559645640388614E-2</v>
      </c>
      <c r="BM130" s="51"/>
      <c r="BN130" s="51"/>
      <c r="BO130" s="52"/>
      <c r="BP130" s="40"/>
      <c r="BQ130" s="40"/>
      <c r="BR130" s="67"/>
      <c r="BS130" s="54" t="s">
        <v>110</v>
      </c>
      <c r="BT130" s="3">
        <v>290</v>
      </c>
      <c r="BU130" s="40">
        <v>248</v>
      </c>
      <c r="BV130" s="3">
        <v>169</v>
      </c>
      <c r="BW130" s="3">
        <v>200</v>
      </c>
      <c r="BX130" s="70">
        <v>0.16935483870967749</v>
      </c>
      <c r="BY130" s="70">
        <v>-0.15500000000000003</v>
      </c>
      <c r="BZ130" s="59">
        <v>1.24</v>
      </c>
      <c r="CA130" s="59">
        <v>1.7159763313609468</v>
      </c>
      <c r="CB130" s="59" t="s">
        <v>110</v>
      </c>
      <c r="CC130" s="59" t="s">
        <v>110</v>
      </c>
      <c r="CD130" s="60"/>
      <c r="CE130" s="60"/>
      <c r="CF130" s="61"/>
      <c r="CG130" s="61"/>
      <c r="CH130" s="61"/>
      <c r="CI130" s="41"/>
      <c r="CJ130" s="40"/>
      <c r="CK130" s="3"/>
      <c r="CL130" s="62"/>
      <c r="CM130" s="63" t="s">
        <v>110</v>
      </c>
      <c r="CN130" s="3">
        <v>290</v>
      </c>
      <c r="CO130" s="3">
        <v>200</v>
      </c>
      <c r="CP130" s="41">
        <v>17.88</v>
      </c>
      <c r="CQ130" s="3" t="s">
        <v>110</v>
      </c>
      <c r="CR130" s="40">
        <v>269</v>
      </c>
      <c r="CS130" s="40">
        <v>184.5</v>
      </c>
      <c r="CT130" s="40" t="s">
        <v>110</v>
      </c>
      <c r="CU130" s="40"/>
      <c r="CV130" s="40"/>
      <c r="CW130" s="40"/>
      <c r="CX130" s="40"/>
      <c r="CY130" s="40">
        <v>0</v>
      </c>
      <c r="CZ130" s="40"/>
      <c r="DA130" s="40"/>
    </row>
    <row r="131" spans="1:105" ht="15.95" customHeight="1">
      <c r="A131" s="3">
        <v>287</v>
      </c>
      <c r="B131" s="38" t="s">
        <v>103</v>
      </c>
      <c r="C131" s="90"/>
      <c r="D131" s="46" t="s">
        <v>105</v>
      </c>
      <c r="E131" s="39">
        <v>44862</v>
      </c>
      <c r="F131" s="3" t="s">
        <v>106</v>
      </c>
      <c r="G131" s="3" t="s">
        <v>122</v>
      </c>
      <c r="H131" s="3">
        <v>2005</v>
      </c>
      <c r="I131" s="40" t="s">
        <v>121</v>
      </c>
      <c r="J131" s="39" t="s">
        <v>160</v>
      </c>
      <c r="K131" s="3">
        <v>184.5</v>
      </c>
      <c r="L131" s="3">
        <v>184.5</v>
      </c>
      <c r="M131" s="3"/>
      <c r="N131" s="3">
        <v>150.1</v>
      </c>
      <c r="O131" s="3">
        <v>150.1</v>
      </c>
      <c r="P131" s="3"/>
      <c r="Q131" s="3">
        <v>73.8</v>
      </c>
      <c r="R131" s="3"/>
      <c r="S131" s="3"/>
      <c r="T131" s="42">
        <v>184.5</v>
      </c>
      <c r="U131" s="42">
        <f>AVERAGE(paper3[[#This Row],[Sittende høyde 1]:[Sittende høyde 3]])-56.2</f>
        <v>93.899999999999991</v>
      </c>
      <c r="V131" s="12">
        <f>paper3[[#This Row],[height]]-paper3[[#This Row],[sittingheight]]</f>
        <v>90.600000000000009</v>
      </c>
      <c r="W131" s="73">
        <v>73.8</v>
      </c>
      <c r="X131" s="43"/>
      <c r="Y131" s="3">
        <v>1.8</v>
      </c>
      <c r="Z131" s="3">
        <v>3.07</v>
      </c>
      <c r="AA131" s="3">
        <v>4.26</v>
      </c>
      <c r="AB131" s="3">
        <v>1.79</v>
      </c>
      <c r="AC131" s="3">
        <v>3.02</v>
      </c>
      <c r="AD131" s="3">
        <v>4.22</v>
      </c>
      <c r="AE131" s="3"/>
      <c r="AF131" s="3"/>
      <c r="AG131" s="3"/>
      <c r="AH131" s="44">
        <v>1.79</v>
      </c>
      <c r="AI131" s="44">
        <v>3.02</v>
      </c>
      <c r="AJ131" s="44">
        <v>4.22</v>
      </c>
      <c r="AK131" s="45">
        <v>8.3333333333333357</v>
      </c>
      <c r="AL131" s="3">
        <v>9.2799999999999994</v>
      </c>
      <c r="AM131" s="3">
        <v>9.23</v>
      </c>
      <c r="AN131" s="3">
        <v>9.51</v>
      </c>
      <c r="AO131" s="3"/>
      <c r="AP131" s="3">
        <v>9.23</v>
      </c>
      <c r="AQ131" s="47">
        <v>9.23</v>
      </c>
      <c r="AR131" s="47">
        <v>9.51</v>
      </c>
      <c r="AS131" s="3">
        <v>35.31</v>
      </c>
      <c r="AT131" s="3">
        <v>35.69</v>
      </c>
      <c r="AU131" s="3">
        <v>34.85</v>
      </c>
      <c r="AV131" s="3"/>
      <c r="AW131" s="3"/>
      <c r="AX131" s="48">
        <v>35.69</v>
      </c>
      <c r="AY131" s="3"/>
      <c r="AZ131" s="3">
        <v>10</v>
      </c>
      <c r="BA131" s="3">
        <v>350</v>
      </c>
      <c r="BB131" s="3">
        <v>11</v>
      </c>
      <c r="BC131" s="3"/>
      <c r="BD131" s="40">
        <v>1734.398900218207</v>
      </c>
      <c r="BE131" s="40">
        <v>1684.9760162753873</v>
      </c>
      <c r="BF131" s="40"/>
      <c r="BG131" s="40">
        <v>872.72849510649451</v>
      </c>
      <c r="BH131" s="40">
        <v>839.46368125526112</v>
      </c>
      <c r="BI131" s="49">
        <v>3419.3749164935944</v>
      </c>
      <c r="BJ131" s="49">
        <v>1712.1921763617556</v>
      </c>
      <c r="BK131" s="66">
        <v>2.9331505888177567E-2</v>
      </c>
      <c r="BL131" s="66">
        <v>3.9626269240727652E-2</v>
      </c>
      <c r="BM131" s="51">
        <v>46.332993448422691</v>
      </c>
      <c r="BN131" s="51">
        <v>23.200435994061731</v>
      </c>
      <c r="BO131" s="52"/>
      <c r="BP131" s="40"/>
      <c r="BQ131" s="40"/>
      <c r="BR131" s="67"/>
      <c r="BS131" s="54" t="s">
        <v>110</v>
      </c>
      <c r="BT131" s="3" t="s">
        <v>176</v>
      </c>
      <c r="BU131" s="40"/>
      <c r="BV131" s="3"/>
      <c r="BW131" s="3"/>
      <c r="BX131" s="59"/>
      <c r="BY131" s="59"/>
      <c r="BZ131" s="59"/>
      <c r="CA131" s="59"/>
      <c r="CB131" s="59" t="s">
        <v>110</v>
      </c>
      <c r="CC131" s="59" t="s">
        <v>110</v>
      </c>
      <c r="CD131" s="60">
        <v>141</v>
      </c>
      <c r="CE131" s="60">
        <v>130</v>
      </c>
      <c r="CF131" s="61">
        <v>1.910569105691057</v>
      </c>
      <c r="CG131" s="61">
        <v>1.7615176151761518</v>
      </c>
      <c r="CH131" s="61">
        <v>0.92198581560283688</v>
      </c>
      <c r="CI131" s="96"/>
      <c r="CJ131" s="40"/>
      <c r="CK131" s="76"/>
      <c r="CL131" s="62"/>
      <c r="CM131" s="63" t="s">
        <v>110</v>
      </c>
      <c r="CN131" s="3"/>
      <c r="CO131" s="3"/>
      <c r="CP131" s="41"/>
      <c r="CQ131" s="3" t="s">
        <v>110</v>
      </c>
      <c r="CR131" s="40" t="s">
        <v>110</v>
      </c>
      <c r="CS131" s="40" t="s">
        <v>110</v>
      </c>
      <c r="CT131" s="40" t="s">
        <v>110</v>
      </c>
      <c r="CU131" s="40"/>
      <c r="CV131" s="40"/>
      <c r="CW131" s="40"/>
      <c r="CX131" s="40"/>
      <c r="CY131" s="40">
        <v>0</v>
      </c>
      <c r="CZ131" s="40"/>
      <c r="DA131" s="40"/>
    </row>
    <row r="132" spans="1:105" ht="15.95" customHeight="1">
      <c r="A132" s="3">
        <v>288</v>
      </c>
      <c r="B132" s="38" t="s">
        <v>103</v>
      </c>
      <c r="C132" s="3">
        <v>0</v>
      </c>
      <c r="D132" s="3" t="s">
        <v>105</v>
      </c>
      <c r="E132" s="86">
        <v>44524</v>
      </c>
      <c r="F132" s="3" t="s">
        <v>106</v>
      </c>
      <c r="G132" s="3" t="s">
        <v>107</v>
      </c>
      <c r="H132" s="40">
        <v>2008</v>
      </c>
      <c r="I132" s="40" t="s">
        <v>108</v>
      </c>
      <c r="J132" s="40" t="s">
        <v>109</v>
      </c>
      <c r="K132" s="3">
        <v>168.4</v>
      </c>
      <c r="L132" s="3">
        <v>168.4</v>
      </c>
      <c r="M132" s="3"/>
      <c r="N132" s="3">
        <v>138.69999999999999</v>
      </c>
      <c r="O132" s="3">
        <v>138.69999999999999</v>
      </c>
      <c r="P132" s="3"/>
      <c r="Q132" s="3">
        <v>54.1</v>
      </c>
      <c r="R132" s="3">
        <v>54.1</v>
      </c>
      <c r="S132" s="3"/>
      <c r="T132" s="42">
        <v>168.4</v>
      </c>
      <c r="U132" s="42">
        <f>AVERAGE(paper3[[#This Row],[Sittende høyde 1]:[Sittende høyde 3]])-56.2</f>
        <v>82.499999999999986</v>
      </c>
      <c r="V132" s="12">
        <f>paper3[[#This Row],[height]]-paper3[[#This Row],[sittingheight]]</f>
        <v>85.90000000000002</v>
      </c>
      <c r="W132" s="73">
        <v>54.1</v>
      </c>
      <c r="X132" s="43" cm="1">
        <f t="array" ref="X132">INDEX([1]!phvny[yphv], MATCH(1, (paper3[[#This Row],[id]]=[1]!phvny[id])*(paper3[[#This Row],[time]]=[1]!phvny[time]), 0))</f>
        <v>1.6353168282356836</v>
      </c>
      <c r="Y132" s="3">
        <v>2.11</v>
      </c>
      <c r="Z132" s="3">
        <v>3.62</v>
      </c>
      <c r="AA132" s="3">
        <v>5.09</v>
      </c>
      <c r="AB132" s="3">
        <v>2.13</v>
      </c>
      <c r="AC132" s="3">
        <v>3.62</v>
      </c>
      <c r="AD132" s="3">
        <v>5.0599999999999996</v>
      </c>
      <c r="AE132" s="3">
        <v>2.08</v>
      </c>
      <c r="AF132" s="3">
        <v>3.61</v>
      </c>
      <c r="AG132" s="3">
        <v>5.0999999999999996</v>
      </c>
      <c r="AH132" s="44">
        <v>2.08</v>
      </c>
      <c r="AI132" s="44">
        <v>3.61</v>
      </c>
      <c r="AJ132" s="44">
        <v>5.0599999999999996</v>
      </c>
      <c r="AK132" s="45">
        <v>6.8965517241379324</v>
      </c>
      <c r="AL132" s="3">
        <v>11.47</v>
      </c>
      <c r="AM132" s="3">
        <v>11.35</v>
      </c>
      <c r="AN132" s="46">
        <v>11.62</v>
      </c>
      <c r="AO132" s="3">
        <v>11.76</v>
      </c>
      <c r="AP132" s="3">
        <v>11.35</v>
      </c>
      <c r="AQ132" s="47">
        <v>11.35</v>
      </c>
      <c r="AR132" s="47">
        <v>11.62</v>
      </c>
      <c r="AS132" s="3">
        <v>29.98</v>
      </c>
      <c r="AT132" s="3"/>
      <c r="AU132" s="3"/>
      <c r="AV132" s="3"/>
      <c r="AW132" s="3"/>
      <c r="AX132" s="48">
        <v>29.98</v>
      </c>
      <c r="AY132" s="3"/>
      <c r="AZ132" s="3">
        <v>9</v>
      </c>
      <c r="BA132" s="3">
        <v>200</v>
      </c>
      <c r="BB132" s="3">
        <v>10</v>
      </c>
      <c r="BC132" s="3">
        <v>218</v>
      </c>
      <c r="BD132" s="40">
        <v>835.73332183234879</v>
      </c>
      <c r="BE132" s="40">
        <v>837.85415769079373</v>
      </c>
      <c r="BF132" s="40"/>
      <c r="BG132" s="40">
        <v>424.69467440810263</v>
      </c>
      <c r="BH132" s="40">
        <v>422.86485491515316</v>
      </c>
      <c r="BI132" s="49">
        <v>1673.5874795231425</v>
      </c>
      <c r="BJ132" s="49">
        <v>847.55952932325579</v>
      </c>
      <c r="BK132" s="66">
        <v>-2.5312709126970034E-3</v>
      </c>
      <c r="BL132" s="66">
        <v>4.32719690861183E-3</v>
      </c>
      <c r="BM132" s="51">
        <v>30.935073558653279</v>
      </c>
      <c r="BN132" s="51">
        <v>15.666534737952972</v>
      </c>
      <c r="BO132" s="52">
        <v>227</v>
      </c>
      <c r="BP132" s="40">
        <v>227</v>
      </c>
      <c r="BQ132" s="40">
        <v>223</v>
      </c>
      <c r="BR132" s="67">
        <v>1.7937219730941756E-2</v>
      </c>
      <c r="BS132" s="54">
        <v>4.1589648798521255</v>
      </c>
      <c r="BT132" s="3">
        <v>117</v>
      </c>
      <c r="BU132" s="40">
        <v>118</v>
      </c>
      <c r="BV132" s="3">
        <v>110</v>
      </c>
      <c r="BW132" s="3">
        <v>108</v>
      </c>
      <c r="BX132" s="70">
        <v>-8.4745762711864181E-3</v>
      </c>
      <c r="BY132" s="70">
        <v>1.8518518518518601E-2</v>
      </c>
      <c r="BZ132" s="59">
        <v>1.0925925925925926</v>
      </c>
      <c r="CA132" s="59">
        <v>1.0636363636363637</v>
      </c>
      <c r="CB132" s="59">
        <v>1.8656654343807766</v>
      </c>
      <c r="CC132" s="59">
        <v>1.7307024029574867</v>
      </c>
      <c r="CD132" s="60">
        <v>82</v>
      </c>
      <c r="CE132" s="60">
        <v>74</v>
      </c>
      <c r="CF132" s="61">
        <v>1.5157116451016635</v>
      </c>
      <c r="CG132" s="61">
        <v>1.3678373382624769</v>
      </c>
      <c r="CH132" s="61">
        <v>0.90243902439024393</v>
      </c>
      <c r="CI132" s="41">
        <v>14.8</v>
      </c>
      <c r="CJ132" s="40">
        <f>VLOOKUP(paper3[[#This Row],[YYIR nivå]],$DB:$DC,2)</f>
        <v>760</v>
      </c>
      <c r="CK132" s="3" t="s">
        <v>112</v>
      </c>
      <c r="CL132" s="62">
        <v>36752</v>
      </c>
      <c r="CM132" s="63">
        <v>36.752000000000002</v>
      </c>
      <c r="CN132" s="3">
        <v>118</v>
      </c>
      <c r="CO132" s="3">
        <v>110</v>
      </c>
      <c r="CP132" s="41">
        <v>13.672222222222222</v>
      </c>
      <c r="CQ132" s="3" t="s">
        <v>177</v>
      </c>
      <c r="CR132" s="40">
        <v>117.5</v>
      </c>
      <c r="CS132" s="40">
        <v>109</v>
      </c>
      <c r="CT132" s="40">
        <v>225</v>
      </c>
      <c r="CU132" s="40"/>
      <c r="CV132" s="40"/>
      <c r="CW132" s="40"/>
      <c r="CX132" s="40"/>
      <c r="CY132" s="40">
        <v>0</v>
      </c>
      <c r="CZ132" s="40"/>
      <c r="DA132" s="40"/>
    </row>
    <row r="133" spans="1:105" ht="15.95" customHeight="1">
      <c r="A133" s="3">
        <v>289</v>
      </c>
      <c r="B133" s="38" t="s">
        <v>103</v>
      </c>
      <c r="C133" s="3">
        <v>0</v>
      </c>
      <c r="D133" s="3" t="s">
        <v>105</v>
      </c>
      <c r="E133" s="86">
        <v>44524</v>
      </c>
      <c r="F133" s="3" t="s">
        <v>106</v>
      </c>
      <c r="G133" s="3" t="s">
        <v>107</v>
      </c>
      <c r="H133" s="40">
        <v>2008</v>
      </c>
      <c r="I133" s="40" t="s">
        <v>108</v>
      </c>
      <c r="J133" s="40" t="s">
        <v>109</v>
      </c>
      <c r="K133" s="3">
        <v>159.19999999999999</v>
      </c>
      <c r="L133" s="3">
        <v>159.30000000000001</v>
      </c>
      <c r="M133" s="3"/>
      <c r="N133" s="3">
        <v>133.6</v>
      </c>
      <c r="O133" s="3">
        <v>133.69999999999999</v>
      </c>
      <c r="P133" s="3"/>
      <c r="Q133" s="3">
        <v>44.5</v>
      </c>
      <c r="R133" s="3">
        <v>44.5</v>
      </c>
      <c r="S133" s="3"/>
      <c r="T133" s="42">
        <v>159.25</v>
      </c>
      <c r="U133" s="42">
        <f>AVERAGE(paper3[[#This Row],[Sittende høyde 1]:[Sittende høyde 3]])-56.2</f>
        <v>77.449999999999974</v>
      </c>
      <c r="V133" s="12">
        <f>paper3[[#This Row],[height]]-paper3[[#This Row],[sittingheight]]</f>
        <v>81.800000000000026</v>
      </c>
      <c r="W133" s="73">
        <v>44.5</v>
      </c>
      <c r="X133" s="43" cm="1">
        <f t="array" ref="X133">INDEX([1]!phvny[yphv], MATCH(1, (paper3[[#This Row],[id]]=[1]!phvny[id])*(paper3[[#This Row],[time]]=[1]!phvny[time]), 0))</f>
        <v>1.0815252317756403</v>
      </c>
      <c r="Y133" s="3"/>
      <c r="Z133" s="3"/>
      <c r="AA133" s="3"/>
      <c r="AB133" s="3"/>
      <c r="AC133" s="3"/>
      <c r="AD133" s="3"/>
      <c r="AE133" s="3"/>
      <c r="AF133" s="3"/>
      <c r="AG133" s="3"/>
      <c r="AH133" s="44"/>
      <c r="AI133" s="44"/>
      <c r="AJ133" s="44"/>
      <c r="AK133" s="45"/>
      <c r="AL133" s="3">
        <v>11.87</v>
      </c>
      <c r="AM133" s="3">
        <v>12.07</v>
      </c>
      <c r="AN133" s="3">
        <v>11.87</v>
      </c>
      <c r="AO133" s="3">
        <v>11.92</v>
      </c>
      <c r="AP133" s="3">
        <v>11.87</v>
      </c>
      <c r="AQ133" s="47">
        <v>11.87</v>
      </c>
      <c r="AR133" s="47">
        <v>11.87</v>
      </c>
      <c r="AS133" s="3">
        <v>18.77</v>
      </c>
      <c r="AT133" s="3"/>
      <c r="AU133" s="3"/>
      <c r="AV133" s="3"/>
      <c r="AW133" s="3"/>
      <c r="AX133" s="48">
        <v>18.77</v>
      </c>
      <c r="AY133" s="3"/>
      <c r="AZ133" s="3">
        <v>8</v>
      </c>
      <c r="BA133" s="3">
        <v>180</v>
      </c>
      <c r="BB133" s="3">
        <v>9</v>
      </c>
      <c r="BC133" s="3">
        <v>179</v>
      </c>
      <c r="BD133" s="40">
        <v>714.15934713118213</v>
      </c>
      <c r="BE133" s="40">
        <v>693.55083683705448</v>
      </c>
      <c r="BF133" s="40"/>
      <c r="BG133" s="40">
        <v>244.67965165588146</v>
      </c>
      <c r="BH133" s="40">
        <v>230.30125257024821</v>
      </c>
      <c r="BI133" s="49">
        <v>1407.7101839682366</v>
      </c>
      <c r="BJ133" s="49">
        <v>474.98090422612967</v>
      </c>
      <c r="BK133" s="66">
        <v>2.9714491281003896E-2</v>
      </c>
      <c r="BL133" s="66">
        <v>6.2433004272295145E-2</v>
      </c>
      <c r="BM133" s="51">
        <v>31.633936718387339</v>
      </c>
      <c r="BN133" s="51">
        <v>10.673728184856847</v>
      </c>
      <c r="BO133" s="52">
        <v>185</v>
      </c>
      <c r="BP133" s="40">
        <v>185</v>
      </c>
      <c r="BQ133" s="40">
        <v>168</v>
      </c>
      <c r="BR133" s="67">
        <v>0.10119047619047628</v>
      </c>
      <c r="BS133" s="54">
        <v>3.9662921348314608</v>
      </c>
      <c r="BT133" s="3">
        <v>146</v>
      </c>
      <c r="BU133" s="40">
        <v>151</v>
      </c>
      <c r="BV133" s="3">
        <v>95</v>
      </c>
      <c r="BW133" s="3">
        <v>101</v>
      </c>
      <c r="BX133" s="70">
        <v>-3.3112582781456901E-2</v>
      </c>
      <c r="BY133" s="70">
        <v>-5.9405940594059459E-2</v>
      </c>
      <c r="BZ133" s="59">
        <v>1.495049504950495</v>
      </c>
      <c r="CA133" s="59">
        <v>1.5368421052631578</v>
      </c>
      <c r="CB133" s="59">
        <v>2.7297303370786525</v>
      </c>
      <c r="CC133" s="59">
        <v>1.8014382022471918</v>
      </c>
      <c r="CD133" s="60">
        <v>62</v>
      </c>
      <c r="CE133" s="60">
        <v>56</v>
      </c>
      <c r="CF133" s="61">
        <v>1.3932584269662922</v>
      </c>
      <c r="CG133" s="61">
        <v>1.2584269662921348</v>
      </c>
      <c r="CH133" s="61">
        <v>0.90322580645161288</v>
      </c>
      <c r="CI133" s="41">
        <v>13.1</v>
      </c>
      <c r="CJ133" s="40">
        <f>VLOOKUP(paper3[[#This Row],[YYIR nivå]],$DB:$DC,2)</f>
        <v>320</v>
      </c>
      <c r="CK133" s="3" t="s">
        <v>112</v>
      </c>
      <c r="CL133" s="62">
        <v>31668</v>
      </c>
      <c r="CM133" s="63">
        <v>31.667999999999999</v>
      </c>
      <c r="CN133" s="3">
        <v>151</v>
      </c>
      <c r="CO133" s="3">
        <v>101</v>
      </c>
      <c r="CP133" s="41">
        <v>13.841666666666667</v>
      </c>
      <c r="CQ133" s="3" t="s">
        <v>178</v>
      </c>
      <c r="CR133" s="40">
        <v>148.5</v>
      </c>
      <c r="CS133" s="40">
        <v>98</v>
      </c>
      <c r="CT133" s="40">
        <v>176.5</v>
      </c>
      <c r="CU133" s="40"/>
      <c r="CV133" s="40"/>
      <c r="CW133" s="40"/>
      <c r="CX133" s="40"/>
      <c r="CY133" s="40">
        <v>0</v>
      </c>
      <c r="CZ133" s="40"/>
      <c r="DA133" s="40"/>
    </row>
    <row r="134" spans="1:105" ht="15.95" customHeight="1">
      <c r="A134" s="3">
        <v>290</v>
      </c>
      <c r="B134" s="38" t="s">
        <v>103</v>
      </c>
      <c r="C134" s="3">
        <v>0</v>
      </c>
      <c r="D134" s="3" t="s">
        <v>105</v>
      </c>
      <c r="E134" s="86">
        <v>44524</v>
      </c>
      <c r="F134" s="3" t="s">
        <v>106</v>
      </c>
      <c r="G134" s="3" t="s">
        <v>107</v>
      </c>
      <c r="H134" s="40">
        <v>2008</v>
      </c>
      <c r="I134" s="40" t="s">
        <v>108</v>
      </c>
      <c r="J134" s="40" t="s">
        <v>109</v>
      </c>
      <c r="K134" s="3">
        <v>172.1</v>
      </c>
      <c r="L134" s="3">
        <v>172</v>
      </c>
      <c r="M134" s="3"/>
      <c r="N134" s="3">
        <v>145.9</v>
      </c>
      <c r="O134" s="3">
        <v>146.1</v>
      </c>
      <c r="P134" s="3"/>
      <c r="Q134" s="3">
        <v>62.9</v>
      </c>
      <c r="R134" s="3">
        <v>62.9</v>
      </c>
      <c r="S134" s="3"/>
      <c r="T134" s="42">
        <v>172.05</v>
      </c>
      <c r="U134" s="42">
        <f>AVERAGE(paper3[[#This Row],[Sittende høyde 1]:[Sittende høyde 3]])-56.2</f>
        <v>89.8</v>
      </c>
      <c r="V134" s="12">
        <f>paper3[[#This Row],[height]]-paper3[[#This Row],[sittingheight]]</f>
        <v>82.250000000000014</v>
      </c>
      <c r="W134" s="73">
        <v>62.9</v>
      </c>
      <c r="X134" s="43" cm="1">
        <f t="array" ref="X134">INDEX([1]!phvny[yphv], MATCH(1, (paper3[[#This Row],[id]]=[1]!phvny[id])*(paper3[[#This Row],[time]]=[1]!phvny[time]), 0))</f>
        <v>2.2593486103225802</v>
      </c>
      <c r="Y134" s="3">
        <v>2.1</v>
      </c>
      <c r="Z134" s="3">
        <v>3.52</v>
      </c>
      <c r="AA134" s="3">
        <v>4.93</v>
      </c>
      <c r="AB134" s="3">
        <v>2.0299999999999998</v>
      </c>
      <c r="AC134" s="3">
        <v>3.44</v>
      </c>
      <c r="AD134" s="3">
        <v>4.8</v>
      </c>
      <c r="AE134" s="3">
        <v>2.09</v>
      </c>
      <c r="AF134" s="3">
        <v>3.5</v>
      </c>
      <c r="AG134" s="3">
        <v>4.8600000000000003</v>
      </c>
      <c r="AH134" s="44">
        <v>2.0299999999999998</v>
      </c>
      <c r="AI134" s="44">
        <v>3.44</v>
      </c>
      <c r="AJ134" s="44">
        <v>4.8</v>
      </c>
      <c r="AK134" s="45">
        <v>7.3529411764705888</v>
      </c>
      <c r="AL134" s="3">
        <v>11.05</v>
      </c>
      <c r="AM134" s="3">
        <v>10.9</v>
      </c>
      <c r="AN134" s="3">
        <v>11.26</v>
      </c>
      <c r="AO134" s="3">
        <v>10.96</v>
      </c>
      <c r="AP134" s="3">
        <v>10.9</v>
      </c>
      <c r="AQ134" s="47">
        <v>10.9</v>
      </c>
      <c r="AR134" s="47">
        <v>10.96</v>
      </c>
      <c r="AS134" s="3">
        <v>28.22</v>
      </c>
      <c r="AT134" s="3"/>
      <c r="AU134" s="3"/>
      <c r="AV134" s="3"/>
      <c r="AW134" s="3"/>
      <c r="AX134" s="48">
        <v>28.22</v>
      </c>
      <c r="AY134" s="3"/>
      <c r="AZ134" s="3">
        <v>8</v>
      </c>
      <c r="BA134" s="3">
        <v>240</v>
      </c>
      <c r="BB134" s="3">
        <v>9</v>
      </c>
      <c r="BC134" s="3">
        <v>239</v>
      </c>
      <c r="BD134" s="40">
        <v>1086.8478997962357</v>
      </c>
      <c r="BE134" s="40">
        <v>1108.5796894614955</v>
      </c>
      <c r="BF134" s="40"/>
      <c r="BG134" s="40">
        <v>363.81438237432172</v>
      </c>
      <c r="BH134" s="40">
        <v>380.69486796559517</v>
      </c>
      <c r="BI134" s="49">
        <v>2195.4275892577311</v>
      </c>
      <c r="BJ134" s="49">
        <v>744.50925033991689</v>
      </c>
      <c r="BK134" s="66">
        <v>-1.96032724321481E-2</v>
      </c>
      <c r="BL134" s="66">
        <v>-4.4341248101088082E-2</v>
      </c>
      <c r="BM134" s="51">
        <v>34.903459288676174</v>
      </c>
      <c r="BN134" s="51">
        <v>11.836395076946214</v>
      </c>
      <c r="BO134" s="52">
        <v>293</v>
      </c>
      <c r="BP134" s="40">
        <v>293</v>
      </c>
      <c r="BQ134" s="40">
        <v>293</v>
      </c>
      <c r="BR134" s="67">
        <v>0</v>
      </c>
      <c r="BS134" s="54">
        <v>4.6581875993640702</v>
      </c>
      <c r="BT134" s="3">
        <v>106</v>
      </c>
      <c r="BU134" s="40">
        <v>101</v>
      </c>
      <c r="BV134" s="3">
        <v>87</v>
      </c>
      <c r="BW134" s="3">
        <v>87</v>
      </c>
      <c r="BX134" s="70">
        <v>4.9504950495049549E-2</v>
      </c>
      <c r="BY134" s="70">
        <v>0</v>
      </c>
      <c r="BZ134" s="59">
        <v>1.1609195402298851</v>
      </c>
      <c r="CA134" s="59">
        <v>1.2183908045977012</v>
      </c>
      <c r="CB134" s="59">
        <v>1.353398251192369</v>
      </c>
      <c r="CC134" s="59">
        <v>1.1376391096979332</v>
      </c>
      <c r="CD134" s="60">
        <v>89</v>
      </c>
      <c r="CE134" s="60">
        <v>71</v>
      </c>
      <c r="CF134" s="61">
        <v>1.4149443561208268</v>
      </c>
      <c r="CG134" s="61">
        <v>1.1287758346581875</v>
      </c>
      <c r="CH134" s="61">
        <v>0.797752808988764</v>
      </c>
      <c r="CI134" s="41"/>
      <c r="CJ134" s="40"/>
      <c r="CK134" s="3"/>
      <c r="CL134" s="62">
        <v>46121</v>
      </c>
      <c r="CM134" s="63">
        <v>46.121000000000002</v>
      </c>
      <c r="CN134" s="3">
        <v>106</v>
      </c>
      <c r="CO134" s="3">
        <v>87</v>
      </c>
      <c r="CP134" s="41">
        <v>13.808333333333334</v>
      </c>
      <c r="CQ134" s="3" t="s">
        <v>179</v>
      </c>
      <c r="CR134" s="40">
        <v>103.5</v>
      </c>
      <c r="CS134" s="40">
        <v>87</v>
      </c>
      <c r="CT134" s="40">
        <v>293</v>
      </c>
      <c r="CU134" s="40"/>
      <c r="CV134" s="40"/>
      <c r="CW134" s="40"/>
      <c r="CX134" s="40"/>
      <c r="CY134" s="40">
        <v>0</v>
      </c>
      <c r="CZ134" s="40"/>
      <c r="DA134" s="40"/>
    </row>
    <row r="135" spans="1:105" ht="15.95" customHeight="1">
      <c r="A135" s="3">
        <v>291</v>
      </c>
      <c r="B135" s="38" t="s">
        <v>103</v>
      </c>
      <c r="C135" s="3">
        <v>0</v>
      </c>
      <c r="D135" s="3" t="s">
        <v>105</v>
      </c>
      <c r="E135" s="86">
        <v>44524</v>
      </c>
      <c r="F135" s="3" t="s">
        <v>106</v>
      </c>
      <c r="G135" s="3" t="s">
        <v>107</v>
      </c>
      <c r="H135" s="40">
        <v>2008</v>
      </c>
      <c r="I135" s="40" t="s">
        <v>108</v>
      </c>
      <c r="J135" s="40" t="s">
        <v>109</v>
      </c>
      <c r="K135" s="3">
        <v>161.1</v>
      </c>
      <c r="L135" s="3">
        <v>161</v>
      </c>
      <c r="M135" s="3"/>
      <c r="N135" s="3">
        <v>139.30000000000001</v>
      </c>
      <c r="O135" s="3">
        <v>138.9</v>
      </c>
      <c r="P135" s="3">
        <v>138.80000000000001</v>
      </c>
      <c r="Q135" s="3">
        <v>52.8</v>
      </c>
      <c r="R135" s="3">
        <v>52.8</v>
      </c>
      <c r="S135" s="3"/>
      <c r="T135" s="42">
        <v>161.05000000000001</v>
      </c>
      <c r="U135" s="42">
        <f>AVERAGE(paper3[[#This Row],[Sittende høyde 1]:[Sittende høyde 3]])-56.2</f>
        <v>82.800000000000026</v>
      </c>
      <c r="V135" s="12">
        <f>paper3[[#This Row],[height]]-paper3[[#This Row],[sittingheight]]</f>
        <v>78.249999999999986</v>
      </c>
      <c r="W135" s="73">
        <v>52.8</v>
      </c>
      <c r="X135" s="43" cm="1">
        <f t="array" ref="X135">INDEX([1]!phvny[yphv], MATCH(1, (paper3[[#This Row],[id]]=[1]!phvny[id])*(paper3[[#This Row],[time]]=[1]!phvny[time]), 0))</f>
        <v>1.2738650307592569</v>
      </c>
      <c r="Y135" s="3">
        <v>2.0699999999999998</v>
      </c>
      <c r="Z135" s="3">
        <v>3.52</v>
      </c>
      <c r="AA135" s="3">
        <v>4.9800000000000004</v>
      </c>
      <c r="AB135" s="3">
        <v>2.0499999999999998</v>
      </c>
      <c r="AC135" s="3">
        <v>3.5</v>
      </c>
      <c r="AD135" s="3">
        <v>4.91</v>
      </c>
      <c r="AE135" s="3">
        <v>2.02</v>
      </c>
      <c r="AF135" s="3">
        <v>3.47</v>
      </c>
      <c r="AG135" s="3">
        <v>4.9400000000000004</v>
      </c>
      <c r="AH135" s="44">
        <v>2.02</v>
      </c>
      <c r="AI135" s="44">
        <v>3.47</v>
      </c>
      <c r="AJ135" s="44">
        <v>4.91</v>
      </c>
      <c r="AK135" s="45">
        <v>6.9444444444444446</v>
      </c>
      <c r="AL135" s="3">
        <v>10.64</v>
      </c>
      <c r="AM135" s="3">
        <v>10.64</v>
      </c>
      <c r="AN135" s="3">
        <v>10.97</v>
      </c>
      <c r="AO135" s="3">
        <v>10.74</v>
      </c>
      <c r="AP135" s="3">
        <v>10.64</v>
      </c>
      <c r="AQ135" s="47">
        <v>10.64</v>
      </c>
      <c r="AR135" s="47">
        <v>10.74</v>
      </c>
      <c r="AS135" s="3">
        <v>26.51</v>
      </c>
      <c r="AT135" s="3"/>
      <c r="AU135" s="3"/>
      <c r="AV135" s="3"/>
      <c r="AW135" s="3"/>
      <c r="AX135" s="48">
        <v>26.51</v>
      </c>
      <c r="AY135" s="3"/>
      <c r="AZ135" s="3">
        <v>8</v>
      </c>
      <c r="BA135" s="3">
        <v>180</v>
      </c>
      <c r="BB135" s="3">
        <v>15</v>
      </c>
      <c r="BC135" s="3">
        <v>277</v>
      </c>
      <c r="BD135" s="40">
        <v>1145.7429615600722</v>
      </c>
      <c r="BE135" s="40">
        <v>1072.0027656428847</v>
      </c>
      <c r="BF135" s="40"/>
      <c r="BG135" s="40">
        <v>378.67498836324472</v>
      </c>
      <c r="BH135" s="40">
        <v>377.56651292438198</v>
      </c>
      <c r="BI135" s="49">
        <v>2217.7457272029569</v>
      </c>
      <c r="BJ135" s="49">
        <v>756.24150128762676</v>
      </c>
      <c r="BK135" s="66">
        <v>6.878731872763888E-2</v>
      </c>
      <c r="BL135" s="66">
        <v>2.9358415032021412E-3</v>
      </c>
      <c r="BM135" s="51">
        <v>42.002759984904486</v>
      </c>
      <c r="BN135" s="51">
        <v>14.322755706205053</v>
      </c>
      <c r="BO135" s="52">
        <v>189</v>
      </c>
      <c r="BP135" s="40">
        <v>161</v>
      </c>
      <c r="BQ135" s="40">
        <v>189</v>
      </c>
      <c r="BR135" s="67">
        <v>-0.14814814814814814</v>
      </c>
      <c r="BS135" s="54">
        <v>3.3143939393939394</v>
      </c>
      <c r="BT135" s="3">
        <v>127</v>
      </c>
      <c r="BU135" s="40">
        <v>123</v>
      </c>
      <c r="BV135" s="3">
        <v>117</v>
      </c>
      <c r="BW135" s="3">
        <v>114</v>
      </c>
      <c r="BX135" s="70">
        <v>3.2520325203251987E-2</v>
      </c>
      <c r="BY135" s="70">
        <v>2.6315789473684292E-2</v>
      </c>
      <c r="BZ135" s="59">
        <v>1.0789473684210527</v>
      </c>
      <c r="CA135" s="59">
        <v>1.0854700854700854</v>
      </c>
      <c r="CB135" s="59">
        <v>1.8525094696969695</v>
      </c>
      <c r="CC135" s="59">
        <v>1.7117187499999997</v>
      </c>
      <c r="CD135" s="60">
        <v>98</v>
      </c>
      <c r="CE135" s="60">
        <v>79</v>
      </c>
      <c r="CF135" s="61">
        <v>1.8560606060606062</v>
      </c>
      <c r="CG135" s="61">
        <v>1.4962121212121213</v>
      </c>
      <c r="CH135" s="61">
        <v>0.80612244897959184</v>
      </c>
      <c r="CI135" s="41">
        <v>14.8</v>
      </c>
      <c r="CJ135" s="40">
        <f>VLOOKUP(paper3[[#This Row],[YYIR nivå]],$DB:$DC,2)</f>
        <v>760</v>
      </c>
      <c r="CK135" s="3" t="s">
        <v>112</v>
      </c>
      <c r="CL135" s="62">
        <v>40346</v>
      </c>
      <c r="CM135" s="63">
        <v>40.345999999999997</v>
      </c>
      <c r="CN135" s="3">
        <v>127</v>
      </c>
      <c r="CO135" s="3">
        <v>117</v>
      </c>
      <c r="CP135" s="41">
        <v>13.402777777777779</v>
      </c>
      <c r="CQ135" s="3" t="s">
        <v>180</v>
      </c>
      <c r="CR135" s="40">
        <v>125</v>
      </c>
      <c r="CS135" s="40">
        <v>115.5</v>
      </c>
      <c r="CT135" s="40">
        <v>175</v>
      </c>
      <c r="CU135" s="40"/>
      <c r="CV135" s="40"/>
      <c r="CW135" s="40"/>
      <c r="CX135" s="40"/>
      <c r="CY135" s="40">
        <v>0</v>
      </c>
      <c r="CZ135" s="40"/>
      <c r="DA135" s="40"/>
    </row>
    <row r="136" spans="1:105" ht="15.95" customHeight="1">
      <c r="A136" s="3">
        <v>292</v>
      </c>
      <c r="B136" s="38" t="s">
        <v>103</v>
      </c>
      <c r="C136" s="3">
        <v>0</v>
      </c>
      <c r="D136" s="3" t="s">
        <v>105</v>
      </c>
      <c r="E136" s="86">
        <v>44524</v>
      </c>
      <c r="F136" s="3" t="s">
        <v>106</v>
      </c>
      <c r="G136" s="3" t="s">
        <v>107</v>
      </c>
      <c r="H136" s="40">
        <v>2008</v>
      </c>
      <c r="I136" s="40" t="s">
        <v>108</v>
      </c>
      <c r="J136" s="40" t="s">
        <v>109</v>
      </c>
      <c r="K136" s="3">
        <v>162.9</v>
      </c>
      <c r="L136" s="3">
        <v>162.9</v>
      </c>
      <c r="M136" s="3"/>
      <c r="N136" s="3">
        <v>139.5</v>
      </c>
      <c r="O136" s="3">
        <v>140.1</v>
      </c>
      <c r="P136" s="3">
        <v>139.9</v>
      </c>
      <c r="Q136" s="3">
        <v>55.1</v>
      </c>
      <c r="R136" s="3">
        <v>55.1</v>
      </c>
      <c r="S136" s="3"/>
      <c r="T136" s="42">
        <v>162.9</v>
      </c>
      <c r="U136" s="42">
        <f>AVERAGE(paper3[[#This Row],[Sittende høyde 1]:[Sittende høyde 3]])-56.2</f>
        <v>83.63333333333334</v>
      </c>
      <c r="V136" s="12">
        <f>paper3[[#This Row],[height]]-paper3[[#This Row],[sittingheight]]</f>
        <v>79.266666666666666</v>
      </c>
      <c r="W136" s="97">
        <v>55.1</v>
      </c>
      <c r="X136" s="43" cm="1">
        <f t="array" ref="X136">INDEX([1]!phvny[yphv], MATCH(1, (paper3[[#This Row],[id]]=[1]!phvny[id])*(paper3[[#This Row],[time]]=[1]!phvny[time]), 0))</f>
        <v>1.2849341718645388</v>
      </c>
      <c r="Y136" s="3">
        <v>2.09</v>
      </c>
      <c r="Z136" s="3">
        <v>3.57</v>
      </c>
      <c r="AA136" s="3">
        <v>5.03</v>
      </c>
      <c r="AB136" s="3">
        <v>2.12</v>
      </c>
      <c r="AC136" s="3">
        <v>3.59</v>
      </c>
      <c r="AD136" s="3">
        <v>5.07</v>
      </c>
      <c r="AE136" s="3">
        <v>2.11</v>
      </c>
      <c r="AF136" s="3">
        <v>3.59</v>
      </c>
      <c r="AG136" s="3">
        <v>5.0599999999999996</v>
      </c>
      <c r="AH136" s="44">
        <v>2.09</v>
      </c>
      <c r="AI136" s="44">
        <v>3.57</v>
      </c>
      <c r="AJ136" s="44">
        <v>5.03</v>
      </c>
      <c r="AK136" s="45">
        <v>6.8493150684931488</v>
      </c>
      <c r="AL136" s="3">
        <v>11.33</v>
      </c>
      <c r="AM136" s="3">
        <v>11.54</v>
      </c>
      <c r="AN136" s="3"/>
      <c r="AO136" s="3"/>
      <c r="AP136" s="3">
        <v>11.33</v>
      </c>
      <c r="AQ136" s="47">
        <v>11.33</v>
      </c>
      <c r="AR136" s="47"/>
      <c r="AS136" s="3">
        <v>27.72</v>
      </c>
      <c r="AT136" s="3"/>
      <c r="AU136" s="3"/>
      <c r="AV136" s="3"/>
      <c r="AW136" s="3"/>
      <c r="AX136" s="48">
        <v>27.72</v>
      </c>
      <c r="AY136" s="3"/>
      <c r="AZ136" s="3"/>
      <c r="BA136" s="3"/>
      <c r="BB136" s="3"/>
      <c r="BC136" s="3"/>
      <c r="BD136" s="40"/>
      <c r="BE136" s="40"/>
      <c r="BF136" s="40"/>
      <c r="BG136" s="40"/>
      <c r="BH136" s="40"/>
      <c r="BI136" s="49"/>
      <c r="BJ136" s="49"/>
      <c r="BK136" s="66"/>
      <c r="BL136" s="66"/>
      <c r="BM136" s="51"/>
      <c r="BN136" s="51"/>
      <c r="BO136" s="52">
        <v>183</v>
      </c>
      <c r="BP136" s="40">
        <v>162</v>
      </c>
      <c r="BQ136" s="40">
        <v>183</v>
      </c>
      <c r="BR136" s="67">
        <v>-0.11475409836065575</v>
      </c>
      <c r="BS136" s="54">
        <v>3.1306715063520869</v>
      </c>
      <c r="BT136" s="3">
        <v>95</v>
      </c>
      <c r="BU136" s="40">
        <v>97</v>
      </c>
      <c r="BV136" s="3">
        <v>110</v>
      </c>
      <c r="BW136" s="3">
        <v>121</v>
      </c>
      <c r="BX136" s="70">
        <v>-2.0618556701030966E-2</v>
      </c>
      <c r="BY136" s="70">
        <v>-9.0909090909090939E-2</v>
      </c>
      <c r="BZ136" s="59">
        <v>0.80165289256198347</v>
      </c>
      <c r="CA136" s="59">
        <v>0.86363636363636365</v>
      </c>
      <c r="CB136" s="59">
        <v>1.3810526315789473</v>
      </c>
      <c r="CC136" s="59">
        <v>1.661578947368421</v>
      </c>
      <c r="CD136" s="60">
        <v>70</v>
      </c>
      <c r="CE136" s="60">
        <v>81</v>
      </c>
      <c r="CF136" s="61">
        <v>1.2704174228675136</v>
      </c>
      <c r="CG136" s="61">
        <v>1.4700544464609799</v>
      </c>
      <c r="CH136" s="61">
        <v>1.157142857142857</v>
      </c>
      <c r="CI136" s="41">
        <v>14.5</v>
      </c>
      <c r="CJ136" s="40">
        <f>VLOOKUP(paper3[[#This Row],[YYIR nivå]],$DB:$DC,2)</f>
        <v>640</v>
      </c>
      <c r="CK136" s="3" t="s">
        <v>112</v>
      </c>
      <c r="CL136" s="62">
        <v>38215</v>
      </c>
      <c r="CM136" s="63">
        <v>38.215000000000003</v>
      </c>
      <c r="CN136" s="3">
        <v>97</v>
      </c>
      <c r="CO136" s="3">
        <v>121</v>
      </c>
      <c r="CP136" s="41">
        <v>13.188888888888888</v>
      </c>
      <c r="CQ136" s="3" t="s">
        <v>181</v>
      </c>
      <c r="CR136" s="40">
        <v>96</v>
      </c>
      <c r="CS136" s="40">
        <v>115.5</v>
      </c>
      <c r="CT136" s="40">
        <v>172.5</v>
      </c>
      <c r="CU136" s="40"/>
      <c r="CV136" s="40"/>
      <c r="CW136" s="40"/>
      <c r="CX136" s="40"/>
      <c r="CY136" s="40">
        <v>0</v>
      </c>
      <c r="CZ136" s="40"/>
      <c r="DA136" s="40"/>
    </row>
    <row r="137" spans="1:105" ht="15.95" customHeight="1">
      <c r="A137" s="3">
        <v>293</v>
      </c>
      <c r="B137" s="38" t="s">
        <v>103</v>
      </c>
      <c r="C137" s="3">
        <v>0</v>
      </c>
      <c r="D137" s="3" t="s">
        <v>105</v>
      </c>
      <c r="E137" s="86">
        <v>44524</v>
      </c>
      <c r="F137" s="3" t="s">
        <v>106</v>
      </c>
      <c r="G137" s="3" t="s">
        <v>107</v>
      </c>
      <c r="H137" s="40">
        <v>2008</v>
      </c>
      <c r="I137" s="40" t="s">
        <v>108</v>
      </c>
      <c r="J137" s="40" t="s">
        <v>109</v>
      </c>
      <c r="K137" s="3">
        <v>167.4</v>
      </c>
      <c r="L137" s="3">
        <v>167.6</v>
      </c>
      <c r="M137" s="3"/>
      <c r="N137" s="3">
        <v>143.19999999999999</v>
      </c>
      <c r="O137" s="3">
        <v>143.19999999999999</v>
      </c>
      <c r="P137" s="3"/>
      <c r="Q137" s="3">
        <v>54.9</v>
      </c>
      <c r="R137" s="3">
        <v>54.9</v>
      </c>
      <c r="S137" s="3"/>
      <c r="T137" s="42">
        <v>167.5</v>
      </c>
      <c r="U137" s="42">
        <f>AVERAGE(paper3[[#This Row],[Sittende høyde 1]:[Sittende høyde 3]])-56.2</f>
        <v>86.999999999999986</v>
      </c>
      <c r="V137" s="12">
        <f>paper3[[#This Row],[height]]-paper3[[#This Row],[sittingheight]]</f>
        <v>80.500000000000014</v>
      </c>
      <c r="W137" s="73">
        <v>54.9</v>
      </c>
      <c r="X137" s="43"/>
      <c r="Y137" s="3"/>
      <c r="Z137" s="3"/>
      <c r="AA137" s="3"/>
      <c r="AB137" s="3"/>
      <c r="AC137" s="3"/>
      <c r="AD137" s="3"/>
      <c r="AE137" s="3"/>
      <c r="AF137" s="3"/>
      <c r="AG137" s="3"/>
      <c r="AH137" s="44"/>
      <c r="AI137" s="44"/>
      <c r="AJ137" s="44"/>
      <c r="AK137" s="45"/>
      <c r="AL137" s="3"/>
      <c r="AM137" s="3"/>
      <c r="AN137" s="3"/>
      <c r="AO137" s="3"/>
      <c r="AP137" s="3"/>
      <c r="AQ137" s="47"/>
      <c r="AR137" s="47"/>
      <c r="AS137" s="3">
        <v>33.4</v>
      </c>
      <c r="AT137" s="3"/>
      <c r="AU137" s="3"/>
      <c r="AV137" s="3"/>
      <c r="AW137" s="3"/>
      <c r="AX137" s="48">
        <v>33.4</v>
      </c>
      <c r="AY137" s="3"/>
      <c r="AZ137" s="3"/>
      <c r="BA137" s="3"/>
      <c r="BB137" s="3"/>
      <c r="BC137" s="3"/>
      <c r="BD137" s="40"/>
      <c r="BE137" s="40"/>
      <c r="BF137" s="40"/>
      <c r="BG137" s="40"/>
      <c r="BH137" s="40"/>
      <c r="BI137" s="49"/>
      <c r="BJ137" s="49"/>
      <c r="BK137" s="66"/>
      <c r="BL137" s="66"/>
      <c r="BM137" s="51"/>
      <c r="BN137" s="51"/>
      <c r="BO137" s="52">
        <v>308</v>
      </c>
      <c r="BP137" s="40">
        <v>308</v>
      </c>
      <c r="BQ137" s="40">
        <v>282</v>
      </c>
      <c r="BR137" s="67">
        <v>9.219858156028371E-2</v>
      </c>
      <c r="BS137" s="54">
        <v>5.3734061930783241</v>
      </c>
      <c r="BT137" s="3">
        <v>140</v>
      </c>
      <c r="BU137" s="40">
        <v>144</v>
      </c>
      <c r="BV137" s="3">
        <v>124</v>
      </c>
      <c r="BW137" s="3">
        <v>119</v>
      </c>
      <c r="BX137" s="70">
        <v>-2.777777777777779E-2</v>
      </c>
      <c r="BY137" s="70">
        <v>4.2016806722689148E-2</v>
      </c>
      <c r="BZ137" s="59">
        <v>1.2100840336134453</v>
      </c>
      <c r="CA137" s="59">
        <v>1.1290322580645162</v>
      </c>
      <c r="CB137" s="59">
        <v>2.0821493624772316</v>
      </c>
      <c r="CC137" s="59">
        <v>1.7815573770491808</v>
      </c>
      <c r="CD137" s="60">
        <v>95</v>
      </c>
      <c r="CE137" s="60">
        <v>110</v>
      </c>
      <c r="CF137" s="61">
        <v>1.7304189435336976</v>
      </c>
      <c r="CG137" s="61">
        <v>2.0036429872495445</v>
      </c>
      <c r="CH137" s="61">
        <v>1.1578947368421051</v>
      </c>
      <c r="CI137" s="41"/>
      <c r="CJ137" s="40"/>
      <c r="CK137" s="3"/>
      <c r="CL137" s="62">
        <v>40040</v>
      </c>
      <c r="CM137" s="63">
        <v>40.04</v>
      </c>
      <c r="CN137" s="3">
        <v>144</v>
      </c>
      <c r="CO137" s="3">
        <v>124</v>
      </c>
      <c r="CP137" s="41"/>
      <c r="CQ137" s="3" t="s">
        <v>182</v>
      </c>
      <c r="CR137" s="40">
        <v>142</v>
      </c>
      <c r="CS137" s="40">
        <v>121.5</v>
      </c>
      <c r="CT137" s="40">
        <v>295</v>
      </c>
      <c r="CU137" s="40"/>
      <c r="CV137" s="40"/>
      <c r="CW137" s="40"/>
      <c r="CX137" s="40"/>
      <c r="CY137" s="40">
        <v>0</v>
      </c>
      <c r="CZ137" s="40"/>
      <c r="DA137" s="40"/>
    </row>
    <row r="138" spans="1:105" ht="15.95" customHeight="1">
      <c r="A138" s="3">
        <v>294</v>
      </c>
      <c r="B138" s="38" t="s">
        <v>103</v>
      </c>
      <c r="C138" s="3">
        <v>0</v>
      </c>
      <c r="D138" s="3" t="s">
        <v>105</v>
      </c>
      <c r="E138" s="86">
        <v>44524</v>
      </c>
      <c r="F138" s="3" t="s">
        <v>106</v>
      </c>
      <c r="G138" s="3" t="s">
        <v>107</v>
      </c>
      <c r="H138" s="40">
        <v>2008</v>
      </c>
      <c r="I138" s="40" t="s">
        <v>108</v>
      </c>
      <c r="J138" s="40" t="s">
        <v>109</v>
      </c>
      <c r="K138" s="3">
        <v>173.1</v>
      </c>
      <c r="L138" s="3">
        <v>173.1</v>
      </c>
      <c r="M138" s="3"/>
      <c r="N138" s="3">
        <v>144.6</v>
      </c>
      <c r="O138" s="3">
        <v>144.6</v>
      </c>
      <c r="P138" s="3"/>
      <c r="Q138" s="3">
        <v>61.6</v>
      </c>
      <c r="R138" s="3">
        <v>61.6</v>
      </c>
      <c r="S138" s="3"/>
      <c r="T138" s="42">
        <v>173.1</v>
      </c>
      <c r="U138" s="42">
        <f>AVERAGE(paper3[[#This Row],[Sittende høyde 1]:[Sittende høyde 3]])-56.2</f>
        <v>88.399999999999991</v>
      </c>
      <c r="V138" s="12">
        <f>paper3[[#This Row],[height]]-paper3[[#This Row],[sittingheight]]</f>
        <v>84.7</v>
      </c>
      <c r="W138" s="73">
        <v>61.6</v>
      </c>
      <c r="X138" s="43" cm="1">
        <f t="array" ref="X138">INDEX([1]!phvny[yphv], MATCH(1, (paper3[[#This Row],[id]]=[1]!phvny[id])*(paper3[[#This Row],[time]]=[1]!phvny[time]), 0))</f>
        <v>2.0661116336680148</v>
      </c>
      <c r="Y138" s="3">
        <v>2.04</v>
      </c>
      <c r="Z138" s="3">
        <v>3.5</v>
      </c>
      <c r="AA138" s="3">
        <v>4.91</v>
      </c>
      <c r="AB138" s="3">
        <v>2.04</v>
      </c>
      <c r="AC138" s="3">
        <v>3.5</v>
      </c>
      <c r="AD138" s="3">
        <v>4.9000000000000004</v>
      </c>
      <c r="AE138" s="3">
        <v>2.1</v>
      </c>
      <c r="AF138" s="3">
        <v>3.58</v>
      </c>
      <c r="AG138" s="3">
        <v>5.01</v>
      </c>
      <c r="AH138" s="44">
        <v>2.04</v>
      </c>
      <c r="AI138" s="44">
        <v>3.5</v>
      </c>
      <c r="AJ138" s="44">
        <v>4.9000000000000004</v>
      </c>
      <c r="AK138" s="45">
        <v>7.1428571428571415</v>
      </c>
      <c r="AL138" s="3">
        <v>11.06</v>
      </c>
      <c r="AM138" s="3">
        <v>10.95</v>
      </c>
      <c r="AN138" s="3">
        <v>11.01</v>
      </c>
      <c r="AO138" s="3">
        <v>11.05</v>
      </c>
      <c r="AP138" s="3">
        <v>10.95</v>
      </c>
      <c r="AQ138" s="47">
        <v>10.95</v>
      </c>
      <c r="AR138" s="47">
        <v>11.01</v>
      </c>
      <c r="AS138" s="3">
        <v>28.31</v>
      </c>
      <c r="AT138" s="3"/>
      <c r="AU138" s="3"/>
      <c r="AV138" s="3"/>
      <c r="AW138" s="3"/>
      <c r="AX138" s="48">
        <v>28.31</v>
      </c>
      <c r="AY138" s="3"/>
      <c r="AZ138" s="3">
        <v>9</v>
      </c>
      <c r="BA138" s="3">
        <v>240</v>
      </c>
      <c r="BB138" s="3">
        <v>11</v>
      </c>
      <c r="BC138" s="3">
        <v>260</v>
      </c>
      <c r="BD138" s="40">
        <v>1202.6606145878343</v>
      </c>
      <c r="BE138" s="40">
        <v>1168.2937960848451</v>
      </c>
      <c r="BF138" s="40"/>
      <c r="BG138" s="40">
        <v>459.42121871540218</v>
      </c>
      <c r="BH138" s="40">
        <v>462.71427082266769</v>
      </c>
      <c r="BI138" s="49">
        <v>2370.9544106726794</v>
      </c>
      <c r="BJ138" s="49">
        <v>922.13548953806981</v>
      </c>
      <c r="BK138" s="66">
        <v>2.9416246682262948E-2</v>
      </c>
      <c r="BL138" s="66">
        <v>-7.1168155272383071E-3</v>
      </c>
      <c r="BM138" s="51">
        <v>38.489519653777265</v>
      </c>
      <c r="BN138" s="51">
        <v>14.969731973020613</v>
      </c>
      <c r="BO138" s="52">
        <v>180</v>
      </c>
      <c r="BP138" s="40">
        <v>127</v>
      </c>
      <c r="BQ138" s="40">
        <v>180</v>
      </c>
      <c r="BR138" s="67">
        <v>-0.2944444444444444</v>
      </c>
      <c r="BS138" s="54">
        <v>2.491883116883117</v>
      </c>
      <c r="BT138" s="3">
        <v>134</v>
      </c>
      <c r="BU138" s="40">
        <v>107</v>
      </c>
      <c r="BV138" s="3">
        <v>104</v>
      </c>
      <c r="BW138" s="3">
        <v>110</v>
      </c>
      <c r="BX138" s="70">
        <v>0.25233644859813076</v>
      </c>
      <c r="BY138" s="70">
        <v>-5.4545454545454564E-2</v>
      </c>
      <c r="BZ138" s="59">
        <v>0.97272727272727277</v>
      </c>
      <c r="CA138" s="59">
        <v>1.2884615384615385</v>
      </c>
      <c r="CB138" s="59">
        <v>1.6568749999999999</v>
      </c>
      <c r="CC138" s="59">
        <v>1.4712499999999997</v>
      </c>
      <c r="CD138" s="60">
        <v>83</v>
      </c>
      <c r="CE138" s="60">
        <v>90</v>
      </c>
      <c r="CF138" s="61">
        <v>1.3474025974025974</v>
      </c>
      <c r="CG138" s="61">
        <v>1.4610389610389609</v>
      </c>
      <c r="CH138" s="61">
        <v>1.0843373493975903</v>
      </c>
      <c r="CI138" s="41">
        <v>16.100000000000001</v>
      </c>
      <c r="CJ138" s="40">
        <f>VLOOKUP(paper3[[#This Row],[YYIR nivå]],$DB:$DC,2)</f>
        <v>1120</v>
      </c>
      <c r="CK138" s="3" t="s">
        <v>112</v>
      </c>
      <c r="CL138" s="62">
        <v>44508</v>
      </c>
      <c r="CM138" s="63">
        <v>44.508000000000003</v>
      </c>
      <c r="CN138" s="3">
        <v>134</v>
      </c>
      <c r="CO138" s="3">
        <v>110</v>
      </c>
      <c r="CP138" s="41">
        <v>13.536111111111111</v>
      </c>
      <c r="CQ138" s="3" t="s">
        <v>183</v>
      </c>
      <c r="CR138" s="40">
        <v>120.5</v>
      </c>
      <c r="CS138" s="40">
        <v>107</v>
      </c>
      <c r="CT138" s="40">
        <v>153.5</v>
      </c>
      <c r="CU138" s="40"/>
      <c r="CV138" s="40"/>
      <c r="CW138" s="40"/>
      <c r="CX138" s="40"/>
      <c r="CY138" s="40">
        <v>0</v>
      </c>
      <c r="CZ138" s="40"/>
      <c r="DA138" s="40"/>
    </row>
    <row r="139" spans="1:105" ht="15.95" customHeight="1">
      <c r="A139" s="3">
        <v>295</v>
      </c>
      <c r="B139" s="38" t="s">
        <v>103</v>
      </c>
      <c r="C139" s="3">
        <v>0</v>
      </c>
      <c r="D139" s="3" t="s">
        <v>105</v>
      </c>
      <c r="E139" s="86">
        <v>44524</v>
      </c>
      <c r="F139" s="3" t="s">
        <v>106</v>
      </c>
      <c r="G139" s="3" t="s">
        <v>107</v>
      </c>
      <c r="H139" s="40">
        <v>2008</v>
      </c>
      <c r="I139" s="40" t="s">
        <v>108</v>
      </c>
      <c r="J139" s="40" t="s">
        <v>109</v>
      </c>
      <c r="K139" s="3">
        <v>162.5</v>
      </c>
      <c r="L139" s="3">
        <v>162.4</v>
      </c>
      <c r="M139" s="3"/>
      <c r="N139" s="3">
        <v>140.9</v>
      </c>
      <c r="O139" s="3">
        <v>140.80000000000001</v>
      </c>
      <c r="P139" s="3"/>
      <c r="Q139" s="3">
        <v>48.8</v>
      </c>
      <c r="R139" s="3">
        <v>48.8</v>
      </c>
      <c r="S139" s="3"/>
      <c r="T139" s="42">
        <v>162.44999999999999</v>
      </c>
      <c r="U139" s="42">
        <f>AVERAGE(paper3[[#This Row],[Sittende høyde 1]:[Sittende høyde 3]])-56.2</f>
        <v>84.65000000000002</v>
      </c>
      <c r="V139" s="12">
        <f>paper3[[#This Row],[height]]-paper3[[#This Row],[sittingheight]]</f>
        <v>77.799999999999969</v>
      </c>
      <c r="W139" s="73">
        <v>48.8</v>
      </c>
      <c r="X139" s="43" cm="1">
        <f t="array" ref="X139">INDEX([1]!phvny[yphv], MATCH(1, (paper3[[#This Row],[id]]=[1]!phvny[id])*(paper3[[#This Row],[time]]=[1]!phvny[time]), 0))</f>
        <v>1.1290846388999707</v>
      </c>
      <c r="Y139" s="3">
        <v>2.31</v>
      </c>
      <c r="Z139" s="3">
        <v>3.94</v>
      </c>
      <c r="AA139" s="3">
        <v>5.55</v>
      </c>
      <c r="AB139" s="3">
        <v>2.3199999999999998</v>
      </c>
      <c r="AC139" s="3">
        <v>3.91</v>
      </c>
      <c r="AD139" s="3">
        <v>5.51</v>
      </c>
      <c r="AE139" s="3">
        <v>2.41</v>
      </c>
      <c r="AF139" s="3">
        <v>4.03</v>
      </c>
      <c r="AG139" s="3">
        <v>5.66</v>
      </c>
      <c r="AH139" s="44">
        <v>2.31</v>
      </c>
      <c r="AI139" s="44">
        <v>3.91</v>
      </c>
      <c r="AJ139" s="44">
        <v>5.51</v>
      </c>
      <c r="AK139" s="45">
        <v>6.2500000000000018</v>
      </c>
      <c r="AL139" s="3"/>
      <c r="AM139" s="3">
        <v>11.9</v>
      </c>
      <c r="AN139" s="3">
        <v>13.41</v>
      </c>
      <c r="AO139" s="3">
        <v>11.86</v>
      </c>
      <c r="AP139" s="3">
        <v>11.86</v>
      </c>
      <c r="AQ139" s="47">
        <v>11.9</v>
      </c>
      <c r="AR139" s="47">
        <v>11.9</v>
      </c>
      <c r="AS139" s="3">
        <v>23.82</v>
      </c>
      <c r="AT139" s="3"/>
      <c r="AU139" s="3"/>
      <c r="AV139" s="3"/>
      <c r="AW139" s="3"/>
      <c r="AX139" s="48">
        <v>23.82</v>
      </c>
      <c r="AY139" s="3"/>
      <c r="AZ139" s="3">
        <v>7</v>
      </c>
      <c r="BA139" s="3">
        <v>180</v>
      </c>
      <c r="BB139" s="3">
        <v>9</v>
      </c>
      <c r="BC139" s="3">
        <v>179</v>
      </c>
      <c r="BD139" s="40">
        <v>817.43606344115187</v>
      </c>
      <c r="BE139" s="40">
        <v>785.40248861636383</v>
      </c>
      <c r="BF139" s="40"/>
      <c r="BG139" s="40">
        <v>285.39608876836945</v>
      </c>
      <c r="BH139" s="40">
        <v>272.46605861593224</v>
      </c>
      <c r="BI139" s="49">
        <v>1602.8385520575157</v>
      </c>
      <c r="BJ139" s="49">
        <v>557.86214738430169</v>
      </c>
      <c r="BK139" s="66">
        <v>4.0786189614984814E-2</v>
      </c>
      <c r="BL139" s="66">
        <v>4.7455562788697225E-2</v>
      </c>
      <c r="BM139" s="51">
        <v>32.845052296260569</v>
      </c>
      <c r="BN139" s="51">
        <v>11.431601380825855</v>
      </c>
      <c r="BO139" s="52"/>
      <c r="BP139" s="40" t="s">
        <v>184</v>
      </c>
      <c r="BQ139" s="40"/>
      <c r="BR139" s="67"/>
      <c r="BS139" s="54" t="s">
        <v>110</v>
      </c>
      <c r="BT139" s="3">
        <v>108</v>
      </c>
      <c r="BU139" s="40">
        <v>106</v>
      </c>
      <c r="BV139" s="3">
        <v>92</v>
      </c>
      <c r="BW139" s="3">
        <v>97</v>
      </c>
      <c r="BX139" s="70">
        <v>1.8867924528301883E-2</v>
      </c>
      <c r="BY139" s="70">
        <v>-5.1546391752577359E-2</v>
      </c>
      <c r="BZ139" s="59">
        <v>1.0927835051546391</v>
      </c>
      <c r="CA139" s="59">
        <v>1.173913043478261</v>
      </c>
      <c r="CB139" s="59">
        <v>1.7058606557377043</v>
      </c>
      <c r="CC139" s="59">
        <v>1.5065778688524585</v>
      </c>
      <c r="CD139" s="60">
        <v>87</v>
      </c>
      <c r="CE139" s="60">
        <v>70</v>
      </c>
      <c r="CF139" s="61">
        <v>1.7827868852459017</v>
      </c>
      <c r="CG139" s="61">
        <v>1.4344262295081969</v>
      </c>
      <c r="CH139" s="61">
        <v>0.8045977011494253</v>
      </c>
      <c r="CI139" s="41"/>
      <c r="CJ139" s="40"/>
      <c r="CK139" s="3"/>
      <c r="CL139" s="62">
        <v>34409</v>
      </c>
      <c r="CM139" s="63">
        <v>34.408999999999999</v>
      </c>
      <c r="CN139" s="3">
        <v>108</v>
      </c>
      <c r="CO139" s="3">
        <v>97</v>
      </c>
      <c r="CP139" s="41">
        <v>12.977777777777778</v>
      </c>
      <c r="CQ139" s="3" t="s">
        <v>185</v>
      </c>
      <c r="CR139" s="40">
        <v>107</v>
      </c>
      <c r="CS139" s="40">
        <v>94.5</v>
      </c>
      <c r="CT139" s="40" t="s">
        <v>110</v>
      </c>
      <c r="CU139" s="40"/>
      <c r="CV139" s="40"/>
      <c r="CW139" s="40"/>
      <c r="CX139" s="40"/>
      <c r="CY139" s="40">
        <v>0</v>
      </c>
      <c r="CZ139" s="40"/>
      <c r="DA139" s="40"/>
    </row>
    <row r="140" spans="1:105" ht="15.75" customHeight="1">
      <c r="A140" s="46">
        <v>296</v>
      </c>
      <c r="B140" s="98" t="s">
        <v>103</v>
      </c>
      <c r="C140" s="46"/>
      <c r="D140" s="46" t="s">
        <v>105</v>
      </c>
      <c r="E140" s="86">
        <v>44511</v>
      </c>
      <c r="F140" s="46" t="s">
        <v>106</v>
      </c>
      <c r="G140" s="46" t="s">
        <v>107</v>
      </c>
      <c r="H140" s="46">
        <v>2006</v>
      </c>
      <c r="I140" s="84"/>
      <c r="J140" s="84" t="s">
        <v>117</v>
      </c>
      <c r="K140" s="46"/>
      <c r="L140" s="46"/>
      <c r="M140" s="46"/>
      <c r="N140" s="46"/>
      <c r="O140" s="46"/>
      <c r="P140" s="46"/>
      <c r="Q140" s="46"/>
      <c r="R140" s="46"/>
      <c r="S140" s="46"/>
      <c r="T140" s="99"/>
      <c r="U140" s="99"/>
      <c r="V140" s="12"/>
      <c r="W140" s="97"/>
      <c r="X140" s="100"/>
      <c r="Y140" s="46"/>
      <c r="Z140" s="3"/>
      <c r="AA140" s="46"/>
      <c r="AB140" s="46"/>
      <c r="AC140" s="46"/>
      <c r="AD140" s="46"/>
      <c r="AE140" s="46"/>
      <c r="AF140" s="46"/>
      <c r="AG140" s="46"/>
      <c r="AH140" s="101"/>
      <c r="AI140" s="101"/>
      <c r="AJ140" s="101"/>
      <c r="AK140" s="102"/>
      <c r="AL140" s="46"/>
      <c r="AM140" s="46"/>
      <c r="AN140" s="46"/>
      <c r="AO140" s="46"/>
      <c r="AP140" s="46"/>
      <c r="AQ140" s="103"/>
      <c r="AR140" s="103"/>
      <c r="AS140" s="46"/>
      <c r="AT140" s="46"/>
      <c r="AU140" s="46"/>
      <c r="AV140" s="46"/>
      <c r="AW140" s="46"/>
      <c r="AX140" s="104"/>
      <c r="AY140" s="46"/>
      <c r="AZ140" s="46"/>
      <c r="BA140" s="46"/>
      <c r="BB140" s="46"/>
      <c r="BC140" s="46"/>
      <c r="BD140" s="84"/>
      <c r="BE140" s="84"/>
      <c r="BF140" s="84"/>
      <c r="BG140" s="84"/>
      <c r="BH140" s="84"/>
      <c r="BI140" s="105"/>
      <c r="BJ140" s="105"/>
      <c r="BK140" s="106"/>
      <c r="BL140" s="106"/>
      <c r="BM140" s="107"/>
      <c r="BN140" s="107"/>
      <c r="BO140" s="108"/>
      <c r="BP140" s="84"/>
      <c r="BQ140" s="84"/>
      <c r="BR140" s="109"/>
      <c r="BS140" s="110" t="s">
        <v>110</v>
      </c>
      <c r="BT140" s="46"/>
      <c r="BU140" s="84"/>
      <c r="BV140" s="46"/>
      <c r="BW140" s="46"/>
      <c r="BX140" s="111"/>
      <c r="BY140" s="111"/>
      <c r="BZ140" s="112"/>
      <c r="CA140" s="112"/>
      <c r="CB140" s="112" t="s">
        <v>110</v>
      </c>
      <c r="CC140" s="112" t="s">
        <v>110</v>
      </c>
      <c r="CD140" s="72"/>
      <c r="CE140" s="72"/>
      <c r="CF140" s="113"/>
      <c r="CG140" s="113"/>
      <c r="CH140" s="113"/>
      <c r="CI140" s="74">
        <v>13.4</v>
      </c>
      <c r="CJ140" s="40">
        <f>VLOOKUP(paper3[[#This Row],[YYIR nivå]],$DB:$DC,2)</f>
        <v>440</v>
      </c>
      <c r="CK140" s="46" t="s">
        <v>112</v>
      </c>
      <c r="CL140" s="114"/>
      <c r="CM140" s="115" t="s">
        <v>110</v>
      </c>
      <c r="CN140" s="46"/>
      <c r="CO140" s="46"/>
      <c r="CP140" s="41">
        <f>_xlfn.MAXIFS([1]!phvny[age],[1]!phvny[id],paper3[[#This Row],[id]],[1]!phvny[time],paper3[[#This Row],[time]])</f>
        <v>15.313888888888888</v>
      </c>
      <c r="CQ140" s="46" t="s">
        <v>110</v>
      </c>
      <c r="CR140" s="84" t="s">
        <v>110</v>
      </c>
      <c r="CS140" s="84" t="s">
        <v>110</v>
      </c>
      <c r="CT140" s="84" t="s">
        <v>110</v>
      </c>
      <c r="CU140" s="84"/>
      <c r="CV140" s="84"/>
      <c r="CW140" s="84"/>
      <c r="CX140" s="84"/>
      <c r="CY140" s="84">
        <v>0</v>
      </c>
      <c r="CZ140" s="84"/>
      <c r="DA140" s="40"/>
    </row>
    <row r="141" spans="1:105" ht="15.95" customHeight="1">
      <c r="A141" s="3">
        <v>297</v>
      </c>
      <c r="B141" s="38" t="s">
        <v>103</v>
      </c>
      <c r="C141" s="3"/>
      <c r="D141" s="3" t="s">
        <v>105</v>
      </c>
      <c r="E141" s="86"/>
      <c r="F141" s="3" t="s">
        <v>106</v>
      </c>
      <c r="G141" s="3" t="s">
        <v>107</v>
      </c>
      <c r="H141" s="3">
        <v>2005</v>
      </c>
      <c r="I141" s="40"/>
      <c r="J141" s="40" t="s">
        <v>120</v>
      </c>
      <c r="K141" s="3"/>
      <c r="L141" s="3"/>
      <c r="M141" s="3"/>
      <c r="N141" s="3"/>
      <c r="O141" s="3"/>
      <c r="P141" s="3"/>
      <c r="Q141" s="3"/>
      <c r="R141" s="3"/>
      <c r="S141" s="3"/>
      <c r="T141" s="42"/>
      <c r="U141" s="42"/>
      <c r="V141" s="12"/>
      <c r="W141" s="73"/>
      <c r="X141" s="43"/>
      <c r="Y141" s="3"/>
      <c r="Z141" s="3"/>
      <c r="AA141" s="3"/>
      <c r="AB141" s="3"/>
      <c r="AC141" s="3"/>
      <c r="AD141" s="3"/>
      <c r="AE141" s="3"/>
      <c r="AF141" s="3"/>
      <c r="AG141" s="3"/>
      <c r="AH141" s="44"/>
      <c r="AI141" s="44"/>
      <c r="AJ141" s="44"/>
      <c r="AK141" s="45"/>
      <c r="AL141" s="3"/>
      <c r="AM141" s="3"/>
      <c r="AN141" s="3"/>
      <c r="AO141" s="3"/>
      <c r="AP141" s="3"/>
      <c r="AQ141" s="47"/>
      <c r="AR141" s="47"/>
      <c r="AS141" s="3"/>
      <c r="AT141" s="3"/>
      <c r="AU141" s="3"/>
      <c r="AV141" s="3"/>
      <c r="AW141" s="3"/>
      <c r="AX141" s="48"/>
      <c r="AY141" s="3"/>
      <c r="AZ141" s="3"/>
      <c r="BA141" s="3"/>
      <c r="BB141" s="3"/>
      <c r="BC141" s="3"/>
      <c r="BD141" s="40"/>
      <c r="BE141" s="40"/>
      <c r="BF141" s="40"/>
      <c r="BG141" s="40"/>
      <c r="BH141" s="40"/>
      <c r="BI141" s="49"/>
      <c r="BJ141" s="49"/>
      <c r="BK141" s="66"/>
      <c r="BL141" s="66"/>
      <c r="BM141" s="51"/>
      <c r="BN141" s="51"/>
      <c r="BO141" s="52"/>
      <c r="BP141" s="40"/>
      <c r="BQ141" s="40"/>
      <c r="BR141" s="67"/>
      <c r="BS141" s="54" t="s">
        <v>110</v>
      </c>
      <c r="BT141" s="3"/>
      <c r="BU141" s="40"/>
      <c r="BV141" s="3"/>
      <c r="BW141" s="3"/>
      <c r="BX141" s="70"/>
      <c r="BY141" s="70"/>
      <c r="BZ141" s="59"/>
      <c r="CA141" s="59"/>
      <c r="CB141" s="59" t="s">
        <v>110</v>
      </c>
      <c r="CC141" s="59" t="s">
        <v>110</v>
      </c>
      <c r="CD141" s="60"/>
      <c r="CE141" s="60"/>
      <c r="CF141" s="61"/>
      <c r="CG141" s="61"/>
      <c r="CH141" s="61"/>
      <c r="CI141" s="41">
        <v>14.5</v>
      </c>
      <c r="CJ141" s="40">
        <f>VLOOKUP(paper3[[#This Row],[YYIR nivå]],$DB:$DC,2)</f>
        <v>640</v>
      </c>
      <c r="CK141" s="3" t="s">
        <v>112</v>
      </c>
      <c r="CL141" s="62"/>
      <c r="CM141" s="63" t="s">
        <v>110</v>
      </c>
      <c r="CN141" s="3"/>
      <c r="CO141" s="3"/>
      <c r="CP141" s="41"/>
      <c r="CQ141" s="3" t="s">
        <v>110</v>
      </c>
      <c r="CR141" s="40" t="s">
        <v>110</v>
      </c>
      <c r="CS141" s="40" t="s">
        <v>110</v>
      </c>
      <c r="CT141" s="40" t="s">
        <v>110</v>
      </c>
      <c r="CU141" s="40"/>
      <c r="CV141" s="40"/>
      <c r="CW141" s="40"/>
      <c r="CX141" s="40"/>
      <c r="CY141" s="40">
        <v>0</v>
      </c>
      <c r="CZ141" s="40"/>
      <c r="DA141" s="40"/>
    </row>
    <row r="142" spans="1:105" ht="15.95" customHeight="1">
      <c r="A142" s="46">
        <v>299</v>
      </c>
      <c r="B142" s="38" t="s">
        <v>103</v>
      </c>
      <c r="C142" s="46"/>
      <c r="D142" s="46" t="s">
        <v>105</v>
      </c>
      <c r="E142" s="86">
        <v>44592</v>
      </c>
      <c r="F142" s="46" t="s">
        <v>106</v>
      </c>
      <c r="G142" s="46" t="s">
        <v>122</v>
      </c>
      <c r="H142" s="84">
        <v>2004</v>
      </c>
      <c r="I142" s="84" t="s">
        <v>121</v>
      </c>
      <c r="J142" s="40" t="s">
        <v>160</v>
      </c>
      <c r="K142" s="3"/>
      <c r="L142" s="3"/>
      <c r="M142" s="3"/>
      <c r="N142" s="3"/>
      <c r="O142" s="3"/>
      <c r="P142" s="3"/>
      <c r="Q142" s="3"/>
      <c r="R142" s="3"/>
      <c r="S142" s="3"/>
      <c r="T142" s="100"/>
      <c r="U142" s="42"/>
      <c r="V142" s="12"/>
      <c r="W142" s="73"/>
      <c r="X142" s="43"/>
      <c r="Y142" s="3"/>
      <c r="Z142" s="3"/>
      <c r="AA142" s="3"/>
      <c r="AB142" s="3"/>
      <c r="AC142" s="3"/>
      <c r="AD142" s="3"/>
      <c r="AE142" s="3"/>
      <c r="AF142" s="3"/>
      <c r="AG142" s="3"/>
      <c r="AH142" s="44"/>
      <c r="AI142" s="44"/>
      <c r="AJ142" s="45"/>
      <c r="AK142" s="45"/>
      <c r="AL142" s="3">
        <v>9.66</v>
      </c>
      <c r="AM142" s="3">
        <v>9.66</v>
      </c>
      <c r="AN142" s="3">
        <v>9.84</v>
      </c>
      <c r="AO142" s="3">
        <v>9.6300000000000008</v>
      </c>
      <c r="AP142" s="3">
        <v>9.6300000000000008</v>
      </c>
      <c r="AQ142" s="47">
        <v>9.66</v>
      </c>
      <c r="AR142" s="47">
        <v>9.6300000000000008</v>
      </c>
      <c r="AS142" s="3"/>
      <c r="AT142" s="3"/>
      <c r="AU142" s="3"/>
      <c r="AV142" s="3"/>
      <c r="AW142" s="3"/>
      <c r="AX142" s="48"/>
      <c r="AY142" s="3"/>
      <c r="AZ142" s="3">
        <v>9</v>
      </c>
      <c r="BA142" s="3">
        <v>350</v>
      </c>
      <c r="BB142" s="3">
        <v>8</v>
      </c>
      <c r="BC142" s="3">
        <v>316</v>
      </c>
      <c r="BD142" s="40">
        <v>1447.4893081641537</v>
      </c>
      <c r="BE142" s="40">
        <v>1445.8423324942594</v>
      </c>
      <c r="BF142" s="40"/>
      <c r="BG142" s="40">
        <v>804.25125748277424</v>
      </c>
      <c r="BH142" s="40">
        <v>816.34591851750577</v>
      </c>
      <c r="BI142" s="49">
        <v>2893.3316406584131</v>
      </c>
      <c r="BJ142" s="49">
        <v>1620.5971760002799</v>
      </c>
      <c r="BK142" s="66">
        <v>1.1391115288850173E-3</v>
      </c>
      <c r="BL142" s="66">
        <v>-1.4815607894133387E-2</v>
      </c>
      <c r="BM142" s="51"/>
      <c r="BN142" s="51"/>
      <c r="BO142" s="52">
        <v>352</v>
      </c>
      <c r="BP142" s="40">
        <v>352</v>
      </c>
      <c r="BQ142" s="40">
        <v>302</v>
      </c>
      <c r="BR142" s="67">
        <v>0.16556291390728473</v>
      </c>
      <c r="BS142" s="54" t="s">
        <v>110</v>
      </c>
      <c r="BT142" s="3">
        <v>202</v>
      </c>
      <c r="BU142" s="40">
        <v>211</v>
      </c>
      <c r="BV142" s="3">
        <v>193</v>
      </c>
      <c r="BW142" s="3">
        <v>198</v>
      </c>
      <c r="BX142" s="70">
        <v>-4.2654028436018954E-2</v>
      </c>
      <c r="BY142" s="70">
        <v>-2.5252525252525304E-2</v>
      </c>
      <c r="BZ142" s="59">
        <v>1.0656565656565657</v>
      </c>
      <c r="CA142" s="59">
        <v>1.0466321243523315</v>
      </c>
      <c r="CB142" s="59" t="s">
        <v>110</v>
      </c>
      <c r="CC142" s="59" t="s">
        <v>110</v>
      </c>
      <c r="CD142" s="60"/>
      <c r="CE142" s="60"/>
      <c r="CF142" s="61"/>
      <c r="CG142" s="61"/>
      <c r="CH142" s="61"/>
      <c r="CI142" s="41"/>
      <c r="CJ142" s="40"/>
      <c r="CK142" s="3"/>
      <c r="CL142" s="62"/>
      <c r="CM142" s="63" t="s">
        <v>110</v>
      </c>
      <c r="CN142" s="3">
        <v>211</v>
      </c>
      <c r="CO142" s="3">
        <v>198</v>
      </c>
      <c r="CP142" s="41">
        <v>17.39</v>
      </c>
      <c r="CQ142" s="3" t="s">
        <v>110</v>
      </c>
      <c r="CR142" s="40">
        <v>206.5</v>
      </c>
      <c r="CS142" s="40">
        <v>195.5</v>
      </c>
      <c r="CT142" s="40">
        <v>327</v>
      </c>
      <c r="CU142" s="40"/>
      <c r="CV142" s="40"/>
      <c r="CW142" s="40"/>
      <c r="CX142" s="40"/>
      <c r="CY142" s="40">
        <v>0</v>
      </c>
      <c r="CZ142" s="40"/>
      <c r="DA142" s="40"/>
    </row>
    <row r="143" spans="1:105" ht="15.95" customHeight="1">
      <c r="A143" s="46">
        <v>300</v>
      </c>
      <c r="B143" s="38" t="s">
        <v>103</v>
      </c>
      <c r="C143" s="46"/>
      <c r="D143" s="46" t="s">
        <v>105</v>
      </c>
      <c r="E143" s="86">
        <v>44592</v>
      </c>
      <c r="F143" s="46" t="s">
        <v>106</v>
      </c>
      <c r="G143" s="46" t="s">
        <v>122</v>
      </c>
      <c r="H143" s="84">
        <v>2004</v>
      </c>
      <c r="I143" s="84" t="s">
        <v>121</v>
      </c>
      <c r="J143" s="40" t="s">
        <v>160</v>
      </c>
      <c r="K143" s="3"/>
      <c r="L143" s="3"/>
      <c r="M143" s="3"/>
      <c r="N143" s="3"/>
      <c r="O143" s="3"/>
      <c r="P143" s="3"/>
      <c r="Q143" s="3"/>
      <c r="R143" s="3"/>
      <c r="S143" s="3"/>
      <c r="T143" s="100"/>
      <c r="U143" s="42"/>
      <c r="V143" s="12"/>
      <c r="W143" s="73"/>
      <c r="X143" s="43"/>
      <c r="Y143" s="3"/>
      <c r="Z143" s="3"/>
      <c r="AA143" s="3"/>
      <c r="AB143" s="3"/>
      <c r="AC143" s="3"/>
      <c r="AD143" s="3"/>
      <c r="AE143" s="3"/>
      <c r="AF143" s="3"/>
      <c r="AG143" s="3"/>
      <c r="AH143" s="44"/>
      <c r="AI143" s="44"/>
      <c r="AJ143" s="45"/>
      <c r="AK143" s="45"/>
      <c r="AL143" s="3">
        <v>9.6999999999999993</v>
      </c>
      <c r="AM143" s="3">
        <v>9.68</v>
      </c>
      <c r="AN143" s="3"/>
      <c r="AO143" s="3">
        <v>9.8000000000000007</v>
      </c>
      <c r="AP143" s="3">
        <v>9.68</v>
      </c>
      <c r="AQ143" s="47">
        <v>9.68</v>
      </c>
      <c r="AR143" s="47">
        <v>9.8000000000000007</v>
      </c>
      <c r="AS143" s="3"/>
      <c r="AT143" s="3"/>
      <c r="AU143" s="3"/>
      <c r="AV143" s="3"/>
      <c r="AW143" s="3"/>
      <c r="AX143" s="48"/>
      <c r="AY143" s="3"/>
      <c r="AZ143" s="3"/>
      <c r="BA143" s="3"/>
      <c r="BB143" s="3">
        <v>7</v>
      </c>
      <c r="BC143" s="3">
        <v>283</v>
      </c>
      <c r="BD143" s="40">
        <v>1213.9217842963553</v>
      </c>
      <c r="BE143" s="40">
        <v>1210.2173633549896</v>
      </c>
      <c r="BF143" s="40"/>
      <c r="BG143" s="40">
        <v>427.23896205066234</v>
      </c>
      <c r="BH143" s="40">
        <v>409.85703975190694</v>
      </c>
      <c r="BI143" s="49">
        <v>2424.139147651345</v>
      </c>
      <c r="BJ143" s="49">
        <v>837.09600180256928</v>
      </c>
      <c r="BK143" s="66">
        <v>3.0609550428992716E-3</v>
      </c>
      <c r="BL143" s="66">
        <v>4.2409720006949092E-2</v>
      </c>
      <c r="BM143" s="51"/>
      <c r="BN143" s="51"/>
      <c r="BO143" s="52">
        <v>377</v>
      </c>
      <c r="BP143" s="40">
        <v>345</v>
      </c>
      <c r="BQ143" s="40">
        <v>377</v>
      </c>
      <c r="BR143" s="67">
        <v>-8.4880636604774518E-2</v>
      </c>
      <c r="BS143" s="54" t="s">
        <v>110</v>
      </c>
      <c r="BT143" s="3">
        <v>196</v>
      </c>
      <c r="BU143" s="40">
        <v>211</v>
      </c>
      <c r="BV143" s="3">
        <v>136</v>
      </c>
      <c r="BW143" s="3">
        <v>129</v>
      </c>
      <c r="BX143" s="70">
        <v>-7.1090047393364886E-2</v>
      </c>
      <c r="BY143" s="70">
        <v>5.4263565891472965E-2</v>
      </c>
      <c r="BZ143" s="59">
        <v>1.6356589147286822</v>
      </c>
      <c r="CA143" s="59">
        <v>1.4411764705882353</v>
      </c>
      <c r="CB143" s="59" t="s">
        <v>110</v>
      </c>
      <c r="CC143" s="59" t="s">
        <v>110</v>
      </c>
      <c r="CD143" s="60"/>
      <c r="CE143" s="60"/>
      <c r="CF143" s="61"/>
      <c r="CG143" s="61"/>
      <c r="CH143" s="61"/>
      <c r="CI143" s="41"/>
      <c r="CJ143" s="40"/>
      <c r="CK143" s="3"/>
      <c r="CL143" s="62"/>
      <c r="CM143" s="63"/>
      <c r="CN143" s="3">
        <v>211</v>
      </c>
      <c r="CO143" s="3">
        <v>136</v>
      </c>
      <c r="CP143" s="41"/>
      <c r="CQ143" s="3" t="s">
        <v>110</v>
      </c>
      <c r="CR143" s="40">
        <v>203.5</v>
      </c>
      <c r="CS143" s="40">
        <v>132.5</v>
      </c>
      <c r="CT143" s="40">
        <v>361</v>
      </c>
      <c r="CU143" s="40"/>
      <c r="CV143" s="40"/>
      <c r="CW143" s="40"/>
      <c r="CX143" s="40"/>
      <c r="CY143" s="40">
        <v>0</v>
      </c>
      <c r="CZ143" s="40"/>
      <c r="DA143" s="40"/>
    </row>
    <row r="144" spans="1:105" ht="15.95" customHeight="1">
      <c r="A144" s="46">
        <v>304</v>
      </c>
      <c r="B144" s="38" t="s">
        <v>103</v>
      </c>
      <c r="C144" s="46"/>
      <c r="D144" s="46" t="s">
        <v>105</v>
      </c>
      <c r="E144" s="86">
        <v>44592</v>
      </c>
      <c r="F144" s="46" t="s">
        <v>106</v>
      </c>
      <c r="G144" s="46" t="s">
        <v>122</v>
      </c>
      <c r="H144" s="84">
        <v>2004</v>
      </c>
      <c r="I144" s="84" t="s">
        <v>121</v>
      </c>
      <c r="J144" s="40" t="s">
        <v>160</v>
      </c>
      <c r="K144" s="3"/>
      <c r="L144" s="3"/>
      <c r="M144" s="3"/>
      <c r="N144" s="3"/>
      <c r="O144" s="3"/>
      <c r="P144" s="3"/>
      <c r="Q144" s="3"/>
      <c r="R144" s="3"/>
      <c r="S144" s="3"/>
      <c r="T144" s="42"/>
      <c r="U144" s="42"/>
      <c r="V144" s="12"/>
      <c r="W144" s="73"/>
      <c r="X144" s="43"/>
      <c r="Y144" s="3"/>
      <c r="Z144" s="3"/>
      <c r="AA144" s="3"/>
      <c r="AB144" s="3"/>
      <c r="AC144" s="3"/>
      <c r="AD144" s="3"/>
      <c r="AE144" s="3"/>
      <c r="AF144" s="3"/>
      <c r="AG144" s="3"/>
      <c r="AH144" s="44"/>
      <c r="AI144" s="44"/>
      <c r="AJ144" s="45"/>
      <c r="AK144" s="45"/>
      <c r="AL144" s="3">
        <v>10.11</v>
      </c>
      <c r="AM144" s="3">
        <v>9.76</v>
      </c>
      <c r="AN144" s="3">
        <v>9.6999999999999993</v>
      </c>
      <c r="AO144" s="3">
        <v>9.61</v>
      </c>
      <c r="AP144" s="3">
        <v>9.61</v>
      </c>
      <c r="AQ144" s="47">
        <v>9.76</v>
      </c>
      <c r="AR144" s="47">
        <v>9.61</v>
      </c>
      <c r="AS144" s="3"/>
      <c r="AT144" s="3"/>
      <c r="AU144" s="3"/>
      <c r="AV144" s="3"/>
      <c r="AW144" s="3"/>
      <c r="AX144" s="48"/>
      <c r="AY144" s="3"/>
      <c r="AZ144" s="3"/>
      <c r="BA144" s="3"/>
      <c r="BB144" s="3"/>
      <c r="BC144" s="3"/>
      <c r="BD144" s="40"/>
      <c r="BE144" s="40"/>
      <c r="BF144" s="40"/>
      <c r="BG144" s="40"/>
      <c r="BH144" s="40"/>
      <c r="BI144" s="49"/>
      <c r="BJ144" s="49"/>
      <c r="BK144" s="66"/>
      <c r="BL144" s="66"/>
      <c r="BM144" s="51"/>
      <c r="BN144" s="51"/>
      <c r="BO144" s="52"/>
      <c r="BP144" s="40"/>
      <c r="BQ144" s="40"/>
      <c r="BR144" s="67"/>
      <c r="BS144" s="54" t="s">
        <v>110</v>
      </c>
      <c r="BT144" s="3"/>
      <c r="BU144" s="40"/>
      <c r="BV144" s="3"/>
      <c r="BW144" s="3"/>
      <c r="BX144" s="70"/>
      <c r="BY144" s="70"/>
      <c r="BZ144" s="59"/>
      <c r="CA144" s="59"/>
      <c r="CB144" s="59" t="s">
        <v>110</v>
      </c>
      <c r="CC144" s="59" t="s">
        <v>110</v>
      </c>
      <c r="CD144" s="60"/>
      <c r="CE144" s="60"/>
      <c r="CF144" s="61"/>
      <c r="CG144" s="61"/>
      <c r="CH144" s="61"/>
      <c r="CI144" s="41"/>
      <c r="CJ144" s="40"/>
      <c r="CK144" s="3"/>
      <c r="CL144" s="62"/>
      <c r="CM144" s="63" t="s">
        <v>110</v>
      </c>
      <c r="CN144" s="3"/>
      <c r="CO144" s="3"/>
      <c r="CP144" s="41"/>
      <c r="CQ144" s="3" t="s">
        <v>110</v>
      </c>
      <c r="CR144" s="40" t="s">
        <v>110</v>
      </c>
      <c r="CS144" s="40" t="s">
        <v>110</v>
      </c>
      <c r="CT144" s="40" t="s">
        <v>110</v>
      </c>
      <c r="CU144" s="40"/>
      <c r="CV144" s="40"/>
      <c r="CW144" s="40"/>
      <c r="CX144" s="40"/>
      <c r="CY144" s="40">
        <v>0</v>
      </c>
      <c r="CZ144" s="40"/>
      <c r="DA144" s="40"/>
    </row>
    <row r="145" spans="1:105" ht="15.95" customHeight="1">
      <c r="A145" s="3">
        <v>330</v>
      </c>
      <c r="B145" s="38" t="s">
        <v>103</v>
      </c>
      <c r="C145" s="3"/>
      <c r="D145" s="46" t="s">
        <v>105</v>
      </c>
      <c r="E145" s="39">
        <v>44862</v>
      </c>
      <c r="F145" s="3" t="s">
        <v>106</v>
      </c>
      <c r="G145" s="3" t="s">
        <v>122</v>
      </c>
      <c r="H145" s="3">
        <v>2005</v>
      </c>
      <c r="I145" s="40" t="s">
        <v>121</v>
      </c>
      <c r="J145" s="39" t="s">
        <v>160</v>
      </c>
      <c r="K145" s="3">
        <v>186</v>
      </c>
      <c r="L145" s="3">
        <v>186</v>
      </c>
      <c r="M145" s="3"/>
      <c r="N145" s="3">
        <v>149.9</v>
      </c>
      <c r="O145" s="3">
        <v>150</v>
      </c>
      <c r="P145" s="3"/>
      <c r="Q145" s="3">
        <v>77.900000000000006</v>
      </c>
      <c r="R145" s="3"/>
      <c r="S145" s="3"/>
      <c r="T145" s="42">
        <v>186</v>
      </c>
      <c r="U145" s="42">
        <f>AVERAGE(paper3[[#This Row],[Sittende høyde 1]:[Sittende høyde 3]])-56.2</f>
        <v>93.749999999999986</v>
      </c>
      <c r="V145" s="12">
        <f>paper3[[#This Row],[height]]-paper3[[#This Row],[sittingheight]]</f>
        <v>92.250000000000014</v>
      </c>
      <c r="W145" s="73">
        <v>77.900000000000006</v>
      </c>
      <c r="X145" s="43"/>
      <c r="Y145" s="3">
        <v>1.89</v>
      </c>
      <c r="Z145" s="3">
        <v>3.17</v>
      </c>
      <c r="AA145" s="3">
        <v>4.42</v>
      </c>
      <c r="AB145" s="3">
        <v>1.9</v>
      </c>
      <c r="AC145" s="3">
        <v>3.2</v>
      </c>
      <c r="AD145" s="3">
        <v>4.46</v>
      </c>
      <c r="AE145" s="3">
        <v>1.9</v>
      </c>
      <c r="AF145" s="3">
        <v>3.21</v>
      </c>
      <c r="AG145" s="3">
        <v>4.4800000000000004</v>
      </c>
      <c r="AH145" s="44">
        <v>1.89</v>
      </c>
      <c r="AI145" s="44">
        <v>3.17</v>
      </c>
      <c r="AJ145" s="44">
        <v>4.42</v>
      </c>
      <c r="AK145" s="45">
        <v>8</v>
      </c>
      <c r="AL145" s="3">
        <v>9.8800000000000008</v>
      </c>
      <c r="AM145" s="3">
        <v>9.8000000000000007</v>
      </c>
      <c r="AN145" s="3">
        <v>9.7899999999999991</v>
      </c>
      <c r="AO145" s="3">
        <v>9.6</v>
      </c>
      <c r="AP145" s="3">
        <v>9.6</v>
      </c>
      <c r="AQ145" s="47">
        <v>9.8000000000000007</v>
      </c>
      <c r="AR145" s="47">
        <v>9.6</v>
      </c>
      <c r="AS145" s="3">
        <v>36.08</v>
      </c>
      <c r="AT145" s="3">
        <v>36.619999999999997</v>
      </c>
      <c r="AU145" s="3">
        <v>38.159999999999997</v>
      </c>
      <c r="AV145" s="3"/>
      <c r="AW145" s="3"/>
      <c r="AX145" s="48">
        <v>38.159999999999997</v>
      </c>
      <c r="AY145" s="3"/>
      <c r="AZ145" s="3">
        <v>10</v>
      </c>
      <c r="BA145" s="3">
        <v>350</v>
      </c>
      <c r="BB145" s="3">
        <v>8</v>
      </c>
      <c r="BC145" s="3"/>
      <c r="BD145" s="40">
        <v>1253.7928065392853</v>
      </c>
      <c r="BE145" s="40">
        <v>1221.3031825100193</v>
      </c>
      <c r="BF145" s="3"/>
      <c r="BG145" s="40">
        <v>595.021728250975</v>
      </c>
      <c r="BH145" s="40">
        <v>595.66787619913771</v>
      </c>
      <c r="BI145" s="49">
        <v>2475.0959890493045</v>
      </c>
      <c r="BJ145" s="49">
        <v>1190.6896044501127</v>
      </c>
      <c r="BK145" s="66">
        <v>2.6602423128459618E-2</v>
      </c>
      <c r="BL145" s="66">
        <v>-1.0847453320559364E-3</v>
      </c>
      <c r="BM145" s="51">
        <v>31.772734134137412</v>
      </c>
      <c r="BN145" s="51">
        <v>15.284847297177313</v>
      </c>
      <c r="BO145" s="52">
        <v>460</v>
      </c>
      <c r="BP145" s="40">
        <v>384</v>
      </c>
      <c r="BQ145" s="40">
        <v>460</v>
      </c>
      <c r="BR145" s="67">
        <v>-0.16521739130434787</v>
      </c>
      <c r="BS145" s="54">
        <v>5.4172015404364569</v>
      </c>
      <c r="BT145" s="3">
        <v>255</v>
      </c>
      <c r="BU145" s="40">
        <v>247</v>
      </c>
      <c r="BV145" s="3">
        <v>182</v>
      </c>
      <c r="BW145" s="3">
        <v>171</v>
      </c>
      <c r="BX145" s="70">
        <v>3.238866396761142E-2</v>
      </c>
      <c r="BY145" s="70">
        <v>6.4327485380117011E-2</v>
      </c>
      <c r="BZ145" s="59">
        <v>1.4444444444444444</v>
      </c>
      <c r="CA145" s="59">
        <v>1.401098901098901</v>
      </c>
      <c r="CB145" s="59">
        <v>2.9723684210526313</v>
      </c>
      <c r="CC145" s="59">
        <v>2.0901315789473687</v>
      </c>
      <c r="CD145" s="60">
        <v>164</v>
      </c>
      <c r="CE145" s="60">
        <v>156</v>
      </c>
      <c r="CF145" s="61">
        <v>2.1052631578947367</v>
      </c>
      <c r="CG145" s="61">
        <v>2.0025673940949935</v>
      </c>
      <c r="CH145" s="61">
        <v>0.95121951219512202</v>
      </c>
      <c r="CI145" s="41"/>
      <c r="CJ145" s="40"/>
      <c r="CK145" s="3"/>
      <c r="CL145" s="62"/>
      <c r="CM145" s="63" t="s">
        <v>110</v>
      </c>
      <c r="CN145" s="3">
        <v>255</v>
      </c>
      <c r="CO145" s="3">
        <v>182</v>
      </c>
      <c r="CP145" s="41"/>
      <c r="CQ145" s="3" t="s">
        <v>110</v>
      </c>
      <c r="CR145" s="40">
        <v>251</v>
      </c>
      <c r="CS145" s="40">
        <v>176.5</v>
      </c>
      <c r="CT145" s="40">
        <v>422</v>
      </c>
      <c r="CU145" s="40"/>
      <c r="CV145" s="40"/>
      <c r="CW145" s="40"/>
      <c r="CX145" s="40"/>
      <c r="CY145" s="40" t="e">
        <v>#N/A</v>
      </c>
      <c r="CZ145" s="40"/>
      <c r="DA145" s="40"/>
    </row>
    <row r="146" spans="1:105" ht="15.95" customHeight="1">
      <c r="A146" s="3">
        <v>331</v>
      </c>
      <c r="B146" s="38" t="s">
        <v>103</v>
      </c>
      <c r="C146" s="3"/>
      <c r="D146" s="46" t="s">
        <v>105</v>
      </c>
      <c r="E146" s="39">
        <v>44862</v>
      </c>
      <c r="F146" s="3" t="s">
        <v>106</v>
      </c>
      <c r="G146" s="3" t="s">
        <v>122</v>
      </c>
      <c r="H146" s="3">
        <v>2007</v>
      </c>
      <c r="I146" s="40" t="s">
        <v>116</v>
      </c>
      <c r="J146" s="39" t="s">
        <v>157</v>
      </c>
      <c r="K146" s="3">
        <v>173.9</v>
      </c>
      <c r="L146" s="3">
        <v>173.6</v>
      </c>
      <c r="M146" s="3">
        <v>173.9</v>
      </c>
      <c r="N146" s="3">
        <v>144.1</v>
      </c>
      <c r="O146" s="3">
        <v>143.19999999999999</v>
      </c>
      <c r="P146" s="3">
        <v>143</v>
      </c>
      <c r="Q146" s="3">
        <v>82.7</v>
      </c>
      <c r="R146" s="3"/>
      <c r="S146" s="3"/>
      <c r="T146" s="42">
        <v>173.79999999999998</v>
      </c>
      <c r="U146" s="42">
        <f>AVERAGE(paper3[[#This Row],[Sittende høyde 1]:[Sittende høyde 3]])-56.2</f>
        <v>87.233333333333306</v>
      </c>
      <c r="V146" s="12">
        <f>paper3[[#This Row],[height]]-paper3[[#This Row],[sittingheight]]</f>
        <v>86.566666666666677</v>
      </c>
      <c r="W146" s="73">
        <v>82.7</v>
      </c>
      <c r="X146" s="43"/>
      <c r="Y146" s="3"/>
      <c r="Z146" s="3"/>
      <c r="AA146" s="3"/>
      <c r="AB146" s="3"/>
      <c r="AC146" s="3"/>
      <c r="AD146" s="3"/>
      <c r="AE146" s="3"/>
      <c r="AF146" s="3"/>
      <c r="AG146" s="3"/>
      <c r="AH146" s="44"/>
      <c r="AI146" s="44"/>
      <c r="AJ146" s="44"/>
      <c r="AK146" s="45"/>
      <c r="AL146" s="3"/>
      <c r="AM146" s="3"/>
      <c r="AN146" s="3"/>
      <c r="AO146" s="3"/>
      <c r="AP146" s="3"/>
      <c r="AQ146" s="47"/>
      <c r="AR146" s="47"/>
      <c r="AS146" s="3">
        <v>33.5</v>
      </c>
      <c r="AT146" s="3">
        <v>36.5</v>
      </c>
      <c r="AU146" s="3">
        <v>35.89</v>
      </c>
      <c r="AV146" s="3"/>
      <c r="AW146" s="3"/>
      <c r="AX146" s="48">
        <v>36.5</v>
      </c>
      <c r="AY146" s="3"/>
      <c r="AZ146" s="3">
        <v>9</v>
      </c>
      <c r="BA146" s="3">
        <v>350</v>
      </c>
      <c r="BB146" s="3">
        <v>12</v>
      </c>
      <c r="BC146" s="3"/>
      <c r="BD146" s="40">
        <v>1882.0724696176867</v>
      </c>
      <c r="BE146" s="40">
        <v>1749.6602732480064</v>
      </c>
      <c r="BF146" s="3"/>
      <c r="BG146" s="40">
        <v>848.5487638037888</v>
      </c>
      <c r="BH146" s="40">
        <v>807.42870632508163</v>
      </c>
      <c r="BI146" s="49">
        <v>3631.7327428656931</v>
      </c>
      <c r="BJ146" s="49">
        <v>1655.9774701288704</v>
      </c>
      <c r="BK146" s="66">
        <v>7.5678803705061526E-2</v>
      </c>
      <c r="BL146" s="66">
        <v>5.0927168128391598E-2</v>
      </c>
      <c r="BM146" s="51">
        <v>43.914543444567023</v>
      </c>
      <c r="BN146" s="51">
        <v>20.023911367942809</v>
      </c>
      <c r="BO146" s="52">
        <v>443</v>
      </c>
      <c r="BP146" s="40">
        <v>443</v>
      </c>
      <c r="BQ146" s="40">
        <v>399</v>
      </c>
      <c r="BR146" s="67">
        <v>0.11027568922305764</v>
      </c>
      <c r="BS146" s="54">
        <v>5.0906892382103992</v>
      </c>
      <c r="BT146" s="3">
        <v>208</v>
      </c>
      <c r="BU146" s="40">
        <v>197</v>
      </c>
      <c r="BV146" s="3">
        <v>209</v>
      </c>
      <c r="BW146" s="3">
        <v>203</v>
      </c>
      <c r="BX146" s="70">
        <v>5.5837563451776706E-2</v>
      </c>
      <c r="BY146" s="70">
        <v>2.9556650246305383E-2</v>
      </c>
      <c r="BZ146" s="59">
        <v>0.97044334975369462</v>
      </c>
      <c r="CA146" s="59">
        <v>0.99521531100478466</v>
      </c>
      <c r="CB146" s="59">
        <v>2.1196795646916571</v>
      </c>
      <c r="CC146" s="59">
        <v>2.1563160016122533</v>
      </c>
      <c r="CD146" s="60">
        <v>212</v>
      </c>
      <c r="CE146" s="60">
        <v>225</v>
      </c>
      <c r="CF146" s="61">
        <v>2.5634824667472791</v>
      </c>
      <c r="CG146" s="61">
        <v>2.7206771463119708</v>
      </c>
      <c r="CH146" s="61">
        <v>1.0613207547169812</v>
      </c>
      <c r="CI146" s="41"/>
      <c r="CJ146" s="40"/>
      <c r="CK146" s="3"/>
      <c r="CL146" s="62"/>
      <c r="CM146" s="63" t="s">
        <v>110</v>
      </c>
      <c r="CN146" s="3">
        <v>208</v>
      </c>
      <c r="CO146" s="3">
        <v>209</v>
      </c>
      <c r="CP146" s="41"/>
      <c r="CQ146" s="3" t="s">
        <v>110</v>
      </c>
      <c r="CR146" s="40">
        <v>202.5</v>
      </c>
      <c r="CS146" s="40">
        <v>206</v>
      </c>
      <c r="CT146" s="40">
        <v>421</v>
      </c>
      <c r="CU146" s="40"/>
      <c r="CV146" s="40"/>
      <c r="CW146" s="40"/>
      <c r="CX146" s="40"/>
      <c r="CY146" s="40" t="e">
        <v>#N/A</v>
      </c>
      <c r="CZ146" s="40"/>
      <c r="DA146" s="40"/>
    </row>
    <row r="147" spans="1:105" ht="15.75" customHeight="1">
      <c r="A147" s="2">
        <v>333</v>
      </c>
      <c r="B147" s="38" t="s">
        <v>103</v>
      </c>
      <c r="C147" s="3"/>
      <c r="D147" s="46" t="s">
        <v>105</v>
      </c>
      <c r="E147" s="39">
        <v>44862</v>
      </c>
      <c r="F147" s="3" t="s">
        <v>106</v>
      </c>
      <c r="G147" s="3" t="s">
        <v>122</v>
      </c>
      <c r="H147" s="3">
        <v>2005</v>
      </c>
      <c r="I147" s="40" t="s">
        <v>121</v>
      </c>
      <c r="J147" s="39" t="s">
        <v>160</v>
      </c>
      <c r="K147" s="3">
        <v>184.1</v>
      </c>
      <c r="L147" s="3">
        <v>184.1</v>
      </c>
      <c r="M147" s="3"/>
      <c r="N147" s="3">
        <v>153.4</v>
      </c>
      <c r="O147" s="3">
        <v>154.5</v>
      </c>
      <c r="P147" s="3"/>
      <c r="Q147" s="3">
        <v>73.5</v>
      </c>
      <c r="R147" s="3"/>
      <c r="S147" s="3"/>
      <c r="T147" s="42">
        <v>184.1</v>
      </c>
      <c r="U147" s="42">
        <f>AVERAGE(paper3[[#This Row],[Sittende høyde 1]:[Sittende høyde 3]])-56.2</f>
        <v>97.749999999999986</v>
      </c>
      <c r="V147" s="12">
        <f>paper3[[#This Row],[height]]-paper3[[#This Row],[sittingheight]]</f>
        <v>86.350000000000009</v>
      </c>
      <c r="W147" s="73">
        <v>73.5</v>
      </c>
      <c r="X147" s="43"/>
      <c r="Y147" s="3">
        <v>1.83</v>
      </c>
      <c r="Z147" s="3">
        <v>3.13</v>
      </c>
      <c r="AA147" s="3">
        <v>4.3600000000000003</v>
      </c>
      <c r="AB147" s="3">
        <v>1.83</v>
      </c>
      <c r="AC147" s="3">
        <v>3.12</v>
      </c>
      <c r="AD147" s="3">
        <v>4.3499999999999996</v>
      </c>
      <c r="AE147" s="3">
        <v>1.83</v>
      </c>
      <c r="AF147" s="3">
        <v>3.12</v>
      </c>
      <c r="AG147" s="3">
        <v>4.3600000000000003</v>
      </c>
      <c r="AH147" s="44">
        <v>1.83</v>
      </c>
      <c r="AI147" s="44">
        <v>3.12</v>
      </c>
      <c r="AJ147" s="44">
        <v>4.3499999999999996</v>
      </c>
      <c r="AK147" s="45">
        <v>8.1300813008130106</v>
      </c>
      <c r="AL147" s="3">
        <v>9.49</v>
      </c>
      <c r="AM147" s="3">
        <v>9.57</v>
      </c>
      <c r="AN147" s="3">
        <v>9.82</v>
      </c>
      <c r="AO147" s="3">
        <v>10</v>
      </c>
      <c r="AP147" s="3">
        <v>9.49</v>
      </c>
      <c r="AQ147" s="47">
        <v>9.49</v>
      </c>
      <c r="AR147" s="47">
        <v>9.82</v>
      </c>
      <c r="AS147" s="3">
        <v>28.36</v>
      </c>
      <c r="AT147" s="3">
        <v>31.09</v>
      </c>
      <c r="AU147" s="3">
        <v>30.19</v>
      </c>
      <c r="AV147" s="3"/>
      <c r="AW147" s="3"/>
      <c r="AX147" s="48">
        <v>31.09</v>
      </c>
      <c r="AY147" s="3"/>
      <c r="AZ147" s="3">
        <v>9</v>
      </c>
      <c r="BA147" s="3">
        <v>350</v>
      </c>
      <c r="BB147" s="3">
        <v>10</v>
      </c>
      <c r="BC147" s="3"/>
      <c r="BD147" s="40">
        <v>1400.5142076280126</v>
      </c>
      <c r="BE147" s="40">
        <v>1399.293607063757</v>
      </c>
      <c r="BF147" s="3"/>
      <c r="BG147" s="40">
        <v>666.39413469129545</v>
      </c>
      <c r="BH147" s="40">
        <v>664.95313465497725</v>
      </c>
      <c r="BI147" s="49">
        <v>2799.8078146917696</v>
      </c>
      <c r="BJ147" s="49">
        <v>1331.3472693462727</v>
      </c>
      <c r="BK147" s="66">
        <v>8.7229767798113755E-4</v>
      </c>
      <c r="BL147" s="66">
        <v>2.1670700703830814E-3</v>
      </c>
      <c r="BM147" s="51">
        <v>38.09262332913972</v>
      </c>
      <c r="BN147" s="51">
        <v>18.11356829042548</v>
      </c>
      <c r="BO147" s="52">
        <v>326</v>
      </c>
      <c r="BP147" s="40">
        <v>313</v>
      </c>
      <c r="BQ147" s="40">
        <v>326</v>
      </c>
      <c r="BR147" s="67">
        <v>-3.9877300613496924E-2</v>
      </c>
      <c r="BS147" s="54">
        <v>4.3469387755102042</v>
      </c>
      <c r="BT147" s="3">
        <v>155</v>
      </c>
      <c r="BU147" s="40">
        <v>165</v>
      </c>
      <c r="BV147" s="3">
        <v>132</v>
      </c>
      <c r="BW147" s="3">
        <v>127</v>
      </c>
      <c r="BX147" s="70">
        <v>-6.0606060606060552E-2</v>
      </c>
      <c r="BY147" s="70">
        <v>3.937007874015741E-2</v>
      </c>
      <c r="BZ147" s="59">
        <v>1.2992125984251968</v>
      </c>
      <c r="CA147" s="59">
        <v>1.1742424242424243</v>
      </c>
      <c r="CB147" s="59">
        <v>1.8797278911564625</v>
      </c>
      <c r="CC147" s="59">
        <v>1.5214047619047619</v>
      </c>
      <c r="CD147" s="60">
        <v>202</v>
      </c>
      <c r="CE147" s="60">
        <v>159</v>
      </c>
      <c r="CF147" s="61">
        <v>2.7482993197278911</v>
      </c>
      <c r="CG147" s="61">
        <v>2.1632653061224492</v>
      </c>
      <c r="CH147" s="61">
        <v>0.78712871287128716</v>
      </c>
      <c r="CI147" s="96">
        <v>16.100000000000001</v>
      </c>
      <c r="CJ147" s="40">
        <f>VLOOKUP(paper3[[#This Row],[YYIR nivå]],$DB:$DC,2)</f>
        <v>1120</v>
      </c>
      <c r="CK147" s="3"/>
      <c r="CL147" s="62"/>
      <c r="CM147" s="63" t="s">
        <v>110</v>
      </c>
      <c r="CN147" s="3">
        <v>165</v>
      </c>
      <c r="CO147" s="3">
        <v>132</v>
      </c>
      <c r="CP147" s="41"/>
      <c r="CQ147" s="3" t="s">
        <v>110</v>
      </c>
      <c r="CR147" s="40">
        <v>160</v>
      </c>
      <c r="CS147" s="40">
        <v>129.5</v>
      </c>
      <c r="CT147" s="40">
        <v>319.5</v>
      </c>
      <c r="CU147" s="40"/>
      <c r="CV147" s="40"/>
      <c r="CW147" s="40"/>
      <c r="CX147" s="40"/>
      <c r="CY147" s="40" t="e">
        <v>#N/A</v>
      </c>
      <c r="CZ147" s="40"/>
      <c r="DA147" s="40"/>
    </row>
    <row r="148" spans="1:105" ht="15.95" customHeight="1">
      <c r="A148" s="3">
        <v>400</v>
      </c>
      <c r="B148" s="38" t="s">
        <v>103</v>
      </c>
      <c r="C148" s="3" t="s">
        <v>115</v>
      </c>
      <c r="D148" s="3" t="s">
        <v>105</v>
      </c>
      <c r="E148" s="39">
        <v>44620</v>
      </c>
      <c r="F148" s="3" t="s">
        <v>186</v>
      </c>
      <c r="G148" s="3" t="s">
        <v>107</v>
      </c>
      <c r="H148" s="3">
        <v>2007</v>
      </c>
      <c r="I148" s="40" t="s">
        <v>116</v>
      </c>
      <c r="J148" s="40" t="s">
        <v>117</v>
      </c>
      <c r="K148" s="3">
        <v>176</v>
      </c>
      <c r="L148" s="3">
        <v>176.4</v>
      </c>
      <c r="M148" s="3">
        <v>176.4</v>
      </c>
      <c r="N148" s="3">
        <v>146.19999999999999</v>
      </c>
      <c r="O148" s="3">
        <v>146.4</v>
      </c>
      <c r="P148" s="3"/>
      <c r="Q148" s="3">
        <v>74.400000000000006</v>
      </c>
      <c r="R148" s="3">
        <v>74.400000000000006</v>
      </c>
      <c r="S148" s="3"/>
      <c r="T148" s="42">
        <v>176.26666666666665</v>
      </c>
      <c r="U148" s="42">
        <f>AVERAGE(paper3[[#This Row],[Sittende høyde 1]:[Sittende høyde 3]])-56.2</f>
        <v>90.100000000000009</v>
      </c>
      <c r="V148" s="12">
        <f>paper3[[#This Row],[height]]-paper3[[#This Row],[sittingheight]]</f>
        <v>86.166666666666643</v>
      </c>
      <c r="W148" s="73">
        <v>74.400000000000006</v>
      </c>
      <c r="X148" s="43" cm="1">
        <f t="array" ref="X148">INDEX([1]!phvny[yphv], MATCH(1, (paper3[[#This Row],[id]]=[1]!phvny[id])*(paper3[[#This Row],[time]]=[1]!phvny[time]), 0))</f>
        <v>3.1783517672628441</v>
      </c>
      <c r="Y148" s="3">
        <v>2.21</v>
      </c>
      <c r="Z148" s="3">
        <v>3.79</v>
      </c>
      <c r="AA148" s="3">
        <v>5.36</v>
      </c>
      <c r="AB148" s="3">
        <v>2.17</v>
      </c>
      <c r="AC148" s="3">
        <v>3.75</v>
      </c>
      <c r="AD148" s="3">
        <v>5.3</v>
      </c>
      <c r="AE148" s="3">
        <v>2.2000000000000002</v>
      </c>
      <c r="AF148" s="3">
        <v>3.75</v>
      </c>
      <c r="AG148" s="3">
        <v>5.31</v>
      </c>
      <c r="AH148" s="44">
        <v>2.17</v>
      </c>
      <c r="AI148" s="44">
        <v>3.75</v>
      </c>
      <c r="AJ148" s="44">
        <v>5.3</v>
      </c>
      <c r="AK148" s="45">
        <v>6.4516129032258069</v>
      </c>
      <c r="AL148" s="3">
        <v>11.42</v>
      </c>
      <c r="AM148" s="3">
        <v>11.14</v>
      </c>
      <c r="AN148" s="3">
        <v>11.17</v>
      </c>
      <c r="AO148" s="3">
        <v>10.96</v>
      </c>
      <c r="AP148" s="3">
        <v>10.96</v>
      </c>
      <c r="AQ148" s="47">
        <v>11.14</v>
      </c>
      <c r="AR148" s="47">
        <v>11.14</v>
      </c>
      <c r="AS148" s="3">
        <v>25.81</v>
      </c>
      <c r="AT148" s="3">
        <v>26.25</v>
      </c>
      <c r="AU148" s="3">
        <v>27</v>
      </c>
      <c r="AV148" s="3">
        <v>26.44</v>
      </c>
      <c r="AW148" s="3"/>
      <c r="AX148" s="48">
        <v>27</v>
      </c>
      <c r="AY148" s="3"/>
      <c r="AZ148" s="3">
        <v>9</v>
      </c>
      <c r="BA148" s="3">
        <v>250</v>
      </c>
      <c r="BB148" s="3" t="s">
        <v>187</v>
      </c>
      <c r="BC148" s="3">
        <v>226</v>
      </c>
      <c r="BD148" s="40">
        <v>1005.8717364315489</v>
      </c>
      <c r="BE148" s="40">
        <v>1007.6017092439909</v>
      </c>
      <c r="BF148" s="40"/>
      <c r="BG148" s="40">
        <v>472.11659847517808</v>
      </c>
      <c r="BH148" s="40">
        <v>474.85185403119698</v>
      </c>
      <c r="BI148" s="49">
        <v>2013.4734456755398</v>
      </c>
      <c r="BJ148" s="49">
        <v>946.96845250637512</v>
      </c>
      <c r="BK148" s="66">
        <v>-1.7169212761061203E-3</v>
      </c>
      <c r="BL148" s="66">
        <v>-5.7602292858252024E-3</v>
      </c>
      <c r="BM148" s="51">
        <v>27.062815130047575</v>
      </c>
      <c r="BN148" s="51">
        <v>12.728070598203965</v>
      </c>
      <c r="BO148" s="52">
        <v>235</v>
      </c>
      <c r="BP148" s="40">
        <v>235</v>
      </c>
      <c r="BQ148" s="40">
        <v>234</v>
      </c>
      <c r="BR148" s="67">
        <v>4.2735042735042583E-3</v>
      </c>
      <c r="BS148" s="54">
        <v>3.1518817204301075</v>
      </c>
      <c r="BT148" s="3">
        <v>100</v>
      </c>
      <c r="BU148" s="40">
        <v>105</v>
      </c>
      <c r="BV148" s="3">
        <v>120</v>
      </c>
      <c r="BW148" s="3">
        <v>132</v>
      </c>
      <c r="BX148" s="70">
        <v>-4.7619047619047672E-2</v>
      </c>
      <c r="BY148" s="70">
        <v>-9.0909090909090939E-2</v>
      </c>
      <c r="BZ148" s="59">
        <v>0.79545454545454541</v>
      </c>
      <c r="CA148" s="59">
        <v>0.83333333333333337</v>
      </c>
      <c r="CB148" s="59">
        <v>1.1871079749103939</v>
      </c>
      <c r="CC148" s="59">
        <v>1.4592741935483866</v>
      </c>
      <c r="CD148" s="60">
        <v>82</v>
      </c>
      <c r="CE148" s="60">
        <v>93</v>
      </c>
      <c r="CF148" s="61">
        <v>1.1021505376344085</v>
      </c>
      <c r="CG148" s="61">
        <v>1.25</v>
      </c>
      <c r="CH148" s="61">
        <v>1.1341463414634148</v>
      </c>
      <c r="CI148" s="41">
        <v>14.3</v>
      </c>
      <c r="CJ148" s="40">
        <f>VLOOKUP(paper3[[#This Row],[YYIR nivå]],$DB:$DC,2)</f>
        <v>560</v>
      </c>
      <c r="CK148" s="3" t="s">
        <v>188</v>
      </c>
      <c r="CL148" s="62"/>
      <c r="CM148" s="63" t="s">
        <v>110</v>
      </c>
      <c r="CN148" s="3">
        <v>105</v>
      </c>
      <c r="CO148" s="3">
        <v>132</v>
      </c>
      <c r="CP148" s="41">
        <v>15.144444444444444</v>
      </c>
      <c r="CQ148" s="3" t="s">
        <v>110</v>
      </c>
      <c r="CR148" s="40">
        <v>102.5</v>
      </c>
      <c r="CS148" s="40">
        <v>126</v>
      </c>
      <c r="CT148" s="40">
        <v>234.5</v>
      </c>
      <c r="CU148" s="40"/>
      <c r="CV148" s="40"/>
      <c r="CW148" s="40"/>
      <c r="CX148" s="40"/>
      <c r="CY148" s="40">
        <v>0</v>
      </c>
      <c r="CZ148" s="40"/>
      <c r="DA148" s="40"/>
    </row>
    <row r="149" spans="1:105" ht="15.95" customHeight="1">
      <c r="A149" s="3">
        <v>401</v>
      </c>
      <c r="B149" s="38" t="s">
        <v>103</v>
      </c>
      <c r="C149" s="3" t="s">
        <v>115</v>
      </c>
      <c r="D149" s="3" t="s">
        <v>105</v>
      </c>
      <c r="E149" s="39">
        <v>44620</v>
      </c>
      <c r="F149" s="3" t="s">
        <v>186</v>
      </c>
      <c r="G149" s="3" t="s">
        <v>107</v>
      </c>
      <c r="H149" s="3">
        <v>2007</v>
      </c>
      <c r="I149" s="40" t="s">
        <v>116</v>
      </c>
      <c r="J149" s="40" t="s">
        <v>117</v>
      </c>
      <c r="K149" s="3">
        <v>166</v>
      </c>
      <c r="L149" s="3">
        <v>166</v>
      </c>
      <c r="M149" s="3"/>
      <c r="N149" s="3">
        <v>142.19999999999999</v>
      </c>
      <c r="O149" s="3">
        <v>142.19999999999999</v>
      </c>
      <c r="P149" s="3"/>
      <c r="Q149" s="3">
        <v>55.1</v>
      </c>
      <c r="R149" s="3">
        <v>55.1</v>
      </c>
      <c r="S149" s="3"/>
      <c r="T149" s="42">
        <v>166</v>
      </c>
      <c r="U149" s="42">
        <f>AVERAGE(paper3[[#This Row],[Sittende høyde 1]:[Sittende høyde 3]])-56.2</f>
        <v>85.999999999999986</v>
      </c>
      <c r="V149" s="12">
        <f>paper3[[#This Row],[height]]-paper3[[#This Row],[sittingheight]]</f>
        <v>80.000000000000014</v>
      </c>
      <c r="W149" s="73">
        <v>55.1</v>
      </c>
      <c r="X149" s="43" cm="1">
        <f t="array" ref="X149">INDEX([1]!phvny[yphv], MATCH(1, (paper3[[#This Row],[id]]=[1]!phvny[id])*(paper3[[#This Row],[time]]=[1]!phvny[time]), 0))</f>
        <v>2.3706083495180708</v>
      </c>
      <c r="Y149" s="3">
        <v>2.08</v>
      </c>
      <c r="Z149" s="3">
        <v>3.58</v>
      </c>
      <c r="AA149" s="3">
        <v>5.01</v>
      </c>
      <c r="AB149" s="3">
        <v>2.0499999999999998</v>
      </c>
      <c r="AC149" s="3">
        <v>3.52</v>
      </c>
      <c r="AD149" s="3">
        <v>4.9400000000000004</v>
      </c>
      <c r="AE149" s="3">
        <v>2.09</v>
      </c>
      <c r="AF149" s="3">
        <v>3.6</v>
      </c>
      <c r="AG149" s="3">
        <v>5.03</v>
      </c>
      <c r="AH149" s="44">
        <v>2.0499999999999998</v>
      </c>
      <c r="AI149" s="44">
        <v>3.52</v>
      </c>
      <c r="AJ149" s="44">
        <v>4.9400000000000004</v>
      </c>
      <c r="AK149" s="45">
        <v>7.0422535211267583</v>
      </c>
      <c r="AL149" s="3">
        <v>10.69</v>
      </c>
      <c r="AM149" s="3">
        <v>10.43</v>
      </c>
      <c r="AN149" s="3">
        <v>10.71</v>
      </c>
      <c r="AO149" s="3">
        <v>10.6</v>
      </c>
      <c r="AP149" s="3">
        <v>10.43</v>
      </c>
      <c r="AQ149" s="47">
        <v>10.43</v>
      </c>
      <c r="AR149" s="47">
        <v>10.43</v>
      </c>
      <c r="AS149" s="3">
        <v>31.51</v>
      </c>
      <c r="AT149" s="3">
        <v>32.590000000000003</v>
      </c>
      <c r="AU149" s="3">
        <v>31.2</v>
      </c>
      <c r="AV149" s="3"/>
      <c r="AW149" s="3"/>
      <c r="AX149" s="48">
        <v>32.590000000000003</v>
      </c>
      <c r="AY149" s="3"/>
      <c r="AZ149" s="3">
        <v>8</v>
      </c>
      <c r="BA149" s="3">
        <v>230</v>
      </c>
      <c r="BB149" s="3">
        <v>10</v>
      </c>
      <c r="BC149" s="3">
        <v>240</v>
      </c>
      <c r="BD149" s="40">
        <v>912.48159118751209</v>
      </c>
      <c r="BE149" s="40">
        <v>850.75202669829639</v>
      </c>
      <c r="BF149" s="40"/>
      <c r="BG149" s="40">
        <v>383.34301496551785</v>
      </c>
      <c r="BH149" s="40">
        <v>375.91126997248921</v>
      </c>
      <c r="BI149" s="49">
        <v>1763.2336178858086</v>
      </c>
      <c r="BJ149" s="49">
        <v>759.254284938007</v>
      </c>
      <c r="BK149" s="66">
        <v>7.255882155083837E-2</v>
      </c>
      <c r="BL149" s="66">
        <v>1.9769944629679514E-2</v>
      </c>
      <c r="BM149" s="51">
        <v>32.000610124969299</v>
      </c>
      <c r="BN149" s="51">
        <v>13.779569599600853</v>
      </c>
      <c r="BO149" s="52">
        <v>214</v>
      </c>
      <c r="BP149" s="40">
        <v>214</v>
      </c>
      <c r="BQ149" s="40">
        <v>185</v>
      </c>
      <c r="BR149" s="67">
        <v>0.15675675675675671</v>
      </c>
      <c r="BS149" s="54">
        <v>3.6206896551724137</v>
      </c>
      <c r="BT149" s="3">
        <v>130</v>
      </c>
      <c r="BU149" s="40">
        <v>145</v>
      </c>
      <c r="BV149" s="3">
        <v>132</v>
      </c>
      <c r="BW149" s="3">
        <v>126</v>
      </c>
      <c r="BX149" s="70">
        <v>-0.10344827586206895</v>
      </c>
      <c r="BY149" s="70">
        <v>4.7619047619047672E-2</v>
      </c>
      <c r="BZ149" s="59">
        <v>1.1507936507936507</v>
      </c>
      <c r="CA149" s="59">
        <v>0.98484848484848486</v>
      </c>
      <c r="CB149" s="59">
        <v>1.9963702359346647</v>
      </c>
      <c r="CC149" s="59">
        <v>1.8729582577132489</v>
      </c>
      <c r="CD149" s="60">
        <v>104</v>
      </c>
      <c r="CE149" s="60">
        <v>96</v>
      </c>
      <c r="CF149" s="61">
        <v>1.8874773139745915</v>
      </c>
      <c r="CG149" s="61">
        <v>1.7422867513611615</v>
      </c>
      <c r="CH149" s="61">
        <v>0.92307692307692313</v>
      </c>
      <c r="CI149" s="41">
        <v>15.2</v>
      </c>
      <c r="CJ149" s="40">
        <f>VLOOKUP(paper3[[#This Row],[YYIR nivå]],$DB:$DC,2)</f>
        <v>840</v>
      </c>
      <c r="CK149" s="3"/>
      <c r="CL149" s="62"/>
      <c r="CM149" s="63" t="s">
        <v>110</v>
      </c>
      <c r="CN149" s="3">
        <v>145</v>
      </c>
      <c r="CO149" s="3">
        <v>132</v>
      </c>
      <c r="CP149" s="41">
        <v>14.85</v>
      </c>
      <c r="CQ149" s="3" t="s">
        <v>110</v>
      </c>
      <c r="CR149" s="40">
        <v>137.5</v>
      </c>
      <c r="CS149" s="40">
        <v>129</v>
      </c>
      <c r="CT149" s="40">
        <v>199.5</v>
      </c>
      <c r="CU149" s="40"/>
      <c r="CV149" s="40"/>
      <c r="CW149" s="40"/>
      <c r="CX149" s="40"/>
      <c r="CY149" s="40">
        <v>0</v>
      </c>
      <c r="CZ149" s="40"/>
      <c r="DA149" s="40"/>
    </row>
    <row r="150" spans="1:105" ht="15.95" customHeight="1">
      <c r="A150" s="3">
        <v>402</v>
      </c>
      <c r="B150" s="38" t="s">
        <v>103</v>
      </c>
      <c r="C150" s="3" t="s">
        <v>115</v>
      </c>
      <c r="D150" s="3" t="s">
        <v>105</v>
      </c>
      <c r="E150" s="39">
        <v>44620</v>
      </c>
      <c r="F150" s="3" t="s">
        <v>186</v>
      </c>
      <c r="G150" s="3" t="s">
        <v>107</v>
      </c>
      <c r="H150" s="3">
        <v>2007</v>
      </c>
      <c r="I150" s="40" t="s">
        <v>116</v>
      </c>
      <c r="J150" s="40" t="s">
        <v>117</v>
      </c>
      <c r="K150" s="3">
        <v>163.4</v>
      </c>
      <c r="L150" s="3">
        <v>163.19999999999999</v>
      </c>
      <c r="M150" s="3"/>
      <c r="N150" s="3">
        <v>140.80000000000001</v>
      </c>
      <c r="O150" s="3">
        <v>140.5</v>
      </c>
      <c r="P150" s="3">
        <v>140.5</v>
      </c>
      <c r="Q150" s="3">
        <v>60.7</v>
      </c>
      <c r="R150" s="3">
        <v>60.7</v>
      </c>
      <c r="S150" s="3"/>
      <c r="T150" s="42">
        <v>163.30000000000001</v>
      </c>
      <c r="U150" s="42">
        <f>AVERAGE(paper3[[#This Row],[Sittende høyde 1]:[Sittende høyde 3]])-56.2</f>
        <v>84.399999999999991</v>
      </c>
      <c r="V150" s="12">
        <f>paper3[[#This Row],[height]]-paper3[[#This Row],[sittingheight]]</f>
        <v>78.90000000000002</v>
      </c>
      <c r="W150" s="73">
        <v>60.7</v>
      </c>
      <c r="X150" s="43" cm="1">
        <f t="array" ref="X150">INDEX([1]!phvny[yphv], MATCH(1, (paper3[[#This Row],[id]]=[1]!phvny[id])*(paper3[[#This Row],[time]]=[1]!phvny[time]), 0))</f>
        <v>2.2309011943637471</v>
      </c>
      <c r="Y150" s="3">
        <v>2.12</v>
      </c>
      <c r="Z150" s="3">
        <v>3.64</v>
      </c>
      <c r="AA150" s="3">
        <v>5.14</v>
      </c>
      <c r="AB150" s="3">
        <v>2.12</v>
      </c>
      <c r="AC150" s="3">
        <v>3.61</v>
      </c>
      <c r="AD150" s="3">
        <v>5.0999999999999996</v>
      </c>
      <c r="AE150" s="3">
        <v>2.15</v>
      </c>
      <c r="AF150" s="3">
        <v>3.71</v>
      </c>
      <c r="AG150" s="3">
        <v>5.24</v>
      </c>
      <c r="AH150" s="44">
        <v>2.12</v>
      </c>
      <c r="AI150" s="44">
        <v>3.61</v>
      </c>
      <c r="AJ150" s="44">
        <v>5.0999999999999996</v>
      </c>
      <c r="AK150" s="45">
        <v>6.7114093959731553</v>
      </c>
      <c r="AL150" s="3">
        <v>10.93</v>
      </c>
      <c r="AM150" s="3">
        <v>10.54</v>
      </c>
      <c r="AN150" s="3">
        <v>12.21</v>
      </c>
      <c r="AO150" s="3">
        <v>10.51</v>
      </c>
      <c r="AP150" s="3">
        <v>10.51</v>
      </c>
      <c r="AQ150" s="47">
        <v>10.54</v>
      </c>
      <c r="AR150" s="47">
        <v>10.54</v>
      </c>
      <c r="AS150" s="3">
        <v>27.43</v>
      </c>
      <c r="AT150" s="3">
        <v>30.34</v>
      </c>
      <c r="AU150" s="3">
        <v>30.98</v>
      </c>
      <c r="AV150" s="3">
        <v>28.68</v>
      </c>
      <c r="AW150" s="3"/>
      <c r="AX150" s="48">
        <v>30.98</v>
      </c>
      <c r="AY150" s="3"/>
      <c r="AZ150" s="3">
        <v>8</v>
      </c>
      <c r="BA150" s="3">
        <v>230</v>
      </c>
      <c r="BB150" s="3">
        <v>10</v>
      </c>
      <c r="BC150" s="3">
        <v>251</v>
      </c>
      <c r="BD150" s="40">
        <v>1089.4635472517984</v>
      </c>
      <c r="BE150" s="40">
        <v>1010.3017281140878</v>
      </c>
      <c r="BF150" s="40"/>
      <c r="BG150" s="40">
        <v>484.35831284287963</v>
      </c>
      <c r="BH150" s="40">
        <v>464.73159368842028</v>
      </c>
      <c r="BI150" s="49">
        <v>2099.7652753658863</v>
      </c>
      <c r="BJ150" s="49">
        <v>949.0899065312999</v>
      </c>
      <c r="BK150" s="66">
        <v>7.8354631032335753E-2</v>
      </c>
      <c r="BL150" s="66">
        <v>4.2232375463627569E-2</v>
      </c>
      <c r="BM150" s="51">
        <v>34.592508655121684</v>
      </c>
      <c r="BN150" s="51">
        <v>15.635748048291596</v>
      </c>
      <c r="BO150" s="52">
        <v>241</v>
      </c>
      <c r="BP150" s="40">
        <v>241</v>
      </c>
      <c r="BQ150" s="40">
        <v>202</v>
      </c>
      <c r="BR150" s="67">
        <v>0.19306930693069302</v>
      </c>
      <c r="BS150" s="54">
        <v>3.6490939044481054</v>
      </c>
      <c r="BT150" s="3">
        <v>144</v>
      </c>
      <c r="BU150" s="40">
        <v>145</v>
      </c>
      <c r="BV150" s="3">
        <v>150</v>
      </c>
      <c r="BW150" s="3">
        <v>143</v>
      </c>
      <c r="BX150" s="70">
        <v>-6.8965517241379448E-3</v>
      </c>
      <c r="BY150" s="70">
        <v>4.8951048951048959E-2</v>
      </c>
      <c r="BZ150" s="59">
        <v>1.013986013986014</v>
      </c>
      <c r="CA150" s="59">
        <v>0.96</v>
      </c>
      <c r="CB150" s="59">
        <v>1.8782619439868207</v>
      </c>
      <c r="CC150" s="59">
        <v>1.9042586490939049</v>
      </c>
      <c r="CD150" s="60">
        <v>86</v>
      </c>
      <c r="CE150" s="60">
        <v>94</v>
      </c>
      <c r="CF150" s="61">
        <v>1.4168039538714992</v>
      </c>
      <c r="CG150" s="61">
        <v>1.5485996705107083</v>
      </c>
      <c r="CH150" s="61">
        <v>1.0930232558139534</v>
      </c>
      <c r="CI150" s="41">
        <v>14.2</v>
      </c>
      <c r="CJ150" s="40">
        <f>VLOOKUP(paper3[[#This Row],[YYIR nivå]],$DB:$DC,2)</f>
        <v>520</v>
      </c>
      <c r="CK150" s="3"/>
      <c r="CL150" s="62"/>
      <c r="CM150" s="63" t="s">
        <v>110</v>
      </c>
      <c r="CN150" s="3">
        <v>145</v>
      </c>
      <c r="CO150" s="3">
        <v>150</v>
      </c>
      <c r="CP150" s="41">
        <v>14.833333333333334</v>
      </c>
      <c r="CQ150" s="3" t="s">
        <v>110</v>
      </c>
      <c r="CR150" s="40">
        <v>144.5</v>
      </c>
      <c r="CS150" s="40">
        <v>146.5</v>
      </c>
      <c r="CT150" s="40">
        <v>221.5</v>
      </c>
      <c r="CU150" s="40"/>
      <c r="CV150" s="40"/>
      <c r="CW150" s="40"/>
      <c r="CX150" s="40"/>
      <c r="CY150" s="40">
        <v>0</v>
      </c>
      <c r="CZ150" s="40"/>
      <c r="DA150" s="40"/>
    </row>
    <row r="151" spans="1:105" ht="15.95" customHeight="1">
      <c r="A151" s="3">
        <v>403</v>
      </c>
      <c r="B151" s="38" t="s">
        <v>103</v>
      </c>
      <c r="C151" s="3" t="s">
        <v>158</v>
      </c>
      <c r="D151" s="3" t="s">
        <v>105</v>
      </c>
      <c r="E151" s="39">
        <v>44620</v>
      </c>
      <c r="F151" s="3" t="s">
        <v>186</v>
      </c>
      <c r="G151" s="3" t="s">
        <v>107</v>
      </c>
      <c r="H151" s="3">
        <v>2007</v>
      </c>
      <c r="I151" s="40" t="s">
        <v>116</v>
      </c>
      <c r="J151" s="40" t="s">
        <v>117</v>
      </c>
      <c r="K151" s="3">
        <v>171.5</v>
      </c>
      <c r="L151" s="3">
        <v>171.5</v>
      </c>
      <c r="M151" s="3"/>
      <c r="N151" s="3">
        <v>144.30000000000001</v>
      </c>
      <c r="O151" s="3">
        <v>143.9</v>
      </c>
      <c r="P151" s="3">
        <v>144.30000000000001</v>
      </c>
      <c r="Q151" s="3">
        <v>59.3</v>
      </c>
      <c r="R151" s="3">
        <v>59.3</v>
      </c>
      <c r="S151" s="3"/>
      <c r="T151" s="42">
        <v>171.5</v>
      </c>
      <c r="U151" s="42">
        <f>AVERAGE(paper3[[#This Row],[Sittende høyde 1]:[Sittende høyde 3]])-56.2</f>
        <v>87.966666666666683</v>
      </c>
      <c r="V151" s="12">
        <f>paper3[[#This Row],[height]]-paper3[[#This Row],[sittingheight]]</f>
        <v>83.533333333333317</v>
      </c>
      <c r="W151" s="73">
        <v>59.3</v>
      </c>
      <c r="X151" s="43" cm="1">
        <f t="array" ref="X151">INDEX([1]!phvny[yphv], MATCH(1, (paper3[[#This Row],[id]]=[1]!phvny[id])*(paper3[[#This Row],[time]]=[1]!phvny[time]), 0))</f>
        <v>2.5129740744470914</v>
      </c>
      <c r="Y151" s="3">
        <v>1.98</v>
      </c>
      <c r="Z151" s="3">
        <v>3.47</v>
      </c>
      <c r="AA151" s="3">
        <v>4.9400000000000004</v>
      </c>
      <c r="AB151" s="3">
        <v>2.0299999999999998</v>
      </c>
      <c r="AC151" s="3">
        <v>3.48</v>
      </c>
      <c r="AD151" s="3">
        <v>4.93</v>
      </c>
      <c r="AE151" s="3">
        <v>1.96</v>
      </c>
      <c r="AF151" s="3">
        <v>3.46</v>
      </c>
      <c r="AG151" s="3">
        <v>4.9000000000000004</v>
      </c>
      <c r="AH151" s="45">
        <v>1.96</v>
      </c>
      <c r="AI151" s="44">
        <v>3.46</v>
      </c>
      <c r="AJ151" s="45">
        <v>4.9000000000000004</v>
      </c>
      <c r="AK151" s="45">
        <v>6.9444444444444429</v>
      </c>
      <c r="AL151" s="3">
        <v>10.4</v>
      </c>
      <c r="AM151" s="3">
        <v>10.26</v>
      </c>
      <c r="AN151" s="57">
        <v>10.33</v>
      </c>
      <c r="AO151" s="57">
        <v>10.29</v>
      </c>
      <c r="AP151" s="3">
        <v>10.26</v>
      </c>
      <c r="AQ151" s="47">
        <v>10.26</v>
      </c>
      <c r="AR151" s="47">
        <v>10.26</v>
      </c>
      <c r="AS151" s="3">
        <v>30.07</v>
      </c>
      <c r="AT151" s="3">
        <v>29.61</v>
      </c>
      <c r="AU151" s="3">
        <v>28.54</v>
      </c>
      <c r="AV151" s="3"/>
      <c r="AW151" s="3"/>
      <c r="AX151" s="48">
        <v>30.07</v>
      </c>
      <c r="AY151" s="3"/>
      <c r="AZ151" s="3">
        <v>10</v>
      </c>
      <c r="BA151" s="3">
        <v>230</v>
      </c>
      <c r="BB151" s="3">
        <v>11</v>
      </c>
      <c r="BC151" s="3">
        <v>272</v>
      </c>
      <c r="BD151" s="40">
        <v>1136.3610390749141</v>
      </c>
      <c r="BE151" s="40">
        <v>1277.2693191381341</v>
      </c>
      <c r="BF151" s="40"/>
      <c r="BG151" s="40">
        <v>339.83343713841566</v>
      </c>
      <c r="BH151" s="40">
        <v>382.48301380323824</v>
      </c>
      <c r="BI151" s="49">
        <v>2413.6303582130481</v>
      </c>
      <c r="BJ151" s="49">
        <v>722.3164509416539</v>
      </c>
      <c r="BK151" s="66">
        <v>-0.11031994423721148</v>
      </c>
      <c r="BL151" s="66">
        <v>-0.11150711306296834</v>
      </c>
      <c r="BM151" s="51">
        <v>40.702029649461181</v>
      </c>
      <c r="BN151" s="51">
        <v>12.180715867481517</v>
      </c>
      <c r="BO151" s="52">
        <v>315</v>
      </c>
      <c r="BP151" s="40">
        <v>301</v>
      </c>
      <c r="BQ151" s="40">
        <v>315</v>
      </c>
      <c r="BR151" s="67">
        <v>-4.4444444444444398E-2</v>
      </c>
      <c r="BS151" s="54">
        <v>5.1939291736930864</v>
      </c>
      <c r="BT151" s="3">
        <v>124</v>
      </c>
      <c r="BU151" s="40">
        <v>129</v>
      </c>
      <c r="BV151" s="3">
        <v>96</v>
      </c>
      <c r="BW151" s="3">
        <v>98</v>
      </c>
      <c r="BX151" s="70">
        <v>-3.8759689922480578E-2</v>
      </c>
      <c r="BY151" s="70">
        <v>-2.0408163265306145E-2</v>
      </c>
      <c r="BZ151" s="59">
        <v>1.3163265306122449</v>
      </c>
      <c r="CA151" s="59">
        <v>1.2916666666666667</v>
      </c>
      <c r="CB151" s="59">
        <v>1.7819505340078692</v>
      </c>
      <c r="CC151" s="59">
        <v>1.366396852164137</v>
      </c>
      <c r="CD151" s="60">
        <v>109</v>
      </c>
      <c r="CE151" s="60">
        <v>89</v>
      </c>
      <c r="CF151" s="61">
        <v>1.8381112984822936</v>
      </c>
      <c r="CG151" s="61">
        <v>1.5008431703204048</v>
      </c>
      <c r="CH151" s="61">
        <v>0.8165137614678899</v>
      </c>
      <c r="CI151" s="41">
        <v>15.1</v>
      </c>
      <c r="CJ151" s="40">
        <f>VLOOKUP(paper3[[#This Row],[YYIR nivå]],$DB:$DC,2)</f>
        <v>800</v>
      </c>
      <c r="CK151" s="3"/>
      <c r="CL151" s="62"/>
      <c r="CM151" s="63" t="s">
        <v>110</v>
      </c>
      <c r="CN151" s="3">
        <v>129</v>
      </c>
      <c r="CO151" s="3">
        <v>98</v>
      </c>
      <c r="CP151" s="41">
        <v>14.530555555555555</v>
      </c>
      <c r="CQ151" s="3" t="s">
        <v>110</v>
      </c>
      <c r="CR151" s="40">
        <v>126.5</v>
      </c>
      <c r="CS151" s="40">
        <v>97</v>
      </c>
      <c r="CT151" s="40">
        <v>308</v>
      </c>
      <c r="CU151" s="40"/>
      <c r="CV151" s="40"/>
      <c r="CW151" s="40"/>
      <c r="CX151" s="40"/>
      <c r="CY151" s="40">
        <v>0</v>
      </c>
      <c r="CZ151" s="40"/>
      <c r="DA151" s="40"/>
    </row>
    <row r="152" spans="1:105" ht="15.95" customHeight="1">
      <c r="A152" s="3">
        <v>404</v>
      </c>
      <c r="B152" s="38" t="s">
        <v>103</v>
      </c>
      <c r="C152" s="3" t="s">
        <v>115</v>
      </c>
      <c r="D152" s="3" t="s">
        <v>105</v>
      </c>
      <c r="E152" s="39">
        <v>44620</v>
      </c>
      <c r="F152" s="3" t="s">
        <v>186</v>
      </c>
      <c r="G152" s="3" t="s">
        <v>107</v>
      </c>
      <c r="H152" s="3">
        <v>2007</v>
      </c>
      <c r="I152" s="40" t="s">
        <v>116</v>
      </c>
      <c r="J152" s="40" t="s">
        <v>117</v>
      </c>
      <c r="K152" s="3">
        <v>174.8</v>
      </c>
      <c r="L152" s="3">
        <v>174.9</v>
      </c>
      <c r="M152" s="3"/>
      <c r="N152" s="3">
        <v>144.1</v>
      </c>
      <c r="O152" s="3">
        <v>144.30000000000001</v>
      </c>
      <c r="P152" s="3"/>
      <c r="Q152" s="3">
        <v>66.099999999999994</v>
      </c>
      <c r="R152" s="3">
        <v>66.099999999999994</v>
      </c>
      <c r="S152" s="3"/>
      <c r="T152" s="42">
        <v>174.85000000000002</v>
      </c>
      <c r="U152" s="42">
        <f>AVERAGE(paper3[[#This Row],[Sittende høyde 1]:[Sittende høyde 3]])-56.2</f>
        <v>87.999999999999986</v>
      </c>
      <c r="V152" s="12">
        <f>paper3[[#This Row],[height]]-paper3[[#This Row],[sittingheight]]</f>
        <v>86.850000000000037</v>
      </c>
      <c r="W152" s="73">
        <v>66.099999999999994</v>
      </c>
      <c r="X152" s="43" cm="1">
        <f t="array" ref="X152">INDEX([1]!phvny[yphv], MATCH(1, (paper3[[#This Row],[id]]=[1]!phvny[id])*(paper3[[#This Row],[time]]=[1]!phvny[time]), 0))</f>
        <v>2.9878533513392433</v>
      </c>
      <c r="Y152" s="60">
        <v>2.1</v>
      </c>
      <c r="Z152" s="3">
        <v>3.56</v>
      </c>
      <c r="AA152" s="3">
        <v>4.99</v>
      </c>
      <c r="AB152" s="3">
        <v>2.11</v>
      </c>
      <c r="AC152" s="3">
        <v>3.53</v>
      </c>
      <c r="AD152" s="3">
        <v>4.95</v>
      </c>
      <c r="AE152" s="3">
        <v>2.12</v>
      </c>
      <c r="AF152" s="3">
        <v>3.51</v>
      </c>
      <c r="AG152" s="3">
        <v>4.92</v>
      </c>
      <c r="AH152" s="45">
        <v>2.1</v>
      </c>
      <c r="AI152" s="44">
        <v>3.51</v>
      </c>
      <c r="AJ152" s="44">
        <v>4.92</v>
      </c>
      <c r="AK152" s="45">
        <v>7.0921985815602833</v>
      </c>
      <c r="AL152" s="3">
        <v>10.63</v>
      </c>
      <c r="AM152" s="3">
        <v>10.61</v>
      </c>
      <c r="AN152" s="3">
        <v>10.73</v>
      </c>
      <c r="AO152" s="3">
        <v>10.67</v>
      </c>
      <c r="AP152" s="3">
        <v>10.61</v>
      </c>
      <c r="AQ152" s="47">
        <v>10.61</v>
      </c>
      <c r="AR152" s="47">
        <v>10.61</v>
      </c>
      <c r="AS152" s="3">
        <v>24.62</v>
      </c>
      <c r="AT152" s="3">
        <v>27.46</v>
      </c>
      <c r="AU152" s="3">
        <v>29.07</v>
      </c>
      <c r="AV152" s="3">
        <v>28.52</v>
      </c>
      <c r="AW152" s="3"/>
      <c r="AX152" s="48">
        <v>29.07</v>
      </c>
      <c r="AY152" s="3"/>
      <c r="AZ152" s="3">
        <v>10</v>
      </c>
      <c r="BA152" s="3">
        <v>250</v>
      </c>
      <c r="BB152" s="3">
        <v>9</v>
      </c>
      <c r="BC152" s="3">
        <v>249</v>
      </c>
      <c r="BD152" s="40">
        <v>1065.1226237190322</v>
      </c>
      <c r="BE152" s="40">
        <v>1026.2649386959856</v>
      </c>
      <c r="BF152" s="40"/>
      <c r="BG152" s="40">
        <v>533.71136954515032</v>
      </c>
      <c r="BH152" s="40">
        <v>511.63556396904994</v>
      </c>
      <c r="BI152" s="49">
        <v>2091.3875624150178</v>
      </c>
      <c r="BJ152" s="49">
        <v>1045.3469335142004</v>
      </c>
      <c r="BK152" s="66">
        <v>3.7863210130145042E-2</v>
      </c>
      <c r="BL152" s="66">
        <v>4.3147519701026482E-2</v>
      </c>
      <c r="BM152" s="51">
        <v>31.639751322466232</v>
      </c>
      <c r="BN152" s="51">
        <v>15.814628343633895</v>
      </c>
      <c r="BO152" s="52">
        <v>328</v>
      </c>
      <c r="BP152" s="40">
        <v>328</v>
      </c>
      <c r="BQ152" s="40">
        <v>291</v>
      </c>
      <c r="BR152" s="67">
        <v>0.12714776632302405</v>
      </c>
      <c r="BS152" s="54">
        <v>4.6822995461422092</v>
      </c>
      <c r="BT152" s="3">
        <v>134</v>
      </c>
      <c r="BU152" s="40">
        <v>132</v>
      </c>
      <c r="BV152" s="3">
        <v>134</v>
      </c>
      <c r="BW152" s="3">
        <v>132</v>
      </c>
      <c r="BX152" s="70">
        <v>1.5151515151515138E-2</v>
      </c>
      <c r="BY152" s="70">
        <v>1.5151515151515138E-2</v>
      </c>
      <c r="BZ152" s="59">
        <v>1</v>
      </c>
      <c r="CA152" s="59">
        <v>1</v>
      </c>
      <c r="CB152" s="59">
        <v>1.7475113464447816</v>
      </c>
      <c r="CC152" s="59">
        <v>1.7475113464447816</v>
      </c>
      <c r="CD152" s="60">
        <v>81</v>
      </c>
      <c r="CE152" s="60">
        <v>96</v>
      </c>
      <c r="CF152" s="61">
        <v>1.2254160363086235</v>
      </c>
      <c r="CG152" s="61">
        <v>1.4523449319213315</v>
      </c>
      <c r="CH152" s="61">
        <v>1.1851851851851851</v>
      </c>
      <c r="CI152" s="41">
        <v>15.4</v>
      </c>
      <c r="CJ152" s="40">
        <f>VLOOKUP(paper3[[#This Row],[YYIR nivå]],$DB:$DC,2)</f>
        <v>920</v>
      </c>
      <c r="CK152" s="3"/>
      <c r="CL152" s="62"/>
      <c r="CM152" s="63" t="s">
        <v>110</v>
      </c>
      <c r="CN152" s="3">
        <v>134</v>
      </c>
      <c r="CO152" s="3">
        <v>134</v>
      </c>
      <c r="CP152" s="41">
        <v>15.144444444444444</v>
      </c>
      <c r="CQ152" s="3" t="s">
        <v>110</v>
      </c>
      <c r="CR152" s="40">
        <v>133</v>
      </c>
      <c r="CS152" s="40">
        <v>133</v>
      </c>
      <c r="CT152" s="40">
        <v>309.5</v>
      </c>
      <c r="CU152" s="40"/>
      <c r="CV152" s="40"/>
      <c r="CW152" s="40"/>
      <c r="CX152" s="40"/>
      <c r="CY152" s="40">
        <v>0</v>
      </c>
      <c r="CZ152" s="40"/>
      <c r="DA152" s="40"/>
    </row>
    <row r="153" spans="1:105" ht="15.95" customHeight="1">
      <c r="A153" s="3">
        <v>405</v>
      </c>
      <c r="B153" s="38" t="s">
        <v>103</v>
      </c>
      <c r="C153" s="3" t="s">
        <v>115</v>
      </c>
      <c r="D153" s="3" t="s">
        <v>105</v>
      </c>
      <c r="E153" s="39">
        <v>44620</v>
      </c>
      <c r="F153" s="3" t="s">
        <v>186</v>
      </c>
      <c r="G153" s="3" t="s">
        <v>107</v>
      </c>
      <c r="H153" s="3">
        <v>2007</v>
      </c>
      <c r="I153" s="40" t="s">
        <v>116</v>
      </c>
      <c r="J153" s="40" t="s">
        <v>117</v>
      </c>
      <c r="K153" s="3">
        <v>168.8</v>
      </c>
      <c r="L153" s="3">
        <v>168.6</v>
      </c>
      <c r="M153" s="3"/>
      <c r="N153" s="3">
        <v>140.69999999999999</v>
      </c>
      <c r="O153" s="3">
        <v>140.69999999999999</v>
      </c>
      <c r="P153" s="3"/>
      <c r="Q153" s="3">
        <v>65.3</v>
      </c>
      <c r="R153" s="3">
        <v>65.3</v>
      </c>
      <c r="S153" s="3"/>
      <c r="T153" s="42">
        <v>168.7</v>
      </c>
      <c r="U153" s="42">
        <f>AVERAGE(paper3[[#This Row],[Sittende høyde 1]:[Sittende høyde 3]])-56.2</f>
        <v>84.499999999999986</v>
      </c>
      <c r="V153" s="12">
        <f>paper3[[#This Row],[height]]-paper3[[#This Row],[sittingheight]]</f>
        <v>84.2</v>
      </c>
      <c r="W153" s="73">
        <v>65.3</v>
      </c>
      <c r="X153" s="43" cm="1">
        <f t="array" ref="X153">INDEX([1]!phvny[yphv], MATCH(1, (paper3[[#This Row],[id]]=[1]!phvny[id])*(paper3[[#This Row],[time]]=[1]!phvny[time]), 0))</f>
        <v>2.3481498222982924</v>
      </c>
      <c r="Y153" s="3">
        <v>2.15</v>
      </c>
      <c r="Z153" s="3">
        <v>3.63</v>
      </c>
      <c r="AA153" s="3">
        <v>5.13</v>
      </c>
      <c r="AB153" s="3">
        <v>2.17</v>
      </c>
      <c r="AC153" s="3">
        <v>3.66</v>
      </c>
      <c r="AD153" s="3">
        <v>5.18</v>
      </c>
      <c r="AE153" s="3">
        <v>2.17</v>
      </c>
      <c r="AF153" s="3">
        <v>3.64</v>
      </c>
      <c r="AG153" s="3">
        <v>5.18</v>
      </c>
      <c r="AH153" s="45">
        <v>2.15</v>
      </c>
      <c r="AI153" s="44">
        <v>3.63</v>
      </c>
      <c r="AJ153" s="44">
        <v>5.13</v>
      </c>
      <c r="AK153" s="45">
        <v>6.666666666666667</v>
      </c>
      <c r="AL153" s="3">
        <v>10.5</v>
      </c>
      <c r="AM153" s="3">
        <v>10.47</v>
      </c>
      <c r="AN153" s="3">
        <v>11.19</v>
      </c>
      <c r="AO153" s="3">
        <v>10.85</v>
      </c>
      <c r="AP153" s="3">
        <v>10.47</v>
      </c>
      <c r="AQ153" s="47">
        <v>10.47</v>
      </c>
      <c r="AR153" s="47">
        <v>10.47</v>
      </c>
      <c r="AS153" s="3">
        <v>24.63</v>
      </c>
      <c r="AT153" s="3">
        <v>24.96</v>
      </c>
      <c r="AU153" s="3">
        <v>26.95</v>
      </c>
      <c r="AV153" s="3"/>
      <c r="AW153" s="3"/>
      <c r="AX153" s="48">
        <v>26.95</v>
      </c>
      <c r="AY153" s="3"/>
      <c r="AZ153" s="3">
        <v>9</v>
      </c>
      <c r="BA153" s="3">
        <v>230</v>
      </c>
      <c r="BB153" s="3">
        <v>9</v>
      </c>
      <c r="BC153" s="3">
        <v>229</v>
      </c>
      <c r="BD153" s="40">
        <v>835.10358650418459</v>
      </c>
      <c r="BE153" s="40">
        <v>872.15797840379923</v>
      </c>
      <c r="BF153" s="40"/>
      <c r="BG153" s="40">
        <v>410.28396511336859</v>
      </c>
      <c r="BH153" s="40">
        <v>413.25831433105077</v>
      </c>
      <c r="BI153" s="49">
        <v>1707.2615649079839</v>
      </c>
      <c r="BJ153" s="49">
        <v>823.54227944441936</v>
      </c>
      <c r="BK153" s="66">
        <v>-4.2485871616321891E-2</v>
      </c>
      <c r="BL153" s="66">
        <v>-7.1973124666513399E-3</v>
      </c>
      <c r="BM153" s="51">
        <v>26.144893796446922</v>
      </c>
      <c r="BN153" s="51">
        <v>12.611673498383146</v>
      </c>
      <c r="BO153" s="52">
        <v>210</v>
      </c>
      <c r="BP153" s="40">
        <v>210</v>
      </c>
      <c r="BQ153" s="40">
        <v>204</v>
      </c>
      <c r="BR153" s="67">
        <v>2.9411764705882248E-2</v>
      </c>
      <c r="BS153" s="54">
        <v>3.1699846860643186</v>
      </c>
      <c r="BT153" s="3">
        <v>111</v>
      </c>
      <c r="BU153" s="40">
        <v>113</v>
      </c>
      <c r="BV153" s="3">
        <v>124</v>
      </c>
      <c r="BW153" s="3">
        <v>131</v>
      </c>
      <c r="BX153" s="70">
        <v>-1.7699115044247815E-2</v>
      </c>
      <c r="BY153" s="70">
        <v>-5.3435114503816772E-2</v>
      </c>
      <c r="BZ153" s="59">
        <v>0.86259541984732824</v>
      </c>
      <c r="CA153" s="59">
        <v>0.89516129032258063</v>
      </c>
      <c r="CB153" s="59">
        <v>1.44416539050536</v>
      </c>
      <c r="CC153" s="59">
        <v>1.6440275650842269</v>
      </c>
      <c r="CD153" s="60">
        <v>87</v>
      </c>
      <c r="CE153" s="60">
        <v>84</v>
      </c>
      <c r="CF153" s="61">
        <v>1.332312404287902</v>
      </c>
      <c r="CG153" s="61">
        <v>1.2863705972434916</v>
      </c>
      <c r="CH153" s="61">
        <v>0.96551724137931039</v>
      </c>
      <c r="CI153" s="41">
        <v>14.1</v>
      </c>
      <c r="CJ153" s="40">
        <f>VLOOKUP(paper3[[#This Row],[YYIR nivå]],$DB:$DC,2)</f>
        <v>480</v>
      </c>
      <c r="CK153" s="3"/>
      <c r="CL153" s="62"/>
      <c r="CM153" s="63" t="s">
        <v>110</v>
      </c>
      <c r="CN153" s="3">
        <v>113</v>
      </c>
      <c r="CO153" s="3">
        <v>131</v>
      </c>
      <c r="CP153" s="41">
        <v>14.661111111111111</v>
      </c>
      <c r="CQ153" s="3" t="s">
        <v>110</v>
      </c>
      <c r="CR153" s="40">
        <v>112</v>
      </c>
      <c r="CS153" s="40">
        <v>127.5</v>
      </c>
      <c r="CT153" s="40">
        <v>207</v>
      </c>
      <c r="CU153" s="40"/>
      <c r="CV153" s="40"/>
      <c r="CW153" s="40"/>
      <c r="CX153" s="40"/>
      <c r="CY153" s="40" t="s">
        <v>125</v>
      </c>
      <c r="CZ153" s="40"/>
      <c r="DA153" s="40"/>
    </row>
    <row r="154" spans="1:105" ht="15.95" customHeight="1">
      <c r="A154" s="3">
        <v>408</v>
      </c>
      <c r="B154" s="38" t="s">
        <v>103</v>
      </c>
      <c r="C154" s="3" t="s">
        <v>115</v>
      </c>
      <c r="D154" s="3" t="s">
        <v>105</v>
      </c>
      <c r="E154" s="39">
        <v>44627</v>
      </c>
      <c r="F154" s="3" t="s">
        <v>186</v>
      </c>
      <c r="G154" s="3" t="s">
        <v>107</v>
      </c>
      <c r="H154" s="3">
        <v>2007</v>
      </c>
      <c r="I154" s="40" t="s">
        <v>116</v>
      </c>
      <c r="J154" s="40" t="s">
        <v>117</v>
      </c>
      <c r="K154" s="3">
        <v>169.5</v>
      </c>
      <c r="L154" s="3">
        <v>169.5</v>
      </c>
      <c r="M154" s="3"/>
      <c r="N154" s="3">
        <v>143</v>
      </c>
      <c r="O154" s="3">
        <v>142.6</v>
      </c>
      <c r="P154" s="3">
        <v>142.6</v>
      </c>
      <c r="Q154" s="3">
        <v>51.6</v>
      </c>
      <c r="R154" s="3">
        <v>51.6</v>
      </c>
      <c r="S154" s="3"/>
      <c r="T154" s="42">
        <v>169.5</v>
      </c>
      <c r="U154" s="42">
        <f>AVERAGE(paper3[[#This Row],[Sittende høyde 1]:[Sittende høyde 3]])-56.2</f>
        <v>86.533333333333346</v>
      </c>
      <c r="V154" s="12">
        <f>paper3[[#This Row],[height]]-paper3[[#This Row],[sittingheight]]</f>
        <v>82.966666666666654</v>
      </c>
      <c r="W154" s="73">
        <v>51.6</v>
      </c>
      <c r="X154" s="43" cm="1">
        <f t="array" ref="X154">INDEX([1]!phvny[yphv], MATCH(1, (paper3[[#This Row],[id]]=[1]!phvny[id])*(paper3[[#This Row],[time]]=[1]!phvny[time]), 0))</f>
        <v>2.4033707442681091</v>
      </c>
      <c r="Y154" s="3">
        <v>2.34</v>
      </c>
      <c r="Z154" s="3">
        <v>3.92</v>
      </c>
      <c r="AA154" s="3">
        <v>5.47</v>
      </c>
      <c r="AB154" s="3">
        <v>2.2000000000000002</v>
      </c>
      <c r="AC154" s="3">
        <v>3.7</v>
      </c>
      <c r="AD154" s="3">
        <v>5.21</v>
      </c>
      <c r="AE154" s="3">
        <v>2.14</v>
      </c>
      <c r="AF154" s="3">
        <v>3.65</v>
      </c>
      <c r="AG154" s="3">
        <v>5.19</v>
      </c>
      <c r="AH154" s="44">
        <v>2.14</v>
      </c>
      <c r="AI154" s="44">
        <v>3.65</v>
      </c>
      <c r="AJ154" s="44">
        <v>5.19</v>
      </c>
      <c r="AK154" s="45">
        <v>6.4935064935064917</v>
      </c>
      <c r="AL154" s="3">
        <v>11.4</v>
      </c>
      <c r="AM154" s="3">
        <v>10.99</v>
      </c>
      <c r="AN154" s="3">
        <v>11.29</v>
      </c>
      <c r="AO154" s="3">
        <v>10.78</v>
      </c>
      <c r="AP154" s="3">
        <v>10.78</v>
      </c>
      <c r="AQ154" s="47">
        <v>10.99</v>
      </c>
      <c r="AR154" s="47">
        <v>10.78</v>
      </c>
      <c r="AS154" s="3">
        <v>25.57</v>
      </c>
      <c r="AT154" s="3">
        <v>25.78</v>
      </c>
      <c r="AU154" s="3">
        <v>26.42</v>
      </c>
      <c r="AV154" s="3">
        <v>26.49</v>
      </c>
      <c r="AW154" s="3"/>
      <c r="AX154" s="48">
        <v>26.49</v>
      </c>
      <c r="AY154" s="3"/>
      <c r="AZ154" s="3">
        <v>8</v>
      </c>
      <c r="BA154" s="3">
        <v>220</v>
      </c>
      <c r="BB154" s="3">
        <v>6</v>
      </c>
      <c r="BC154" s="3">
        <v>159</v>
      </c>
      <c r="BD154" s="40">
        <v>640.09290542265558</v>
      </c>
      <c r="BE154" s="40">
        <v>639.53996561773192</v>
      </c>
      <c r="BF154" s="40"/>
      <c r="BG154" s="40">
        <v>296.3371648351648</v>
      </c>
      <c r="BH154" s="40">
        <v>301.34575437430777</v>
      </c>
      <c r="BI154" s="49">
        <v>1279.6328710403875</v>
      </c>
      <c r="BJ154" s="49">
        <v>597.68291920947263</v>
      </c>
      <c r="BK154" s="66">
        <v>8.64589915642755E-4</v>
      </c>
      <c r="BL154" s="66">
        <v>-1.6620740350374086E-2</v>
      </c>
      <c r="BM154" s="51">
        <v>24.799086648069526</v>
      </c>
      <c r="BN154" s="51">
        <v>11.583002310261097</v>
      </c>
      <c r="BO154" s="52">
        <v>173</v>
      </c>
      <c r="BP154" s="40">
        <v>173</v>
      </c>
      <c r="BQ154" s="40">
        <v>170</v>
      </c>
      <c r="BR154" s="67">
        <v>1.7647058823529349E-2</v>
      </c>
      <c r="BS154" s="54">
        <v>3.3236434108527129</v>
      </c>
      <c r="BT154" s="3">
        <v>78</v>
      </c>
      <c r="BU154" s="40">
        <v>76</v>
      </c>
      <c r="BV154" s="3">
        <v>102</v>
      </c>
      <c r="BW154" s="3">
        <v>104</v>
      </c>
      <c r="BX154" s="70">
        <v>2.6315789473684292E-2</v>
      </c>
      <c r="BY154" s="70">
        <v>-1.9230769230769273E-2</v>
      </c>
      <c r="BZ154" s="59">
        <v>0.73076923076923073</v>
      </c>
      <c r="CA154" s="59">
        <v>0.76470588235294112</v>
      </c>
      <c r="CB154" s="59">
        <v>1.2380684754521962</v>
      </c>
      <c r="CC154" s="59">
        <v>1.6561175710594314</v>
      </c>
      <c r="CD154" s="60">
        <v>66</v>
      </c>
      <c r="CE154" s="60">
        <v>66</v>
      </c>
      <c r="CF154" s="61">
        <v>1.2790697674418605</v>
      </c>
      <c r="CG154" s="61">
        <v>1.2790697674418605</v>
      </c>
      <c r="CH154" s="61">
        <v>1</v>
      </c>
      <c r="CI154" s="41">
        <v>14.3</v>
      </c>
      <c r="CJ154" s="40">
        <f>VLOOKUP(paper3[[#This Row],[YYIR nivå]],$DB:$DC,2)</f>
        <v>560</v>
      </c>
      <c r="CK154" s="3" t="s">
        <v>188</v>
      </c>
      <c r="CL154" s="62"/>
      <c r="CM154" s="63" t="s">
        <v>110</v>
      </c>
      <c r="CN154" s="3">
        <v>78</v>
      </c>
      <c r="CO154" s="3">
        <v>104</v>
      </c>
      <c r="CP154" s="41">
        <v>14.680555555555555</v>
      </c>
      <c r="CQ154" s="3" t="s">
        <v>110</v>
      </c>
      <c r="CR154" s="40">
        <v>77</v>
      </c>
      <c r="CS154" s="40">
        <v>103</v>
      </c>
      <c r="CT154" s="40">
        <v>171.5</v>
      </c>
      <c r="CU154" s="40"/>
      <c r="CV154" s="40"/>
      <c r="CW154" s="40"/>
      <c r="CX154" s="40"/>
      <c r="CY154" s="40">
        <v>0</v>
      </c>
      <c r="CZ154" s="40"/>
      <c r="DA154" s="40"/>
    </row>
    <row r="155" spans="1:105" ht="15.95" customHeight="1">
      <c r="A155" s="3">
        <v>409</v>
      </c>
      <c r="B155" s="38" t="s">
        <v>103</v>
      </c>
      <c r="C155" s="3" t="s">
        <v>115</v>
      </c>
      <c r="D155" s="3" t="s">
        <v>105</v>
      </c>
      <c r="E155" s="39">
        <v>44627</v>
      </c>
      <c r="F155" s="3" t="s">
        <v>186</v>
      </c>
      <c r="G155" s="3" t="s">
        <v>107</v>
      </c>
      <c r="H155" s="3">
        <v>2007</v>
      </c>
      <c r="I155" s="40" t="s">
        <v>116</v>
      </c>
      <c r="J155" s="40" t="s">
        <v>117</v>
      </c>
      <c r="K155" s="3">
        <v>158.6</v>
      </c>
      <c r="L155" s="3">
        <v>158.5</v>
      </c>
      <c r="M155" s="3"/>
      <c r="N155" s="3">
        <v>139.19999999999999</v>
      </c>
      <c r="O155" s="3">
        <v>139.4</v>
      </c>
      <c r="P155" s="3"/>
      <c r="Q155" s="3">
        <v>77.599999999999994</v>
      </c>
      <c r="R155" s="3">
        <v>77.7</v>
      </c>
      <c r="S155" s="3"/>
      <c r="T155" s="42">
        <v>158.55000000000001</v>
      </c>
      <c r="U155" s="42">
        <f>AVERAGE(paper3[[#This Row],[Sittende høyde 1]:[Sittende høyde 3]])-56.2</f>
        <v>83.100000000000009</v>
      </c>
      <c r="V155" s="12">
        <f>paper3[[#This Row],[height]]-paper3[[#This Row],[sittingheight]]</f>
        <v>75.45</v>
      </c>
      <c r="W155" s="73">
        <v>77.650000000000006</v>
      </c>
      <c r="X155" s="43" cm="1">
        <f t="array" ref="X155">INDEX([1]!phvny[yphv], MATCH(1, (paper3[[#This Row],[id]]=[1]!phvny[id])*(paper3[[#This Row],[time]]=[1]!phvny[time]), 0))</f>
        <v>2.2179691656335558</v>
      </c>
      <c r="Y155" s="3">
        <v>2.1800000000000002</v>
      </c>
      <c r="Z155" s="3">
        <v>3.77</v>
      </c>
      <c r="AA155" s="3">
        <v>5.42</v>
      </c>
      <c r="AB155" s="3">
        <v>2.17</v>
      </c>
      <c r="AC155" s="3">
        <v>3.8</v>
      </c>
      <c r="AD155" s="3">
        <v>5.42</v>
      </c>
      <c r="AE155" s="3">
        <v>2.16</v>
      </c>
      <c r="AF155" s="3">
        <v>3.8</v>
      </c>
      <c r="AG155" s="3">
        <v>5.42</v>
      </c>
      <c r="AH155" s="44">
        <v>2.16</v>
      </c>
      <c r="AI155" s="44">
        <v>3.77</v>
      </c>
      <c r="AJ155" s="44">
        <v>5.42</v>
      </c>
      <c r="AK155" s="45">
        <v>6.0606060606060606</v>
      </c>
      <c r="AL155" s="46">
        <v>12.24</v>
      </c>
      <c r="AM155" s="3">
        <v>11.86</v>
      </c>
      <c r="AN155" s="3">
        <v>11.54</v>
      </c>
      <c r="AO155" s="3">
        <v>11.37</v>
      </c>
      <c r="AP155" s="3">
        <v>11.37</v>
      </c>
      <c r="AQ155" s="47">
        <v>11.86</v>
      </c>
      <c r="AR155" s="47">
        <v>11.37</v>
      </c>
      <c r="AS155" s="3">
        <v>24.06</v>
      </c>
      <c r="AT155" s="3">
        <v>25.39</v>
      </c>
      <c r="AU155" s="3">
        <v>23.19</v>
      </c>
      <c r="AV155" s="3"/>
      <c r="AW155" s="3"/>
      <c r="AX155" s="48">
        <v>25.39</v>
      </c>
      <c r="AY155" s="3"/>
      <c r="AZ155" s="3">
        <v>7</v>
      </c>
      <c r="BA155" s="3">
        <v>230</v>
      </c>
      <c r="BB155" s="3">
        <v>11</v>
      </c>
      <c r="BC155" s="3">
        <v>272</v>
      </c>
      <c r="BD155" s="40">
        <v>1180.5966807536745</v>
      </c>
      <c r="BE155" s="40">
        <v>1120.216944005781</v>
      </c>
      <c r="BF155" s="40"/>
      <c r="BG155" s="40">
        <v>560.83971083785082</v>
      </c>
      <c r="BH155" s="40">
        <v>523.56455750890166</v>
      </c>
      <c r="BI155" s="49">
        <v>2300.8136247594557</v>
      </c>
      <c r="BJ155" s="49">
        <v>1084.4042683467524</v>
      </c>
      <c r="BK155" s="66">
        <v>5.3900038801396599E-2</v>
      </c>
      <c r="BL155" s="66">
        <v>7.1194951595468625E-2</v>
      </c>
      <c r="BM155" s="51">
        <v>29.649660112879587</v>
      </c>
      <c r="BN155" s="51">
        <v>13.974281808592171</v>
      </c>
      <c r="BO155" s="52">
        <v>319</v>
      </c>
      <c r="BP155" s="40">
        <v>306</v>
      </c>
      <c r="BQ155" s="40">
        <v>319</v>
      </c>
      <c r="BR155" s="67">
        <v>-4.0752351097178674E-2</v>
      </c>
      <c r="BS155" s="54">
        <v>4.0244687701223434</v>
      </c>
      <c r="BT155" s="3">
        <v>108</v>
      </c>
      <c r="BU155" s="40">
        <v>116</v>
      </c>
      <c r="BV155" s="3">
        <v>114</v>
      </c>
      <c r="BW155" s="3">
        <v>116</v>
      </c>
      <c r="BX155" s="70">
        <v>-6.8965517241379337E-2</v>
      </c>
      <c r="BY155" s="70">
        <v>-1.7241379310344862E-2</v>
      </c>
      <c r="BZ155" s="59">
        <v>1</v>
      </c>
      <c r="CA155" s="59">
        <v>0.94736842105263153</v>
      </c>
      <c r="CB155" s="59">
        <v>1.0882678686413394</v>
      </c>
      <c r="CC155" s="59">
        <v>1.1174179008370895</v>
      </c>
      <c r="CD155" s="60">
        <v>74</v>
      </c>
      <c r="CE155" s="60">
        <v>86</v>
      </c>
      <c r="CF155" s="61">
        <v>0.95299420476497099</v>
      </c>
      <c r="CG155" s="61">
        <v>1.1075338055376689</v>
      </c>
      <c r="CH155" s="61">
        <v>1.1621621621621621</v>
      </c>
      <c r="CI155" s="41">
        <v>12.3</v>
      </c>
      <c r="CJ155" s="40">
        <f>VLOOKUP(paper3[[#This Row],[YYIR nivå]],$DB:$DC,2)</f>
        <v>280</v>
      </c>
      <c r="CK155" s="3"/>
      <c r="CL155" s="62"/>
      <c r="CM155" s="63" t="s">
        <v>110</v>
      </c>
      <c r="CN155" s="3">
        <v>116</v>
      </c>
      <c r="CO155" s="3">
        <v>116</v>
      </c>
      <c r="CP155" s="41">
        <v>14.936111111111112</v>
      </c>
      <c r="CQ155" s="3" t="s">
        <v>110</v>
      </c>
      <c r="CR155" s="40">
        <v>112</v>
      </c>
      <c r="CS155" s="40">
        <v>115</v>
      </c>
      <c r="CT155" s="40">
        <v>312.5</v>
      </c>
      <c r="CU155" s="40"/>
      <c r="CV155" s="40"/>
      <c r="CW155" s="40"/>
      <c r="CX155" s="40"/>
      <c r="CY155" s="40">
        <v>0</v>
      </c>
      <c r="CZ155" s="40"/>
      <c r="DA155" s="40"/>
    </row>
    <row r="156" spans="1:105" ht="15.95" customHeight="1">
      <c r="A156" s="3">
        <v>410</v>
      </c>
      <c r="B156" s="38" t="s">
        <v>103</v>
      </c>
      <c r="C156" s="3" t="s">
        <v>115</v>
      </c>
      <c r="D156" s="3" t="s">
        <v>105</v>
      </c>
      <c r="E156" s="39">
        <v>44627</v>
      </c>
      <c r="F156" s="3" t="s">
        <v>186</v>
      </c>
      <c r="G156" s="3" t="s">
        <v>107</v>
      </c>
      <c r="H156" s="3">
        <v>2007</v>
      </c>
      <c r="I156" s="40" t="s">
        <v>116</v>
      </c>
      <c r="J156" s="40" t="s">
        <v>117</v>
      </c>
      <c r="K156" s="3">
        <v>179.8</v>
      </c>
      <c r="L156" s="3">
        <v>179.6</v>
      </c>
      <c r="M156" s="3"/>
      <c r="N156" s="3">
        <v>145.6</v>
      </c>
      <c r="O156" s="3">
        <v>145.69999999999999</v>
      </c>
      <c r="P156" s="3"/>
      <c r="Q156" s="3">
        <v>65.3</v>
      </c>
      <c r="R156" s="3">
        <v>65.3</v>
      </c>
      <c r="S156" s="3"/>
      <c r="T156" s="42">
        <v>179.7</v>
      </c>
      <c r="U156" s="42">
        <f>AVERAGE(paper3[[#This Row],[Sittende høyde 1]:[Sittende høyde 3]])-56.2</f>
        <v>89.449999999999974</v>
      </c>
      <c r="V156" s="12">
        <f>paper3[[#This Row],[height]]-paper3[[#This Row],[sittingheight]]</f>
        <v>90.250000000000014</v>
      </c>
      <c r="W156" s="73">
        <v>65.3</v>
      </c>
      <c r="X156" s="43" cm="1">
        <f t="array" ref="X156">INDEX([1]!phvny[yphv], MATCH(1, (paper3[[#This Row],[id]]=[1]!phvny[id])*(paper3[[#This Row],[time]]=[1]!phvny[time]), 0))</f>
        <v>2.8039973996535879</v>
      </c>
      <c r="Y156" s="3">
        <v>2.15</v>
      </c>
      <c r="Z156" s="3">
        <v>3.68</v>
      </c>
      <c r="AA156" s="3">
        <v>5.24</v>
      </c>
      <c r="AB156" s="3">
        <v>2.15</v>
      </c>
      <c r="AC156" s="3">
        <v>3.69</v>
      </c>
      <c r="AD156" s="3">
        <v>5.24</v>
      </c>
      <c r="AE156" s="3">
        <v>2.19</v>
      </c>
      <c r="AF156" s="3">
        <v>3.76</v>
      </c>
      <c r="AG156" s="3">
        <v>5.33</v>
      </c>
      <c r="AH156" s="44">
        <v>2.15</v>
      </c>
      <c r="AI156" s="44">
        <v>3.68</v>
      </c>
      <c r="AJ156" s="44">
        <v>5.24</v>
      </c>
      <c r="AK156" s="45">
        <v>6.4102564102564097</v>
      </c>
      <c r="AL156" s="3">
        <v>12.46</v>
      </c>
      <c r="AM156" s="3">
        <v>12.55</v>
      </c>
      <c r="AN156" s="3">
        <v>13.1</v>
      </c>
      <c r="AO156" s="46">
        <v>14.13</v>
      </c>
      <c r="AP156" s="46">
        <v>12.46</v>
      </c>
      <c r="AQ156" s="47">
        <v>12.46</v>
      </c>
      <c r="AR156" s="47">
        <v>13.1</v>
      </c>
      <c r="AS156" s="3">
        <v>24.85</v>
      </c>
      <c r="AT156" s="3">
        <v>24.24</v>
      </c>
      <c r="AU156" s="3">
        <v>24.41</v>
      </c>
      <c r="AV156" s="3"/>
      <c r="AW156" s="3"/>
      <c r="AX156" s="48">
        <v>24.85</v>
      </c>
      <c r="AY156" s="3"/>
      <c r="AZ156" s="3">
        <v>10</v>
      </c>
      <c r="BA156" s="3">
        <v>220</v>
      </c>
      <c r="BB156" s="3">
        <v>7</v>
      </c>
      <c r="BC156" s="3">
        <v>179</v>
      </c>
      <c r="BD156" s="40">
        <v>848.49433319756633</v>
      </c>
      <c r="BE156" s="40">
        <v>843.95890873439566</v>
      </c>
      <c r="BF156" s="40"/>
      <c r="BG156" s="40">
        <v>319.32244784645172</v>
      </c>
      <c r="BH156" s="40">
        <v>327.29543143899923</v>
      </c>
      <c r="BI156" s="49">
        <v>1692.4532419319621</v>
      </c>
      <c r="BJ156" s="49">
        <v>646.61787928545095</v>
      </c>
      <c r="BK156" s="66">
        <v>5.3739873070028921E-3</v>
      </c>
      <c r="BL156" s="66">
        <v>-2.4360204349609171E-2</v>
      </c>
      <c r="BM156" s="51">
        <v>25.918120090841686</v>
      </c>
      <c r="BN156" s="51">
        <v>9.9022646138660182</v>
      </c>
      <c r="BO156" s="52">
        <v>258</v>
      </c>
      <c r="BP156" s="40">
        <v>258</v>
      </c>
      <c r="BQ156" s="40">
        <v>237</v>
      </c>
      <c r="BR156" s="67">
        <v>8.8607594936708889E-2</v>
      </c>
      <c r="BS156" s="54">
        <v>3.7901990811638591</v>
      </c>
      <c r="BT156" s="46">
        <v>88.75</v>
      </c>
      <c r="BU156" s="40">
        <v>90</v>
      </c>
      <c r="BV156" s="3">
        <v>86</v>
      </c>
      <c r="BW156" s="3">
        <v>85</v>
      </c>
      <c r="BX156" s="70">
        <v>-1.388888888888884E-2</v>
      </c>
      <c r="BY156" s="70">
        <v>1.1764705882352899E-2</v>
      </c>
      <c r="BZ156" s="59">
        <v>1.0588235294117647</v>
      </c>
      <c r="CA156" s="59">
        <v>1.0319767441860466</v>
      </c>
      <c r="CB156" s="59">
        <v>1.2352364088820831</v>
      </c>
      <c r="CC156" s="59">
        <v>1.1816807044410418</v>
      </c>
      <c r="CD156" s="60">
        <v>89</v>
      </c>
      <c r="CE156" s="60">
        <v>105</v>
      </c>
      <c r="CF156" s="61">
        <v>1.3629402756508424</v>
      </c>
      <c r="CG156" s="61">
        <v>1.6079632465543645</v>
      </c>
      <c r="CH156" s="61">
        <v>1.1797752808988764</v>
      </c>
      <c r="CI156" s="41"/>
      <c r="CJ156" s="40"/>
      <c r="CK156" s="3"/>
      <c r="CL156" s="62"/>
      <c r="CM156" s="63" t="s">
        <v>110</v>
      </c>
      <c r="CN156" s="3">
        <v>90</v>
      </c>
      <c r="CO156" s="3">
        <v>86</v>
      </c>
      <c r="CP156" s="41">
        <v>14.366666666666667</v>
      </c>
      <c r="CQ156" s="3" t="s">
        <v>110</v>
      </c>
      <c r="CR156" s="40">
        <v>89.375</v>
      </c>
      <c r="CS156" s="40">
        <v>85.5</v>
      </c>
      <c r="CT156" s="40">
        <v>247.5</v>
      </c>
      <c r="CU156" s="40"/>
      <c r="CV156" s="40"/>
      <c r="CW156" s="40"/>
      <c r="CX156" s="40"/>
      <c r="CY156" s="40">
        <v>0</v>
      </c>
      <c r="CZ156" s="40"/>
      <c r="DA156" s="40"/>
    </row>
    <row r="157" spans="1:105" ht="15.95" customHeight="1">
      <c r="A157" s="3">
        <v>411</v>
      </c>
      <c r="B157" s="38" t="s">
        <v>103</v>
      </c>
      <c r="C157" s="3" t="s">
        <v>115</v>
      </c>
      <c r="D157" s="3" t="s">
        <v>105</v>
      </c>
      <c r="E157" s="39">
        <v>44627</v>
      </c>
      <c r="F157" s="3" t="s">
        <v>186</v>
      </c>
      <c r="G157" s="3" t="s">
        <v>107</v>
      </c>
      <c r="H157" s="3">
        <v>2007</v>
      </c>
      <c r="I157" s="40" t="s">
        <v>116</v>
      </c>
      <c r="J157" s="40" t="s">
        <v>117</v>
      </c>
      <c r="K157" s="3">
        <v>172</v>
      </c>
      <c r="L157" s="3">
        <v>172.2</v>
      </c>
      <c r="M157" s="3"/>
      <c r="N157" s="3">
        <v>142.30000000000001</v>
      </c>
      <c r="O157" s="3">
        <v>142.9</v>
      </c>
      <c r="P157" s="3">
        <v>142.19999999999999</v>
      </c>
      <c r="Q157" s="3">
        <v>52.5</v>
      </c>
      <c r="R157" s="3">
        <v>52.5</v>
      </c>
      <c r="S157" s="3"/>
      <c r="T157" s="42">
        <v>172.1</v>
      </c>
      <c r="U157" s="42">
        <f>AVERAGE(paper3[[#This Row],[Sittende høyde 1]:[Sittende høyde 3]])-56.2</f>
        <v>86.266666666666666</v>
      </c>
      <c r="V157" s="12">
        <f>paper3[[#This Row],[height]]-paper3[[#This Row],[sittingheight]]</f>
        <v>85.833333333333329</v>
      </c>
      <c r="W157" s="73">
        <v>52.5</v>
      </c>
      <c r="X157" s="43" cm="1">
        <f t="array" ref="X157">INDEX([1]!phvny[yphv], MATCH(1, (paper3[[#This Row],[id]]=[1]!phvny[id])*(paper3[[#This Row],[time]]=[1]!phvny[time]), 0))</f>
        <v>2.6065888193982825</v>
      </c>
      <c r="Y157" s="3">
        <v>1.93</v>
      </c>
      <c r="Z157" s="3">
        <v>3.32</v>
      </c>
      <c r="AA157" s="3">
        <v>4.6399999999999997</v>
      </c>
      <c r="AB157" s="3">
        <v>1.94</v>
      </c>
      <c r="AC157" s="3">
        <v>3.34</v>
      </c>
      <c r="AD157" s="3">
        <v>4.6900000000000004</v>
      </c>
      <c r="AE157" s="3">
        <v>2</v>
      </c>
      <c r="AF157" s="3">
        <v>3.43</v>
      </c>
      <c r="AG157" s="3">
        <v>4.82</v>
      </c>
      <c r="AH157" s="44">
        <v>1.93</v>
      </c>
      <c r="AI157" s="44">
        <v>3.32</v>
      </c>
      <c r="AJ157" s="44">
        <v>4.6399999999999997</v>
      </c>
      <c r="AK157" s="45">
        <v>7.575757575757577</v>
      </c>
      <c r="AL157" s="3">
        <v>11.07</v>
      </c>
      <c r="AM157" s="3">
        <v>10.74</v>
      </c>
      <c r="AN157" s="3">
        <v>10.67</v>
      </c>
      <c r="AO157" s="3">
        <v>10.35</v>
      </c>
      <c r="AP157" s="3">
        <v>10.35</v>
      </c>
      <c r="AQ157" s="47">
        <v>10.74</v>
      </c>
      <c r="AR157" s="47">
        <v>10.35</v>
      </c>
      <c r="AS157" s="3">
        <v>31.07</v>
      </c>
      <c r="AT157" s="3">
        <v>30.09</v>
      </c>
      <c r="AU157" s="3">
        <v>33.04</v>
      </c>
      <c r="AV157" s="3">
        <v>28.97</v>
      </c>
      <c r="AW157" s="3"/>
      <c r="AX157" s="48">
        <v>33.04</v>
      </c>
      <c r="AY157" s="3"/>
      <c r="AZ157" s="3">
        <v>9</v>
      </c>
      <c r="BA157" s="3">
        <v>180</v>
      </c>
      <c r="BB157" s="3">
        <v>12</v>
      </c>
      <c r="BC157" s="3">
        <v>228</v>
      </c>
      <c r="BD157" s="40">
        <v>972.09585503143842</v>
      </c>
      <c r="BE157" s="40">
        <v>998.41682419597964</v>
      </c>
      <c r="BF157" s="40"/>
      <c r="BG157" s="40">
        <v>357.42991223466754</v>
      </c>
      <c r="BH157" s="40">
        <v>386.03967633697192</v>
      </c>
      <c r="BI157" s="49">
        <v>1970.5126792274182</v>
      </c>
      <c r="BJ157" s="49">
        <v>743.46958857163941</v>
      </c>
      <c r="BK157" s="66">
        <v>-2.6362705962749922E-2</v>
      </c>
      <c r="BL157" s="66">
        <v>-7.4110942102570521E-2</v>
      </c>
      <c r="BM157" s="51">
        <v>37.533574842427015</v>
      </c>
      <c r="BN157" s="51">
        <v>14.161325496602656</v>
      </c>
      <c r="BO157" s="52">
        <v>213</v>
      </c>
      <c r="BP157" s="40">
        <v>190</v>
      </c>
      <c r="BQ157" s="40">
        <v>213</v>
      </c>
      <c r="BR157" s="67">
        <v>-0.107981220657277</v>
      </c>
      <c r="BS157" s="54">
        <v>3.8380952380952382</v>
      </c>
      <c r="BT157" s="3">
        <v>93</v>
      </c>
      <c r="BU157" s="40">
        <v>89</v>
      </c>
      <c r="BV157" s="46">
        <v>69.25</v>
      </c>
      <c r="BW157" s="3">
        <v>76</v>
      </c>
      <c r="BX157" s="70">
        <v>4.4943820224719211E-2</v>
      </c>
      <c r="BY157" s="70">
        <v>-8.8815789473684181E-2</v>
      </c>
      <c r="BZ157" s="59">
        <v>1.1710526315789473</v>
      </c>
      <c r="CA157" s="59">
        <v>1.3429602888086642</v>
      </c>
      <c r="CB157" s="59">
        <v>1.4877777777777779</v>
      </c>
      <c r="CC157" s="59">
        <v>1.1873611111111111</v>
      </c>
      <c r="CD157" s="60">
        <v>74</v>
      </c>
      <c r="CE157" s="60">
        <v>78</v>
      </c>
      <c r="CF157" s="61">
        <v>1.4095238095238096</v>
      </c>
      <c r="CG157" s="61">
        <v>1.4857142857142858</v>
      </c>
      <c r="CH157" s="61">
        <v>1.0540540540540539</v>
      </c>
      <c r="CI157" s="41">
        <v>15.2</v>
      </c>
      <c r="CJ157" s="40">
        <f>VLOOKUP(paper3[[#This Row],[YYIR nivå]],$DB:$DC,2)</f>
        <v>840</v>
      </c>
      <c r="CK157" s="3"/>
      <c r="CL157" s="62"/>
      <c r="CM157" s="63" t="s">
        <v>110</v>
      </c>
      <c r="CN157" s="3">
        <v>93</v>
      </c>
      <c r="CO157" s="3">
        <v>76</v>
      </c>
      <c r="CP157" s="41">
        <v>14.9</v>
      </c>
      <c r="CQ157" s="3" t="s">
        <v>110</v>
      </c>
      <c r="CR157" s="40">
        <v>91</v>
      </c>
      <c r="CS157" s="40">
        <v>72.625</v>
      </c>
      <c r="CT157" s="40">
        <v>201.5</v>
      </c>
      <c r="CU157" s="40"/>
      <c r="CV157" s="40"/>
      <c r="CW157" s="40"/>
      <c r="CX157" s="40"/>
      <c r="CY157" s="40">
        <v>0</v>
      </c>
      <c r="CZ157" s="40"/>
      <c r="DA157" s="40"/>
    </row>
    <row r="158" spans="1:105" ht="15.95" customHeight="1">
      <c r="A158" s="3">
        <v>412</v>
      </c>
      <c r="B158" s="38" t="s">
        <v>103</v>
      </c>
      <c r="C158" s="3" t="s">
        <v>115</v>
      </c>
      <c r="D158" s="3" t="s">
        <v>105</v>
      </c>
      <c r="E158" s="39">
        <v>44627</v>
      </c>
      <c r="F158" s="3" t="s">
        <v>186</v>
      </c>
      <c r="G158" s="3" t="s">
        <v>107</v>
      </c>
      <c r="H158" s="3">
        <v>2007</v>
      </c>
      <c r="I158" s="40" t="s">
        <v>116</v>
      </c>
      <c r="J158" s="40" t="s">
        <v>117</v>
      </c>
      <c r="K158" s="3">
        <v>169.4</v>
      </c>
      <c r="L158" s="3">
        <v>169.5</v>
      </c>
      <c r="M158" s="3"/>
      <c r="N158" s="3">
        <v>144.30000000000001</v>
      </c>
      <c r="O158" s="3">
        <v>144.19999999999999</v>
      </c>
      <c r="P158" s="3"/>
      <c r="Q158" s="3">
        <v>66.400000000000006</v>
      </c>
      <c r="R158" s="3">
        <v>66.3</v>
      </c>
      <c r="S158" s="3"/>
      <c r="T158" s="42">
        <v>169.45</v>
      </c>
      <c r="U158" s="42">
        <f>AVERAGE(paper3[[#This Row],[Sittende høyde 1]:[Sittende høyde 3]])-56.2</f>
        <v>88.05</v>
      </c>
      <c r="V158" s="12">
        <f>paper3[[#This Row],[height]]-paper3[[#This Row],[sittingheight]]</f>
        <v>81.399999999999991</v>
      </c>
      <c r="W158" s="73">
        <v>66.349999999999994</v>
      </c>
      <c r="X158" s="43" cm="1">
        <f t="array" ref="X158">INDEX([1]!phvny[yphv], MATCH(1, (paper3[[#This Row],[id]]=[1]!phvny[id])*(paper3[[#This Row],[time]]=[1]!phvny[time]), 0))</f>
        <v>2.8352720380053604</v>
      </c>
      <c r="Y158" s="3">
        <v>2.21</v>
      </c>
      <c r="Z158" s="3">
        <v>3.86</v>
      </c>
      <c r="AA158" s="3">
        <v>5.46</v>
      </c>
      <c r="AB158" s="3">
        <v>2.23</v>
      </c>
      <c r="AC158" s="3">
        <v>3.86</v>
      </c>
      <c r="AD158" s="3">
        <v>5.46</v>
      </c>
      <c r="AE158" s="3">
        <v>2.21</v>
      </c>
      <c r="AF158" s="3">
        <v>3.85</v>
      </c>
      <c r="AG158" s="3">
        <v>5.44</v>
      </c>
      <c r="AH158" s="44">
        <v>2.21</v>
      </c>
      <c r="AI158" s="44">
        <v>3.85</v>
      </c>
      <c r="AJ158" s="44">
        <v>5.44</v>
      </c>
      <c r="AK158" s="45">
        <v>6.2893081761006275</v>
      </c>
      <c r="AL158" s="3"/>
      <c r="AM158" s="3"/>
      <c r="AN158" s="3">
        <v>11.61</v>
      </c>
      <c r="AO158" s="3">
        <v>11.6</v>
      </c>
      <c r="AP158" s="3">
        <v>11.6</v>
      </c>
      <c r="AQ158" s="47"/>
      <c r="AR158" s="47">
        <v>11.6</v>
      </c>
      <c r="AS158" s="3">
        <v>21.91</v>
      </c>
      <c r="AT158" s="3">
        <v>23.21</v>
      </c>
      <c r="AU158" s="3">
        <v>22.95</v>
      </c>
      <c r="AV158" s="3"/>
      <c r="AW158" s="3"/>
      <c r="AX158" s="48">
        <v>23.21</v>
      </c>
      <c r="AY158" s="3"/>
      <c r="AZ158" s="3">
        <v>8</v>
      </c>
      <c r="BA158" s="3">
        <v>220</v>
      </c>
      <c r="BB158" s="3">
        <v>9</v>
      </c>
      <c r="BC158" s="3">
        <v>219</v>
      </c>
      <c r="BD158" s="40">
        <v>943.00457966517092</v>
      </c>
      <c r="BE158" s="40">
        <v>868.9160705408857</v>
      </c>
      <c r="BF158" s="40"/>
      <c r="BG158" s="40">
        <v>393.12957037829813</v>
      </c>
      <c r="BH158" s="40">
        <v>396.81598528985734</v>
      </c>
      <c r="BI158" s="49">
        <v>1811.9206502060565</v>
      </c>
      <c r="BJ158" s="49">
        <v>789.94555566815552</v>
      </c>
      <c r="BK158" s="66">
        <v>8.5265437751849138E-2</v>
      </c>
      <c r="BL158" s="66">
        <v>-9.2899859083711567E-3</v>
      </c>
      <c r="BM158" s="51">
        <v>27.287961599488799</v>
      </c>
      <c r="BN158" s="51">
        <v>11.896770416689089</v>
      </c>
      <c r="BO158" s="52">
        <v>246</v>
      </c>
      <c r="BP158" s="40">
        <v>237</v>
      </c>
      <c r="BQ158" s="40">
        <v>246</v>
      </c>
      <c r="BR158" s="67">
        <v>-3.6585365853658569E-2</v>
      </c>
      <c r="BS158" s="54">
        <v>3.6397889977392617</v>
      </c>
      <c r="BT158" s="3">
        <v>106</v>
      </c>
      <c r="BU158" s="40">
        <v>101</v>
      </c>
      <c r="BV158" s="3">
        <v>125</v>
      </c>
      <c r="BW158" s="3">
        <v>113</v>
      </c>
      <c r="BX158" s="70">
        <v>4.9504950495049549E-2</v>
      </c>
      <c r="BY158" s="70">
        <v>0.10619469026548667</v>
      </c>
      <c r="BZ158" s="59">
        <v>0.89380530973451322</v>
      </c>
      <c r="CA158" s="59">
        <v>0.84799999999999998</v>
      </c>
      <c r="CB158" s="59">
        <v>1.2697663903541825</v>
      </c>
      <c r="CC158" s="59">
        <v>1.4599246420497363</v>
      </c>
      <c r="CD158" s="60">
        <v>92</v>
      </c>
      <c r="CE158" s="60">
        <v>84</v>
      </c>
      <c r="CF158" s="61">
        <v>1.3865862848530521</v>
      </c>
      <c r="CG158" s="61">
        <v>1.2660135644310475</v>
      </c>
      <c r="CH158" s="61">
        <v>0.91304347826086951</v>
      </c>
      <c r="CI158" s="41">
        <v>14.2</v>
      </c>
      <c r="CJ158" s="40">
        <f>VLOOKUP(paper3[[#This Row],[YYIR nivå]],$DB:$DC,2)</f>
        <v>520</v>
      </c>
      <c r="CK158" s="3"/>
      <c r="CL158" s="62"/>
      <c r="CM158" s="63" t="s">
        <v>110</v>
      </c>
      <c r="CN158" s="3">
        <v>106</v>
      </c>
      <c r="CO158" s="3">
        <v>125</v>
      </c>
      <c r="CP158" s="41">
        <v>15.183333333333334</v>
      </c>
      <c r="CQ158" s="3" t="s">
        <v>110</v>
      </c>
      <c r="CR158" s="40">
        <v>103.5</v>
      </c>
      <c r="CS158" s="40">
        <v>119</v>
      </c>
      <c r="CT158" s="40">
        <v>241.5</v>
      </c>
      <c r="CU158" s="40"/>
      <c r="CV158" s="40"/>
      <c r="CW158" s="40"/>
      <c r="CX158" s="40"/>
      <c r="CY158" s="40">
        <v>0</v>
      </c>
      <c r="CZ158" s="40"/>
      <c r="DA158" s="40"/>
    </row>
    <row r="159" spans="1:105" ht="15.95" customHeight="1">
      <c r="A159" s="3">
        <v>413</v>
      </c>
      <c r="B159" s="38" t="s">
        <v>103</v>
      </c>
      <c r="C159" s="3" t="s">
        <v>115</v>
      </c>
      <c r="D159" s="3" t="s">
        <v>105</v>
      </c>
      <c r="E159" s="39">
        <v>44627</v>
      </c>
      <c r="F159" s="3" t="s">
        <v>186</v>
      </c>
      <c r="G159" s="3" t="s">
        <v>107</v>
      </c>
      <c r="H159" s="3">
        <v>2007</v>
      </c>
      <c r="I159" s="40" t="s">
        <v>116</v>
      </c>
      <c r="J159" s="40" t="s">
        <v>117</v>
      </c>
      <c r="K159" s="3">
        <v>162.5</v>
      </c>
      <c r="L159" s="3">
        <v>162.6</v>
      </c>
      <c r="M159" s="3"/>
      <c r="N159" s="3">
        <v>135.69999999999999</v>
      </c>
      <c r="O159" s="3">
        <v>135.30000000000001</v>
      </c>
      <c r="P159" s="3">
        <v>135.6</v>
      </c>
      <c r="Q159" s="3">
        <v>52.6</v>
      </c>
      <c r="R159" s="3">
        <v>52.6</v>
      </c>
      <c r="S159" s="3"/>
      <c r="T159" s="42">
        <v>162.55000000000001</v>
      </c>
      <c r="U159" s="42">
        <f>AVERAGE(paper3[[#This Row],[Sittende høyde 1]:[Sittende høyde 3]])-56.2</f>
        <v>79.333333333333329</v>
      </c>
      <c r="V159" s="12">
        <f>paper3[[#This Row],[height]]-paper3[[#This Row],[sittingheight]]</f>
        <v>83.216666666666683</v>
      </c>
      <c r="W159" s="73">
        <v>52.6</v>
      </c>
      <c r="X159" s="43" cm="1">
        <f t="array" ref="X159">INDEX([1]!phvny[yphv], MATCH(1, (paper3[[#This Row],[id]]=[1]!phvny[id])*(paper3[[#This Row],[time]]=[1]!phvny[time]), 0))</f>
        <v>1.8261684704642449</v>
      </c>
      <c r="Y159" s="3">
        <v>2.2000000000000002</v>
      </c>
      <c r="Z159" s="3">
        <v>3.75</v>
      </c>
      <c r="AA159" s="3">
        <v>5.31</v>
      </c>
      <c r="AB159" s="3">
        <v>2.17</v>
      </c>
      <c r="AC159" s="3">
        <v>3.76</v>
      </c>
      <c r="AD159" s="3">
        <v>5.36</v>
      </c>
      <c r="AE159" s="3">
        <v>2.2200000000000002</v>
      </c>
      <c r="AF159" s="3">
        <v>3.82</v>
      </c>
      <c r="AG159" s="3">
        <v>5.44</v>
      </c>
      <c r="AH159" s="44">
        <v>2.17</v>
      </c>
      <c r="AI159" s="44">
        <v>3.75</v>
      </c>
      <c r="AJ159" s="44">
        <v>5.31</v>
      </c>
      <c r="AK159" s="45">
        <v>6.4102564102564115</v>
      </c>
      <c r="AL159" s="3">
        <v>11.73</v>
      </c>
      <c r="AM159" s="3">
        <v>11.43</v>
      </c>
      <c r="AN159" s="3">
        <v>11.76</v>
      </c>
      <c r="AO159" s="3">
        <v>11.1</v>
      </c>
      <c r="AP159" s="3">
        <v>11.1</v>
      </c>
      <c r="AQ159" s="47">
        <v>11.43</v>
      </c>
      <c r="AR159" s="47">
        <v>11.1</v>
      </c>
      <c r="AS159" s="3">
        <v>22.86</v>
      </c>
      <c r="AT159" s="3">
        <v>22.27</v>
      </c>
      <c r="AU159" s="3">
        <v>23.38</v>
      </c>
      <c r="AV159" s="3">
        <v>23.39</v>
      </c>
      <c r="AW159" s="3"/>
      <c r="AX159" s="48">
        <v>23.39</v>
      </c>
      <c r="AY159" s="3"/>
      <c r="AZ159" s="3">
        <v>9</v>
      </c>
      <c r="BA159" s="3">
        <v>200</v>
      </c>
      <c r="BB159" s="3">
        <v>9</v>
      </c>
      <c r="BC159" s="3">
        <v>199</v>
      </c>
      <c r="BD159" s="40">
        <v>720.72061667557261</v>
      </c>
      <c r="BE159" s="40">
        <v>747.03440963137245</v>
      </c>
      <c r="BF159" s="40"/>
      <c r="BG159" s="40">
        <v>284.6016241979064</v>
      </c>
      <c r="BH159" s="40">
        <v>286.63671362995359</v>
      </c>
      <c r="BI159" s="49">
        <v>1467.7550263069452</v>
      </c>
      <c r="BJ159" s="49">
        <v>571.23833782786005</v>
      </c>
      <c r="BK159" s="66">
        <v>-3.5224338553272894E-2</v>
      </c>
      <c r="BL159" s="66">
        <v>-7.0998910302693119E-3</v>
      </c>
      <c r="BM159" s="51">
        <v>27.904087952603518</v>
      </c>
      <c r="BN159" s="51">
        <v>10.860044445396579</v>
      </c>
      <c r="BO159" s="52">
        <v>186</v>
      </c>
      <c r="BP159" s="40">
        <v>175</v>
      </c>
      <c r="BQ159" s="40">
        <v>186</v>
      </c>
      <c r="BR159" s="67">
        <v>-5.9139784946236507E-2</v>
      </c>
      <c r="BS159" s="54">
        <v>3.4315589353612168</v>
      </c>
      <c r="BT159" s="3">
        <v>83</v>
      </c>
      <c r="BU159" s="40">
        <v>80</v>
      </c>
      <c r="BV159" s="3">
        <v>92</v>
      </c>
      <c r="BW159" s="3">
        <v>97</v>
      </c>
      <c r="BX159" s="70">
        <v>3.7500000000000089E-2</v>
      </c>
      <c r="BY159" s="70">
        <v>-5.1546391752577359E-2</v>
      </c>
      <c r="BZ159" s="59">
        <v>0.82474226804123707</v>
      </c>
      <c r="CA159" s="59">
        <v>0.90217391304347827</v>
      </c>
      <c r="CB159" s="59">
        <v>1.2893837135614705</v>
      </c>
      <c r="CC159" s="59">
        <v>1.4950522813688216</v>
      </c>
      <c r="CD159" s="60">
        <v>80</v>
      </c>
      <c r="CE159" s="60">
        <v>63</v>
      </c>
      <c r="CF159" s="61">
        <v>1.520912547528517</v>
      </c>
      <c r="CG159" s="61">
        <v>1.1977186311787071</v>
      </c>
      <c r="CH159" s="61">
        <v>0.78749999999999998</v>
      </c>
      <c r="CI159" s="41">
        <v>14.2</v>
      </c>
      <c r="CJ159" s="40">
        <f>VLOOKUP(paper3[[#This Row],[YYIR nivå]],$DB:$DC,2)</f>
        <v>520</v>
      </c>
      <c r="CK159" s="3"/>
      <c r="CL159" s="62"/>
      <c r="CM159" s="63" t="s">
        <v>110</v>
      </c>
      <c r="CN159" s="3">
        <v>83</v>
      </c>
      <c r="CO159" s="3">
        <v>97</v>
      </c>
      <c r="CP159" s="41">
        <v>14.744444444444444</v>
      </c>
      <c r="CQ159" s="3" t="s">
        <v>110</v>
      </c>
      <c r="CR159" s="40">
        <v>81.5</v>
      </c>
      <c r="CS159" s="40">
        <v>94.5</v>
      </c>
      <c r="CT159" s="40">
        <v>180.5</v>
      </c>
      <c r="CU159" s="40"/>
      <c r="CV159" s="40"/>
      <c r="CW159" s="40"/>
      <c r="CX159" s="40"/>
      <c r="CY159" s="40">
        <v>0</v>
      </c>
      <c r="CZ159" s="40"/>
      <c r="DA159" s="40"/>
    </row>
    <row r="160" spans="1:105" ht="15.95" customHeight="1">
      <c r="A160" s="3">
        <v>414</v>
      </c>
      <c r="B160" s="38" t="s">
        <v>103</v>
      </c>
      <c r="C160" s="3" t="s">
        <v>115</v>
      </c>
      <c r="D160" s="3" t="s">
        <v>105</v>
      </c>
      <c r="E160" s="39">
        <v>44627</v>
      </c>
      <c r="F160" s="3" t="s">
        <v>186</v>
      </c>
      <c r="G160" s="3" t="s">
        <v>107</v>
      </c>
      <c r="H160" s="3">
        <v>2007</v>
      </c>
      <c r="I160" s="40" t="s">
        <v>116</v>
      </c>
      <c r="J160" s="40" t="s">
        <v>117</v>
      </c>
      <c r="K160" s="3">
        <v>171</v>
      </c>
      <c r="L160" s="3">
        <v>170.8</v>
      </c>
      <c r="M160" s="3"/>
      <c r="N160" s="3">
        <v>142.9</v>
      </c>
      <c r="O160" s="3">
        <v>142.9</v>
      </c>
      <c r="P160" s="3"/>
      <c r="Q160" s="3">
        <v>73.8</v>
      </c>
      <c r="R160" s="3">
        <v>73.8</v>
      </c>
      <c r="S160" s="3"/>
      <c r="T160" s="42">
        <v>170.9</v>
      </c>
      <c r="U160" s="42">
        <f>AVERAGE(paper3[[#This Row],[Sittende høyde 1]:[Sittende høyde 3]])-56.2</f>
        <v>86.7</v>
      </c>
      <c r="V160" s="12">
        <f>paper3[[#This Row],[height]]-paper3[[#This Row],[sittingheight]]</f>
        <v>84.2</v>
      </c>
      <c r="W160" s="73">
        <v>73.8</v>
      </c>
      <c r="X160" s="43" cm="1">
        <f t="array" ref="X160">INDEX([1]!phvny[yphv], MATCH(1, (paper3[[#This Row],[id]]=[1]!phvny[id])*(paper3[[#This Row],[time]]=[1]!phvny[time]), 0))</f>
        <v>2.7303584578121081</v>
      </c>
      <c r="Y160" s="3">
        <v>2.2200000000000002</v>
      </c>
      <c r="Z160" s="3">
        <v>3.83</v>
      </c>
      <c r="AA160" s="3">
        <v>5.47</v>
      </c>
      <c r="AB160" s="3">
        <v>2.11</v>
      </c>
      <c r="AC160" s="3">
        <v>3.74</v>
      </c>
      <c r="AD160" s="3">
        <v>5.35</v>
      </c>
      <c r="AE160" s="3">
        <v>2.11</v>
      </c>
      <c r="AF160" s="3">
        <v>3.73</v>
      </c>
      <c r="AG160" s="3">
        <v>5.36</v>
      </c>
      <c r="AH160" s="44">
        <v>2.11</v>
      </c>
      <c r="AI160" s="44">
        <v>3.73</v>
      </c>
      <c r="AJ160" s="44">
        <v>5.35</v>
      </c>
      <c r="AK160" s="45">
        <v>6.1728395061728412</v>
      </c>
      <c r="AL160" s="3">
        <v>11.27</v>
      </c>
      <c r="AM160" s="3">
        <v>11.5</v>
      </c>
      <c r="AN160" s="3">
        <v>11.46</v>
      </c>
      <c r="AO160" s="3">
        <v>11.35</v>
      </c>
      <c r="AP160" s="3">
        <v>11.27</v>
      </c>
      <c r="AQ160" s="47">
        <v>11.27</v>
      </c>
      <c r="AR160" s="47">
        <v>11.35</v>
      </c>
      <c r="AS160" s="3">
        <v>30.86</v>
      </c>
      <c r="AT160" s="3">
        <v>32.26</v>
      </c>
      <c r="AU160" s="3">
        <v>29.83</v>
      </c>
      <c r="AV160" s="3"/>
      <c r="AW160" s="3"/>
      <c r="AX160" s="48">
        <v>32.26</v>
      </c>
      <c r="AY160" s="3"/>
      <c r="AZ160" s="3">
        <v>9</v>
      </c>
      <c r="BA160" s="3">
        <v>230</v>
      </c>
      <c r="BB160" s="3">
        <v>10</v>
      </c>
      <c r="BC160" s="3">
        <v>251</v>
      </c>
      <c r="BD160" s="40">
        <v>1092.4411285142853</v>
      </c>
      <c r="BE160" s="40">
        <v>1033.1984259096291</v>
      </c>
      <c r="BF160" s="40"/>
      <c r="BG160" s="40">
        <v>445.9543742912997</v>
      </c>
      <c r="BH160" s="40">
        <v>446.83318968980359</v>
      </c>
      <c r="BI160" s="49">
        <v>2125.6395544239144</v>
      </c>
      <c r="BJ160" s="49">
        <v>892.78756398110329</v>
      </c>
      <c r="BK160" s="66">
        <v>5.7339133625275096E-2</v>
      </c>
      <c r="BL160" s="66">
        <v>-1.966763926184556E-3</v>
      </c>
      <c r="BM160" s="51">
        <v>28.802703989483938</v>
      </c>
      <c r="BN160" s="51">
        <v>12.097392465868609</v>
      </c>
      <c r="BO160" s="52">
        <v>326</v>
      </c>
      <c r="BP160" s="40">
        <v>276</v>
      </c>
      <c r="BQ160" s="40">
        <v>326</v>
      </c>
      <c r="BR160" s="67">
        <v>-0.15337423312883436</v>
      </c>
      <c r="BS160" s="54">
        <v>4.078590785907859</v>
      </c>
      <c r="BT160" s="3">
        <v>122</v>
      </c>
      <c r="BU160" s="40">
        <v>119</v>
      </c>
      <c r="BV160" s="3">
        <v>135</v>
      </c>
      <c r="BW160" s="3">
        <v>141</v>
      </c>
      <c r="BX160" s="70">
        <v>2.5210084033613356E-2</v>
      </c>
      <c r="BY160" s="70">
        <v>-4.2553191489361653E-2</v>
      </c>
      <c r="BZ160" s="59">
        <v>0.84397163120567376</v>
      </c>
      <c r="CA160" s="59">
        <v>0.90370370370370368</v>
      </c>
      <c r="CB160" s="59">
        <v>1.3748102981029813</v>
      </c>
      <c r="CC160" s="59">
        <v>1.5744715447154474</v>
      </c>
      <c r="CD160" s="60">
        <v>101</v>
      </c>
      <c r="CE160" s="60">
        <v>115</v>
      </c>
      <c r="CF160" s="61">
        <v>1.3685636856368564</v>
      </c>
      <c r="CG160" s="61">
        <v>1.5582655826558267</v>
      </c>
      <c r="CH160" s="61">
        <v>1.1386138613861387</v>
      </c>
      <c r="CI160" s="41">
        <v>13.4</v>
      </c>
      <c r="CJ160" s="40">
        <f>VLOOKUP(paper3[[#This Row],[YYIR nivå]],$DB:$DC,2)</f>
        <v>440</v>
      </c>
      <c r="CK160" s="3"/>
      <c r="CL160" s="62"/>
      <c r="CM160" s="63" t="s">
        <v>110</v>
      </c>
      <c r="CN160" s="3">
        <v>122</v>
      </c>
      <c r="CO160" s="3">
        <v>141</v>
      </c>
      <c r="CP160" s="41">
        <v>14.955555555555556</v>
      </c>
      <c r="CQ160" s="3" t="s">
        <v>110</v>
      </c>
      <c r="CR160" s="40">
        <v>120.5</v>
      </c>
      <c r="CS160" s="40">
        <v>138</v>
      </c>
      <c r="CT160" s="40">
        <v>301</v>
      </c>
      <c r="CU160" s="40"/>
      <c r="CV160" s="40"/>
      <c r="CW160" s="40"/>
      <c r="CX160" s="40"/>
      <c r="CY160" s="40">
        <v>0</v>
      </c>
      <c r="CZ160" s="40"/>
      <c r="DA160" s="40"/>
    </row>
    <row r="161" spans="1:105" ht="15.95" customHeight="1">
      <c r="A161" s="3">
        <v>415</v>
      </c>
      <c r="B161" s="38" t="s">
        <v>103</v>
      </c>
      <c r="C161" s="3" t="s">
        <v>115</v>
      </c>
      <c r="D161" s="3" t="s">
        <v>105</v>
      </c>
      <c r="E161" s="39">
        <v>44627</v>
      </c>
      <c r="F161" s="3" t="s">
        <v>186</v>
      </c>
      <c r="G161" s="3" t="s">
        <v>107</v>
      </c>
      <c r="H161" s="3">
        <v>2007</v>
      </c>
      <c r="I161" s="40" t="s">
        <v>116</v>
      </c>
      <c r="J161" s="40" t="s">
        <v>117</v>
      </c>
      <c r="K161" s="3">
        <v>176.6</v>
      </c>
      <c r="L161" s="3">
        <v>176.6</v>
      </c>
      <c r="M161" s="3"/>
      <c r="N161" s="3">
        <v>145</v>
      </c>
      <c r="O161" s="3">
        <v>145</v>
      </c>
      <c r="P161" s="3"/>
      <c r="Q161" s="3">
        <v>59</v>
      </c>
      <c r="R161" s="3">
        <v>59</v>
      </c>
      <c r="S161" s="3"/>
      <c r="T161" s="42">
        <v>176.6</v>
      </c>
      <c r="U161" s="42">
        <f>AVERAGE(paper3[[#This Row],[Sittende høyde 1]:[Sittende høyde 3]])-56.2</f>
        <v>88.8</v>
      </c>
      <c r="V161" s="12">
        <f>paper3[[#This Row],[height]]-paper3[[#This Row],[sittingheight]]</f>
        <v>87.8</v>
      </c>
      <c r="W161" s="73">
        <v>59</v>
      </c>
      <c r="X161" s="43" cm="1">
        <f t="array" ref="X161">INDEX([1]!phvny[yphv], MATCH(1, (paper3[[#This Row],[id]]=[1]!phvny[id])*(paper3[[#This Row],[time]]=[1]!phvny[time]), 0))</f>
        <v>2.6306141475205744</v>
      </c>
      <c r="Y161" s="3">
        <v>2.06</v>
      </c>
      <c r="Z161" s="3">
        <v>3.66</v>
      </c>
      <c r="AA161" s="3">
        <v>5.33</v>
      </c>
      <c r="AB161" s="3">
        <v>2.0699999999999998</v>
      </c>
      <c r="AC161" s="3">
        <v>3.62</v>
      </c>
      <c r="AD161" s="60">
        <v>5.2</v>
      </c>
      <c r="AE161" s="3">
        <v>2.13</v>
      </c>
      <c r="AF161" s="3">
        <v>3.68</v>
      </c>
      <c r="AG161" s="3">
        <v>5.32</v>
      </c>
      <c r="AH161" s="44">
        <v>2.06</v>
      </c>
      <c r="AI161" s="44">
        <v>3.62</v>
      </c>
      <c r="AJ161" s="44">
        <v>5.2</v>
      </c>
      <c r="AK161" s="45">
        <v>6.3291139240506329</v>
      </c>
      <c r="AL161" s="3">
        <v>11.21</v>
      </c>
      <c r="AM161" s="3">
        <v>11.27</v>
      </c>
      <c r="AN161" s="3">
        <v>11.44</v>
      </c>
      <c r="AO161" s="3">
        <v>11.35</v>
      </c>
      <c r="AP161" s="3">
        <v>11.21</v>
      </c>
      <c r="AQ161" s="47">
        <v>11.21</v>
      </c>
      <c r="AR161" s="47">
        <v>11.35</v>
      </c>
      <c r="AS161" s="3">
        <v>24.94</v>
      </c>
      <c r="AT161" s="3">
        <v>24.49</v>
      </c>
      <c r="AU161" s="3">
        <v>25.24</v>
      </c>
      <c r="AV161" s="3">
        <v>23.71</v>
      </c>
      <c r="AW161" s="3"/>
      <c r="AX161" s="48">
        <v>25.24</v>
      </c>
      <c r="AY161" s="3"/>
      <c r="AZ161" s="3">
        <v>10</v>
      </c>
      <c r="BA161" s="3">
        <v>210</v>
      </c>
      <c r="BB161" s="3">
        <v>9</v>
      </c>
      <c r="BC161" s="3">
        <v>209</v>
      </c>
      <c r="BD161" s="40">
        <v>1090.5901509324951</v>
      </c>
      <c r="BE161" s="40">
        <v>840.87150940673985</v>
      </c>
      <c r="BF161" s="40"/>
      <c r="BG161" s="40">
        <v>262.52669934611959</v>
      </c>
      <c r="BH161" s="40">
        <v>300.57108143093677</v>
      </c>
      <c r="BI161" s="49">
        <v>1931.4616603392351</v>
      </c>
      <c r="BJ161" s="49">
        <v>563.09778077705641</v>
      </c>
      <c r="BK161" s="66">
        <v>0.29697598114834367</v>
      </c>
      <c r="BL161" s="66">
        <v>-0.12657366072510468</v>
      </c>
      <c r="BM161" s="51">
        <v>32.736638310834493</v>
      </c>
      <c r="BN161" s="51">
        <v>9.5440301826619738</v>
      </c>
      <c r="BO161" s="52">
        <v>243</v>
      </c>
      <c r="BP161" s="40">
        <v>236</v>
      </c>
      <c r="BQ161" s="40">
        <v>243</v>
      </c>
      <c r="BR161" s="67">
        <v>-2.8806584362139898E-2</v>
      </c>
      <c r="BS161" s="54">
        <v>4.0593220338983054</v>
      </c>
      <c r="BT161" s="3">
        <v>109</v>
      </c>
      <c r="BU161" s="40">
        <v>101</v>
      </c>
      <c r="BV161" s="3">
        <v>111</v>
      </c>
      <c r="BW161" s="3">
        <v>119</v>
      </c>
      <c r="BX161" s="70">
        <v>7.9207920792079278E-2</v>
      </c>
      <c r="BY161" s="70">
        <v>-6.7226890756302504E-2</v>
      </c>
      <c r="BZ161" s="59">
        <v>0.84873949579831931</v>
      </c>
      <c r="CA161" s="59">
        <v>0.98198198198198194</v>
      </c>
      <c r="CB161" s="59">
        <v>1.5625423728813559</v>
      </c>
      <c r="CC161" s="59">
        <v>1.7113559322033898</v>
      </c>
      <c r="CD161" s="60">
        <v>89</v>
      </c>
      <c r="CE161" s="60">
        <v>98</v>
      </c>
      <c r="CF161" s="61">
        <v>1.5084745762711864</v>
      </c>
      <c r="CG161" s="61">
        <v>1.6610169491525424</v>
      </c>
      <c r="CH161" s="61">
        <v>1.101123595505618</v>
      </c>
      <c r="CI161" s="41"/>
      <c r="CJ161" s="40"/>
      <c r="CK161" s="3"/>
      <c r="CL161" s="62"/>
      <c r="CM161" s="63" t="s">
        <v>110</v>
      </c>
      <c r="CN161" s="3">
        <v>109</v>
      </c>
      <c r="CO161" s="3">
        <v>119</v>
      </c>
      <c r="CP161" s="41">
        <v>14.358333333333333</v>
      </c>
      <c r="CQ161" s="3" t="s">
        <v>110</v>
      </c>
      <c r="CR161" s="40">
        <v>105</v>
      </c>
      <c r="CS161" s="40">
        <v>115</v>
      </c>
      <c r="CT161" s="40">
        <v>239.5</v>
      </c>
      <c r="CU161" s="40"/>
      <c r="CV161" s="40"/>
      <c r="CW161" s="40"/>
      <c r="CX161" s="40"/>
      <c r="CY161" s="40">
        <v>0</v>
      </c>
      <c r="CZ161" s="40"/>
      <c r="DA161" s="40"/>
    </row>
    <row r="162" spans="1:105" ht="15.95" customHeight="1">
      <c r="A162" s="3">
        <v>417</v>
      </c>
      <c r="B162" s="38" t="s">
        <v>103</v>
      </c>
      <c r="C162" s="3" t="s">
        <v>115</v>
      </c>
      <c r="D162" s="3" t="s">
        <v>105</v>
      </c>
      <c r="E162" s="39">
        <v>44627</v>
      </c>
      <c r="F162" s="3" t="s">
        <v>186</v>
      </c>
      <c r="G162" s="3" t="s">
        <v>107</v>
      </c>
      <c r="H162" s="3">
        <v>2007</v>
      </c>
      <c r="I162" s="40" t="s">
        <v>116</v>
      </c>
      <c r="J162" s="40" t="s">
        <v>117</v>
      </c>
      <c r="K162" s="3">
        <v>167.8</v>
      </c>
      <c r="L162" s="3">
        <v>167.8</v>
      </c>
      <c r="M162" s="3"/>
      <c r="N162" s="3">
        <v>142.69999999999999</v>
      </c>
      <c r="O162" s="3">
        <v>142.5</v>
      </c>
      <c r="P162" s="3"/>
      <c r="Q162" s="3">
        <v>61.8</v>
      </c>
      <c r="R162" s="3">
        <v>61.8</v>
      </c>
      <c r="S162" s="3"/>
      <c r="T162" s="42">
        <v>167.8</v>
      </c>
      <c r="U162" s="42">
        <f>AVERAGE(paper3[[#This Row],[Sittende høyde 1]:[Sittende høyde 3]])-56.2</f>
        <v>86.399999999999991</v>
      </c>
      <c r="V162" s="12">
        <f>paper3[[#This Row],[height]]-paper3[[#This Row],[sittingheight]]</f>
        <v>81.40000000000002</v>
      </c>
      <c r="W162" s="73">
        <v>61.8</v>
      </c>
      <c r="X162" s="43" cm="1">
        <f t="array" ref="X162">INDEX([1]!phvny[yphv], MATCH(1, (paper3[[#This Row],[id]]=[1]!phvny[id])*(paper3[[#This Row],[time]]=[1]!phvny[time]), 0))</f>
        <v>2.5312242068894188</v>
      </c>
      <c r="Y162" s="3">
        <v>2.0699999999999998</v>
      </c>
      <c r="Z162" s="3">
        <v>3.58</v>
      </c>
      <c r="AA162" s="3">
        <v>5.14</v>
      </c>
      <c r="AB162" s="3">
        <v>2.09</v>
      </c>
      <c r="AC162" s="3">
        <v>3.63</v>
      </c>
      <c r="AD162" s="3">
        <v>5.18</v>
      </c>
      <c r="AE162" s="3">
        <v>2.12</v>
      </c>
      <c r="AF162" s="3">
        <v>3.68</v>
      </c>
      <c r="AG162" s="3">
        <v>5.24</v>
      </c>
      <c r="AH162" s="44">
        <v>2.0699999999999998</v>
      </c>
      <c r="AI162" s="44">
        <v>3.58</v>
      </c>
      <c r="AJ162" s="44">
        <v>5.14</v>
      </c>
      <c r="AK162" s="45">
        <v>6.4102564102564115</v>
      </c>
      <c r="AL162" s="3">
        <v>11.32</v>
      </c>
      <c r="AM162" s="3">
        <v>11.1</v>
      </c>
      <c r="AN162" s="3">
        <v>11.55</v>
      </c>
      <c r="AO162" s="3">
        <v>11.39</v>
      </c>
      <c r="AP162" s="3">
        <v>11.1</v>
      </c>
      <c r="AQ162" s="47">
        <v>11.1</v>
      </c>
      <c r="AR162" s="47">
        <v>11.39</v>
      </c>
      <c r="AS162" s="3">
        <v>27.73</v>
      </c>
      <c r="AT162" s="3">
        <v>25.9</v>
      </c>
      <c r="AU162" s="3">
        <v>28.04</v>
      </c>
      <c r="AV162" s="3">
        <v>29.69</v>
      </c>
      <c r="AW162" s="3">
        <v>30.52</v>
      </c>
      <c r="AX162" s="48">
        <v>30.52</v>
      </c>
      <c r="AY162" s="3"/>
      <c r="AZ162" s="3">
        <v>8</v>
      </c>
      <c r="BA162" s="3">
        <v>210</v>
      </c>
      <c r="BB162" s="3">
        <v>11</v>
      </c>
      <c r="BC162" s="3">
        <v>248</v>
      </c>
      <c r="BD162" s="40">
        <v>1073.2463815931037</v>
      </c>
      <c r="BE162" s="40">
        <v>1050.1506608337043</v>
      </c>
      <c r="BF162" s="40"/>
      <c r="BG162" s="40">
        <v>390.27064897057215</v>
      </c>
      <c r="BH162" s="40">
        <v>380.83542475359729</v>
      </c>
      <c r="BI162" s="49">
        <v>2123.3970424268082</v>
      </c>
      <c r="BJ162" s="49">
        <v>771.10607372416939</v>
      </c>
      <c r="BK162" s="66">
        <v>2.1992768867149071E-2</v>
      </c>
      <c r="BL162" s="66">
        <v>2.4775069764267688E-2</v>
      </c>
      <c r="BM162" s="51">
        <v>34.359175443799487</v>
      </c>
      <c r="BN162" s="51">
        <v>12.477444558643517</v>
      </c>
      <c r="BO162" s="52">
        <v>235</v>
      </c>
      <c r="BP162" s="40">
        <v>234</v>
      </c>
      <c r="BQ162" s="40">
        <v>235</v>
      </c>
      <c r="BR162" s="67">
        <v>-4.2553191489361764E-3</v>
      </c>
      <c r="BS162" s="54">
        <v>3.7944983818770228</v>
      </c>
      <c r="BT162" s="3">
        <v>111</v>
      </c>
      <c r="BU162" s="40">
        <v>114</v>
      </c>
      <c r="BV162" s="3"/>
      <c r="BW162" s="3">
        <v>108</v>
      </c>
      <c r="BX162" s="70">
        <v>-2.6315789473684181E-2</v>
      </c>
      <c r="BY162" s="70"/>
      <c r="BZ162" s="59">
        <v>1.0555555555555556</v>
      </c>
      <c r="CA162" s="59"/>
      <c r="CB162" s="59">
        <v>1.4817961165048548</v>
      </c>
      <c r="CC162" s="59">
        <v>1.4225242718446607</v>
      </c>
      <c r="CD162" s="60">
        <v>95</v>
      </c>
      <c r="CE162" s="60">
        <v>106</v>
      </c>
      <c r="CF162" s="61">
        <v>1.5372168284789645</v>
      </c>
      <c r="CG162" s="61">
        <v>1.7152103559870551</v>
      </c>
      <c r="CH162" s="61">
        <v>1.1157894736842104</v>
      </c>
      <c r="CI162" s="41"/>
      <c r="CJ162" s="40"/>
      <c r="CK162" s="3"/>
      <c r="CL162" s="62"/>
      <c r="CM162" s="63" t="s">
        <v>110</v>
      </c>
      <c r="CN162" s="3">
        <v>114</v>
      </c>
      <c r="CO162" s="3">
        <v>108</v>
      </c>
      <c r="CP162" s="41">
        <v>14.919444444444444</v>
      </c>
      <c r="CQ162" s="3" t="s">
        <v>110</v>
      </c>
      <c r="CR162" s="40">
        <v>112.5</v>
      </c>
      <c r="CS162" s="40">
        <v>108</v>
      </c>
      <c r="CT162" s="40">
        <v>234.5</v>
      </c>
      <c r="CU162" s="40"/>
      <c r="CV162" s="40"/>
      <c r="CW162" s="40"/>
      <c r="CX162" s="40"/>
      <c r="CY162" s="40">
        <v>0</v>
      </c>
      <c r="CZ162" s="40"/>
      <c r="DA162" s="40"/>
    </row>
    <row r="163" spans="1:105" ht="15.95" customHeight="1">
      <c r="A163" s="3">
        <v>419</v>
      </c>
      <c r="B163" s="38" t="s">
        <v>103</v>
      </c>
      <c r="C163" s="3" t="s">
        <v>115</v>
      </c>
      <c r="D163" s="3" t="s">
        <v>105</v>
      </c>
      <c r="E163" s="39">
        <v>44627</v>
      </c>
      <c r="F163" s="3" t="s">
        <v>186</v>
      </c>
      <c r="G163" s="3" t="s">
        <v>107</v>
      </c>
      <c r="H163" s="3">
        <v>2007</v>
      </c>
      <c r="I163" s="40" t="s">
        <v>116</v>
      </c>
      <c r="J163" s="40" t="s">
        <v>117</v>
      </c>
      <c r="K163" s="3">
        <v>178.1</v>
      </c>
      <c r="L163" s="3">
        <v>179</v>
      </c>
      <c r="M163" s="3">
        <v>178.8</v>
      </c>
      <c r="N163" s="3">
        <v>146.9</v>
      </c>
      <c r="O163" s="3">
        <v>146.80000000000001</v>
      </c>
      <c r="P163" s="3"/>
      <c r="Q163" s="3">
        <v>62.1</v>
      </c>
      <c r="R163" s="3">
        <v>62.1</v>
      </c>
      <c r="S163" s="3"/>
      <c r="T163" s="42">
        <v>178.63333333333335</v>
      </c>
      <c r="U163" s="42">
        <f>AVERAGE(paper3[[#This Row],[Sittende høyde 1]:[Sittende høyde 3]])-56.2</f>
        <v>90.65000000000002</v>
      </c>
      <c r="V163" s="12">
        <f>paper3[[#This Row],[height]]-paper3[[#This Row],[sittingheight]]</f>
        <v>87.983333333333334</v>
      </c>
      <c r="W163" s="73">
        <v>62.1</v>
      </c>
      <c r="X163" s="43" cm="1">
        <f t="array" ref="X163">INDEX([1]!phvny[yphv], MATCH(1, (paper3[[#This Row],[id]]=[1]!phvny[id])*(paper3[[#This Row],[time]]=[1]!phvny[time]), 0))</f>
        <v>2.9429428014213981</v>
      </c>
      <c r="Y163" s="3">
        <v>2.2400000000000002</v>
      </c>
      <c r="Z163" s="3">
        <v>3.89</v>
      </c>
      <c r="AA163" s="3">
        <v>5.53</v>
      </c>
      <c r="AB163" s="3">
        <v>2.29</v>
      </c>
      <c r="AC163" s="3">
        <v>4.0199999999999996</v>
      </c>
      <c r="AD163" s="3">
        <v>5.74</v>
      </c>
      <c r="AE163" s="3">
        <v>2.3199999999999998</v>
      </c>
      <c r="AF163" s="3">
        <v>4.1100000000000003</v>
      </c>
      <c r="AG163" s="3">
        <v>5.89</v>
      </c>
      <c r="AH163" s="44">
        <v>2.2400000000000002</v>
      </c>
      <c r="AI163" s="44">
        <v>3.89</v>
      </c>
      <c r="AJ163" s="44">
        <v>5.53</v>
      </c>
      <c r="AK163" s="45">
        <v>6.0975609756097553</v>
      </c>
      <c r="AL163" s="3">
        <v>12.97</v>
      </c>
      <c r="AM163" s="3">
        <v>12.59</v>
      </c>
      <c r="AN163" s="3">
        <v>12.87</v>
      </c>
      <c r="AO163" s="3">
        <v>13.14</v>
      </c>
      <c r="AP163" s="3">
        <v>12.59</v>
      </c>
      <c r="AQ163" s="47">
        <v>12.59</v>
      </c>
      <c r="AR163" s="47">
        <v>12.87</v>
      </c>
      <c r="AS163" s="3">
        <v>19.66</v>
      </c>
      <c r="AT163" s="3">
        <v>18.899999999999999</v>
      </c>
      <c r="AU163" s="3">
        <v>21.62</v>
      </c>
      <c r="AV163" s="3">
        <v>19.350000000000001</v>
      </c>
      <c r="AW163" s="3"/>
      <c r="AX163" s="48">
        <v>21.62</v>
      </c>
      <c r="AY163" s="3"/>
      <c r="AZ163" s="3">
        <v>10</v>
      </c>
      <c r="BA163" s="3">
        <v>210</v>
      </c>
      <c r="BB163" s="3">
        <v>8</v>
      </c>
      <c r="BC163" s="3">
        <v>190</v>
      </c>
      <c r="BD163" s="40">
        <v>734.4470857184433</v>
      </c>
      <c r="BE163" s="40">
        <v>770.09577150468272</v>
      </c>
      <c r="BF163" s="40"/>
      <c r="BG163" s="40">
        <v>305.7715861391585</v>
      </c>
      <c r="BH163" s="40">
        <v>292.78822916666644</v>
      </c>
      <c r="BI163" s="49">
        <v>1504.542857223126</v>
      </c>
      <c r="BJ163" s="49">
        <v>598.55981530582494</v>
      </c>
      <c r="BK163" s="66">
        <v>-4.6291236889388188E-2</v>
      </c>
      <c r="BL163" s="66">
        <v>4.4343848827001375E-2</v>
      </c>
      <c r="BM163" s="51">
        <v>24.227743272514108</v>
      </c>
      <c r="BN163" s="51">
        <v>9.6386443688538641</v>
      </c>
      <c r="BO163" s="52">
        <v>252</v>
      </c>
      <c r="BP163" s="40">
        <v>252</v>
      </c>
      <c r="BQ163" s="40">
        <v>207</v>
      </c>
      <c r="BR163" s="67">
        <v>0.21739130434782616</v>
      </c>
      <c r="BS163" s="54">
        <v>3.6956521739130435</v>
      </c>
      <c r="BT163" s="3">
        <v>94</v>
      </c>
      <c r="BU163" s="40">
        <v>109</v>
      </c>
      <c r="BV163" s="3">
        <v>80</v>
      </c>
      <c r="BW163" s="3">
        <v>87</v>
      </c>
      <c r="BX163" s="70">
        <v>-0.13761467889908252</v>
      </c>
      <c r="BY163" s="70">
        <v>-8.0459770114942541E-2</v>
      </c>
      <c r="BZ163" s="59">
        <v>1.2528735632183907</v>
      </c>
      <c r="CA163" s="59">
        <v>1.175</v>
      </c>
      <c r="CB163" s="59">
        <v>1.438052871712292</v>
      </c>
      <c r="CC163" s="59">
        <v>1.1830287171229199</v>
      </c>
      <c r="CD163" s="60">
        <v>76</v>
      </c>
      <c r="CE163" s="60">
        <v>79</v>
      </c>
      <c r="CF163" s="61">
        <v>1.2238325281803542</v>
      </c>
      <c r="CG163" s="61">
        <v>1.2721417069243155</v>
      </c>
      <c r="CH163" s="61">
        <v>1.0394736842105263</v>
      </c>
      <c r="CI163" s="41">
        <v>12.3</v>
      </c>
      <c r="CJ163" s="40">
        <f>VLOOKUP(paper3[[#This Row],[YYIR nivå]],$DB:$DC,2)</f>
        <v>280</v>
      </c>
      <c r="CK163" s="3"/>
      <c r="CL163" s="62"/>
      <c r="CM163" s="63" t="s">
        <v>110</v>
      </c>
      <c r="CN163" s="3">
        <v>109</v>
      </c>
      <c r="CO163" s="3">
        <v>87</v>
      </c>
      <c r="CP163" s="41">
        <v>14.594444444444445</v>
      </c>
      <c r="CQ163" s="3" t="s">
        <v>110</v>
      </c>
      <c r="CR163" s="40">
        <v>101.5</v>
      </c>
      <c r="CS163" s="40">
        <v>83.5</v>
      </c>
      <c r="CT163" s="40">
        <v>229.5</v>
      </c>
      <c r="CU163" s="40"/>
      <c r="CV163" s="40"/>
      <c r="CW163" s="40"/>
      <c r="CX163" s="40"/>
      <c r="CY163" s="40">
        <v>0</v>
      </c>
      <c r="CZ163" s="40"/>
      <c r="DA163" s="40"/>
    </row>
    <row r="164" spans="1:105" ht="15.95" customHeight="1">
      <c r="A164" s="3">
        <v>420</v>
      </c>
      <c r="B164" s="38" t="s">
        <v>103</v>
      </c>
      <c r="C164" s="3" t="s">
        <v>158</v>
      </c>
      <c r="D164" s="3" t="s">
        <v>105</v>
      </c>
      <c r="E164" s="39">
        <v>44629</v>
      </c>
      <c r="F164" s="3" t="s">
        <v>186</v>
      </c>
      <c r="G164" s="3" t="s">
        <v>122</v>
      </c>
      <c r="H164" s="3">
        <v>2009</v>
      </c>
      <c r="I164" s="40" t="s">
        <v>108</v>
      </c>
      <c r="J164" s="40" t="s">
        <v>123</v>
      </c>
      <c r="K164" s="3">
        <v>160</v>
      </c>
      <c r="L164" s="3">
        <v>160.1</v>
      </c>
      <c r="M164" s="3"/>
      <c r="N164" s="3">
        <v>135.5</v>
      </c>
      <c r="O164" s="3">
        <v>135.6</v>
      </c>
      <c r="P164" s="3"/>
      <c r="Q164" s="3">
        <v>49.4</v>
      </c>
      <c r="R164" s="3">
        <v>49.4</v>
      </c>
      <c r="S164" s="3"/>
      <c r="T164" s="42">
        <v>160.05000000000001</v>
      </c>
      <c r="U164" s="42">
        <f>AVERAGE(paper3[[#This Row],[Sittende høyde 1]:[Sittende høyde 3]])-56.2</f>
        <v>79.350000000000009</v>
      </c>
      <c r="V164" s="12">
        <f>paper3[[#This Row],[height]]-paper3[[#This Row],[sittingheight]]</f>
        <v>80.7</v>
      </c>
      <c r="W164" s="73">
        <v>49.4</v>
      </c>
      <c r="X164" s="43" cm="1">
        <f t="array" ref="X164">INDEX([1]!phvny[yphv], MATCH(1, (paper3[[#This Row],[id]]=[1]!phvny[id])*(paper3[[#This Row],[time]]=[1]!phvny[time]), 0))</f>
        <v>-1.4084331246021562</v>
      </c>
      <c r="Y164" s="3">
        <v>2.17</v>
      </c>
      <c r="Z164" s="3">
        <v>3.82</v>
      </c>
      <c r="AA164" s="3">
        <v>5.46</v>
      </c>
      <c r="AB164" s="3">
        <v>2.1800000000000002</v>
      </c>
      <c r="AC164" s="3">
        <v>3.84</v>
      </c>
      <c r="AD164" s="3">
        <v>5.49</v>
      </c>
      <c r="AE164" s="3">
        <v>2.21</v>
      </c>
      <c r="AF164" s="3">
        <v>3.85</v>
      </c>
      <c r="AG164" s="3">
        <v>5.5</v>
      </c>
      <c r="AH164" s="44">
        <v>2.17</v>
      </c>
      <c r="AI164" s="44">
        <v>3.82</v>
      </c>
      <c r="AJ164" s="44">
        <v>5.46</v>
      </c>
      <c r="AK164" s="45">
        <v>6.0975609756097553</v>
      </c>
      <c r="AL164" s="3">
        <v>12.93</v>
      </c>
      <c r="AM164" s="3">
        <v>12.39</v>
      </c>
      <c r="AN164" s="3" t="s">
        <v>189</v>
      </c>
      <c r="AO164" s="3">
        <v>13.04</v>
      </c>
      <c r="AP164" s="3">
        <v>12.39</v>
      </c>
      <c r="AQ164" s="47">
        <v>12.39</v>
      </c>
      <c r="AR164" s="47">
        <v>13.04</v>
      </c>
      <c r="AS164" s="3">
        <v>23.6</v>
      </c>
      <c r="AT164" s="3">
        <v>22.05</v>
      </c>
      <c r="AU164" s="3">
        <v>22.89</v>
      </c>
      <c r="AV164" s="3"/>
      <c r="AW164" s="3"/>
      <c r="AX164" s="48">
        <v>23.6</v>
      </c>
      <c r="AY164" s="3"/>
      <c r="AZ164" s="116">
        <v>8</v>
      </c>
      <c r="BA164" s="116">
        <v>200</v>
      </c>
      <c r="BB164" s="3">
        <v>9</v>
      </c>
      <c r="BC164" s="3">
        <v>181</v>
      </c>
      <c r="BD164" s="40">
        <v>797.82714503404441</v>
      </c>
      <c r="BE164" s="40">
        <v>819.44207985541198</v>
      </c>
      <c r="BF164" s="40"/>
      <c r="BG164" s="40">
        <v>185.57001318024282</v>
      </c>
      <c r="BH164" s="40">
        <v>191.83799050508895</v>
      </c>
      <c r="BI164" s="49">
        <v>1617.2692248894564</v>
      </c>
      <c r="BJ164" s="49">
        <v>377.40800368533178</v>
      </c>
      <c r="BK164" s="66">
        <v>-2.6377623693893626E-2</v>
      </c>
      <c r="BL164" s="66">
        <v>-3.2673284933517177E-2</v>
      </c>
      <c r="BM164" s="51">
        <v>32.738243418814911</v>
      </c>
      <c r="BN164" s="51">
        <v>7.6398381312820201</v>
      </c>
      <c r="BO164" s="52">
        <v>135</v>
      </c>
      <c r="BP164" s="40">
        <v>120</v>
      </c>
      <c r="BQ164" s="40">
        <v>135</v>
      </c>
      <c r="BR164" s="67">
        <v>-0.11111111111111116</v>
      </c>
      <c r="BS164" s="54">
        <v>2.5809716599190282</v>
      </c>
      <c r="BT164" s="3">
        <v>111</v>
      </c>
      <c r="BU164" s="40">
        <v>117</v>
      </c>
      <c r="BV164" s="3"/>
      <c r="BW164" s="3"/>
      <c r="BX164" s="70">
        <v>-5.1282051282051322E-2</v>
      </c>
      <c r="BY164" s="70"/>
      <c r="BZ164" s="59"/>
      <c r="CA164" s="59"/>
      <c r="CB164" s="59">
        <v>1.8623076923076924</v>
      </c>
      <c r="CC164" s="59" t="s">
        <v>110</v>
      </c>
      <c r="CD164" s="60">
        <v>88</v>
      </c>
      <c r="CE164" s="60">
        <v>64</v>
      </c>
      <c r="CF164" s="61">
        <v>1.7813765182186236</v>
      </c>
      <c r="CG164" s="61">
        <v>1.2955465587044535</v>
      </c>
      <c r="CH164" s="61">
        <v>0.72727272727272718</v>
      </c>
      <c r="CI164" s="41">
        <v>12.2</v>
      </c>
      <c r="CJ164" s="40">
        <f>VLOOKUP(paper3[[#This Row],[YYIR nivå]],$DB:$DC,2)</f>
        <v>240</v>
      </c>
      <c r="CK164" s="3" t="s">
        <v>190</v>
      </c>
      <c r="CL164" s="62"/>
      <c r="CM164" s="63" t="s">
        <v>110</v>
      </c>
      <c r="CN164" s="3">
        <v>117</v>
      </c>
      <c r="CO164" s="3"/>
      <c r="CP164" s="41">
        <v>12.286111111111111</v>
      </c>
      <c r="CQ164" s="3" t="s">
        <v>110</v>
      </c>
      <c r="CR164" s="40">
        <v>114</v>
      </c>
      <c r="CS164" s="40" t="s">
        <v>110</v>
      </c>
      <c r="CT164" s="40">
        <v>127.5</v>
      </c>
      <c r="CU164" s="40"/>
      <c r="CV164" s="40"/>
      <c r="CW164" s="40"/>
      <c r="CX164" s="40"/>
      <c r="CY164" s="40">
        <v>0</v>
      </c>
      <c r="CZ164" s="40"/>
      <c r="DA164" s="40"/>
    </row>
    <row r="165" spans="1:105" ht="15.95" customHeight="1">
      <c r="A165" s="3">
        <v>421</v>
      </c>
      <c r="B165" s="38" t="s">
        <v>103</v>
      </c>
      <c r="C165" s="3" t="s">
        <v>104</v>
      </c>
      <c r="D165" s="3" t="s">
        <v>105</v>
      </c>
      <c r="E165" s="39">
        <v>44629</v>
      </c>
      <c r="F165" s="3" t="s">
        <v>186</v>
      </c>
      <c r="G165" s="3" t="s">
        <v>122</v>
      </c>
      <c r="H165" s="3">
        <v>2009</v>
      </c>
      <c r="I165" s="40" t="s">
        <v>108</v>
      </c>
      <c r="J165" s="40" t="s">
        <v>123</v>
      </c>
      <c r="K165" s="3">
        <v>162.80000000000001</v>
      </c>
      <c r="L165" s="3">
        <v>163</v>
      </c>
      <c r="M165" s="3"/>
      <c r="N165" s="3">
        <v>140.30000000000001</v>
      </c>
      <c r="O165" s="3">
        <v>140.1</v>
      </c>
      <c r="P165" s="3"/>
      <c r="Q165" s="3">
        <v>48.3</v>
      </c>
      <c r="R165" s="3">
        <v>48.4</v>
      </c>
      <c r="S165" s="3"/>
      <c r="T165" s="42">
        <v>162.9</v>
      </c>
      <c r="U165" s="42">
        <f>AVERAGE(paper3[[#This Row],[Sittende høyde 1]:[Sittende høyde 3]])-56.2</f>
        <v>83.999999999999986</v>
      </c>
      <c r="V165" s="12">
        <f>paper3[[#This Row],[height]]-paper3[[#This Row],[sittingheight]]</f>
        <v>78.90000000000002</v>
      </c>
      <c r="W165" s="73">
        <v>48.349999999999994</v>
      </c>
      <c r="X165" s="43" cm="1">
        <f t="array" ref="X165">INDEX([1]!phvny[yphv], MATCH(1, (paper3[[#This Row],[id]]=[1]!phvny[id])*(paper3[[#This Row],[time]]=[1]!phvny[time]), 0))</f>
        <v>-0.60002200209024059</v>
      </c>
      <c r="Y165" s="3">
        <v>1.92</v>
      </c>
      <c r="Z165" s="3">
        <v>3.35</v>
      </c>
      <c r="AA165" s="3">
        <v>4.7300000000000004</v>
      </c>
      <c r="AB165" s="3">
        <v>1.96</v>
      </c>
      <c r="AC165" s="3">
        <v>3.38</v>
      </c>
      <c r="AD165" s="3">
        <v>4.7699999999999996</v>
      </c>
      <c r="AE165" s="3">
        <v>1.99</v>
      </c>
      <c r="AF165" s="3">
        <v>3.46</v>
      </c>
      <c r="AG165" s="3">
        <v>4.8600000000000003</v>
      </c>
      <c r="AH165" s="44">
        <v>1.92</v>
      </c>
      <c r="AI165" s="44">
        <v>3.35</v>
      </c>
      <c r="AJ165" s="44">
        <v>4.7300000000000004</v>
      </c>
      <c r="AK165" s="45">
        <v>7.2463768115942013</v>
      </c>
      <c r="AL165" s="3">
        <v>11.73</v>
      </c>
      <c r="AM165" s="3">
        <v>11.04</v>
      </c>
      <c r="AN165" s="3">
        <v>11.21</v>
      </c>
      <c r="AO165" s="3">
        <v>10.75</v>
      </c>
      <c r="AP165" s="3">
        <v>10.75</v>
      </c>
      <c r="AQ165" s="47">
        <v>11.04</v>
      </c>
      <c r="AR165" s="47">
        <v>10.75</v>
      </c>
      <c r="AS165" s="3">
        <v>30.95</v>
      </c>
      <c r="AT165" s="3">
        <v>33.200000000000003</v>
      </c>
      <c r="AU165" s="3">
        <v>30.46</v>
      </c>
      <c r="AV165" s="3"/>
      <c r="AW165" s="3"/>
      <c r="AX165" s="48">
        <v>33.200000000000003</v>
      </c>
      <c r="AY165" s="3"/>
      <c r="AZ165" s="116">
        <v>8</v>
      </c>
      <c r="BA165" s="116">
        <v>200</v>
      </c>
      <c r="BB165" s="3">
        <v>11</v>
      </c>
      <c r="BC165" s="3">
        <v>236</v>
      </c>
      <c r="BD165" s="40">
        <v>935.80956805754545</v>
      </c>
      <c r="BE165" s="40">
        <v>982.9963657157266</v>
      </c>
      <c r="BF165" s="40"/>
      <c r="BG165" s="40">
        <v>308.79186300483389</v>
      </c>
      <c r="BH165" s="40">
        <v>299.40581012968141</v>
      </c>
      <c r="BI165" s="49">
        <v>1918.805933773272</v>
      </c>
      <c r="BJ165" s="49">
        <v>608.1976731345153</v>
      </c>
      <c r="BK165" s="66">
        <v>-4.8003023514562093E-2</v>
      </c>
      <c r="BL165" s="66">
        <v>3.1348933646568433E-2</v>
      </c>
      <c r="BM165" s="51">
        <v>39.726830926982863</v>
      </c>
      <c r="BN165" s="51">
        <v>12.59208432990715</v>
      </c>
      <c r="BO165" s="52">
        <v>241</v>
      </c>
      <c r="BP165" s="40">
        <v>241</v>
      </c>
      <c r="BQ165" s="40">
        <v>240</v>
      </c>
      <c r="BR165" s="67">
        <v>4.1666666666666519E-3</v>
      </c>
      <c r="BS165" s="54">
        <v>4.9741468459152021</v>
      </c>
      <c r="BT165" s="3">
        <v>174</v>
      </c>
      <c r="BU165" s="40">
        <v>139</v>
      </c>
      <c r="BV165" s="3">
        <v>101</v>
      </c>
      <c r="BW165" s="3">
        <v>86</v>
      </c>
      <c r="BX165" s="70">
        <v>0.25179856115107913</v>
      </c>
      <c r="BY165" s="70">
        <v>0.17441860465116288</v>
      </c>
      <c r="BZ165" s="59">
        <v>1.6162790697674418</v>
      </c>
      <c r="CA165" s="59">
        <v>1.7227722772277227</v>
      </c>
      <c r="CB165" s="59">
        <v>2.5538469493278186</v>
      </c>
      <c r="CC165" s="59">
        <v>1.5257807652533615</v>
      </c>
      <c r="CD165" s="60">
        <v>97</v>
      </c>
      <c r="CE165" s="60">
        <v>84</v>
      </c>
      <c r="CF165" s="61">
        <v>2.0062047569803521</v>
      </c>
      <c r="CG165" s="61">
        <v>1.7373319544984489</v>
      </c>
      <c r="CH165" s="61">
        <v>0.86597938144329878</v>
      </c>
      <c r="CI165" s="41">
        <v>14.6</v>
      </c>
      <c r="CJ165" s="40">
        <f>VLOOKUP(paper3[[#This Row],[YYIR nivå]],$DB:$DC,2)</f>
        <v>680</v>
      </c>
      <c r="CK165" s="3"/>
      <c r="CL165" s="62"/>
      <c r="CM165" s="63" t="s">
        <v>110</v>
      </c>
      <c r="CN165" s="3">
        <v>174</v>
      </c>
      <c r="CO165" s="3">
        <v>101</v>
      </c>
      <c r="CP165" s="41">
        <v>12.972222222222221</v>
      </c>
      <c r="CQ165" s="3" t="s">
        <v>110</v>
      </c>
      <c r="CR165" s="40">
        <v>156.5</v>
      </c>
      <c r="CS165" s="40">
        <v>93.5</v>
      </c>
      <c r="CT165" s="40">
        <v>240.5</v>
      </c>
      <c r="CU165" s="40"/>
      <c r="CV165" s="40"/>
      <c r="CW165" s="40"/>
      <c r="CX165" s="40"/>
      <c r="CY165" s="40">
        <v>0</v>
      </c>
      <c r="CZ165" s="40"/>
      <c r="DA165" s="40"/>
    </row>
    <row r="166" spans="1:105" ht="15.75" customHeight="1">
      <c r="A166" s="3">
        <v>422</v>
      </c>
      <c r="B166" s="38" t="s">
        <v>103</v>
      </c>
      <c r="C166" s="3" t="s">
        <v>104</v>
      </c>
      <c r="D166" s="3" t="s">
        <v>105</v>
      </c>
      <c r="E166" s="39">
        <v>44629</v>
      </c>
      <c r="F166" s="3" t="s">
        <v>186</v>
      </c>
      <c r="G166" s="3" t="s">
        <v>122</v>
      </c>
      <c r="H166" s="3">
        <v>2009</v>
      </c>
      <c r="I166" s="40" t="s">
        <v>108</v>
      </c>
      <c r="J166" s="40" t="s">
        <v>123</v>
      </c>
      <c r="K166" s="3">
        <v>161.1</v>
      </c>
      <c r="L166" s="3">
        <v>161.4</v>
      </c>
      <c r="M166" s="3">
        <v>161.4</v>
      </c>
      <c r="N166" s="3">
        <v>137</v>
      </c>
      <c r="O166" s="3">
        <v>136.1</v>
      </c>
      <c r="P166" s="3">
        <v>136.9</v>
      </c>
      <c r="Q166" s="3">
        <v>37.700000000000003</v>
      </c>
      <c r="R166" s="3">
        <v>37.700000000000003</v>
      </c>
      <c r="S166" s="3"/>
      <c r="T166" s="42">
        <v>161.29999999999998</v>
      </c>
      <c r="U166" s="42">
        <f>AVERAGE(paper3[[#This Row],[Sittende høyde 1]:[Sittende høyde 3]])-56.2</f>
        <v>80.466666666666654</v>
      </c>
      <c r="V166" s="12">
        <f>paper3[[#This Row],[height]]-paper3[[#This Row],[sittingheight]]</f>
        <v>80.833333333333329</v>
      </c>
      <c r="W166" s="73">
        <v>37.700000000000003</v>
      </c>
      <c r="X166" s="43" cm="1">
        <f t="array" ref="X166">INDEX([1]!phvny[yphv], MATCH(1, (paper3[[#This Row],[id]]=[1]!phvny[id])*(paper3[[#This Row],[time]]=[1]!phvny[time]), 0))</f>
        <v>-1.4801335697740599</v>
      </c>
      <c r="Y166" s="3">
        <v>2.11</v>
      </c>
      <c r="Z166" s="3">
        <v>3.63</v>
      </c>
      <c r="AA166" s="3">
        <v>5.14</v>
      </c>
      <c r="AB166" s="3">
        <v>2.16</v>
      </c>
      <c r="AC166" s="3">
        <v>3.7</v>
      </c>
      <c r="AD166" s="3">
        <v>5.25</v>
      </c>
      <c r="AE166" s="3">
        <v>2.17</v>
      </c>
      <c r="AF166" s="3">
        <v>3.7</v>
      </c>
      <c r="AG166" s="3">
        <v>5.23</v>
      </c>
      <c r="AH166" s="44">
        <v>2.11</v>
      </c>
      <c r="AI166" s="44">
        <v>3.63</v>
      </c>
      <c r="AJ166" s="44">
        <v>5.14</v>
      </c>
      <c r="AK166" s="45">
        <v>6.6225165562913917</v>
      </c>
      <c r="AL166" s="3">
        <v>11.7</v>
      </c>
      <c r="AM166" s="3">
        <v>11.28</v>
      </c>
      <c r="AN166" s="3">
        <v>11.8</v>
      </c>
      <c r="AO166" s="3">
        <v>11.38</v>
      </c>
      <c r="AP166" s="3">
        <v>11.28</v>
      </c>
      <c r="AQ166" s="47">
        <v>11.28</v>
      </c>
      <c r="AR166" s="47">
        <v>11.38</v>
      </c>
      <c r="AS166" s="3">
        <v>25.34</v>
      </c>
      <c r="AT166" s="3">
        <v>24.35</v>
      </c>
      <c r="AU166" s="3">
        <v>26.94</v>
      </c>
      <c r="AV166" s="3"/>
      <c r="AW166" s="3"/>
      <c r="AX166" s="48">
        <v>26.94</v>
      </c>
      <c r="AY166" s="3"/>
      <c r="AZ166" s="116">
        <v>8</v>
      </c>
      <c r="BA166" s="116">
        <v>200</v>
      </c>
      <c r="BB166" s="3">
        <v>6</v>
      </c>
      <c r="BC166" s="3">
        <v>145</v>
      </c>
      <c r="BD166" s="40">
        <v>561.08545587603351</v>
      </c>
      <c r="BE166" s="40">
        <v>538.9006749496566</v>
      </c>
      <c r="BF166" s="40"/>
      <c r="BG166" s="40">
        <v>235.15448630036647</v>
      </c>
      <c r="BH166" s="40">
        <v>242.76372182840527</v>
      </c>
      <c r="BI166" s="49">
        <v>1099.98613082569</v>
      </c>
      <c r="BJ166" s="49">
        <v>477.91820812877177</v>
      </c>
      <c r="BK166" s="66">
        <v>4.1166734349422418E-2</v>
      </c>
      <c r="BL166" s="66">
        <v>-3.1344203617941324E-2</v>
      </c>
      <c r="BM166" s="51">
        <v>29.177350950283554</v>
      </c>
      <c r="BN166" s="51">
        <v>12.676875547182274</v>
      </c>
      <c r="BO166" s="52">
        <v>184</v>
      </c>
      <c r="BP166" s="40">
        <v>184</v>
      </c>
      <c r="BQ166" s="40">
        <v>176</v>
      </c>
      <c r="BR166" s="67">
        <v>4.5454545454545414E-2</v>
      </c>
      <c r="BS166" s="54">
        <v>4.774535809018567</v>
      </c>
      <c r="BT166" s="3">
        <v>126</v>
      </c>
      <c r="BU166" s="40">
        <v>125</v>
      </c>
      <c r="BV166" s="3">
        <v>82</v>
      </c>
      <c r="BW166" s="3">
        <v>84</v>
      </c>
      <c r="BX166" s="70">
        <v>8.0000000000000071E-3</v>
      </c>
      <c r="BY166" s="70">
        <v>-2.3809523809523836E-2</v>
      </c>
      <c r="BZ166" s="59">
        <v>1.4880952380952381</v>
      </c>
      <c r="CA166" s="59">
        <v>1.5365853658536586</v>
      </c>
      <c r="CB166" s="59">
        <v>2.6908709106984965</v>
      </c>
      <c r="CC166" s="59">
        <v>1.7796198054818739</v>
      </c>
      <c r="CD166" s="60">
        <v>69</v>
      </c>
      <c r="CE166" s="60">
        <v>56</v>
      </c>
      <c r="CF166" s="61">
        <v>1.8302387267904507</v>
      </c>
      <c r="CG166" s="61">
        <v>1.4854111405835542</v>
      </c>
      <c r="CH166" s="61">
        <v>0.81159420289855067</v>
      </c>
      <c r="CI166" s="41">
        <v>13.3</v>
      </c>
      <c r="CJ166" s="40">
        <f>VLOOKUP(paper3[[#This Row],[YYIR nivå]],$DB:$DC,2)</f>
        <v>400</v>
      </c>
      <c r="CK166" s="3"/>
      <c r="CL166" s="62"/>
      <c r="CM166" s="63" t="s">
        <v>110</v>
      </c>
      <c r="CN166" s="3">
        <v>126</v>
      </c>
      <c r="CO166" s="3">
        <v>84</v>
      </c>
      <c r="CP166" s="41">
        <v>12.233333333333333</v>
      </c>
      <c r="CQ166" s="3" t="s">
        <v>110</v>
      </c>
      <c r="CR166" s="40">
        <v>125.5</v>
      </c>
      <c r="CS166" s="40">
        <v>83</v>
      </c>
      <c r="CT166" s="40">
        <v>180</v>
      </c>
      <c r="CU166" s="40"/>
      <c r="CV166" s="40"/>
      <c r="CW166" s="40"/>
      <c r="CX166" s="40"/>
      <c r="CY166" s="40">
        <v>0</v>
      </c>
      <c r="CZ166" s="40"/>
      <c r="DA166" s="40"/>
    </row>
    <row r="167" spans="1:105" ht="15.95" customHeight="1">
      <c r="A167" s="3">
        <v>423</v>
      </c>
      <c r="B167" s="38" t="s">
        <v>103</v>
      </c>
      <c r="C167" s="3" t="s">
        <v>115</v>
      </c>
      <c r="D167" s="3" t="s">
        <v>105</v>
      </c>
      <c r="E167" s="39">
        <v>44629</v>
      </c>
      <c r="F167" s="3" t="s">
        <v>186</v>
      </c>
      <c r="G167" s="3" t="s">
        <v>122</v>
      </c>
      <c r="H167" s="3">
        <v>2009</v>
      </c>
      <c r="I167" s="40" t="s">
        <v>108</v>
      </c>
      <c r="J167" s="40" t="s">
        <v>123</v>
      </c>
      <c r="K167" s="3">
        <v>168.3</v>
      </c>
      <c r="L167" s="3">
        <v>168.1</v>
      </c>
      <c r="M167" s="3"/>
      <c r="N167" s="3">
        <v>140.69999999999999</v>
      </c>
      <c r="O167" s="3">
        <v>140.6</v>
      </c>
      <c r="P167" s="3"/>
      <c r="Q167" s="3">
        <v>54.6</v>
      </c>
      <c r="R167" s="3">
        <v>54.7</v>
      </c>
      <c r="S167" s="3"/>
      <c r="T167" s="42">
        <v>168.2</v>
      </c>
      <c r="U167" s="42">
        <f>AVERAGE(paper3[[#This Row],[Sittende høyde 1]:[Sittende høyde 3]])-56.2</f>
        <v>84.449999999999974</v>
      </c>
      <c r="V167" s="12">
        <f>paper3[[#This Row],[height]]-paper3[[#This Row],[sittingheight]]</f>
        <v>83.750000000000014</v>
      </c>
      <c r="W167" s="73">
        <v>54.650000000000006</v>
      </c>
      <c r="X167" s="43" cm="1">
        <f t="array" ref="X167">INDEX([1]!phvny[yphv], MATCH(1, (paper3[[#This Row],[id]]=[1]!phvny[id])*(paper3[[#This Row],[time]]=[1]!phvny[time]), 0))</f>
        <v>-0.49717314605215668</v>
      </c>
      <c r="Y167" s="3">
        <v>2.0299999999999998</v>
      </c>
      <c r="Z167" s="3">
        <v>3.46</v>
      </c>
      <c r="AA167" s="3">
        <v>4.8600000000000003</v>
      </c>
      <c r="AB167" s="3">
        <v>2.04</v>
      </c>
      <c r="AC167" s="3">
        <v>3.48</v>
      </c>
      <c r="AD167" s="3">
        <v>4.8499999999999996</v>
      </c>
      <c r="AE167" s="3">
        <v>2.09</v>
      </c>
      <c r="AF167" s="3">
        <v>3.54</v>
      </c>
      <c r="AG167" s="3">
        <v>4.9400000000000004</v>
      </c>
      <c r="AH167" s="44">
        <v>2.0299999999999998</v>
      </c>
      <c r="AI167" s="44">
        <v>3.46</v>
      </c>
      <c r="AJ167" s="44">
        <v>4.8499999999999996</v>
      </c>
      <c r="AK167" s="45">
        <v>7.1942446043165482</v>
      </c>
      <c r="AL167" s="3" t="s">
        <v>189</v>
      </c>
      <c r="AM167" s="3">
        <v>11.84</v>
      </c>
      <c r="AN167" s="3">
        <v>11.91</v>
      </c>
      <c r="AO167" s="3">
        <v>11.44</v>
      </c>
      <c r="AP167" s="3">
        <v>11.44</v>
      </c>
      <c r="AQ167" s="47">
        <v>11.84</v>
      </c>
      <c r="AR167" s="47">
        <v>11.44</v>
      </c>
      <c r="AS167" s="3">
        <v>28.1</v>
      </c>
      <c r="AT167" s="3">
        <v>30.65</v>
      </c>
      <c r="AU167" s="3">
        <v>28.15</v>
      </c>
      <c r="AV167" s="3"/>
      <c r="AW167" s="3"/>
      <c r="AX167" s="48">
        <v>30.65</v>
      </c>
      <c r="AY167" s="3"/>
      <c r="AZ167" s="116">
        <v>9</v>
      </c>
      <c r="BA167" s="116">
        <v>200</v>
      </c>
      <c r="BB167" s="3">
        <v>12</v>
      </c>
      <c r="BC167" s="3">
        <v>254</v>
      </c>
      <c r="BD167" s="40">
        <v>1052.4679920896699</v>
      </c>
      <c r="BE167" s="40">
        <v>992.92419254737501</v>
      </c>
      <c r="BF167" s="40"/>
      <c r="BG167" s="40">
        <v>441.3370385895322</v>
      </c>
      <c r="BH167" s="40">
        <v>438.12577551661303</v>
      </c>
      <c r="BI167" s="49">
        <v>2045.3921846370449</v>
      </c>
      <c r="BJ167" s="49">
        <v>879.46281410614529</v>
      </c>
      <c r="BK167" s="66">
        <v>5.9968122429904236E-2</v>
      </c>
      <c r="BL167" s="66">
        <v>7.3295461083808799E-3</v>
      </c>
      <c r="BM167" s="51">
        <v>37.461395323022799</v>
      </c>
      <c r="BN167" s="51">
        <v>16.107377547731598</v>
      </c>
      <c r="BO167" s="52">
        <v>177</v>
      </c>
      <c r="BP167" s="40">
        <v>177</v>
      </c>
      <c r="BQ167" s="40">
        <v>150</v>
      </c>
      <c r="BR167" s="67">
        <v>0.17999999999999994</v>
      </c>
      <c r="BS167" s="54">
        <v>2.991765782250686</v>
      </c>
      <c r="BT167" s="3">
        <v>127</v>
      </c>
      <c r="BU167" s="40">
        <v>120</v>
      </c>
      <c r="BV167" s="3">
        <v>102</v>
      </c>
      <c r="BW167" s="3">
        <v>87</v>
      </c>
      <c r="BX167" s="70">
        <v>5.8333333333333348E-2</v>
      </c>
      <c r="BY167" s="70">
        <v>0.17241379310344818</v>
      </c>
      <c r="BZ167" s="59">
        <v>1.3793103448275863</v>
      </c>
      <c r="CA167" s="59">
        <v>1.2450980392156863</v>
      </c>
      <c r="CB167" s="59">
        <v>1.8926120768526991</v>
      </c>
      <c r="CC167" s="59">
        <v>1.4481930466605673</v>
      </c>
      <c r="CD167" s="60">
        <v>83</v>
      </c>
      <c r="CE167" s="60">
        <v>67</v>
      </c>
      <c r="CF167" s="61">
        <v>1.5187557182067701</v>
      </c>
      <c r="CG167" s="61">
        <v>1.2259835315645013</v>
      </c>
      <c r="CH167" s="61">
        <v>0.80722891566265076</v>
      </c>
      <c r="CI167" s="41">
        <v>13.3</v>
      </c>
      <c r="CJ167" s="40">
        <f>VLOOKUP(paper3[[#This Row],[YYIR nivå]],$DB:$DC,2)</f>
        <v>400</v>
      </c>
      <c r="CK167" s="3"/>
      <c r="CL167" s="62"/>
      <c r="CM167" s="63" t="s">
        <v>110</v>
      </c>
      <c r="CN167" s="3">
        <v>127</v>
      </c>
      <c r="CO167" s="3">
        <v>102</v>
      </c>
      <c r="CP167" s="41">
        <v>12.930555555555555</v>
      </c>
      <c r="CQ167" s="3" t="s">
        <v>110</v>
      </c>
      <c r="CR167" s="40">
        <v>123.5</v>
      </c>
      <c r="CS167" s="40">
        <v>94.5</v>
      </c>
      <c r="CT167" s="40">
        <v>163.5</v>
      </c>
      <c r="CU167" s="40"/>
      <c r="CV167" s="40"/>
      <c r="CW167" s="40"/>
      <c r="CX167" s="40"/>
      <c r="CY167" s="40">
        <v>0</v>
      </c>
      <c r="CZ167" s="40"/>
      <c r="DA167" s="40"/>
    </row>
    <row r="168" spans="1:105" ht="15.95" customHeight="1">
      <c r="A168" s="3">
        <v>424</v>
      </c>
      <c r="B168" s="38" t="s">
        <v>103</v>
      </c>
      <c r="C168" s="3" t="s">
        <v>104</v>
      </c>
      <c r="D168" s="3" t="s">
        <v>105</v>
      </c>
      <c r="E168" s="39">
        <v>44629</v>
      </c>
      <c r="F168" s="3" t="s">
        <v>186</v>
      </c>
      <c r="G168" s="3" t="s">
        <v>122</v>
      </c>
      <c r="H168" s="3">
        <v>2009</v>
      </c>
      <c r="I168" s="40" t="s">
        <v>108</v>
      </c>
      <c r="J168" s="40" t="s">
        <v>123</v>
      </c>
      <c r="K168" s="3">
        <v>166.5</v>
      </c>
      <c r="L168" s="3">
        <v>166.7</v>
      </c>
      <c r="M168" s="3"/>
      <c r="N168" s="3">
        <v>139.4</v>
      </c>
      <c r="O168" s="3">
        <v>139.6</v>
      </c>
      <c r="P168" s="3"/>
      <c r="Q168" s="3">
        <v>49.3</v>
      </c>
      <c r="R168" s="3">
        <v>49.3</v>
      </c>
      <c r="S168" s="3"/>
      <c r="T168" s="42">
        <v>166.6</v>
      </c>
      <c r="U168" s="42">
        <f>AVERAGE(paper3[[#This Row],[Sittende høyde 1]:[Sittende høyde 3]])-56.2</f>
        <v>83.3</v>
      </c>
      <c r="V168" s="12">
        <f>paper3[[#This Row],[height]]-paper3[[#This Row],[sittingheight]]</f>
        <v>83.3</v>
      </c>
      <c r="W168" s="73">
        <v>49.3</v>
      </c>
      <c r="X168" s="43" cm="1">
        <f t="array" ref="X168">INDEX([1]!phvny[yphv], MATCH(1, (paper3[[#This Row],[id]]=[1]!phvny[id])*(paper3[[#This Row],[time]]=[1]!phvny[time]), 0))</f>
        <v>-0.73345982254081676</v>
      </c>
      <c r="Y168" s="3">
        <v>2.0299999999999998</v>
      </c>
      <c r="Z168" s="3">
        <v>3.5</v>
      </c>
      <c r="AA168" s="3">
        <v>4.92</v>
      </c>
      <c r="AB168" s="3">
        <v>1.99</v>
      </c>
      <c r="AC168" s="3">
        <v>3.45</v>
      </c>
      <c r="AD168" s="3">
        <v>4.8499999999999996</v>
      </c>
      <c r="AE168" s="3">
        <v>2.02</v>
      </c>
      <c r="AF168" s="3">
        <v>3.51</v>
      </c>
      <c r="AG168" s="3">
        <v>5</v>
      </c>
      <c r="AH168" s="44">
        <v>1.99</v>
      </c>
      <c r="AI168" s="44">
        <v>3.45</v>
      </c>
      <c r="AJ168" s="44">
        <v>4.8499999999999996</v>
      </c>
      <c r="AK168" s="45">
        <v>7.1428571428571459</v>
      </c>
      <c r="AL168" s="3">
        <v>13.4</v>
      </c>
      <c r="AM168" s="3">
        <v>11.54</v>
      </c>
      <c r="AN168" s="3">
        <v>11.17</v>
      </c>
      <c r="AO168" s="3">
        <v>10.7</v>
      </c>
      <c r="AP168" s="3">
        <v>10.7</v>
      </c>
      <c r="AQ168" s="47">
        <v>11.54</v>
      </c>
      <c r="AR168" s="47">
        <v>10.7</v>
      </c>
      <c r="AS168" s="3">
        <v>35.93</v>
      </c>
      <c r="AT168" s="3">
        <v>30.36</v>
      </c>
      <c r="AU168" s="3">
        <v>29.92</v>
      </c>
      <c r="AV168" s="3"/>
      <c r="AW168" s="3"/>
      <c r="AX168" s="48">
        <v>35.93</v>
      </c>
      <c r="AY168" s="3"/>
      <c r="AZ168" s="116">
        <v>9</v>
      </c>
      <c r="BA168" s="116">
        <v>200</v>
      </c>
      <c r="BB168" s="3">
        <v>8</v>
      </c>
      <c r="BC168" s="3">
        <v>181</v>
      </c>
      <c r="BD168" s="40">
        <v>781.06747081212279</v>
      </c>
      <c r="BE168" s="40">
        <v>764.10548006387535</v>
      </c>
      <c r="BF168" s="40"/>
      <c r="BG168" s="40">
        <v>324.12897387638884</v>
      </c>
      <c r="BH168" s="40">
        <v>285.68366301000509</v>
      </c>
      <c r="BI168" s="49">
        <v>1545.1729508759981</v>
      </c>
      <c r="BJ168" s="49">
        <v>609.81263688639388</v>
      </c>
      <c r="BK168" s="66">
        <v>2.2198493782336737E-2</v>
      </c>
      <c r="BL168" s="66">
        <v>0.13457301149571621</v>
      </c>
      <c r="BM168" s="51">
        <v>31.342250524868117</v>
      </c>
      <c r="BN168" s="51">
        <v>12.369424683293994</v>
      </c>
      <c r="BO168" s="52">
        <v>266</v>
      </c>
      <c r="BP168" s="40">
        <v>242</v>
      </c>
      <c r="BQ168" s="40">
        <v>266</v>
      </c>
      <c r="BR168" s="67">
        <v>-9.0225563909774431E-2</v>
      </c>
      <c r="BS168" s="54">
        <v>5.1521298174442194</v>
      </c>
      <c r="BT168" s="3">
        <v>126</v>
      </c>
      <c r="BU168" s="40">
        <v>123</v>
      </c>
      <c r="BV168" s="3">
        <v>102</v>
      </c>
      <c r="BW168" s="3">
        <v>100</v>
      </c>
      <c r="BX168" s="70">
        <v>2.4390243902439046E-2</v>
      </c>
      <c r="BY168" s="70">
        <v>2.0000000000000018E-2</v>
      </c>
      <c r="BZ168" s="59">
        <v>1.23</v>
      </c>
      <c r="CA168" s="59">
        <v>1.2352941176470589</v>
      </c>
      <c r="CB168" s="59">
        <v>2.1036206896551723</v>
      </c>
      <c r="CC168" s="59">
        <v>1.7065517241379311</v>
      </c>
      <c r="CD168" s="60">
        <v>90</v>
      </c>
      <c r="CE168" s="60">
        <v>70</v>
      </c>
      <c r="CF168" s="61">
        <v>1.8255578093306288</v>
      </c>
      <c r="CG168" s="61">
        <v>1.4198782961460448</v>
      </c>
      <c r="CH168" s="61">
        <v>0.77777777777777779</v>
      </c>
      <c r="CI168" s="41">
        <v>13.2</v>
      </c>
      <c r="CJ168" s="40">
        <f>VLOOKUP(paper3[[#This Row],[YYIR nivå]],$DB:$DC,2)</f>
        <v>360</v>
      </c>
      <c r="CK168" s="3"/>
      <c r="CL168" s="62"/>
      <c r="CM168" s="63" t="s">
        <v>110</v>
      </c>
      <c r="CN168" s="3">
        <v>126</v>
      </c>
      <c r="CO168" s="3">
        <v>102</v>
      </c>
      <c r="CP168" s="41">
        <v>12.852777777777778</v>
      </c>
      <c r="CQ168" s="3" t="s">
        <v>110</v>
      </c>
      <c r="CR168" s="40">
        <v>124.5</v>
      </c>
      <c r="CS168" s="40">
        <v>101</v>
      </c>
      <c r="CT168" s="40">
        <v>254</v>
      </c>
      <c r="CU168" s="40"/>
      <c r="CV168" s="40"/>
      <c r="CW168" s="40"/>
      <c r="CX168" s="40"/>
      <c r="CY168" s="40" t="s">
        <v>125</v>
      </c>
      <c r="CZ168" s="40"/>
      <c r="DA168" s="40"/>
    </row>
    <row r="169" spans="1:105" ht="15.75" customHeight="1">
      <c r="A169" s="3">
        <v>426</v>
      </c>
      <c r="B169" s="38" t="s">
        <v>103</v>
      </c>
      <c r="C169" s="3" t="s">
        <v>104</v>
      </c>
      <c r="D169" s="3" t="s">
        <v>105</v>
      </c>
      <c r="E169" s="39">
        <v>44629</v>
      </c>
      <c r="F169" s="3" t="s">
        <v>186</v>
      </c>
      <c r="G169" s="3" t="s">
        <v>122</v>
      </c>
      <c r="H169" s="3">
        <v>2009</v>
      </c>
      <c r="I169" s="40" t="s">
        <v>108</v>
      </c>
      <c r="J169" s="40" t="s">
        <v>123</v>
      </c>
      <c r="K169" s="3">
        <v>160.4</v>
      </c>
      <c r="L169" s="3">
        <v>160.4</v>
      </c>
      <c r="M169" s="3"/>
      <c r="N169" s="3">
        <v>134.4</v>
      </c>
      <c r="O169" s="3">
        <v>134.6</v>
      </c>
      <c r="P169" s="3"/>
      <c r="Q169" s="3">
        <v>55.7</v>
      </c>
      <c r="R169" s="3">
        <v>55</v>
      </c>
      <c r="S169" s="3"/>
      <c r="T169" s="42">
        <v>160.4</v>
      </c>
      <c r="U169" s="42">
        <f>AVERAGE(paper3[[#This Row],[Sittende høyde 1]:[Sittende høyde 3]])-56.2</f>
        <v>78.3</v>
      </c>
      <c r="V169" s="12">
        <f>paper3[[#This Row],[height]]-paper3[[#This Row],[sittingheight]]</f>
        <v>82.100000000000009</v>
      </c>
      <c r="W169" s="73">
        <v>55.35</v>
      </c>
      <c r="X169" s="43" cm="1">
        <f t="array" ref="X169">INDEX([1]!phvny[yphv], MATCH(1, (paper3[[#This Row],[id]]=[1]!phvny[id])*(paper3[[#This Row],[time]]=[1]!phvny[time]), 0))</f>
        <v>-1.3851603666227481</v>
      </c>
      <c r="Y169" s="3">
        <v>2.2000000000000002</v>
      </c>
      <c r="Z169" s="3">
        <v>3.86</v>
      </c>
      <c r="AA169" s="3">
        <v>5.5</v>
      </c>
      <c r="AB169" s="3">
        <v>2.27</v>
      </c>
      <c r="AC169" s="3">
        <v>3.96</v>
      </c>
      <c r="AD169" s="3">
        <v>5.72</v>
      </c>
      <c r="AE169" s="3">
        <v>2.29</v>
      </c>
      <c r="AF169" s="3">
        <v>4</v>
      </c>
      <c r="AG169" s="3">
        <v>5.72</v>
      </c>
      <c r="AH169" s="44">
        <v>2.2000000000000002</v>
      </c>
      <c r="AI169" s="44">
        <v>3.86</v>
      </c>
      <c r="AJ169" s="44">
        <v>5.5</v>
      </c>
      <c r="AK169" s="45">
        <v>6.0975609756097553</v>
      </c>
      <c r="AL169" s="3">
        <v>12.21</v>
      </c>
      <c r="AM169" s="3">
        <v>12.16</v>
      </c>
      <c r="AN169" s="3">
        <v>12.46</v>
      </c>
      <c r="AO169" s="3">
        <v>12.63</v>
      </c>
      <c r="AP169" s="3">
        <v>12.16</v>
      </c>
      <c r="AQ169" s="47">
        <v>12.16</v>
      </c>
      <c r="AR169" s="47">
        <v>12.46</v>
      </c>
      <c r="AS169" s="3">
        <v>21.64</v>
      </c>
      <c r="AT169" s="3">
        <v>21.41</v>
      </c>
      <c r="AU169" s="3">
        <v>21.82</v>
      </c>
      <c r="AV169" s="3">
        <v>23.95</v>
      </c>
      <c r="AW169" s="3"/>
      <c r="AX169" s="48">
        <v>23.95</v>
      </c>
      <c r="AY169" s="3"/>
      <c r="AZ169" s="116">
        <v>9</v>
      </c>
      <c r="BA169" s="116">
        <v>200</v>
      </c>
      <c r="BB169" s="3">
        <v>11</v>
      </c>
      <c r="BC169" s="3">
        <v>236</v>
      </c>
      <c r="BD169" s="40">
        <v>780.6427439349618</v>
      </c>
      <c r="BE169" s="40">
        <v>743.81550567139209</v>
      </c>
      <c r="BF169" s="40"/>
      <c r="BG169" s="40">
        <v>234.26965297351546</v>
      </c>
      <c r="BH169" s="40">
        <v>282.04218936795797</v>
      </c>
      <c r="BI169" s="49">
        <v>1524.458249606354</v>
      </c>
      <c r="BJ169" s="49">
        <v>516.31184234147349</v>
      </c>
      <c r="BK169" s="66">
        <v>4.9511253775663455E-2</v>
      </c>
      <c r="BL169" s="66">
        <v>-0.1693808167547497</v>
      </c>
      <c r="BM169" s="51">
        <v>27.3690888618735</v>
      </c>
      <c r="BN169" s="51">
        <v>9.2695124298289677</v>
      </c>
      <c r="BO169" s="52">
        <v>205</v>
      </c>
      <c r="BP169" s="40">
        <v>197</v>
      </c>
      <c r="BQ169" s="40">
        <v>205</v>
      </c>
      <c r="BR169" s="67">
        <v>-3.9024390243902474E-2</v>
      </c>
      <c r="BS169" s="54">
        <v>3.6314363143631434</v>
      </c>
      <c r="BT169" s="3">
        <v>124</v>
      </c>
      <c r="BU169" s="40">
        <v>119</v>
      </c>
      <c r="BV169" s="3">
        <v>63</v>
      </c>
      <c r="BW169" s="3">
        <v>79</v>
      </c>
      <c r="BX169" s="70">
        <v>4.2016806722689148E-2</v>
      </c>
      <c r="BY169" s="70">
        <v>-0.20253164556962022</v>
      </c>
      <c r="BZ169" s="59">
        <v>1.5063291139240507</v>
      </c>
      <c r="CA169" s="59">
        <v>1.9682539682539681</v>
      </c>
      <c r="CB169" s="59">
        <v>1.8021951219512196</v>
      </c>
      <c r="CC169" s="59">
        <v>1.0531345980126467</v>
      </c>
      <c r="CD169" s="60">
        <v>74</v>
      </c>
      <c r="CE169" s="60">
        <v>50</v>
      </c>
      <c r="CF169" s="61">
        <v>1.3369467028003612</v>
      </c>
      <c r="CG169" s="61">
        <v>0.90334236675700086</v>
      </c>
      <c r="CH169" s="61">
        <v>0.67567567567567566</v>
      </c>
      <c r="CI169" s="41">
        <v>13.1</v>
      </c>
      <c r="CJ169" s="40">
        <f>VLOOKUP(paper3[[#This Row],[YYIR nivå]],$DB:$DC,2)</f>
        <v>320</v>
      </c>
      <c r="CK169" s="3"/>
      <c r="CL169" s="62"/>
      <c r="CM169" s="63" t="s">
        <v>110</v>
      </c>
      <c r="CN169" s="3">
        <v>124</v>
      </c>
      <c r="CO169" s="3">
        <v>79</v>
      </c>
      <c r="CP169" s="41">
        <v>12.41388888888889</v>
      </c>
      <c r="CQ169" s="3" t="s">
        <v>110</v>
      </c>
      <c r="CR169" s="40">
        <v>121.5</v>
      </c>
      <c r="CS169" s="40">
        <v>71</v>
      </c>
      <c r="CT169" s="40">
        <v>201</v>
      </c>
      <c r="CU169" s="40"/>
      <c r="CV169" s="40"/>
      <c r="CW169" s="40"/>
      <c r="CX169" s="40"/>
      <c r="CY169" s="40">
        <v>0</v>
      </c>
      <c r="CZ169" s="40"/>
      <c r="DA169" s="40"/>
    </row>
    <row r="170" spans="1:105" ht="15.95" customHeight="1">
      <c r="A170" s="3">
        <v>427</v>
      </c>
      <c r="B170" s="38" t="s">
        <v>103</v>
      </c>
      <c r="C170" s="3" t="s">
        <v>104</v>
      </c>
      <c r="D170" s="3" t="s">
        <v>105</v>
      </c>
      <c r="E170" s="39">
        <v>44629</v>
      </c>
      <c r="F170" s="3" t="s">
        <v>186</v>
      </c>
      <c r="G170" s="3" t="s">
        <v>122</v>
      </c>
      <c r="H170" s="3">
        <v>2009</v>
      </c>
      <c r="I170" s="40" t="s">
        <v>108</v>
      </c>
      <c r="J170" s="40" t="s">
        <v>123</v>
      </c>
      <c r="K170" s="3">
        <v>163.4</v>
      </c>
      <c r="L170" s="3">
        <v>163.30000000000001</v>
      </c>
      <c r="M170" s="3"/>
      <c r="N170" s="3">
        <v>137.4</v>
      </c>
      <c r="O170" s="3">
        <v>137.4</v>
      </c>
      <c r="P170" s="3"/>
      <c r="Q170" s="3">
        <v>53.4</v>
      </c>
      <c r="R170" s="3">
        <v>53.4</v>
      </c>
      <c r="S170" s="3"/>
      <c r="T170" s="42">
        <v>163.35000000000002</v>
      </c>
      <c r="U170" s="42">
        <f>AVERAGE(paper3[[#This Row],[Sittende høyde 1]:[Sittende høyde 3]])-56.2</f>
        <v>81.2</v>
      </c>
      <c r="V170" s="12">
        <f>paper3[[#This Row],[height]]-paper3[[#This Row],[sittingheight]]</f>
        <v>82.15000000000002</v>
      </c>
      <c r="W170" s="73">
        <v>53.4</v>
      </c>
      <c r="X170" s="43" cm="1">
        <f t="array" ref="X170">INDEX([1]!phvny[yphv], MATCH(1, (paper3[[#This Row],[id]]=[1]!phvny[id])*(paper3[[#This Row],[time]]=[1]!phvny[time]), 0))</f>
        <v>-0.94771754128581298</v>
      </c>
      <c r="Y170" s="3">
        <v>2.16</v>
      </c>
      <c r="Z170" s="3">
        <v>3.78</v>
      </c>
      <c r="AA170" s="3">
        <v>5.34</v>
      </c>
      <c r="AB170" s="3">
        <v>2.2200000000000002</v>
      </c>
      <c r="AC170" s="3">
        <v>3.86</v>
      </c>
      <c r="AD170" s="3">
        <v>5.46</v>
      </c>
      <c r="AE170" s="3">
        <v>2.25</v>
      </c>
      <c r="AF170" s="3">
        <v>3.91</v>
      </c>
      <c r="AG170" s="3">
        <v>5.53</v>
      </c>
      <c r="AH170" s="44">
        <v>2.16</v>
      </c>
      <c r="AI170" s="44">
        <v>3.78</v>
      </c>
      <c r="AJ170" s="44">
        <v>5.34</v>
      </c>
      <c r="AK170" s="45">
        <v>6.4102564102564097</v>
      </c>
      <c r="AL170" s="3">
        <v>12.17</v>
      </c>
      <c r="AM170" s="3"/>
      <c r="AN170" s="3">
        <v>12.42</v>
      </c>
      <c r="AO170" s="3">
        <v>12.23</v>
      </c>
      <c r="AP170" s="3">
        <v>12.17</v>
      </c>
      <c r="AQ170" s="47">
        <v>12.17</v>
      </c>
      <c r="AR170" s="47">
        <v>12.23</v>
      </c>
      <c r="AS170" s="3">
        <v>24.04</v>
      </c>
      <c r="AT170" s="3">
        <v>25.37</v>
      </c>
      <c r="AU170" s="3">
        <v>24.69</v>
      </c>
      <c r="AV170" s="3"/>
      <c r="AW170" s="3"/>
      <c r="AX170" s="48">
        <v>25.37</v>
      </c>
      <c r="AY170" s="3"/>
      <c r="AZ170" s="116">
        <v>9</v>
      </c>
      <c r="BA170" s="116">
        <v>200</v>
      </c>
      <c r="BB170" s="3">
        <v>9</v>
      </c>
      <c r="BC170" s="3">
        <v>199</v>
      </c>
      <c r="BD170" s="40">
        <v>770.86446241782664</v>
      </c>
      <c r="BE170" s="40">
        <v>766.8152253375099</v>
      </c>
      <c r="BF170" s="40"/>
      <c r="BG170" s="40">
        <v>324.30761410700728</v>
      </c>
      <c r="BH170" s="40">
        <v>326.19926943890835</v>
      </c>
      <c r="BI170" s="49">
        <v>1537.6796877553365</v>
      </c>
      <c r="BJ170" s="49">
        <v>650.50688354591557</v>
      </c>
      <c r="BK170" s="66">
        <v>5.280590351521175E-3</v>
      </c>
      <c r="BL170" s="66">
        <v>-5.7990789959612155E-3</v>
      </c>
      <c r="BM170" s="51">
        <v>28.795499770699188</v>
      </c>
      <c r="BN170" s="51">
        <v>12.18177684542913</v>
      </c>
      <c r="BO170" s="52">
        <v>211</v>
      </c>
      <c r="BP170" s="40">
        <v>211</v>
      </c>
      <c r="BQ170" s="40">
        <v>191</v>
      </c>
      <c r="BR170" s="67">
        <v>0.10471204188481686</v>
      </c>
      <c r="BS170" s="54">
        <v>3.7640449438202248</v>
      </c>
      <c r="BT170" s="3">
        <v>120</v>
      </c>
      <c r="BU170" s="40">
        <v>104</v>
      </c>
      <c r="BV170" s="3">
        <v>79</v>
      </c>
      <c r="BW170" s="3">
        <v>84</v>
      </c>
      <c r="BX170" s="70">
        <v>0.15384615384615374</v>
      </c>
      <c r="BY170" s="70">
        <v>-5.9523809523809534E-2</v>
      </c>
      <c r="BZ170" s="59">
        <v>1.2380952380952381</v>
      </c>
      <c r="CA170" s="59">
        <v>1.518987341772152</v>
      </c>
      <c r="CB170" s="59">
        <v>1.7229962546816484</v>
      </c>
      <c r="CC170" s="59">
        <v>1.2537874531835209</v>
      </c>
      <c r="CD170" s="60">
        <v>94</v>
      </c>
      <c r="CE170" s="60">
        <v>77</v>
      </c>
      <c r="CF170" s="61">
        <v>1.7602996254681649</v>
      </c>
      <c r="CG170" s="61">
        <v>1.4419475655430711</v>
      </c>
      <c r="CH170" s="61">
        <v>0.81914893617021267</v>
      </c>
      <c r="CI170" s="41">
        <v>13.3</v>
      </c>
      <c r="CJ170" s="40">
        <f>VLOOKUP(paper3[[#This Row],[YYIR nivå]],$DB:$DC,2)</f>
        <v>400</v>
      </c>
      <c r="CK170" s="3"/>
      <c r="CL170" s="62"/>
      <c r="CM170" s="63" t="s">
        <v>110</v>
      </c>
      <c r="CN170" s="3">
        <v>120</v>
      </c>
      <c r="CO170" s="3">
        <v>84</v>
      </c>
      <c r="CP170" s="41">
        <v>12.758333333333333</v>
      </c>
      <c r="CQ170" s="3" t="s">
        <v>110</v>
      </c>
      <c r="CR170" s="40">
        <v>112</v>
      </c>
      <c r="CS170" s="40">
        <v>81.5</v>
      </c>
      <c r="CT170" s="40">
        <v>201</v>
      </c>
      <c r="CU170" s="40"/>
      <c r="CV170" s="40"/>
      <c r="CW170" s="40"/>
      <c r="CX170" s="40"/>
      <c r="CY170" s="40">
        <v>0</v>
      </c>
      <c r="CZ170" s="40"/>
      <c r="DA170" s="40"/>
    </row>
    <row r="171" spans="1:105" ht="15.95" customHeight="1">
      <c r="A171" s="3">
        <v>430</v>
      </c>
      <c r="B171" s="38" t="s">
        <v>103</v>
      </c>
      <c r="C171" s="3" t="s">
        <v>104</v>
      </c>
      <c r="D171" s="3" t="s">
        <v>105</v>
      </c>
      <c r="E171" s="39">
        <v>44629</v>
      </c>
      <c r="F171" s="3" t="s">
        <v>186</v>
      </c>
      <c r="G171" s="3" t="s">
        <v>122</v>
      </c>
      <c r="H171" s="3">
        <v>2009</v>
      </c>
      <c r="I171" s="40" t="s">
        <v>108</v>
      </c>
      <c r="J171" s="40" t="s">
        <v>123</v>
      </c>
      <c r="K171" s="3">
        <v>157.4</v>
      </c>
      <c r="L171" s="3">
        <v>157.30000000000001</v>
      </c>
      <c r="M171" s="3"/>
      <c r="N171" s="3">
        <v>131.19999999999999</v>
      </c>
      <c r="O171" s="3">
        <v>131.69999999999999</v>
      </c>
      <c r="P171" s="3">
        <v>131.9</v>
      </c>
      <c r="Q171" s="3">
        <v>43.8</v>
      </c>
      <c r="R171" s="3"/>
      <c r="S171" s="3"/>
      <c r="T171" s="42">
        <v>157.35000000000002</v>
      </c>
      <c r="U171" s="42">
        <f>AVERAGE(paper3[[#This Row],[Sittende høyde 1]:[Sittende høyde 3]])-56.2</f>
        <v>75.399999999999991</v>
      </c>
      <c r="V171" s="12">
        <f>paper3[[#This Row],[height]]-paper3[[#This Row],[sittingheight]]</f>
        <v>81.950000000000031</v>
      </c>
      <c r="W171" s="73">
        <v>43.8</v>
      </c>
      <c r="X171" s="43" cm="1">
        <f t="array" ref="X171">INDEX([1]!phvny[yphv], MATCH(1, (paper3[[#This Row],[id]]=[1]!phvny[id])*(paper3[[#This Row],[time]]=[1]!phvny[time]), 0))</f>
        <v>-1.9291232819223092</v>
      </c>
      <c r="Y171" s="3">
        <v>2.13</v>
      </c>
      <c r="Z171" s="3">
        <v>3.67</v>
      </c>
      <c r="AA171" s="3">
        <v>5.16</v>
      </c>
      <c r="AB171" s="3">
        <v>2.2000000000000002</v>
      </c>
      <c r="AC171" s="3">
        <v>3.81</v>
      </c>
      <c r="AD171" s="3">
        <v>5.39</v>
      </c>
      <c r="AE171" s="3">
        <v>2.2000000000000002</v>
      </c>
      <c r="AF171" s="3">
        <v>3.85</v>
      </c>
      <c r="AG171" s="3">
        <v>5.51</v>
      </c>
      <c r="AH171" s="44">
        <v>2.13</v>
      </c>
      <c r="AI171" s="44">
        <v>3.67</v>
      </c>
      <c r="AJ171" s="44">
        <v>5.16</v>
      </c>
      <c r="AK171" s="45">
        <v>6.7114093959731536</v>
      </c>
      <c r="AL171" s="3" t="s">
        <v>189</v>
      </c>
      <c r="AM171" s="3">
        <v>11.72</v>
      </c>
      <c r="AN171" s="3">
        <v>11.46</v>
      </c>
      <c r="AO171" s="3">
        <v>11.6</v>
      </c>
      <c r="AP171" s="3">
        <v>11.46</v>
      </c>
      <c r="AQ171" s="47">
        <v>11.72</v>
      </c>
      <c r="AR171" s="47">
        <v>11.46</v>
      </c>
      <c r="AS171" s="3">
        <v>22.4</v>
      </c>
      <c r="AT171" s="3">
        <v>25.87</v>
      </c>
      <c r="AU171" s="3">
        <v>24.48</v>
      </c>
      <c r="AV171" s="3"/>
      <c r="AW171" s="3"/>
      <c r="AX171" s="48">
        <v>25.87</v>
      </c>
      <c r="AY171" s="3"/>
      <c r="AZ171" s="116">
        <v>8</v>
      </c>
      <c r="BA171" s="116">
        <v>210</v>
      </c>
      <c r="BB171" s="3">
        <v>5</v>
      </c>
      <c r="BC171" s="3">
        <v>133</v>
      </c>
      <c r="BD171" s="40">
        <v>542.53270451012236</v>
      </c>
      <c r="BE171" s="40">
        <v>517.50105470589824</v>
      </c>
      <c r="BF171" s="40"/>
      <c r="BG171" s="40">
        <v>217.47952318967378</v>
      </c>
      <c r="BH171" s="40">
        <v>211.71111242479353</v>
      </c>
      <c r="BI171" s="49">
        <v>1060.0337592160206</v>
      </c>
      <c r="BJ171" s="49">
        <v>429.19063561446728</v>
      </c>
      <c r="BK171" s="66">
        <v>4.8370239203570087E-2</v>
      </c>
      <c r="BL171" s="66">
        <v>2.7246613079553672E-2</v>
      </c>
      <c r="BM171" s="51">
        <v>24.20168400036577</v>
      </c>
      <c r="BN171" s="51">
        <v>9.7988729592344139</v>
      </c>
      <c r="BO171" s="52">
        <v>189</v>
      </c>
      <c r="BP171" s="40">
        <v>189</v>
      </c>
      <c r="BQ171" s="40">
        <v>150</v>
      </c>
      <c r="BR171" s="67">
        <v>0.26</v>
      </c>
      <c r="BS171" s="54">
        <v>3.8698630136986303</v>
      </c>
      <c r="BT171" s="3">
        <v>95</v>
      </c>
      <c r="BU171" s="40">
        <v>90</v>
      </c>
      <c r="BV171" s="3">
        <v>62</v>
      </c>
      <c r="BW171" s="3">
        <v>62</v>
      </c>
      <c r="BX171" s="70">
        <v>5.555555555555558E-2</v>
      </c>
      <c r="BY171" s="70">
        <v>0</v>
      </c>
      <c r="BZ171" s="59">
        <v>1.4516129032258065</v>
      </c>
      <c r="CA171" s="59">
        <v>1.532258064516129</v>
      </c>
      <c r="CB171" s="59">
        <v>1.7306792237442932</v>
      </c>
      <c r="CC171" s="59">
        <v>1.1600228310502287</v>
      </c>
      <c r="CD171" s="60">
        <v>58</v>
      </c>
      <c r="CE171" s="60">
        <v>61</v>
      </c>
      <c r="CF171" s="61">
        <v>1.3242009132420092</v>
      </c>
      <c r="CG171" s="61">
        <v>1.3926940639269407</v>
      </c>
      <c r="CH171" s="61">
        <v>1.0517241379310345</v>
      </c>
      <c r="CI171" s="41">
        <v>13.1</v>
      </c>
      <c r="CJ171" s="40">
        <f>VLOOKUP(paper3[[#This Row],[YYIR nivå]],$DB:$DC,2)</f>
        <v>320</v>
      </c>
      <c r="CK171" s="3"/>
      <c r="CL171" s="62"/>
      <c r="CM171" s="63" t="s">
        <v>110</v>
      </c>
      <c r="CN171" s="3">
        <v>95</v>
      </c>
      <c r="CO171" s="3">
        <v>62</v>
      </c>
      <c r="CP171" s="41">
        <v>12.25</v>
      </c>
      <c r="CQ171" s="3" t="s">
        <v>110</v>
      </c>
      <c r="CR171" s="40">
        <v>92.5</v>
      </c>
      <c r="CS171" s="40">
        <v>62</v>
      </c>
      <c r="CT171" s="40">
        <v>169.5</v>
      </c>
      <c r="CU171" s="40"/>
      <c r="CV171" s="40"/>
      <c r="CW171" s="40"/>
      <c r="CX171" s="40"/>
      <c r="CY171" s="40">
        <v>0</v>
      </c>
      <c r="CZ171" s="40"/>
      <c r="DA171" s="40"/>
    </row>
    <row r="172" spans="1:105" ht="15.75" customHeight="1">
      <c r="A172" s="3">
        <v>431</v>
      </c>
      <c r="B172" s="38" t="s">
        <v>103</v>
      </c>
      <c r="C172" s="3" t="s">
        <v>104</v>
      </c>
      <c r="D172" s="3" t="s">
        <v>105</v>
      </c>
      <c r="E172" s="39">
        <v>44629</v>
      </c>
      <c r="F172" s="3" t="s">
        <v>186</v>
      </c>
      <c r="G172" s="3" t="s">
        <v>122</v>
      </c>
      <c r="H172" s="3">
        <v>2009</v>
      </c>
      <c r="I172" s="40" t="s">
        <v>108</v>
      </c>
      <c r="J172" s="40" t="s">
        <v>123</v>
      </c>
      <c r="K172" s="3">
        <v>152.19999999999999</v>
      </c>
      <c r="L172" s="3">
        <v>152.19999999999999</v>
      </c>
      <c r="M172" s="3"/>
      <c r="N172" s="3">
        <v>132.30000000000001</v>
      </c>
      <c r="O172" s="3">
        <v>132.69999999999999</v>
      </c>
      <c r="P172" s="3">
        <v>132.9</v>
      </c>
      <c r="Q172" s="3">
        <v>44.3</v>
      </c>
      <c r="R172" s="3"/>
      <c r="S172" s="3"/>
      <c r="T172" s="42">
        <v>152.19999999999999</v>
      </c>
      <c r="U172" s="42">
        <f>AVERAGE(paper3[[#This Row],[Sittende høyde 1]:[Sittende høyde 3]])-56.2</f>
        <v>76.433333333333323</v>
      </c>
      <c r="V172" s="12">
        <f>paper3[[#This Row],[height]]-paper3[[#This Row],[sittingheight]]</f>
        <v>75.766666666666666</v>
      </c>
      <c r="W172" s="73">
        <v>44.3</v>
      </c>
      <c r="X172" s="43" cm="1">
        <f t="array" ref="X172">INDEX([1]!phvny[yphv], MATCH(1, (paper3[[#This Row],[id]]=[1]!phvny[id])*(paper3[[#This Row],[time]]=[1]!phvny[time]), 0))</f>
        <v>-1.5028721248141597</v>
      </c>
      <c r="Y172" s="3">
        <v>2.21</v>
      </c>
      <c r="Z172" s="3">
        <v>3.82</v>
      </c>
      <c r="AA172" s="3">
        <v>5.36</v>
      </c>
      <c r="AB172" s="3">
        <v>2.16</v>
      </c>
      <c r="AC172" s="3">
        <v>3.78</v>
      </c>
      <c r="AD172" s="3">
        <v>5.34</v>
      </c>
      <c r="AE172" s="3">
        <v>2.2599999999999998</v>
      </c>
      <c r="AF172" s="3">
        <v>3.87</v>
      </c>
      <c r="AG172" s="3">
        <v>5.45</v>
      </c>
      <c r="AH172" s="44">
        <v>2.16</v>
      </c>
      <c r="AI172" s="44">
        <v>3.78</v>
      </c>
      <c r="AJ172" s="44">
        <v>5.34</v>
      </c>
      <c r="AK172" s="45">
        <v>6.4102564102564097</v>
      </c>
      <c r="AL172" s="3">
        <v>11.29</v>
      </c>
      <c r="AM172" s="3">
        <v>11.1</v>
      </c>
      <c r="AN172" s="3">
        <v>11.43</v>
      </c>
      <c r="AO172" s="3"/>
      <c r="AP172" s="3">
        <v>11.1</v>
      </c>
      <c r="AQ172" s="47">
        <v>11.1</v>
      </c>
      <c r="AR172" s="47">
        <v>11.43</v>
      </c>
      <c r="AS172" s="3">
        <v>25.95</v>
      </c>
      <c r="AT172" s="3">
        <v>24.73</v>
      </c>
      <c r="AU172" s="3">
        <v>24.35</v>
      </c>
      <c r="AV172" s="3"/>
      <c r="AW172" s="3"/>
      <c r="AX172" s="48">
        <v>25.95</v>
      </c>
      <c r="AY172" s="3"/>
      <c r="AZ172" s="116">
        <v>7</v>
      </c>
      <c r="BA172" s="116">
        <v>200</v>
      </c>
      <c r="BB172" s="3">
        <v>7</v>
      </c>
      <c r="BC172" s="3">
        <v>163</v>
      </c>
      <c r="BD172" s="40">
        <v>660.04287716656813</v>
      </c>
      <c r="BE172" s="40">
        <v>661.28053000716591</v>
      </c>
      <c r="BF172" s="40"/>
      <c r="BG172" s="40">
        <v>179.36924686043866</v>
      </c>
      <c r="BH172" s="40">
        <v>206.01574858757084</v>
      </c>
      <c r="BI172" s="49">
        <v>1321.323407173734</v>
      </c>
      <c r="BJ172" s="49">
        <v>385.38499544800948</v>
      </c>
      <c r="BK172" s="66">
        <v>-1.8716003034058293E-3</v>
      </c>
      <c r="BL172" s="66">
        <v>-0.12934206200166087</v>
      </c>
      <c r="BM172" s="51">
        <v>29.82671348021973</v>
      </c>
      <c r="BN172" s="51">
        <v>8.6994355631604847</v>
      </c>
      <c r="BO172" s="52">
        <v>168</v>
      </c>
      <c r="BP172" s="40">
        <v>152</v>
      </c>
      <c r="BQ172" s="40">
        <v>168</v>
      </c>
      <c r="BR172" s="67">
        <v>-9.5238095238095233E-2</v>
      </c>
      <c r="BS172" s="54">
        <v>3.6117381489841991</v>
      </c>
      <c r="BT172" s="3">
        <v>92</v>
      </c>
      <c r="BU172" s="40">
        <v>93</v>
      </c>
      <c r="BV172" s="3">
        <v>70</v>
      </c>
      <c r="BW172" s="3">
        <v>73</v>
      </c>
      <c r="BX172" s="70">
        <v>-1.0752688172043001E-2</v>
      </c>
      <c r="BY172" s="70">
        <v>-4.1095890410958957E-2</v>
      </c>
      <c r="BZ172" s="59">
        <v>1.273972602739726</v>
      </c>
      <c r="CA172" s="59">
        <v>1.3142857142857143</v>
      </c>
      <c r="CB172" s="59">
        <v>1.5820353649360424</v>
      </c>
      <c r="CC172" s="59">
        <v>1.2228705793829948</v>
      </c>
      <c r="CD172" s="60">
        <v>62</v>
      </c>
      <c r="CE172" s="60">
        <v>59</v>
      </c>
      <c r="CF172" s="61">
        <v>1.399548532731377</v>
      </c>
      <c r="CG172" s="61">
        <v>1.3318284424379234</v>
      </c>
      <c r="CH172" s="61">
        <v>0.95161290322580649</v>
      </c>
      <c r="CI172" s="41"/>
      <c r="CJ172" s="40"/>
      <c r="CK172" s="3"/>
      <c r="CL172" s="62"/>
      <c r="CM172" s="63" t="s">
        <v>110</v>
      </c>
      <c r="CN172" s="3">
        <v>93</v>
      </c>
      <c r="CO172" s="3">
        <v>73</v>
      </c>
      <c r="CP172" s="41">
        <v>12.919444444444444</v>
      </c>
      <c r="CQ172" s="3" t="s">
        <v>110</v>
      </c>
      <c r="CR172" s="40">
        <v>92.5</v>
      </c>
      <c r="CS172" s="40">
        <v>71.5</v>
      </c>
      <c r="CT172" s="40">
        <v>160</v>
      </c>
      <c r="CU172" s="40"/>
      <c r="CV172" s="40"/>
      <c r="CW172" s="40"/>
      <c r="CX172" s="40"/>
      <c r="CY172" s="40">
        <v>0</v>
      </c>
      <c r="CZ172" s="40"/>
      <c r="DA172" s="40"/>
    </row>
    <row r="173" spans="1:105" ht="15.95" customHeight="1">
      <c r="A173" s="3">
        <v>432</v>
      </c>
      <c r="B173" s="38" t="s">
        <v>103</v>
      </c>
      <c r="C173" s="3" t="s">
        <v>115</v>
      </c>
      <c r="D173" s="3" t="s">
        <v>105</v>
      </c>
      <c r="E173" s="39">
        <v>44629</v>
      </c>
      <c r="F173" s="3" t="s">
        <v>186</v>
      </c>
      <c r="G173" s="3" t="s">
        <v>122</v>
      </c>
      <c r="H173" s="3">
        <v>2009</v>
      </c>
      <c r="I173" s="40" t="s">
        <v>108</v>
      </c>
      <c r="J173" s="40" t="s">
        <v>123</v>
      </c>
      <c r="K173" s="3">
        <v>167.8</v>
      </c>
      <c r="L173" s="3">
        <v>167.7</v>
      </c>
      <c r="M173" s="3"/>
      <c r="N173" s="3">
        <v>139.4</v>
      </c>
      <c r="O173" s="3">
        <v>139</v>
      </c>
      <c r="P173" s="3">
        <v>139</v>
      </c>
      <c r="Q173" s="3">
        <v>47.5</v>
      </c>
      <c r="R173" s="3"/>
      <c r="S173" s="3"/>
      <c r="T173" s="42">
        <v>167.75</v>
      </c>
      <c r="U173" s="42">
        <f>AVERAGE(paper3[[#This Row],[Sittende høyde 1]:[Sittende høyde 3]])-56.2</f>
        <v>82.933333333333323</v>
      </c>
      <c r="V173" s="12">
        <f>paper3[[#This Row],[height]]-paper3[[#This Row],[sittingheight]]</f>
        <v>84.816666666666677</v>
      </c>
      <c r="W173" s="73">
        <v>47.5</v>
      </c>
      <c r="X173" s="43" cm="1">
        <f t="array" ref="X173">INDEX([1]!phvny[yphv], MATCH(1, (paper3[[#This Row],[id]]=[1]!phvny[id])*(paper3[[#This Row],[time]]=[1]!phvny[time]), 0))</f>
        <v>-1.0167886134740722</v>
      </c>
      <c r="Y173" s="3">
        <v>2.29</v>
      </c>
      <c r="Z173" s="3">
        <v>3.92</v>
      </c>
      <c r="AA173" s="3">
        <v>5.51</v>
      </c>
      <c r="AB173" s="3">
        <v>2.21</v>
      </c>
      <c r="AC173" s="3">
        <v>3.82</v>
      </c>
      <c r="AD173" s="3">
        <v>5.4</v>
      </c>
      <c r="AE173" s="3">
        <v>2.25</v>
      </c>
      <c r="AF173" s="3">
        <v>3.87</v>
      </c>
      <c r="AG173" s="3">
        <v>5.46</v>
      </c>
      <c r="AH173" s="44">
        <v>2.21</v>
      </c>
      <c r="AI173" s="44">
        <v>3.82</v>
      </c>
      <c r="AJ173" s="44">
        <v>5.4</v>
      </c>
      <c r="AK173" s="45">
        <v>6.3291139240506311</v>
      </c>
      <c r="AL173" s="3">
        <v>12.25</v>
      </c>
      <c r="AM173" s="3">
        <v>11.66</v>
      </c>
      <c r="AN173" s="3">
        <v>11.81</v>
      </c>
      <c r="AO173" s="3">
        <v>11.75</v>
      </c>
      <c r="AP173" s="3">
        <v>11.66</v>
      </c>
      <c r="AQ173" s="47">
        <v>11.66</v>
      </c>
      <c r="AR173" s="47">
        <v>11.75</v>
      </c>
      <c r="AS173" s="3">
        <v>26.03</v>
      </c>
      <c r="AT173" s="3">
        <v>22.2</v>
      </c>
      <c r="AU173" s="3">
        <v>23.21</v>
      </c>
      <c r="AV173" s="3"/>
      <c r="AW173" s="3"/>
      <c r="AX173" s="48">
        <v>26.03</v>
      </c>
      <c r="AY173" s="3"/>
      <c r="AZ173" s="116">
        <v>10</v>
      </c>
      <c r="BA173" s="116">
        <v>200</v>
      </c>
      <c r="BB173" s="3">
        <v>9</v>
      </c>
      <c r="BC173" s="3">
        <v>199</v>
      </c>
      <c r="BD173" s="40">
        <v>666.73836557838899</v>
      </c>
      <c r="BE173" s="40">
        <v>689.59100100798355</v>
      </c>
      <c r="BF173" s="40"/>
      <c r="BG173" s="40">
        <v>246.43693932855692</v>
      </c>
      <c r="BH173" s="40">
        <v>270.90623685802558</v>
      </c>
      <c r="BI173" s="49">
        <v>1356.3293665863725</v>
      </c>
      <c r="BJ173" s="49">
        <v>517.34317618658247</v>
      </c>
      <c r="BK173" s="66">
        <v>-3.3139404946106565E-2</v>
      </c>
      <c r="BL173" s="66">
        <v>-9.0323861913494174E-2</v>
      </c>
      <c r="BM173" s="51">
        <v>28.55430245444995</v>
      </c>
      <c r="BN173" s="51">
        <v>10.891435288138577</v>
      </c>
      <c r="BO173" s="52">
        <v>145</v>
      </c>
      <c r="BP173" s="40">
        <v>145</v>
      </c>
      <c r="BQ173" s="40">
        <v>135</v>
      </c>
      <c r="BR173" s="67">
        <v>7.4074074074074181E-2</v>
      </c>
      <c r="BS173" s="54">
        <v>2.9473684210526314</v>
      </c>
      <c r="BT173" s="3">
        <v>86</v>
      </c>
      <c r="BU173" s="40">
        <v>84</v>
      </c>
      <c r="BV173" s="3">
        <v>77</v>
      </c>
      <c r="BW173" s="3">
        <v>76</v>
      </c>
      <c r="BX173" s="70">
        <v>2.3809523809523725E-2</v>
      </c>
      <c r="BY173" s="70">
        <v>1.3157894736842035E-2</v>
      </c>
      <c r="BZ173" s="59">
        <v>1.1052631578947369</v>
      </c>
      <c r="CA173" s="59">
        <v>1.1168831168831168</v>
      </c>
      <c r="CB173" s="59">
        <v>1.5177719298245613</v>
      </c>
      <c r="CC173" s="59">
        <v>1.3659947368421055</v>
      </c>
      <c r="CD173" s="60">
        <v>58</v>
      </c>
      <c r="CE173" s="60">
        <v>56</v>
      </c>
      <c r="CF173" s="61">
        <v>1.2210526315789474</v>
      </c>
      <c r="CG173" s="61">
        <v>1.1789473684210525</v>
      </c>
      <c r="CH173" s="61">
        <v>0.96551724137931028</v>
      </c>
      <c r="CI173" s="41">
        <v>14.1</v>
      </c>
      <c r="CJ173" s="40">
        <f>VLOOKUP(paper3[[#This Row],[YYIR nivå]],$DB:$DC,2)</f>
        <v>480</v>
      </c>
      <c r="CK173" s="3"/>
      <c r="CL173" s="62"/>
      <c r="CM173" s="63" t="s">
        <v>110</v>
      </c>
      <c r="CN173" s="3">
        <v>86</v>
      </c>
      <c r="CO173" s="3">
        <v>77</v>
      </c>
      <c r="CP173" s="41">
        <v>12.386111111111111</v>
      </c>
      <c r="CQ173" s="3" t="s">
        <v>110</v>
      </c>
      <c r="CR173" s="40">
        <v>85</v>
      </c>
      <c r="CS173" s="40">
        <v>76.5</v>
      </c>
      <c r="CT173" s="40">
        <v>140</v>
      </c>
      <c r="CU173" s="40"/>
      <c r="CV173" s="40"/>
      <c r="CW173" s="40"/>
      <c r="CX173" s="40"/>
      <c r="CY173" s="40">
        <v>0</v>
      </c>
      <c r="CZ173" s="40"/>
      <c r="DA173" s="40"/>
    </row>
    <row r="174" spans="1:105" ht="15.95" customHeight="1">
      <c r="A174" s="3">
        <v>433</v>
      </c>
      <c r="B174" s="38" t="s">
        <v>103</v>
      </c>
      <c r="C174" s="3"/>
      <c r="D174" s="3" t="s">
        <v>105</v>
      </c>
      <c r="E174" s="39">
        <v>44637</v>
      </c>
      <c r="F174" s="3" t="s">
        <v>186</v>
      </c>
      <c r="G174" s="3" t="s">
        <v>122</v>
      </c>
      <c r="H174" s="3">
        <v>2007</v>
      </c>
      <c r="I174" s="40" t="s">
        <v>116</v>
      </c>
      <c r="J174" s="39" t="s">
        <v>157</v>
      </c>
      <c r="K174" s="46">
        <v>169.3</v>
      </c>
      <c r="L174" s="3">
        <v>169.1</v>
      </c>
      <c r="M174" s="46"/>
      <c r="N174" s="3">
        <v>137.30000000000001</v>
      </c>
      <c r="O174" s="3">
        <v>137.1</v>
      </c>
      <c r="P174" s="3"/>
      <c r="Q174" s="3">
        <v>56.1</v>
      </c>
      <c r="R174" s="3">
        <v>56.1</v>
      </c>
      <c r="S174" s="3"/>
      <c r="T174" s="42">
        <v>169.2</v>
      </c>
      <c r="U174" s="42">
        <f>AVERAGE(paper3[[#This Row],[Sittende høyde 1]:[Sittende høyde 3]])-56.2</f>
        <v>80.999999999999986</v>
      </c>
      <c r="V174" s="12">
        <f>paper3[[#This Row],[height]]-paper3[[#This Row],[sittingheight]]</f>
        <v>88.2</v>
      </c>
      <c r="W174" s="73">
        <v>56.1</v>
      </c>
      <c r="X174" s="43" cm="1">
        <f t="array" ref="X174">INDEX([1]!phvny[yphv], MATCH(1, (paper3[[#This Row],[id]]=[1]!phvny[id])*(paper3[[#This Row],[time]]=[1]!phvny[time]), 0))</f>
        <v>-8.6010649787237603E-2</v>
      </c>
      <c r="Y174" s="60">
        <v>1.88</v>
      </c>
      <c r="Z174" s="3">
        <v>3.21</v>
      </c>
      <c r="AA174" s="3">
        <v>4.47</v>
      </c>
      <c r="AB174" s="3">
        <v>1.9</v>
      </c>
      <c r="AC174" s="3">
        <v>3.27</v>
      </c>
      <c r="AD174" s="3">
        <v>4.5599999999999996</v>
      </c>
      <c r="AE174" s="3">
        <v>1.93</v>
      </c>
      <c r="AF174" s="3">
        <v>3.29</v>
      </c>
      <c r="AG174" s="3">
        <v>4.59</v>
      </c>
      <c r="AH174" s="44">
        <v>1.88</v>
      </c>
      <c r="AI174" s="44">
        <v>3.21</v>
      </c>
      <c r="AJ174" s="44">
        <v>4.47</v>
      </c>
      <c r="AK174" s="45">
        <v>7.9365079365079376</v>
      </c>
      <c r="AL174" s="3">
        <v>9.9499999999999993</v>
      </c>
      <c r="AM174" s="3">
        <v>9.75</v>
      </c>
      <c r="AN174" s="3">
        <v>9.83</v>
      </c>
      <c r="AO174" s="3">
        <v>9.76</v>
      </c>
      <c r="AP174" s="3">
        <v>9.75</v>
      </c>
      <c r="AQ174" s="47">
        <v>9.75</v>
      </c>
      <c r="AR174" s="47">
        <v>9.76</v>
      </c>
      <c r="AS174" s="3">
        <v>36.58</v>
      </c>
      <c r="AT174" s="3">
        <v>33.979999999999997</v>
      </c>
      <c r="AU174" s="3">
        <v>33.31</v>
      </c>
      <c r="AV174" s="3"/>
      <c r="AW174" s="3"/>
      <c r="AX174" s="48">
        <v>36.58</v>
      </c>
      <c r="AY174" s="3"/>
      <c r="AZ174" s="3"/>
      <c r="BA174" s="3"/>
      <c r="BB174" s="3">
        <v>9</v>
      </c>
      <c r="BC174" s="3">
        <v>259</v>
      </c>
      <c r="BD174" s="40">
        <v>921.51664243865025</v>
      </c>
      <c r="BE174" s="40">
        <v>968.28458572518798</v>
      </c>
      <c r="BF174" s="40"/>
      <c r="BG174" s="40">
        <v>337.09489588309265</v>
      </c>
      <c r="BH174" s="40">
        <v>463.59142715811709</v>
      </c>
      <c r="BI174" s="49">
        <v>1889.8012281638382</v>
      </c>
      <c r="BJ174" s="49">
        <v>800.68632304120979</v>
      </c>
      <c r="BK174" s="66">
        <v>-4.8299791172975559E-2</v>
      </c>
      <c r="BL174" s="66">
        <v>-0.27286210198162331</v>
      </c>
      <c r="BM174" s="51">
        <v>33.686296402207454</v>
      </c>
      <c r="BN174" s="51">
        <v>14.272483476670406</v>
      </c>
      <c r="BO174" s="52">
        <v>279</v>
      </c>
      <c r="BP174" s="40">
        <v>266</v>
      </c>
      <c r="BQ174" s="40">
        <v>279</v>
      </c>
      <c r="BR174" s="67">
        <v>-4.6594982078853042E-2</v>
      </c>
      <c r="BS174" s="54">
        <v>4.857397504456328</v>
      </c>
      <c r="BT174" s="3">
        <v>161</v>
      </c>
      <c r="BU174" s="40">
        <v>153</v>
      </c>
      <c r="BV174" s="3">
        <v>110</v>
      </c>
      <c r="BW174" s="3">
        <v>126</v>
      </c>
      <c r="BX174" s="70">
        <v>5.2287581699346442E-2</v>
      </c>
      <c r="BY174" s="70">
        <v>-0.12698412698412698</v>
      </c>
      <c r="BZ174" s="59">
        <v>1.2142857142857142</v>
      </c>
      <c r="CA174" s="59">
        <v>1.4636363636363636</v>
      </c>
      <c r="CB174" s="59">
        <v>2.4683422459893047</v>
      </c>
      <c r="CC174" s="59">
        <v>1.8551871657754011</v>
      </c>
      <c r="CD174" s="60">
        <v>120</v>
      </c>
      <c r="CE174" s="60">
        <v>107</v>
      </c>
      <c r="CF174" s="61">
        <v>2.1390374331550803</v>
      </c>
      <c r="CG174" s="61">
        <v>1.9073083778966131</v>
      </c>
      <c r="CH174" s="61">
        <v>0.89166666666666661</v>
      </c>
      <c r="CI174" s="41">
        <v>17.2</v>
      </c>
      <c r="CJ174" s="40">
        <f>VLOOKUP(paper3[[#This Row],[YYIR nivå]],$DB:$DC,2)</f>
        <v>1480</v>
      </c>
      <c r="CK174" s="3" t="s">
        <v>188</v>
      </c>
      <c r="CL174" s="62"/>
      <c r="CM174" s="63" t="s">
        <v>110</v>
      </c>
      <c r="CN174" s="3">
        <v>161</v>
      </c>
      <c r="CO174" s="3">
        <v>126</v>
      </c>
      <c r="CP174" s="41">
        <v>14.744444444444444</v>
      </c>
      <c r="CQ174" s="3" t="s">
        <v>110</v>
      </c>
      <c r="CR174" s="40">
        <v>157</v>
      </c>
      <c r="CS174" s="40">
        <v>118</v>
      </c>
      <c r="CT174" s="40">
        <v>272.5</v>
      </c>
      <c r="CU174" s="40"/>
      <c r="CV174" s="40"/>
      <c r="CW174" s="40"/>
      <c r="CX174" s="40"/>
      <c r="CY174" s="40">
        <v>0</v>
      </c>
      <c r="CZ174" s="40"/>
      <c r="DA174" s="40"/>
    </row>
    <row r="175" spans="1:105" ht="15.75" customHeight="1">
      <c r="A175" s="3">
        <v>434</v>
      </c>
      <c r="B175" s="38" t="s">
        <v>103</v>
      </c>
      <c r="C175" s="3" t="s">
        <v>115</v>
      </c>
      <c r="D175" s="3" t="s">
        <v>105</v>
      </c>
      <c r="E175" s="39">
        <v>44637</v>
      </c>
      <c r="F175" s="3" t="s">
        <v>186</v>
      </c>
      <c r="G175" s="3" t="s">
        <v>122</v>
      </c>
      <c r="H175" s="3">
        <v>2007</v>
      </c>
      <c r="I175" s="40" t="s">
        <v>116</v>
      </c>
      <c r="J175" s="39" t="s">
        <v>157</v>
      </c>
      <c r="K175" s="3">
        <v>180</v>
      </c>
      <c r="L175" s="3">
        <v>179.1</v>
      </c>
      <c r="M175" s="3"/>
      <c r="N175" s="3">
        <v>146.1</v>
      </c>
      <c r="O175" s="3">
        <v>146.5</v>
      </c>
      <c r="P175" s="3">
        <v>146.5</v>
      </c>
      <c r="Q175" s="3">
        <v>60.1</v>
      </c>
      <c r="R175" s="3">
        <v>60.1</v>
      </c>
      <c r="S175" s="3"/>
      <c r="T175" s="42">
        <v>179.55</v>
      </c>
      <c r="U175" s="42">
        <f>AVERAGE(paper3[[#This Row],[Sittende høyde 1]:[Sittende høyde 3]])-56.2</f>
        <v>90.166666666666671</v>
      </c>
      <c r="V175" s="12">
        <f>paper3[[#This Row],[height]]-paper3[[#This Row],[sittingheight]]</f>
        <v>89.38333333333334</v>
      </c>
      <c r="W175" s="73">
        <v>60.1</v>
      </c>
      <c r="X175" s="43" cm="1">
        <f t="array" ref="X175">INDEX([1]!phvny[yphv], MATCH(1, (paper3[[#This Row],[id]]=[1]!phvny[id])*(paper3[[#This Row],[time]]=[1]!phvny[time]), 0))</f>
        <v>1.1544047079086606</v>
      </c>
      <c r="Y175" s="3">
        <v>1.82</v>
      </c>
      <c r="Z175" s="3">
        <v>3.11</v>
      </c>
      <c r="AA175" s="3">
        <v>4.33</v>
      </c>
      <c r="AB175" s="3">
        <v>1.89</v>
      </c>
      <c r="AC175" s="3">
        <v>3.19</v>
      </c>
      <c r="AD175" s="3">
        <v>4.42</v>
      </c>
      <c r="AE175" s="3">
        <v>1.86</v>
      </c>
      <c r="AF175" s="3">
        <v>3.18</v>
      </c>
      <c r="AG175" s="3">
        <v>4.42</v>
      </c>
      <c r="AH175" s="44">
        <v>1.82</v>
      </c>
      <c r="AI175" s="44">
        <v>3.11</v>
      </c>
      <c r="AJ175" s="44">
        <v>4.33</v>
      </c>
      <c r="AK175" s="45">
        <v>8.1967213114754092</v>
      </c>
      <c r="AL175" s="3">
        <v>10.18</v>
      </c>
      <c r="AM175" s="3">
        <v>9.9499999999999993</v>
      </c>
      <c r="AN175" s="3">
        <v>9.9700000000000006</v>
      </c>
      <c r="AO175" s="3">
        <v>9.64</v>
      </c>
      <c r="AP175" s="3">
        <v>9.64</v>
      </c>
      <c r="AQ175" s="47">
        <v>9.9499999999999993</v>
      </c>
      <c r="AR175" s="47">
        <v>9.64</v>
      </c>
      <c r="AS175" s="3">
        <v>35.25</v>
      </c>
      <c r="AT175" s="3">
        <v>37.229999999999997</v>
      </c>
      <c r="AU175" s="3">
        <v>36.25</v>
      </c>
      <c r="AV175" s="3"/>
      <c r="AW175" s="3"/>
      <c r="AX175" s="48">
        <v>37.229999999999997</v>
      </c>
      <c r="AY175" s="3"/>
      <c r="AZ175" s="3"/>
      <c r="BA175" s="3"/>
      <c r="BB175" s="3">
        <v>8</v>
      </c>
      <c r="BC175" s="3">
        <v>253</v>
      </c>
      <c r="BD175" s="40">
        <v>1039.9363076540585</v>
      </c>
      <c r="BE175" s="40">
        <v>1057.3411690108551</v>
      </c>
      <c r="BF175" s="40"/>
      <c r="BG175" s="40">
        <v>463.05516923301786</v>
      </c>
      <c r="BH175" s="40">
        <v>463.92854366110225</v>
      </c>
      <c r="BI175" s="49">
        <v>2097.2774766649136</v>
      </c>
      <c r="BJ175" s="49">
        <v>926.98371289412012</v>
      </c>
      <c r="BK175" s="66">
        <v>-1.646097008884928E-2</v>
      </c>
      <c r="BL175" s="66">
        <v>-1.8825623903029332E-3</v>
      </c>
      <c r="BM175" s="51">
        <v>34.896463838018526</v>
      </c>
      <c r="BN175" s="51">
        <v>15.424021845160068</v>
      </c>
      <c r="BO175" s="52">
        <v>351</v>
      </c>
      <c r="BP175" s="40">
        <v>351</v>
      </c>
      <c r="BQ175" s="40">
        <v>311</v>
      </c>
      <c r="BR175" s="67">
        <v>0.12861736334405149</v>
      </c>
      <c r="BS175" s="54">
        <v>5.5074875207986684</v>
      </c>
      <c r="BT175" s="3">
        <v>138</v>
      </c>
      <c r="BU175" s="40">
        <v>135</v>
      </c>
      <c r="BV175" s="3">
        <v>108</v>
      </c>
      <c r="BW175" s="3">
        <v>111</v>
      </c>
      <c r="BX175" s="70">
        <v>2.2222222222222143E-2</v>
      </c>
      <c r="BY175" s="70">
        <v>-2.7027027027026973E-2</v>
      </c>
      <c r="BZ175" s="59">
        <v>1.2162162162162162</v>
      </c>
      <c r="CA175" s="59">
        <v>1.2777777777777777</v>
      </c>
      <c r="CB175" s="59">
        <v>2.0300873544093179</v>
      </c>
      <c r="CC175" s="59">
        <v>1.6285316139767056</v>
      </c>
      <c r="CD175" s="60">
        <v>140</v>
      </c>
      <c r="CE175" s="60">
        <v>139</v>
      </c>
      <c r="CF175" s="61">
        <v>2.3294509151414311</v>
      </c>
      <c r="CG175" s="61">
        <v>2.312811980033278</v>
      </c>
      <c r="CH175" s="61">
        <v>0.99285714285714288</v>
      </c>
      <c r="CI175" s="41">
        <v>15.4</v>
      </c>
      <c r="CJ175" s="40">
        <f>VLOOKUP(paper3[[#This Row],[YYIR nivå]],$DB:$DC,2)</f>
        <v>920</v>
      </c>
      <c r="CK175" s="3"/>
      <c r="CL175" s="62"/>
      <c r="CM175" s="63" t="s">
        <v>110</v>
      </c>
      <c r="CN175" s="3">
        <v>138</v>
      </c>
      <c r="CO175" s="3">
        <v>111</v>
      </c>
      <c r="CP175" s="41">
        <v>14.822222222222223</v>
      </c>
      <c r="CQ175" s="3" t="s">
        <v>110</v>
      </c>
      <c r="CR175" s="40">
        <v>136.5</v>
      </c>
      <c r="CS175" s="40">
        <v>109.5</v>
      </c>
      <c r="CT175" s="40">
        <v>331</v>
      </c>
      <c r="CU175" s="40"/>
      <c r="CV175" s="40"/>
      <c r="CW175" s="40"/>
      <c r="CX175" s="40"/>
      <c r="CY175" s="40">
        <v>0</v>
      </c>
      <c r="CZ175" s="40"/>
      <c r="DA175" s="40"/>
    </row>
    <row r="176" spans="1:105" ht="15.95" customHeight="1">
      <c r="A176" s="46">
        <v>435</v>
      </c>
      <c r="B176" s="38" t="s">
        <v>103</v>
      </c>
      <c r="C176" s="3" t="s">
        <v>158</v>
      </c>
      <c r="D176" s="3" t="s">
        <v>105</v>
      </c>
      <c r="E176" s="39">
        <v>44637</v>
      </c>
      <c r="F176" s="3" t="s">
        <v>186</v>
      </c>
      <c r="G176" s="3" t="s">
        <v>122</v>
      </c>
      <c r="H176" s="3">
        <v>2007</v>
      </c>
      <c r="I176" s="40" t="s">
        <v>116</v>
      </c>
      <c r="J176" s="39" t="s">
        <v>157</v>
      </c>
      <c r="K176" s="3">
        <v>179.7</v>
      </c>
      <c r="L176" s="3">
        <v>179.7</v>
      </c>
      <c r="M176" s="3"/>
      <c r="N176" s="3">
        <v>147.9</v>
      </c>
      <c r="O176" s="3">
        <v>148.1</v>
      </c>
      <c r="P176" s="3"/>
      <c r="Q176" s="3">
        <v>63.8</v>
      </c>
      <c r="R176" s="3"/>
      <c r="S176" s="3"/>
      <c r="T176" s="42">
        <v>179.7</v>
      </c>
      <c r="U176" s="42">
        <f>AVERAGE(paper3[[#This Row],[Sittende høyde 1]:[Sittende høyde 3]])-56.2</f>
        <v>91.8</v>
      </c>
      <c r="V176" s="12">
        <f>paper3[[#This Row],[height]]-paper3[[#This Row],[sittingheight]]</f>
        <v>87.899999999999991</v>
      </c>
      <c r="W176" s="73">
        <v>63.8</v>
      </c>
      <c r="X176" s="43" cm="1">
        <f t="array" ref="X176">INDEX([1]!phvny[yphv], MATCH(1, (paper3[[#This Row],[id]]=[1]!phvny[id])*(paper3[[#This Row],[time]]=[1]!phvny[time]), 0))</f>
        <v>1.2427925075080681</v>
      </c>
      <c r="Y176" s="3">
        <v>2.06</v>
      </c>
      <c r="Z176" s="3">
        <v>3.56</v>
      </c>
      <c r="AA176" s="3">
        <v>4.97</v>
      </c>
      <c r="AB176" s="3">
        <v>2.12</v>
      </c>
      <c r="AC176" s="3">
        <v>3.62</v>
      </c>
      <c r="AD176" s="3">
        <v>5.07</v>
      </c>
      <c r="AE176" s="3">
        <v>2.09</v>
      </c>
      <c r="AF176" s="3">
        <v>3.58</v>
      </c>
      <c r="AG176" s="3">
        <v>5.0199999999999996</v>
      </c>
      <c r="AH176" s="44">
        <v>2.06</v>
      </c>
      <c r="AI176" s="44">
        <v>3.56</v>
      </c>
      <c r="AJ176" s="44">
        <v>4.97</v>
      </c>
      <c r="AK176" s="45">
        <v>7.092198581560285</v>
      </c>
      <c r="AL176" s="3">
        <v>10.38</v>
      </c>
      <c r="AM176" s="3">
        <v>10.33</v>
      </c>
      <c r="AN176" s="57">
        <v>10.86</v>
      </c>
      <c r="AO176" s="57">
        <v>10.53</v>
      </c>
      <c r="AP176" s="3">
        <v>10.33</v>
      </c>
      <c r="AQ176" s="47">
        <v>10.33</v>
      </c>
      <c r="AR176" s="47">
        <v>10.53</v>
      </c>
      <c r="AS176" s="3">
        <v>30.14</v>
      </c>
      <c r="AT176" s="3">
        <v>27.11</v>
      </c>
      <c r="AU176" s="3">
        <v>27.9</v>
      </c>
      <c r="AV176" s="3"/>
      <c r="AW176" s="3"/>
      <c r="AX176" s="48">
        <v>30.14</v>
      </c>
      <c r="AY176" s="3"/>
      <c r="AZ176" s="3"/>
      <c r="BA176" s="3"/>
      <c r="BB176" s="3">
        <v>8</v>
      </c>
      <c r="BC176" s="3">
        <v>253</v>
      </c>
      <c r="BD176" s="89">
        <v>980.06898864077255</v>
      </c>
      <c r="BE176" s="89">
        <v>982.80302401254244</v>
      </c>
      <c r="BF176" s="40"/>
      <c r="BG176" s="40">
        <v>427.94216954956386</v>
      </c>
      <c r="BH176" s="40">
        <v>445.10125009087665</v>
      </c>
      <c r="BI176" s="49">
        <v>1962.8720126533149</v>
      </c>
      <c r="BJ176" s="49">
        <v>873.04341964044056</v>
      </c>
      <c r="BK176" s="66">
        <v>-2.7818752130081004E-3</v>
      </c>
      <c r="BL176" s="66">
        <v>-3.8550960119319799E-2</v>
      </c>
      <c r="BM176" s="51">
        <v>30.76601900710525</v>
      </c>
      <c r="BN176" s="51">
        <v>13.6840661385649</v>
      </c>
      <c r="BO176" s="52">
        <v>275</v>
      </c>
      <c r="BP176" s="89">
        <v>275</v>
      </c>
      <c r="BQ176" s="89">
        <v>214</v>
      </c>
      <c r="BR176" s="67">
        <v>0.2850467289719627</v>
      </c>
      <c r="BS176" s="54">
        <v>3.8322884012539187</v>
      </c>
      <c r="BT176" s="57">
        <v>142</v>
      </c>
      <c r="BU176" s="89">
        <v>147</v>
      </c>
      <c r="BV176" s="57">
        <v>118</v>
      </c>
      <c r="BW176" s="57">
        <v>115</v>
      </c>
      <c r="BX176" s="70">
        <v>-3.4013605442176909E-2</v>
      </c>
      <c r="BY176" s="70">
        <v>2.6086956521739202E-2</v>
      </c>
      <c r="BZ176" s="59">
        <v>1.2782608695652173</v>
      </c>
      <c r="CA176" s="59">
        <v>1.2033898305084745</v>
      </c>
      <c r="CB176" s="59">
        <v>1.9908385579937302</v>
      </c>
      <c r="CC176" s="59">
        <v>1.6050705329153605</v>
      </c>
      <c r="CD176" s="60">
        <v>100</v>
      </c>
      <c r="CE176" s="60">
        <v>94</v>
      </c>
      <c r="CF176" s="61">
        <v>1.567398119122257</v>
      </c>
      <c r="CG176" s="61">
        <v>1.4733542319749218</v>
      </c>
      <c r="CH176" s="61">
        <v>0.94000000000000006</v>
      </c>
      <c r="CI176" s="41"/>
      <c r="CJ176" s="40"/>
      <c r="CK176" s="3"/>
      <c r="CL176" s="62"/>
      <c r="CM176" s="63" t="s">
        <v>110</v>
      </c>
      <c r="CN176" s="3">
        <v>147</v>
      </c>
      <c r="CO176" s="3">
        <v>118</v>
      </c>
      <c r="CP176" s="41">
        <v>14.488888888888889</v>
      </c>
      <c r="CQ176" s="3" t="s">
        <v>110</v>
      </c>
      <c r="CR176" s="40">
        <v>144.5</v>
      </c>
      <c r="CS176" s="40">
        <v>116.5</v>
      </c>
      <c r="CT176" s="40">
        <v>244.5</v>
      </c>
      <c r="CU176" s="40"/>
      <c r="CV176" s="40"/>
      <c r="CW176" s="40"/>
      <c r="CX176" s="40"/>
      <c r="CY176" s="40">
        <v>0</v>
      </c>
      <c r="CZ176" s="40"/>
      <c r="DA176" s="40"/>
    </row>
    <row r="177" spans="1:105" ht="15.95" customHeight="1">
      <c r="A177" s="3">
        <v>436</v>
      </c>
      <c r="B177" s="38" t="s">
        <v>103</v>
      </c>
      <c r="C177" s="3" t="s">
        <v>115</v>
      </c>
      <c r="D177" s="3" t="s">
        <v>105</v>
      </c>
      <c r="E177" s="39">
        <v>44637</v>
      </c>
      <c r="F177" s="3" t="s">
        <v>186</v>
      </c>
      <c r="G177" s="3" t="s">
        <v>122</v>
      </c>
      <c r="H177" s="3">
        <v>2007</v>
      </c>
      <c r="I177" s="40" t="s">
        <v>116</v>
      </c>
      <c r="J177" s="39" t="s">
        <v>157</v>
      </c>
      <c r="K177" s="3">
        <v>173.3</v>
      </c>
      <c r="L177" s="3">
        <v>173.5</v>
      </c>
      <c r="M177" s="3"/>
      <c r="N177" s="3">
        <v>143.5</v>
      </c>
      <c r="O177" s="3">
        <v>143.69999999999999</v>
      </c>
      <c r="P177" s="3"/>
      <c r="Q177" s="3">
        <v>86.6</v>
      </c>
      <c r="R177" s="3">
        <v>86.6</v>
      </c>
      <c r="S177" s="3"/>
      <c r="T177" s="42">
        <v>173.4</v>
      </c>
      <c r="U177" s="42">
        <f>AVERAGE(paper3[[#This Row],[Sittende høyde 1]:[Sittende høyde 3]])-56.2</f>
        <v>87.399999999999991</v>
      </c>
      <c r="V177" s="12">
        <f>paper3[[#This Row],[height]]-paper3[[#This Row],[sittingheight]]</f>
        <v>86.000000000000014</v>
      </c>
      <c r="W177" s="73">
        <v>86.6</v>
      </c>
      <c r="X177" s="43" cm="1">
        <f t="array" ref="X177">INDEX([1]!phvny[yphv], MATCH(1, (paper3[[#This Row],[id]]=[1]!phvny[id])*(paper3[[#This Row],[time]]=[1]!phvny[time]), 0))</f>
        <v>1.2116138929142612</v>
      </c>
      <c r="Y177" s="3">
        <v>2.2000000000000002</v>
      </c>
      <c r="Z177" s="3">
        <v>3.74</v>
      </c>
      <c r="AA177" s="3">
        <v>5.22</v>
      </c>
      <c r="AB177" s="3">
        <v>2.23</v>
      </c>
      <c r="AC177" s="3">
        <v>3.79</v>
      </c>
      <c r="AD177" s="3">
        <v>5.31</v>
      </c>
      <c r="AE177" s="3">
        <v>2.2799999999999998</v>
      </c>
      <c r="AF177" s="3">
        <v>3.88</v>
      </c>
      <c r="AG177" s="3">
        <v>5.42</v>
      </c>
      <c r="AH177" s="44">
        <v>2.2000000000000002</v>
      </c>
      <c r="AI177" s="44">
        <v>3.74</v>
      </c>
      <c r="AJ177" s="44">
        <v>5.22</v>
      </c>
      <c r="AK177" s="45">
        <v>6.7567567567567588</v>
      </c>
      <c r="AL177" s="3">
        <v>11.01</v>
      </c>
      <c r="AM177" s="3">
        <v>11</v>
      </c>
      <c r="AN177" s="3">
        <v>11.58</v>
      </c>
      <c r="AO177" s="3">
        <v>11.45</v>
      </c>
      <c r="AP177" s="3">
        <v>11</v>
      </c>
      <c r="AQ177" s="47">
        <v>11</v>
      </c>
      <c r="AR177" s="47">
        <v>11.45</v>
      </c>
      <c r="AS177" s="3">
        <v>24.33</v>
      </c>
      <c r="AT177" s="3">
        <v>26.26</v>
      </c>
      <c r="AU177" s="3">
        <v>25</v>
      </c>
      <c r="AV177" s="3"/>
      <c r="AW177" s="3"/>
      <c r="AX177" s="48">
        <v>26.26</v>
      </c>
      <c r="AY177" s="3"/>
      <c r="AZ177" s="3"/>
      <c r="BA177" s="3"/>
      <c r="BB177" s="3">
        <v>9</v>
      </c>
      <c r="BC177" s="3">
        <v>279</v>
      </c>
      <c r="BD177" s="40">
        <v>1102.3565740148824</v>
      </c>
      <c r="BE177" s="40">
        <v>1069.2260186907599</v>
      </c>
      <c r="BF177" s="40"/>
      <c r="BG177" s="40">
        <v>531.38601433002896</v>
      </c>
      <c r="BH177" s="40">
        <v>531.98995892020594</v>
      </c>
      <c r="BI177" s="49">
        <v>2171.5825927056421</v>
      </c>
      <c r="BJ177" s="49">
        <v>1063.3759732502349</v>
      </c>
      <c r="BK177" s="66">
        <v>3.0985549121494538E-2</v>
      </c>
      <c r="BL177" s="66">
        <v>-1.1352556191150942E-3</v>
      </c>
      <c r="BM177" s="51">
        <v>25.076011463113652</v>
      </c>
      <c r="BN177" s="51">
        <v>12.279168282335277</v>
      </c>
      <c r="BO177" s="52">
        <v>334</v>
      </c>
      <c r="BP177" s="40">
        <v>334</v>
      </c>
      <c r="BQ177" s="40">
        <v>321</v>
      </c>
      <c r="BR177" s="67">
        <v>4.049844236760114E-2</v>
      </c>
      <c r="BS177" s="54">
        <v>3.7817551963048501</v>
      </c>
      <c r="BT177" s="3">
        <v>117</v>
      </c>
      <c r="BU177" s="40">
        <v>109</v>
      </c>
      <c r="BV177" s="3">
        <v>125</v>
      </c>
      <c r="BW177" s="3">
        <v>134</v>
      </c>
      <c r="BX177" s="70">
        <v>7.3394495412844041E-2</v>
      </c>
      <c r="BY177" s="70">
        <v>-6.7164179104477584E-2</v>
      </c>
      <c r="BZ177" s="59">
        <v>0.81343283582089554</v>
      </c>
      <c r="CA177" s="59">
        <v>0.93600000000000005</v>
      </c>
      <c r="CB177" s="59">
        <v>1.1221709006928409</v>
      </c>
      <c r="CC177" s="59">
        <v>1.2860277136258664</v>
      </c>
      <c r="CD177" s="60">
        <v>120</v>
      </c>
      <c r="CE177" s="60">
        <v>121</v>
      </c>
      <c r="CF177" s="61">
        <v>1.3856812933025404</v>
      </c>
      <c r="CG177" s="61">
        <v>1.3972286374133951</v>
      </c>
      <c r="CH177" s="61">
        <v>1.0083333333333335</v>
      </c>
      <c r="CI177" s="41">
        <v>14.3</v>
      </c>
      <c r="CJ177" s="40">
        <f>VLOOKUP(paper3[[#This Row],[YYIR nivå]],$DB:$DC,2)</f>
        <v>560</v>
      </c>
      <c r="CK177" s="3"/>
      <c r="CL177" s="62"/>
      <c r="CM177" s="63" t="s">
        <v>110</v>
      </c>
      <c r="CN177" s="3">
        <v>117</v>
      </c>
      <c r="CO177" s="3">
        <v>134</v>
      </c>
      <c r="CP177" s="41">
        <v>14.902777777777779</v>
      </c>
      <c r="CQ177" s="3" t="s">
        <v>110</v>
      </c>
      <c r="CR177" s="40">
        <v>113</v>
      </c>
      <c r="CS177" s="40">
        <v>129.5</v>
      </c>
      <c r="CT177" s="40">
        <v>327.5</v>
      </c>
      <c r="CU177" s="40"/>
      <c r="CV177" s="40"/>
      <c r="CW177" s="40"/>
      <c r="CX177" s="40"/>
      <c r="CY177" s="40">
        <v>0</v>
      </c>
      <c r="CZ177" s="40"/>
      <c r="DA177" s="40"/>
    </row>
    <row r="178" spans="1:105" ht="15.75" customHeight="1">
      <c r="A178" s="3">
        <v>437</v>
      </c>
      <c r="B178" s="38" t="s">
        <v>103</v>
      </c>
      <c r="C178" s="3" t="s">
        <v>115</v>
      </c>
      <c r="D178" s="3" t="s">
        <v>105</v>
      </c>
      <c r="E178" s="39">
        <v>44637</v>
      </c>
      <c r="F178" s="3" t="s">
        <v>186</v>
      </c>
      <c r="G178" s="3" t="s">
        <v>122</v>
      </c>
      <c r="H178" s="3">
        <v>2007</v>
      </c>
      <c r="I178" s="40" t="s">
        <v>116</v>
      </c>
      <c r="J178" s="39" t="s">
        <v>157</v>
      </c>
      <c r="K178" s="3">
        <v>171.6</v>
      </c>
      <c r="L178" s="3">
        <v>171.5</v>
      </c>
      <c r="M178" s="3"/>
      <c r="N178" s="3">
        <v>145.5</v>
      </c>
      <c r="O178" s="3">
        <v>145.4</v>
      </c>
      <c r="P178" s="3"/>
      <c r="Q178" s="3">
        <v>65.099999999999994</v>
      </c>
      <c r="R178" s="3"/>
      <c r="S178" s="3"/>
      <c r="T178" s="42">
        <v>171.55</v>
      </c>
      <c r="U178" s="42">
        <f>AVERAGE(paper3[[#This Row],[Sittende høyde 1]:[Sittende høyde 3]])-56.2</f>
        <v>89.249999999999986</v>
      </c>
      <c r="V178" s="12">
        <f>paper3[[#This Row],[height]]-paper3[[#This Row],[sittingheight]]</f>
        <v>82.300000000000026</v>
      </c>
      <c r="W178" s="73">
        <v>65.099999999999994</v>
      </c>
      <c r="X178" s="43" cm="1">
        <f t="array" ref="X178">INDEX([1]!phvny[yphv], MATCH(1, (paper3[[#This Row],[id]]=[1]!phvny[id])*(paper3[[#This Row],[time]]=[1]!phvny[time]), 0))</f>
        <v>1.3345680750482511</v>
      </c>
      <c r="Y178" s="3">
        <v>1.78</v>
      </c>
      <c r="Z178" s="3">
        <v>3.09</v>
      </c>
      <c r="AA178" s="3">
        <v>4.29</v>
      </c>
      <c r="AB178" s="3">
        <v>1.86</v>
      </c>
      <c r="AC178" s="3">
        <v>3.18</v>
      </c>
      <c r="AD178" s="3">
        <v>4.42</v>
      </c>
      <c r="AE178" s="3">
        <v>1.86</v>
      </c>
      <c r="AF178" s="3">
        <v>3.18</v>
      </c>
      <c r="AG178" s="3">
        <v>4.46</v>
      </c>
      <c r="AH178" s="44">
        <v>1.78</v>
      </c>
      <c r="AI178" s="44">
        <v>3.09</v>
      </c>
      <c r="AJ178" s="44">
        <v>4.29</v>
      </c>
      <c r="AK178" s="45">
        <v>8.3333333333333321</v>
      </c>
      <c r="AL178" s="3">
        <v>9.98</v>
      </c>
      <c r="AM178" s="3">
        <v>9.75</v>
      </c>
      <c r="AN178" s="3">
        <v>10.11</v>
      </c>
      <c r="AO178" s="3">
        <v>10.050000000000001</v>
      </c>
      <c r="AP178" s="3">
        <v>9.75</v>
      </c>
      <c r="AQ178" s="47">
        <v>9.75</v>
      </c>
      <c r="AR178" s="47">
        <v>10.050000000000001</v>
      </c>
      <c r="AS178" s="3">
        <v>35.64</v>
      </c>
      <c r="AT178" s="3">
        <v>39.32</v>
      </c>
      <c r="AU178" s="3">
        <v>36</v>
      </c>
      <c r="AV178" s="3"/>
      <c r="AW178" s="3"/>
      <c r="AX178" s="48">
        <v>39.32</v>
      </c>
      <c r="AY178" s="3"/>
      <c r="AZ178" s="3"/>
      <c r="BA178" s="3"/>
      <c r="BB178" s="3">
        <v>10</v>
      </c>
      <c r="BC178" s="3">
        <v>306</v>
      </c>
      <c r="BD178" s="40"/>
      <c r="BE178" s="40"/>
      <c r="BF178" s="40"/>
      <c r="BG178" s="40">
        <v>590.7082296534262</v>
      </c>
      <c r="BH178" s="40">
        <v>597.66100452657247</v>
      </c>
      <c r="BI178" s="49"/>
      <c r="BJ178" s="49">
        <v>1188.3692341799988</v>
      </c>
      <c r="BK178" s="66"/>
      <c r="BL178" s="66">
        <v>-1.1633308548637533E-2</v>
      </c>
      <c r="BM178" s="51"/>
      <c r="BN178" s="51">
        <v>18.254519726267265</v>
      </c>
      <c r="BO178" s="52">
        <v>215</v>
      </c>
      <c r="BP178" s="40">
        <v>215</v>
      </c>
      <c r="BQ178" s="40">
        <v>200</v>
      </c>
      <c r="BR178" s="67">
        <v>7.4999999999999956E-2</v>
      </c>
      <c r="BS178" s="54">
        <v>3.1874039938556069</v>
      </c>
      <c r="BT178" s="3">
        <v>145</v>
      </c>
      <c r="BU178" s="40">
        <v>149</v>
      </c>
      <c r="BV178" s="3">
        <v>124</v>
      </c>
      <c r="BW178" s="3">
        <v>120</v>
      </c>
      <c r="BX178" s="70">
        <v>-2.6845637583892579E-2</v>
      </c>
      <c r="BY178" s="70">
        <v>3.3333333333333437E-2</v>
      </c>
      <c r="BZ178" s="59">
        <v>1.2416666666666667</v>
      </c>
      <c r="CA178" s="59">
        <v>1.1693548387096775</v>
      </c>
      <c r="CB178" s="59">
        <v>1.8583870967741942</v>
      </c>
      <c r="CC178" s="59">
        <v>1.5423348694316443</v>
      </c>
      <c r="CD178" s="60">
        <v>145</v>
      </c>
      <c r="CE178" s="60">
        <v>138</v>
      </c>
      <c r="CF178" s="61">
        <v>2.2273425499231951</v>
      </c>
      <c r="CG178" s="61">
        <v>2.1198156682027651</v>
      </c>
      <c r="CH178" s="61">
        <v>0.9517241379310345</v>
      </c>
      <c r="CI178" s="41">
        <v>16.2</v>
      </c>
      <c r="CJ178" s="40">
        <f>VLOOKUP(paper3[[#This Row],[YYIR nivå]],$DB:$DC,2)</f>
        <v>1160</v>
      </c>
      <c r="CK178" s="3"/>
      <c r="CL178" s="62"/>
      <c r="CM178" s="63" t="s">
        <v>110</v>
      </c>
      <c r="CN178" s="3">
        <v>149</v>
      </c>
      <c r="CO178" s="3">
        <v>124</v>
      </c>
      <c r="CP178" s="41">
        <v>15.205555555555556</v>
      </c>
      <c r="CQ178" s="3" t="s">
        <v>110</v>
      </c>
      <c r="CR178" s="40">
        <v>147</v>
      </c>
      <c r="CS178" s="40">
        <v>122</v>
      </c>
      <c r="CT178" s="40">
        <v>207.5</v>
      </c>
      <c r="CU178" s="40"/>
      <c r="CV178" s="40"/>
      <c r="CW178" s="40"/>
      <c r="CX178" s="40"/>
      <c r="CY178" s="40">
        <v>0</v>
      </c>
      <c r="CZ178" s="40"/>
      <c r="DA178" s="40"/>
    </row>
    <row r="179" spans="1:105" ht="15.95" customHeight="1">
      <c r="A179" s="3">
        <v>438</v>
      </c>
      <c r="B179" s="38" t="s">
        <v>103</v>
      </c>
      <c r="C179" s="3" t="s">
        <v>115</v>
      </c>
      <c r="D179" s="3" t="s">
        <v>105</v>
      </c>
      <c r="E179" s="39">
        <v>44637</v>
      </c>
      <c r="F179" s="3" t="s">
        <v>186</v>
      </c>
      <c r="G179" s="3" t="s">
        <v>122</v>
      </c>
      <c r="H179" s="3">
        <v>2007</v>
      </c>
      <c r="I179" s="40" t="s">
        <v>116</v>
      </c>
      <c r="J179" s="39" t="s">
        <v>157</v>
      </c>
      <c r="K179" s="3">
        <v>175.4</v>
      </c>
      <c r="L179" s="3">
        <v>175.6</v>
      </c>
      <c r="M179" s="3"/>
      <c r="N179" s="3">
        <v>147.4</v>
      </c>
      <c r="O179" s="3">
        <v>147.30000000000001</v>
      </c>
      <c r="P179" s="3"/>
      <c r="Q179" s="3">
        <v>78.3</v>
      </c>
      <c r="R179" s="3"/>
      <c r="S179" s="3"/>
      <c r="T179" s="42">
        <v>175.5</v>
      </c>
      <c r="U179" s="42">
        <f>AVERAGE(paper3[[#This Row],[Sittende høyde 1]:[Sittende høyde 3]])-56.2</f>
        <v>91.15000000000002</v>
      </c>
      <c r="V179" s="12">
        <f>paper3[[#This Row],[height]]-paper3[[#This Row],[sittingheight]]</f>
        <v>84.34999999999998</v>
      </c>
      <c r="W179" s="73">
        <v>78.3</v>
      </c>
      <c r="X179" s="43" cm="1">
        <f t="array" ref="X179">INDEX([1]!phvny[yphv], MATCH(1, (paper3[[#This Row],[id]]=[1]!phvny[id])*(paper3[[#This Row],[time]]=[1]!phvny[time]), 0))</f>
        <v>1.4739196364123959</v>
      </c>
      <c r="Y179" s="3">
        <v>1.93</v>
      </c>
      <c r="Z179" s="3">
        <v>3.33</v>
      </c>
      <c r="AA179" s="3">
        <v>4.68</v>
      </c>
      <c r="AB179" s="3">
        <v>1.96</v>
      </c>
      <c r="AC179" s="3">
        <v>3.37</v>
      </c>
      <c r="AD179" s="3">
        <v>4.7300000000000004</v>
      </c>
      <c r="AE179" s="3">
        <v>2</v>
      </c>
      <c r="AF179" s="3">
        <v>3.45</v>
      </c>
      <c r="AG179" s="3">
        <v>4.8499999999999996</v>
      </c>
      <c r="AH179" s="44">
        <v>1.93</v>
      </c>
      <c r="AI179" s="44">
        <v>3.33</v>
      </c>
      <c r="AJ179" s="44">
        <v>4.68</v>
      </c>
      <c r="AK179" s="45">
        <v>7.4074074074074092</v>
      </c>
      <c r="AL179" s="3">
        <v>10.33</v>
      </c>
      <c r="AM179" s="3">
        <v>10.119999999999999</v>
      </c>
      <c r="AN179" s="3">
        <v>10.55</v>
      </c>
      <c r="AO179" s="3">
        <v>10.36</v>
      </c>
      <c r="AP179" s="3">
        <v>10.119999999999999</v>
      </c>
      <c r="AQ179" s="47">
        <v>10.119999999999999</v>
      </c>
      <c r="AR179" s="47">
        <v>10.36</v>
      </c>
      <c r="AS179" s="3">
        <v>27.86</v>
      </c>
      <c r="AT179" s="3">
        <v>26.55</v>
      </c>
      <c r="AU179" s="3">
        <v>25.86</v>
      </c>
      <c r="AV179" s="3"/>
      <c r="AW179" s="3"/>
      <c r="AX179" s="48">
        <v>27.86</v>
      </c>
      <c r="AY179" s="3"/>
      <c r="AZ179" s="3"/>
      <c r="BA179" s="3"/>
      <c r="BB179" s="3">
        <v>9</v>
      </c>
      <c r="BC179" s="3">
        <v>319</v>
      </c>
      <c r="BD179" s="40">
        <v>1310.8615451782657</v>
      </c>
      <c r="BE179" s="40">
        <v>1329.9199215058129</v>
      </c>
      <c r="BF179" s="40"/>
      <c r="BG179" s="40">
        <v>582.58908760936845</v>
      </c>
      <c r="BH179" s="40">
        <v>611.8692386228937</v>
      </c>
      <c r="BI179" s="49">
        <v>2640.7814666840786</v>
      </c>
      <c r="BJ179" s="49">
        <v>1194.4583262322622</v>
      </c>
      <c r="BK179" s="66">
        <v>-1.4330469090175102E-2</v>
      </c>
      <c r="BL179" s="66">
        <v>-4.7853608524959901E-2</v>
      </c>
      <c r="BM179" s="51">
        <v>33.726455513206623</v>
      </c>
      <c r="BN179" s="51">
        <v>15.254895609607436</v>
      </c>
      <c r="BO179" s="52"/>
      <c r="BP179" s="40"/>
      <c r="BQ179" s="40"/>
      <c r="BR179" s="67"/>
      <c r="BS179" s="54" t="s">
        <v>110</v>
      </c>
      <c r="BT179" s="3">
        <v>154</v>
      </c>
      <c r="BU179" s="40">
        <v>188</v>
      </c>
      <c r="BV179" s="3">
        <v>111</v>
      </c>
      <c r="BW179" s="3">
        <v>146</v>
      </c>
      <c r="BX179" s="70">
        <v>-0.18085106382978722</v>
      </c>
      <c r="BY179" s="70">
        <v>-0.23972602739726023</v>
      </c>
      <c r="BZ179" s="59">
        <v>1.2876712328767124</v>
      </c>
      <c r="CA179" s="59">
        <v>1.3873873873873874</v>
      </c>
      <c r="CB179" s="59">
        <v>1.8421264367816088</v>
      </c>
      <c r="CC179" s="59">
        <v>1.3842879948914428</v>
      </c>
      <c r="CD179" s="60">
        <v>120</v>
      </c>
      <c r="CE179" s="60">
        <v>120</v>
      </c>
      <c r="CF179" s="61">
        <v>1.5325670498084292</v>
      </c>
      <c r="CG179" s="61">
        <v>1.5325670498084292</v>
      </c>
      <c r="CH179" s="61">
        <v>1</v>
      </c>
      <c r="CI179" s="74">
        <v>14.5</v>
      </c>
      <c r="CJ179" s="40">
        <f>VLOOKUP(paper3[[#This Row],[YYIR nivå]],$DB:$DC,2)</f>
        <v>640</v>
      </c>
      <c r="CK179" s="3"/>
      <c r="CL179" s="62"/>
      <c r="CM179" s="63" t="s">
        <v>110</v>
      </c>
      <c r="CN179" s="3">
        <v>188</v>
      </c>
      <c r="CO179" s="3">
        <v>146</v>
      </c>
      <c r="CP179" s="41">
        <v>14.697222222222223</v>
      </c>
      <c r="CQ179" s="3" t="s">
        <v>110</v>
      </c>
      <c r="CR179" s="40">
        <v>171</v>
      </c>
      <c r="CS179" s="40">
        <v>128.5</v>
      </c>
      <c r="CT179" s="40" t="s">
        <v>110</v>
      </c>
      <c r="CU179" s="40"/>
      <c r="CV179" s="40"/>
      <c r="CW179" s="40"/>
      <c r="CX179" s="40"/>
      <c r="CY179" s="40">
        <v>0</v>
      </c>
      <c r="CZ179" s="40"/>
      <c r="DA179" s="40"/>
    </row>
    <row r="180" spans="1:105" ht="15.95" customHeight="1">
      <c r="A180" s="3">
        <v>439</v>
      </c>
      <c r="B180" s="38" t="s">
        <v>103</v>
      </c>
      <c r="C180" s="3" t="s">
        <v>158</v>
      </c>
      <c r="D180" s="3" t="s">
        <v>105</v>
      </c>
      <c r="E180" s="39">
        <v>44637</v>
      </c>
      <c r="F180" s="3" t="s">
        <v>186</v>
      </c>
      <c r="G180" s="3" t="s">
        <v>122</v>
      </c>
      <c r="H180" s="3">
        <v>2007</v>
      </c>
      <c r="I180" s="40" t="s">
        <v>116</v>
      </c>
      <c r="J180" s="39" t="s">
        <v>157</v>
      </c>
      <c r="K180" s="3">
        <v>177.1</v>
      </c>
      <c r="L180" s="3">
        <v>177.6</v>
      </c>
      <c r="M180" s="3" t="s">
        <v>191</v>
      </c>
      <c r="N180" s="3">
        <v>146.19999999999999</v>
      </c>
      <c r="O180" s="3">
        <v>146.1</v>
      </c>
      <c r="P180" s="3"/>
      <c r="Q180" s="3">
        <v>64</v>
      </c>
      <c r="R180" s="3"/>
      <c r="S180" s="3"/>
      <c r="T180" s="42">
        <v>177.35</v>
      </c>
      <c r="U180" s="42">
        <f>AVERAGE(paper3[[#This Row],[Sittende høyde 1]:[Sittende høyde 3]])-56.2</f>
        <v>89.949999999999974</v>
      </c>
      <c r="V180" s="12">
        <f>paper3[[#This Row],[height]]-paper3[[#This Row],[sittingheight]]</f>
        <v>87.40000000000002</v>
      </c>
      <c r="W180" s="73">
        <v>64</v>
      </c>
      <c r="X180" s="43" cm="1">
        <f t="array" ref="X180">INDEX([1]!phvny[yphv], MATCH(1, (paper3[[#This Row],[id]]=[1]!phvny[id])*(paper3[[#This Row],[time]]=[1]!phvny[time]), 0))</f>
        <v>0.95280596300055886</v>
      </c>
      <c r="Y180" s="3">
        <v>1.9</v>
      </c>
      <c r="Z180" s="3">
        <v>3.27</v>
      </c>
      <c r="AA180" s="3">
        <v>4.59</v>
      </c>
      <c r="AB180" s="3">
        <v>1.88</v>
      </c>
      <c r="AC180" s="3">
        <v>3.24</v>
      </c>
      <c r="AD180" s="3">
        <v>4.5599999999999996</v>
      </c>
      <c r="AE180" s="3">
        <v>1.98</v>
      </c>
      <c r="AF180" s="3">
        <v>3.36</v>
      </c>
      <c r="AG180" s="3">
        <v>4.67</v>
      </c>
      <c r="AH180" s="44">
        <v>1.88</v>
      </c>
      <c r="AI180" s="44">
        <v>3.24</v>
      </c>
      <c r="AJ180" s="44">
        <v>4.5599999999999996</v>
      </c>
      <c r="AK180" s="45">
        <v>7.5757575757575788</v>
      </c>
      <c r="AL180" s="3">
        <v>10.130000000000001</v>
      </c>
      <c r="AM180" s="3">
        <v>10.220000000000001</v>
      </c>
      <c r="AN180" s="3">
        <v>10.5</v>
      </c>
      <c r="AO180" s="3">
        <v>9.93</v>
      </c>
      <c r="AP180" s="3">
        <v>9.93</v>
      </c>
      <c r="AQ180" s="47">
        <v>10.130000000000001</v>
      </c>
      <c r="AR180" s="47">
        <v>9.93</v>
      </c>
      <c r="AS180" s="3">
        <v>38.06</v>
      </c>
      <c r="AT180" s="3">
        <v>38.76</v>
      </c>
      <c r="AU180" s="3">
        <v>37.35</v>
      </c>
      <c r="AV180" s="3"/>
      <c r="AW180" s="3"/>
      <c r="AX180" s="48">
        <v>38.76</v>
      </c>
      <c r="AY180" s="3"/>
      <c r="AZ180" s="3"/>
      <c r="BA180" s="3"/>
      <c r="BB180" s="3">
        <v>11</v>
      </c>
      <c r="BC180" s="3">
        <v>332</v>
      </c>
      <c r="BD180" s="40">
        <v>1245.1699357565612</v>
      </c>
      <c r="BE180" s="40">
        <v>1308.2278122621879</v>
      </c>
      <c r="BF180" s="40"/>
      <c r="BG180" s="40">
        <v>532.40309540811677</v>
      </c>
      <c r="BH180" s="40">
        <v>540.70758924745371</v>
      </c>
      <c r="BI180" s="49">
        <v>2553.3977480187491</v>
      </c>
      <c r="BJ180" s="49">
        <v>1073.1106846555704</v>
      </c>
      <c r="BK180" s="66">
        <v>-4.8200990618435857E-2</v>
      </c>
      <c r="BL180" s="66">
        <v>-1.5358567189513561E-2</v>
      </c>
      <c r="BM180" s="51">
        <v>39.896839812792955</v>
      </c>
      <c r="BN180" s="51">
        <v>16.767354447743287</v>
      </c>
      <c r="BO180" s="52">
        <v>301</v>
      </c>
      <c r="BP180" s="40">
        <v>299</v>
      </c>
      <c r="BQ180" s="40">
        <v>301</v>
      </c>
      <c r="BR180" s="67">
        <v>-6.6445182724252927E-3</v>
      </c>
      <c r="BS180" s="54">
        <v>4.6875</v>
      </c>
      <c r="BT180" s="3">
        <v>177</v>
      </c>
      <c r="BU180" s="40">
        <v>175</v>
      </c>
      <c r="BV180" s="3">
        <v>108</v>
      </c>
      <c r="BW180" s="3">
        <v>102</v>
      </c>
      <c r="BX180" s="70">
        <v>1.1428571428571344E-2</v>
      </c>
      <c r="BY180" s="70">
        <v>5.8823529411764719E-2</v>
      </c>
      <c r="BZ180" s="59">
        <v>1.7156862745098038</v>
      </c>
      <c r="CA180" s="59">
        <v>1.6388888888888888</v>
      </c>
      <c r="CB180" s="59">
        <v>2.4035000000000006</v>
      </c>
      <c r="CC180" s="59">
        <v>1.4339062500000004</v>
      </c>
      <c r="CD180" s="60">
        <v>136</v>
      </c>
      <c r="CE180" s="60">
        <v>134</v>
      </c>
      <c r="CF180" s="61">
        <v>2.125</v>
      </c>
      <c r="CG180" s="61">
        <v>2.09375</v>
      </c>
      <c r="CH180" s="61">
        <v>0.98529411764705888</v>
      </c>
      <c r="CI180" s="74">
        <v>15.4</v>
      </c>
      <c r="CJ180" s="40">
        <f>VLOOKUP(paper3[[#This Row],[YYIR nivå]],$DB:$DC,2)</f>
        <v>920</v>
      </c>
      <c r="CK180" s="3"/>
      <c r="CL180" s="62"/>
      <c r="CM180" s="63" t="s">
        <v>110</v>
      </c>
      <c r="CN180" s="3">
        <v>177</v>
      </c>
      <c r="CO180" s="3">
        <v>108</v>
      </c>
      <c r="CP180" s="41">
        <v>14.358333333333333</v>
      </c>
      <c r="CQ180" s="3" t="s">
        <v>110</v>
      </c>
      <c r="CR180" s="40">
        <v>176</v>
      </c>
      <c r="CS180" s="40">
        <v>105</v>
      </c>
      <c r="CT180" s="40">
        <v>300</v>
      </c>
      <c r="CU180" s="40"/>
      <c r="CV180" s="40"/>
      <c r="CW180" s="40"/>
      <c r="CX180" s="40"/>
      <c r="CY180" s="40">
        <v>0</v>
      </c>
      <c r="CZ180" s="40"/>
      <c r="DA180" s="40"/>
    </row>
    <row r="181" spans="1:105" ht="15.75" customHeight="1">
      <c r="A181" s="3">
        <v>440</v>
      </c>
      <c r="B181" s="38" t="s">
        <v>103</v>
      </c>
      <c r="C181" s="3" t="s">
        <v>115</v>
      </c>
      <c r="D181" s="3" t="s">
        <v>105</v>
      </c>
      <c r="E181" s="39">
        <v>44637</v>
      </c>
      <c r="F181" s="3" t="s">
        <v>186</v>
      </c>
      <c r="G181" s="3" t="s">
        <v>122</v>
      </c>
      <c r="H181" s="3">
        <v>2007</v>
      </c>
      <c r="I181" s="40" t="s">
        <v>116</v>
      </c>
      <c r="J181" s="39" t="s">
        <v>157</v>
      </c>
      <c r="K181" s="3">
        <v>171</v>
      </c>
      <c r="L181" s="3">
        <v>171.6</v>
      </c>
      <c r="M181" s="3">
        <v>171.7</v>
      </c>
      <c r="N181" s="3">
        <v>143.4</v>
      </c>
      <c r="O181" s="3">
        <v>143.30000000000001</v>
      </c>
      <c r="P181" s="3"/>
      <c r="Q181" s="3">
        <v>60.1</v>
      </c>
      <c r="R181" s="3"/>
      <c r="S181" s="3"/>
      <c r="T181" s="42">
        <v>171.43333333333331</v>
      </c>
      <c r="U181" s="42">
        <f>AVERAGE(paper3[[#This Row],[Sittende høyde 1]:[Sittende høyde 3]])-56.2</f>
        <v>87.15000000000002</v>
      </c>
      <c r="V181" s="12">
        <f>paper3[[#This Row],[height]]-paper3[[#This Row],[sittingheight]]</f>
        <v>84.283333333333289</v>
      </c>
      <c r="W181" s="73">
        <v>60.1</v>
      </c>
      <c r="X181" s="43" cm="1">
        <f t="array" ref="X181">INDEX([1]!phvny[yphv], MATCH(1, (paper3[[#This Row],[id]]=[1]!phvny[id])*(paper3[[#This Row],[time]]=[1]!phvny[time]), 0))</f>
        <v>0.63750240618481269</v>
      </c>
      <c r="Y181" s="3">
        <v>1.9</v>
      </c>
      <c r="Z181" s="3">
        <v>3.24</v>
      </c>
      <c r="AA181" s="3">
        <v>4.51</v>
      </c>
      <c r="AB181" s="3">
        <v>1.92</v>
      </c>
      <c r="AC181" s="3">
        <v>3.28</v>
      </c>
      <c r="AD181" s="3">
        <v>4.62</v>
      </c>
      <c r="AE181" s="3">
        <v>1.96</v>
      </c>
      <c r="AF181" s="3">
        <v>3.36</v>
      </c>
      <c r="AG181" s="3">
        <v>4.7</v>
      </c>
      <c r="AH181" s="44">
        <v>1.9</v>
      </c>
      <c r="AI181" s="44">
        <v>3.24</v>
      </c>
      <c r="AJ181" s="44">
        <v>4.51</v>
      </c>
      <c r="AK181" s="45">
        <v>7.874015748031499</v>
      </c>
      <c r="AL181" s="3">
        <v>10.199999999999999</v>
      </c>
      <c r="AM181" s="3">
        <v>10.28</v>
      </c>
      <c r="AN181" s="3">
        <v>10.46</v>
      </c>
      <c r="AO181" s="3">
        <v>10.18</v>
      </c>
      <c r="AP181" s="3">
        <v>10.18</v>
      </c>
      <c r="AQ181" s="47">
        <v>10.199999999999999</v>
      </c>
      <c r="AR181" s="47">
        <v>10.18</v>
      </c>
      <c r="AS181" s="3">
        <v>34.43</v>
      </c>
      <c r="AT181" s="3">
        <v>35.72</v>
      </c>
      <c r="AU181" s="3">
        <v>35.130000000000003</v>
      </c>
      <c r="AV181" s="3"/>
      <c r="AW181" s="3"/>
      <c r="AX181" s="48">
        <v>35.72</v>
      </c>
      <c r="AY181" s="3"/>
      <c r="AZ181" s="117"/>
      <c r="BA181" s="3"/>
      <c r="BB181" s="3">
        <v>7</v>
      </c>
      <c r="BC181" s="3">
        <v>227</v>
      </c>
      <c r="BD181" s="40">
        <v>835.65362580758915</v>
      </c>
      <c r="BE181" s="40">
        <v>832.70027080196098</v>
      </c>
      <c r="BF181" s="40"/>
      <c r="BG181" s="40">
        <v>342.51162358520332</v>
      </c>
      <c r="BH181" s="40">
        <v>376.75041019730145</v>
      </c>
      <c r="BI181" s="49">
        <v>1668.3538966095502</v>
      </c>
      <c r="BJ181" s="49">
        <v>719.26203378250477</v>
      </c>
      <c r="BK181" s="66">
        <v>3.5467203616781351E-3</v>
      </c>
      <c r="BL181" s="66">
        <v>-9.0879228490202579E-2</v>
      </c>
      <c r="BM181" s="51">
        <v>27.759632223120636</v>
      </c>
      <c r="BN181" s="51">
        <v>11.967754305865304</v>
      </c>
      <c r="BO181" s="52">
        <v>332</v>
      </c>
      <c r="BP181" s="40">
        <v>332</v>
      </c>
      <c r="BQ181" s="40">
        <v>323</v>
      </c>
      <c r="BR181" s="67">
        <v>2.7863777089783381E-2</v>
      </c>
      <c r="BS181" s="54">
        <v>5.4492512479201327</v>
      </c>
      <c r="BT181" s="3">
        <v>125</v>
      </c>
      <c r="BU181" s="40">
        <v>127</v>
      </c>
      <c r="BV181" s="3">
        <v>131</v>
      </c>
      <c r="BW181" s="3">
        <v>120</v>
      </c>
      <c r="BX181" s="70">
        <v>-1.5748031496062964E-2</v>
      </c>
      <c r="BY181" s="70">
        <v>9.1666666666666563E-2</v>
      </c>
      <c r="BZ181" s="59">
        <v>1.0583333333333333</v>
      </c>
      <c r="CA181" s="59">
        <v>0.95419847328244278</v>
      </c>
      <c r="CB181" s="59">
        <v>1.7670049916805315</v>
      </c>
      <c r="CC181" s="59">
        <v>1.7599930671103705</v>
      </c>
      <c r="CD181" s="60">
        <v>94</v>
      </c>
      <c r="CE181" s="60">
        <v>124</v>
      </c>
      <c r="CF181" s="61">
        <v>1.5640599001663893</v>
      </c>
      <c r="CG181" s="61">
        <v>2.0632279534109816</v>
      </c>
      <c r="CH181" s="61">
        <v>1.3191489361702127</v>
      </c>
      <c r="CI181" s="41">
        <v>15.1</v>
      </c>
      <c r="CJ181" s="40">
        <f>VLOOKUP(paper3[[#This Row],[YYIR nivå]],$DB:$DC,2)</f>
        <v>800</v>
      </c>
      <c r="CK181" s="3"/>
      <c r="CL181" s="62"/>
      <c r="CM181" s="63" t="s">
        <v>110</v>
      </c>
      <c r="CN181" s="3">
        <v>127</v>
      </c>
      <c r="CO181" s="3">
        <v>131</v>
      </c>
      <c r="CP181" s="41">
        <v>14.488888888888889</v>
      </c>
      <c r="CQ181" s="3" t="s">
        <v>110</v>
      </c>
      <c r="CR181" s="40">
        <v>126</v>
      </c>
      <c r="CS181" s="40">
        <v>125.5</v>
      </c>
      <c r="CT181" s="40">
        <v>327.5</v>
      </c>
      <c r="CU181" s="40"/>
      <c r="CV181" s="40"/>
      <c r="CW181" s="40"/>
      <c r="CX181" s="40"/>
      <c r="CY181" s="40">
        <v>0</v>
      </c>
      <c r="CZ181" s="40"/>
      <c r="DA181" s="40"/>
    </row>
    <row r="182" spans="1:105" ht="15.95" customHeight="1">
      <c r="A182" s="3">
        <v>441</v>
      </c>
      <c r="B182" s="38" t="s">
        <v>103</v>
      </c>
      <c r="C182" s="3" t="s">
        <v>115</v>
      </c>
      <c r="D182" s="3" t="s">
        <v>105</v>
      </c>
      <c r="E182" s="39">
        <v>44637</v>
      </c>
      <c r="F182" s="3" t="s">
        <v>186</v>
      </c>
      <c r="G182" s="3" t="s">
        <v>122</v>
      </c>
      <c r="H182" s="3">
        <v>2007</v>
      </c>
      <c r="I182" s="40" t="s">
        <v>116</v>
      </c>
      <c r="J182" s="39" t="s">
        <v>157</v>
      </c>
      <c r="K182" s="3">
        <v>182.5</v>
      </c>
      <c r="L182" s="3">
        <v>182.4</v>
      </c>
      <c r="M182" s="3"/>
      <c r="N182" s="3">
        <v>149.1</v>
      </c>
      <c r="O182" s="3">
        <v>149.19999999999999</v>
      </c>
      <c r="P182" s="3"/>
      <c r="Q182" s="3">
        <v>59.7</v>
      </c>
      <c r="R182" s="3"/>
      <c r="S182" s="3"/>
      <c r="T182" s="42">
        <v>182.45</v>
      </c>
      <c r="U182" s="42">
        <f>AVERAGE(paper3[[#This Row],[Sittende høyde 1]:[Sittende høyde 3]])-56.2</f>
        <v>92.949999999999974</v>
      </c>
      <c r="V182" s="12">
        <f>paper3[[#This Row],[height]]-paper3[[#This Row],[sittingheight]]</f>
        <v>89.500000000000014</v>
      </c>
      <c r="W182" s="73">
        <v>59.7</v>
      </c>
      <c r="X182" s="43" cm="1">
        <f t="array" ref="X182">INDEX([1]!phvny[yphv], MATCH(1, (paper3[[#This Row],[id]]=[1]!phvny[id])*(paper3[[#This Row],[time]]=[1]!phvny[time]), 0))</f>
        <v>1.5385565746361993</v>
      </c>
      <c r="Y182" s="3">
        <v>1.86</v>
      </c>
      <c r="Z182" s="3">
        <v>3.2</v>
      </c>
      <c r="AA182" s="3">
        <v>4.4400000000000004</v>
      </c>
      <c r="AB182" s="3">
        <v>1.91</v>
      </c>
      <c r="AC182" s="3">
        <v>3.26</v>
      </c>
      <c r="AD182" s="3">
        <v>4.5599999999999996</v>
      </c>
      <c r="AE182" s="3">
        <v>1.97</v>
      </c>
      <c r="AF182" s="3">
        <v>3.39</v>
      </c>
      <c r="AG182" s="3">
        <v>4.72</v>
      </c>
      <c r="AH182" s="44">
        <v>1.86</v>
      </c>
      <c r="AI182" s="44">
        <v>3.2</v>
      </c>
      <c r="AJ182" s="44">
        <v>4.4400000000000004</v>
      </c>
      <c r="AK182" s="45">
        <v>8.0645161290322562</v>
      </c>
      <c r="AL182" s="3">
        <v>10.130000000000001</v>
      </c>
      <c r="AM182" s="3">
        <v>9.67</v>
      </c>
      <c r="AN182" s="3">
        <v>9.58</v>
      </c>
      <c r="AO182" s="3">
        <v>9.6300000000000008</v>
      </c>
      <c r="AP182" s="3">
        <v>9.58</v>
      </c>
      <c r="AQ182" s="47">
        <v>9.67</v>
      </c>
      <c r="AR182" s="47">
        <v>9.58</v>
      </c>
      <c r="AS182" s="3">
        <v>33.42</v>
      </c>
      <c r="AT182" s="3">
        <v>35.01</v>
      </c>
      <c r="AU182" s="3">
        <v>35.51</v>
      </c>
      <c r="AV182" s="3">
        <v>36.78</v>
      </c>
      <c r="AW182" s="3">
        <v>36.89</v>
      </c>
      <c r="AX182" s="48">
        <v>36.89</v>
      </c>
      <c r="AY182" s="3"/>
      <c r="AZ182" s="3"/>
      <c r="BA182" s="3"/>
      <c r="BB182" s="3">
        <v>7</v>
      </c>
      <c r="BC182" s="3">
        <v>227</v>
      </c>
      <c r="BD182" s="40">
        <v>854.17610054668603</v>
      </c>
      <c r="BE182" s="40">
        <v>872.75383334942558</v>
      </c>
      <c r="BF182" s="40"/>
      <c r="BG182" s="40">
        <v>454.07984886225989</v>
      </c>
      <c r="BH182" s="40">
        <v>461.78412704538448</v>
      </c>
      <c r="BI182" s="49">
        <v>1726.9299338961116</v>
      </c>
      <c r="BJ182" s="49">
        <v>915.86397590764432</v>
      </c>
      <c r="BK182" s="66">
        <v>-2.1286337673754541E-2</v>
      </c>
      <c r="BL182" s="66">
        <v>-1.6683722397343059E-2</v>
      </c>
      <c r="BM182" s="51">
        <v>28.926799562748936</v>
      </c>
      <c r="BN182" s="51">
        <v>15.341105124081144</v>
      </c>
      <c r="BO182" s="52">
        <v>306</v>
      </c>
      <c r="BP182" s="40">
        <v>264</v>
      </c>
      <c r="BQ182" s="40">
        <v>306</v>
      </c>
      <c r="BR182" s="67">
        <v>-0.13725490196078427</v>
      </c>
      <c r="BS182" s="54">
        <v>4.7738693467336679</v>
      </c>
      <c r="BT182" s="3">
        <v>143</v>
      </c>
      <c r="BU182" s="40">
        <v>147</v>
      </c>
      <c r="BV182" s="3">
        <v>98</v>
      </c>
      <c r="BW182" s="3">
        <v>111</v>
      </c>
      <c r="BX182" s="70">
        <v>-2.7210884353741527E-2</v>
      </c>
      <c r="BY182" s="70">
        <v>-0.11711711711711714</v>
      </c>
      <c r="BZ182" s="59">
        <v>1.3243243243243243</v>
      </c>
      <c r="CA182" s="59">
        <v>1.4591836734693877</v>
      </c>
      <c r="CB182" s="59">
        <v>2.1737855946398659</v>
      </c>
      <c r="CC182" s="59">
        <v>1.5666247906197657</v>
      </c>
      <c r="CD182" s="60">
        <v>81</v>
      </c>
      <c r="CE182" s="60">
        <v>66</v>
      </c>
      <c r="CF182" s="61">
        <v>1.3567839195979898</v>
      </c>
      <c r="CG182" s="61">
        <v>1.1055276381909547</v>
      </c>
      <c r="CH182" s="61">
        <v>0.81481481481481477</v>
      </c>
      <c r="CI182" s="41"/>
      <c r="CJ182" s="40"/>
      <c r="CK182" s="3"/>
      <c r="CL182" s="62"/>
      <c r="CM182" s="63" t="s">
        <v>110</v>
      </c>
      <c r="CN182" s="3">
        <v>147</v>
      </c>
      <c r="CO182" s="3">
        <v>111</v>
      </c>
      <c r="CP182" s="41">
        <v>14.891666666666667</v>
      </c>
      <c r="CQ182" s="3" t="s">
        <v>110</v>
      </c>
      <c r="CR182" s="40">
        <v>145</v>
      </c>
      <c r="CS182" s="40">
        <v>104.5</v>
      </c>
      <c r="CT182" s="40">
        <v>285</v>
      </c>
      <c r="CU182" s="40"/>
      <c r="CV182" s="40"/>
      <c r="CW182" s="40"/>
      <c r="CX182" s="40"/>
      <c r="CY182" s="40">
        <v>0</v>
      </c>
      <c r="CZ182" s="40"/>
      <c r="DA182" s="40"/>
    </row>
    <row r="183" spans="1:105" ht="15.95" customHeight="1">
      <c r="A183" s="3">
        <v>442</v>
      </c>
      <c r="B183" s="38" t="s">
        <v>103</v>
      </c>
      <c r="C183" s="3" t="s">
        <v>115</v>
      </c>
      <c r="D183" s="3" t="s">
        <v>105</v>
      </c>
      <c r="E183" s="39">
        <v>44637</v>
      </c>
      <c r="F183" s="3" t="s">
        <v>186</v>
      </c>
      <c r="G183" s="3" t="s">
        <v>122</v>
      </c>
      <c r="H183" s="3">
        <v>2007</v>
      </c>
      <c r="I183" s="40" t="s">
        <v>116</v>
      </c>
      <c r="J183" s="39" t="s">
        <v>157</v>
      </c>
      <c r="K183" s="3">
        <v>175.4</v>
      </c>
      <c r="L183" s="3">
        <v>175.2</v>
      </c>
      <c r="M183" s="3"/>
      <c r="N183" s="3">
        <v>143.1</v>
      </c>
      <c r="O183" s="3">
        <v>143.6</v>
      </c>
      <c r="P183" s="3">
        <v>143.4</v>
      </c>
      <c r="Q183" s="3">
        <v>57.6</v>
      </c>
      <c r="R183" s="3"/>
      <c r="S183" s="3"/>
      <c r="T183" s="42">
        <v>175.3</v>
      </c>
      <c r="U183" s="42">
        <f>AVERAGE(paper3[[#This Row],[Sittende høyde 1]:[Sittende høyde 3]])-56.2</f>
        <v>87.166666666666671</v>
      </c>
      <c r="V183" s="12">
        <f>paper3[[#This Row],[height]]-paper3[[#This Row],[sittingheight]]</f>
        <v>88.13333333333334</v>
      </c>
      <c r="W183" s="73">
        <v>57.6</v>
      </c>
      <c r="X183" s="43" cm="1">
        <f t="array" ref="X183">INDEX([1]!phvny[yphv], MATCH(1, (paper3[[#This Row],[id]]=[1]!phvny[id])*(paper3[[#This Row],[time]]=[1]!phvny[time]), 0))</f>
        <v>0.53238414024782954</v>
      </c>
      <c r="Y183" s="3">
        <v>1.98</v>
      </c>
      <c r="Z183" s="3">
        <v>3.37</v>
      </c>
      <c r="AA183" s="3">
        <v>4.6900000000000004</v>
      </c>
      <c r="AB183" s="3">
        <v>1.97</v>
      </c>
      <c r="AC183" s="3">
        <v>3.37</v>
      </c>
      <c r="AD183" s="3">
        <v>4.72</v>
      </c>
      <c r="AE183" s="3">
        <v>1.98</v>
      </c>
      <c r="AF183" s="3">
        <v>3.41</v>
      </c>
      <c r="AG183" s="3">
        <v>4.79</v>
      </c>
      <c r="AH183" s="44">
        <v>1.97</v>
      </c>
      <c r="AI183" s="44">
        <v>3.37</v>
      </c>
      <c r="AJ183" s="44">
        <v>4.6900000000000004</v>
      </c>
      <c r="AK183" s="45">
        <v>7.5757575757575744</v>
      </c>
      <c r="AL183" s="3"/>
      <c r="AM183" s="3">
        <v>10.3</v>
      </c>
      <c r="AN183" s="3"/>
      <c r="AO183" s="3">
        <v>10.78</v>
      </c>
      <c r="AP183" s="3">
        <v>10.3</v>
      </c>
      <c r="AQ183" s="47">
        <v>10.3</v>
      </c>
      <c r="AR183" s="47">
        <v>10.78</v>
      </c>
      <c r="AS183" s="3">
        <v>23.9</v>
      </c>
      <c r="AT183" s="3">
        <v>25.89</v>
      </c>
      <c r="AU183" s="3">
        <v>26.06</v>
      </c>
      <c r="AV183" s="3">
        <v>26.71</v>
      </c>
      <c r="AW183" s="3">
        <v>27.61</v>
      </c>
      <c r="AX183" s="48">
        <v>27.61</v>
      </c>
      <c r="AY183" s="3"/>
      <c r="AZ183" s="3"/>
      <c r="BA183" s="3"/>
      <c r="BB183" s="3">
        <v>8</v>
      </c>
      <c r="BC183" s="3">
        <v>235</v>
      </c>
      <c r="BD183" s="40">
        <v>1009.7297083086421</v>
      </c>
      <c r="BE183" s="40">
        <v>946.63105700533447</v>
      </c>
      <c r="BF183" s="40"/>
      <c r="BG183" s="40">
        <v>419.99743273919643</v>
      </c>
      <c r="BH183" s="40">
        <v>365.63267617965198</v>
      </c>
      <c r="BI183" s="49">
        <v>1956.3607653139766</v>
      </c>
      <c r="BJ183" s="49">
        <v>785.63010891884846</v>
      </c>
      <c r="BK183" s="66">
        <v>6.665601221971329E-2</v>
      </c>
      <c r="BL183" s="66">
        <v>0.14868681083862589</v>
      </c>
      <c r="BM183" s="51">
        <v>33.964596620034314</v>
      </c>
      <c r="BN183" s="51">
        <v>13.639411613174452</v>
      </c>
      <c r="BO183" s="52">
        <v>277</v>
      </c>
      <c r="BP183" s="40">
        <v>277</v>
      </c>
      <c r="BQ183" s="40">
        <v>270</v>
      </c>
      <c r="BR183" s="67">
        <v>2.5925925925925908E-2</v>
      </c>
      <c r="BS183" s="54">
        <v>4.7482638888888884</v>
      </c>
      <c r="BT183" s="118">
        <v>186</v>
      </c>
      <c r="BU183" s="119">
        <v>150</v>
      </c>
      <c r="BV183" s="3">
        <v>121</v>
      </c>
      <c r="BW183" s="3">
        <v>137</v>
      </c>
      <c r="BX183" s="70">
        <v>0.24</v>
      </c>
      <c r="BY183" s="70">
        <v>-0.11678832116788318</v>
      </c>
      <c r="BZ183" s="59">
        <v>1.0948905109489051</v>
      </c>
      <c r="CA183" s="59">
        <v>1.5371900826446281</v>
      </c>
      <c r="CB183" s="59">
        <v>2.5705555555555559</v>
      </c>
      <c r="CC183" s="59">
        <v>1.9738194444444446</v>
      </c>
      <c r="CD183" s="120">
        <v>146</v>
      </c>
      <c r="CE183" s="120">
        <v>120</v>
      </c>
      <c r="CF183" s="61">
        <v>2.5347222222222223</v>
      </c>
      <c r="CG183" s="61">
        <v>2.0833333333333335</v>
      </c>
      <c r="CH183" s="61">
        <v>0.82191780821917815</v>
      </c>
      <c r="CI183" s="41">
        <v>15.7</v>
      </c>
      <c r="CJ183" s="40">
        <f>VLOOKUP(paper3[[#This Row],[YYIR nivå]],$DB:$DC,2)</f>
        <v>1040</v>
      </c>
      <c r="CK183" s="3"/>
      <c r="CL183" s="62"/>
      <c r="CM183" s="63" t="s">
        <v>110</v>
      </c>
      <c r="CN183" s="3">
        <v>186</v>
      </c>
      <c r="CO183" s="3">
        <v>137</v>
      </c>
      <c r="CP183" s="41">
        <v>14.375</v>
      </c>
      <c r="CQ183" s="3" t="s">
        <v>110</v>
      </c>
      <c r="CR183" s="40">
        <v>168</v>
      </c>
      <c r="CS183" s="40">
        <v>129</v>
      </c>
      <c r="CT183" s="40">
        <v>273.5</v>
      </c>
      <c r="CU183" s="40"/>
      <c r="CV183" s="40"/>
      <c r="CW183" s="40"/>
      <c r="CX183" s="40"/>
      <c r="CY183" s="40">
        <v>0</v>
      </c>
      <c r="CZ183" s="40"/>
      <c r="DA183" s="40"/>
    </row>
    <row r="184" spans="1:105" ht="15.95" customHeight="1">
      <c r="A184" s="3">
        <v>443</v>
      </c>
      <c r="B184" s="38" t="s">
        <v>103</v>
      </c>
      <c r="C184" s="3" t="s">
        <v>115</v>
      </c>
      <c r="D184" s="3" t="s">
        <v>105</v>
      </c>
      <c r="E184" s="39">
        <v>44637</v>
      </c>
      <c r="F184" s="3" t="s">
        <v>186</v>
      </c>
      <c r="G184" s="3" t="s">
        <v>122</v>
      </c>
      <c r="H184" s="3">
        <v>2007</v>
      </c>
      <c r="I184" s="40" t="s">
        <v>116</v>
      </c>
      <c r="J184" s="39" t="s">
        <v>157</v>
      </c>
      <c r="K184" s="3">
        <v>189.6</v>
      </c>
      <c r="L184" s="3">
        <v>189.6</v>
      </c>
      <c r="M184" s="3"/>
      <c r="N184" s="3">
        <v>153.19999999999999</v>
      </c>
      <c r="O184" s="3">
        <v>153</v>
      </c>
      <c r="P184" s="3"/>
      <c r="Q184" s="3">
        <v>74.8</v>
      </c>
      <c r="R184" s="3"/>
      <c r="S184" s="3"/>
      <c r="T184" s="42">
        <v>189.6</v>
      </c>
      <c r="U184" s="42">
        <f>AVERAGE(paper3[[#This Row],[Sittende høyde 1]:[Sittende høyde 3]])-56.2</f>
        <v>96.899999999999991</v>
      </c>
      <c r="V184" s="12">
        <f>paper3[[#This Row],[height]]-paper3[[#This Row],[sittingheight]]</f>
        <v>92.7</v>
      </c>
      <c r="W184" s="73">
        <v>74.8</v>
      </c>
      <c r="X184" s="43" cm="1">
        <f t="array" ref="X184">INDEX([1]!phvny[yphv], MATCH(1, (paper3[[#This Row],[id]]=[1]!phvny[id])*(paper3[[#This Row],[time]]=[1]!phvny[time]), 0))</f>
        <v>2.0860039471012644</v>
      </c>
      <c r="Y184" s="3">
        <v>1.99</v>
      </c>
      <c r="Z184" s="3">
        <v>3.4</v>
      </c>
      <c r="AA184" s="3">
        <v>4.7300000000000004</v>
      </c>
      <c r="AB184" s="3">
        <v>2.02</v>
      </c>
      <c r="AC184" s="3">
        <v>3.45</v>
      </c>
      <c r="AD184" s="3">
        <v>4.8</v>
      </c>
      <c r="AE184" s="3">
        <v>1.96</v>
      </c>
      <c r="AF184" s="3">
        <v>3.4</v>
      </c>
      <c r="AG184" s="3">
        <v>4.78</v>
      </c>
      <c r="AH184" s="44">
        <v>1.96</v>
      </c>
      <c r="AI184" s="44">
        <v>3.4</v>
      </c>
      <c r="AJ184" s="44">
        <v>4.7300000000000004</v>
      </c>
      <c r="AK184" s="45">
        <v>7.5187969924812004</v>
      </c>
      <c r="AL184" s="3">
        <v>10.74</v>
      </c>
      <c r="AM184" s="3">
        <v>10.78</v>
      </c>
      <c r="AN184" s="3">
        <v>10.98</v>
      </c>
      <c r="AO184" s="3">
        <v>10.71</v>
      </c>
      <c r="AP184" s="3">
        <v>10.71</v>
      </c>
      <c r="AQ184" s="47">
        <v>10.74</v>
      </c>
      <c r="AR184" s="47">
        <v>10.71</v>
      </c>
      <c r="AS184" s="3">
        <v>31.31</v>
      </c>
      <c r="AT184" s="3">
        <v>33.6</v>
      </c>
      <c r="AU184" s="3">
        <v>33.450000000000003</v>
      </c>
      <c r="AV184" s="3"/>
      <c r="AW184" s="3"/>
      <c r="AX184" s="48">
        <v>33.6</v>
      </c>
      <c r="AY184" s="3"/>
      <c r="AZ184" s="3"/>
      <c r="BA184" s="3"/>
      <c r="BB184" s="3">
        <v>11</v>
      </c>
      <c r="BC184" s="3">
        <v>332</v>
      </c>
      <c r="BD184" s="40">
        <v>1361.9564262237086</v>
      </c>
      <c r="BE184" s="40">
        <v>1357.1083525507565</v>
      </c>
      <c r="BF184" s="40"/>
      <c r="BG184" s="40">
        <v>409.23896031699172</v>
      </c>
      <c r="BH184" s="40">
        <v>430.87821859879836</v>
      </c>
      <c r="BI184" s="49">
        <v>2719.0647787744651</v>
      </c>
      <c r="BJ184" s="49">
        <v>840.11717891579008</v>
      </c>
      <c r="BK184" s="66">
        <v>3.5723556367772691E-3</v>
      </c>
      <c r="BL184" s="66">
        <v>-5.0221286079804139E-2</v>
      </c>
      <c r="BM184" s="51">
        <v>36.351133406075739</v>
      </c>
      <c r="BN184" s="51">
        <v>11.231513087109493</v>
      </c>
      <c r="BO184" s="52">
        <v>286</v>
      </c>
      <c r="BP184" s="40">
        <v>286</v>
      </c>
      <c r="BQ184" s="40">
        <v>285</v>
      </c>
      <c r="BR184" s="67">
        <v>3.5087719298245723E-3</v>
      </c>
      <c r="BS184" s="54">
        <v>3.8168449197860963</v>
      </c>
      <c r="BT184" s="3">
        <v>139</v>
      </c>
      <c r="BU184" s="40">
        <v>127</v>
      </c>
      <c r="BV184" s="3">
        <v>154</v>
      </c>
      <c r="BW184" s="3">
        <v>130</v>
      </c>
      <c r="BX184" s="70">
        <v>9.4488188976378007E-2</v>
      </c>
      <c r="BY184" s="70">
        <v>0.18461538461538463</v>
      </c>
      <c r="BZ184" s="59">
        <v>0.97692307692307689</v>
      </c>
      <c r="CA184" s="59">
        <v>0.90259740259740262</v>
      </c>
      <c r="CB184" s="59">
        <v>1.6482754010695189</v>
      </c>
      <c r="CC184" s="59">
        <v>1.7598128342245991</v>
      </c>
      <c r="CD184" s="60">
        <v>99</v>
      </c>
      <c r="CE184" s="60">
        <v>87</v>
      </c>
      <c r="CF184" s="61">
        <v>1.3235294117647058</v>
      </c>
      <c r="CG184" s="61">
        <v>1.1631016042780749</v>
      </c>
      <c r="CH184" s="61">
        <v>0.87878787878787878</v>
      </c>
      <c r="CI184" s="41"/>
      <c r="CJ184" s="40"/>
      <c r="CK184" s="3"/>
      <c r="CL184" s="62"/>
      <c r="CM184" s="63" t="s">
        <v>110</v>
      </c>
      <c r="CN184" s="3">
        <v>139</v>
      </c>
      <c r="CO184" s="3">
        <v>154</v>
      </c>
      <c r="CP184" s="41">
        <v>14.65</v>
      </c>
      <c r="CQ184" s="3" t="s">
        <v>110</v>
      </c>
      <c r="CR184" s="40">
        <v>133</v>
      </c>
      <c r="CS184" s="40">
        <v>142</v>
      </c>
      <c r="CT184" s="40">
        <v>285.5</v>
      </c>
      <c r="CU184" s="40"/>
      <c r="CV184" s="40"/>
      <c r="CW184" s="40"/>
      <c r="CX184" s="40"/>
      <c r="CY184" s="40">
        <v>0</v>
      </c>
      <c r="CZ184" s="40"/>
      <c r="DA184" s="40"/>
    </row>
    <row r="185" spans="1:105" ht="15.95" customHeight="1">
      <c r="A185" s="3">
        <v>444</v>
      </c>
      <c r="B185" s="38" t="s">
        <v>103</v>
      </c>
      <c r="C185" s="3" t="s">
        <v>115</v>
      </c>
      <c r="D185" s="3" t="s">
        <v>105</v>
      </c>
      <c r="E185" s="39">
        <v>44637</v>
      </c>
      <c r="F185" s="3" t="s">
        <v>186</v>
      </c>
      <c r="G185" s="3" t="s">
        <v>122</v>
      </c>
      <c r="H185" s="3">
        <v>2007</v>
      </c>
      <c r="I185" s="40" t="s">
        <v>116</v>
      </c>
      <c r="J185" s="39" t="s">
        <v>157</v>
      </c>
      <c r="K185" s="3">
        <v>178.3</v>
      </c>
      <c r="L185" s="3">
        <v>178.5</v>
      </c>
      <c r="M185" s="3"/>
      <c r="N185" s="3">
        <v>144</v>
      </c>
      <c r="O185" s="3">
        <v>144</v>
      </c>
      <c r="P185" s="3"/>
      <c r="Q185" s="3">
        <v>59.8</v>
      </c>
      <c r="R185" s="3"/>
      <c r="S185" s="3"/>
      <c r="T185" s="42">
        <v>178.4</v>
      </c>
      <c r="U185" s="42">
        <f>AVERAGE(paper3[[#This Row],[Sittende høyde 1]:[Sittende høyde 3]])-56.2</f>
        <v>87.8</v>
      </c>
      <c r="V185" s="12">
        <f>paper3[[#This Row],[height]]-paper3[[#This Row],[sittingheight]]</f>
        <v>90.600000000000009</v>
      </c>
      <c r="W185" s="73">
        <v>59.8</v>
      </c>
      <c r="X185" s="43" cm="1">
        <f t="array" ref="X185">INDEX([1]!phvny[yphv], MATCH(1, (paper3[[#This Row],[id]]=[1]!phvny[id])*(paper3[[#This Row],[time]]=[1]!phvny[time]), 0))</f>
        <v>0.73134053298854018</v>
      </c>
      <c r="Y185" s="3">
        <v>1.98</v>
      </c>
      <c r="Z185" s="3">
        <v>3.42</v>
      </c>
      <c r="AA185" s="3">
        <v>4.78</v>
      </c>
      <c r="AB185" s="3">
        <v>1.9</v>
      </c>
      <c r="AC185" s="3">
        <v>3.32</v>
      </c>
      <c r="AD185" s="3">
        <v>4.67</v>
      </c>
      <c r="AE185" s="3">
        <v>1.91</v>
      </c>
      <c r="AF185" s="3">
        <v>3.36</v>
      </c>
      <c r="AG185" s="3">
        <v>4.76</v>
      </c>
      <c r="AH185" s="44">
        <v>1.9</v>
      </c>
      <c r="AI185" s="44">
        <v>3.32</v>
      </c>
      <c r="AJ185" s="44">
        <v>4.67</v>
      </c>
      <c r="AK185" s="45">
        <v>7.4074074074074066</v>
      </c>
      <c r="AL185" s="3">
        <v>11.01</v>
      </c>
      <c r="AM185" s="3"/>
      <c r="AN185" s="3"/>
      <c r="AO185" s="3">
        <v>10.67</v>
      </c>
      <c r="AP185" s="3">
        <v>10.67</v>
      </c>
      <c r="AQ185" s="47">
        <v>11.01</v>
      </c>
      <c r="AR185" s="47">
        <v>10.67</v>
      </c>
      <c r="AS185" s="3">
        <v>30.54</v>
      </c>
      <c r="AT185" s="3">
        <v>29.69</v>
      </c>
      <c r="AU185" s="3">
        <v>28.96</v>
      </c>
      <c r="AV185" s="3"/>
      <c r="AW185" s="3"/>
      <c r="AX185" s="48">
        <v>30.54</v>
      </c>
      <c r="AY185" s="3"/>
      <c r="AZ185" s="3"/>
      <c r="BA185" s="3"/>
      <c r="BB185" s="3">
        <v>8</v>
      </c>
      <c r="BC185" s="3">
        <v>235</v>
      </c>
      <c r="BD185" s="40">
        <v>1046.5890619461768</v>
      </c>
      <c r="BE185" s="40">
        <v>978.21285535799848</v>
      </c>
      <c r="BF185" s="40"/>
      <c r="BG185" s="40">
        <v>487.77750585912531</v>
      </c>
      <c r="BH185" s="40">
        <v>444.34288431428007</v>
      </c>
      <c r="BI185" s="49">
        <v>2024.8019173041753</v>
      </c>
      <c r="BJ185" s="49">
        <v>932.12039017340544</v>
      </c>
      <c r="BK185" s="66">
        <v>6.989910857709436E-2</v>
      </c>
      <c r="BL185" s="66">
        <v>9.7750235410823727E-2</v>
      </c>
      <c r="BM185" s="51">
        <v>33.859563834517985</v>
      </c>
      <c r="BN185" s="51">
        <v>15.587297494538554</v>
      </c>
      <c r="BO185" s="52">
        <v>235</v>
      </c>
      <c r="BP185" s="40">
        <v>235</v>
      </c>
      <c r="BQ185" s="40">
        <v>211</v>
      </c>
      <c r="BR185" s="67">
        <v>0.11374407582938395</v>
      </c>
      <c r="BS185" s="54">
        <v>3.7290969899665551</v>
      </c>
      <c r="BT185" s="3">
        <v>117</v>
      </c>
      <c r="BU185" s="40">
        <v>124</v>
      </c>
      <c r="BV185" s="3">
        <v>124</v>
      </c>
      <c r="BW185" s="3">
        <v>115</v>
      </c>
      <c r="BX185" s="70">
        <v>-5.6451612903225756E-2</v>
      </c>
      <c r="BY185" s="70">
        <v>7.8260869565217384E-2</v>
      </c>
      <c r="BZ185" s="59">
        <v>1.0782608695652174</v>
      </c>
      <c r="CA185" s="59">
        <v>0.94354838709677424</v>
      </c>
      <c r="CB185" s="59">
        <v>1.825635451505017</v>
      </c>
      <c r="CC185" s="59">
        <v>1.8104849498327762</v>
      </c>
      <c r="CD185" s="60">
        <v>101</v>
      </c>
      <c r="CE185" s="60">
        <v>98</v>
      </c>
      <c r="CF185" s="61">
        <v>1.6889632107023411</v>
      </c>
      <c r="CG185" s="61">
        <v>1.6387959866220736</v>
      </c>
      <c r="CH185" s="61">
        <v>0.97029702970297027</v>
      </c>
      <c r="CI185" s="41">
        <v>14.8</v>
      </c>
      <c r="CJ185" s="40">
        <f>VLOOKUP(paper3[[#This Row],[YYIR nivå]],$DB:$DC,2)</f>
        <v>760</v>
      </c>
      <c r="CK185" s="3"/>
      <c r="CL185" s="62"/>
      <c r="CM185" s="63" t="s">
        <v>110</v>
      </c>
      <c r="CN185" s="3">
        <v>124</v>
      </c>
      <c r="CO185" s="3">
        <v>124</v>
      </c>
      <c r="CP185" s="41">
        <v>14.588888888888889</v>
      </c>
      <c r="CQ185" s="3" t="s">
        <v>110</v>
      </c>
      <c r="CR185" s="40">
        <v>120.5</v>
      </c>
      <c r="CS185" s="40">
        <v>119.5</v>
      </c>
      <c r="CT185" s="40">
        <v>223</v>
      </c>
      <c r="CU185" s="40"/>
      <c r="CV185" s="40"/>
      <c r="CW185" s="40"/>
      <c r="CX185" s="40"/>
      <c r="CY185" s="40">
        <v>0</v>
      </c>
      <c r="CZ185" s="40"/>
      <c r="DA185" s="40"/>
    </row>
    <row r="186" spans="1:105" ht="15.95" customHeight="1">
      <c r="A186" s="3">
        <v>445</v>
      </c>
      <c r="B186" s="38" t="s">
        <v>103</v>
      </c>
      <c r="C186" s="3" t="s">
        <v>115</v>
      </c>
      <c r="D186" s="3" t="s">
        <v>105</v>
      </c>
      <c r="E186" s="39">
        <v>44637</v>
      </c>
      <c r="F186" s="3" t="s">
        <v>186</v>
      </c>
      <c r="G186" s="3" t="s">
        <v>122</v>
      </c>
      <c r="H186" s="3">
        <v>2007</v>
      </c>
      <c r="I186" s="40" t="s">
        <v>116</v>
      </c>
      <c r="J186" s="39" t="s">
        <v>157</v>
      </c>
      <c r="K186" s="3">
        <v>177.9</v>
      </c>
      <c r="L186" s="3">
        <v>178</v>
      </c>
      <c r="M186" s="3"/>
      <c r="N186" s="3">
        <v>146.9</v>
      </c>
      <c r="O186" s="3">
        <v>146.9</v>
      </c>
      <c r="P186" s="3"/>
      <c r="Q186" s="3">
        <v>66.5</v>
      </c>
      <c r="R186" s="3"/>
      <c r="S186" s="3"/>
      <c r="T186" s="42">
        <v>177.95</v>
      </c>
      <c r="U186" s="42">
        <f>AVERAGE(paper3[[#This Row],[Sittende høyde 1]:[Sittende høyde 3]])-56.2</f>
        <v>90.7</v>
      </c>
      <c r="V186" s="12">
        <f>paper3[[#This Row],[height]]-paper3[[#This Row],[sittingheight]]</f>
        <v>87.249999999999986</v>
      </c>
      <c r="W186" s="73">
        <v>66.5</v>
      </c>
      <c r="X186" s="43" cm="1">
        <f t="array" ref="X186">INDEX([1]!phvny[yphv], MATCH(1, (paper3[[#This Row],[id]]=[1]!phvny[id])*(paper3[[#This Row],[time]]=[1]!phvny[time]), 0))</f>
        <v>1.0775729160519101</v>
      </c>
      <c r="Y186" s="3">
        <v>1.89</v>
      </c>
      <c r="Z186" s="3">
        <v>3.25</v>
      </c>
      <c r="AA186" s="3"/>
      <c r="AB186" s="3">
        <v>1.92</v>
      </c>
      <c r="AC186" s="3">
        <v>3.29</v>
      </c>
      <c r="AD186" s="3">
        <v>4.57</v>
      </c>
      <c r="AE186" s="3">
        <v>1.92</v>
      </c>
      <c r="AF186" s="3">
        <v>3.32</v>
      </c>
      <c r="AG186" s="3">
        <v>4.6500000000000004</v>
      </c>
      <c r="AH186" s="44">
        <v>1.89</v>
      </c>
      <c r="AI186" s="44">
        <v>3.25</v>
      </c>
      <c r="AJ186" s="44">
        <v>4.57</v>
      </c>
      <c r="AK186" s="45">
        <v>7.5757575757575744</v>
      </c>
      <c r="AL186" s="3">
        <v>10.51</v>
      </c>
      <c r="AM186" s="3">
        <v>10.63</v>
      </c>
      <c r="AN186" s="3">
        <v>10.89</v>
      </c>
      <c r="AO186" s="3">
        <v>10.67</v>
      </c>
      <c r="AP186" s="3">
        <v>10.51</v>
      </c>
      <c r="AQ186" s="47">
        <v>10.51</v>
      </c>
      <c r="AR186" s="47">
        <v>10.67</v>
      </c>
      <c r="AS186" s="3">
        <v>31.4</v>
      </c>
      <c r="AT186" s="3">
        <v>34.090000000000003</v>
      </c>
      <c r="AU186" s="3">
        <v>32.57</v>
      </c>
      <c r="AV186" s="3"/>
      <c r="AW186" s="3"/>
      <c r="AX186" s="48">
        <v>34.090000000000003</v>
      </c>
      <c r="AY186" s="3"/>
      <c r="AZ186" s="3"/>
      <c r="BA186" s="3"/>
      <c r="BB186" s="3">
        <v>9</v>
      </c>
      <c r="BC186" s="3">
        <v>279</v>
      </c>
      <c r="BD186" s="40">
        <v>1044.2155493727078</v>
      </c>
      <c r="BE186" s="40">
        <v>1069.235974372559</v>
      </c>
      <c r="BF186" s="40"/>
      <c r="BG186" s="40">
        <v>451.78433790378722</v>
      </c>
      <c r="BH186" s="40">
        <v>480.17576558766575</v>
      </c>
      <c r="BI186" s="49">
        <v>2113.451523745267</v>
      </c>
      <c r="BJ186" s="49">
        <v>931.96010349145297</v>
      </c>
      <c r="BK186" s="66">
        <v>-2.3400283566528457E-2</v>
      </c>
      <c r="BL186" s="66">
        <v>-5.9127156592610475E-2</v>
      </c>
      <c r="BM186" s="51">
        <v>31.781225920981459</v>
      </c>
      <c r="BN186" s="51">
        <v>14.014437646488014</v>
      </c>
      <c r="BO186" s="52">
        <v>328</v>
      </c>
      <c r="BP186" s="40">
        <v>300</v>
      </c>
      <c r="BQ186" s="40">
        <v>328</v>
      </c>
      <c r="BR186" s="67">
        <v>-8.536585365853655E-2</v>
      </c>
      <c r="BS186" s="54">
        <v>4.7218045112781954</v>
      </c>
      <c r="BT186" s="3">
        <v>121</v>
      </c>
      <c r="BU186" s="40">
        <v>111</v>
      </c>
      <c r="BV186" s="3">
        <v>114</v>
      </c>
      <c r="BW186" s="3">
        <v>109</v>
      </c>
      <c r="BX186" s="70">
        <v>9.0090090090090058E-2</v>
      </c>
      <c r="BY186" s="70">
        <v>4.587155963302747E-2</v>
      </c>
      <c r="BZ186" s="59">
        <v>1.0183486238532109</v>
      </c>
      <c r="CA186" s="59">
        <v>1.0614035087719298</v>
      </c>
      <c r="CB186" s="59">
        <v>1.5219548872180448</v>
      </c>
      <c r="CC186" s="59">
        <v>1.4629135338345862</v>
      </c>
      <c r="CD186" s="60">
        <v>120</v>
      </c>
      <c r="CE186" s="60">
        <v>94</v>
      </c>
      <c r="CF186" s="61">
        <v>1.8045112781954886</v>
      </c>
      <c r="CG186" s="61">
        <v>1.4135338345864661</v>
      </c>
      <c r="CH186" s="61">
        <v>0.78333333333333333</v>
      </c>
      <c r="CI186" s="41">
        <v>15.1</v>
      </c>
      <c r="CJ186" s="40">
        <f>VLOOKUP(paper3[[#This Row],[YYIR nivå]],$DB:$DC,2)</f>
        <v>800</v>
      </c>
      <c r="CK186" s="3"/>
      <c r="CL186" s="62"/>
      <c r="CM186" s="63" t="s">
        <v>110</v>
      </c>
      <c r="CN186" s="3">
        <v>121</v>
      </c>
      <c r="CO186" s="3">
        <v>114</v>
      </c>
      <c r="CP186" s="41">
        <v>14.358333333333333</v>
      </c>
      <c r="CQ186" s="3" t="s">
        <v>110</v>
      </c>
      <c r="CR186" s="40">
        <v>116</v>
      </c>
      <c r="CS186" s="40">
        <v>111.5</v>
      </c>
      <c r="CT186" s="40">
        <v>314</v>
      </c>
      <c r="CU186" s="40"/>
      <c r="CV186" s="40"/>
      <c r="CW186" s="40"/>
      <c r="CX186" s="40"/>
      <c r="CY186" s="40">
        <v>0</v>
      </c>
      <c r="CZ186" s="40"/>
      <c r="DA186" s="40"/>
    </row>
    <row r="187" spans="1:105" ht="15.95" customHeight="1">
      <c r="A187" s="3">
        <v>447</v>
      </c>
      <c r="B187" s="38" t="s">
        <v>103</v>
      </c>
      <c r="C187" s="3" t="s">
        <v>115</v>
      </c>
      <c r="D187" s="3" t="s">
        <v>105</v>
      </c>
      <c r="E187" s="39">
        <v>44641</v>
      </c>
      <c r="F187" s="3" t="s">
        <v>186</v>
      </c>
      <c r="G187" s="3" t="s">
        <v>107</v>
      </c>
      <c r="H187" s="3">
        <v>2009</v>
      </c>
      <c r="I187" s="40" t="s">
        <v>108</v>
      </c>
      <c r="J187" s="39" t="s">
        <v>109</v>
      </c>
      <c r="K187" s="3">
        <v>158.4</v>
      </c>
      <c r="L187" s="3">
        <v>158.4</v>
      </c>
      <c r="M187" s="3"/>
      <c r="N187" s="3">
        <v>137.69999999999999</v>
      </c>
      <c r="O187" s="3">
        <v>137.80000000000001</v>
      </c>
      <c r="P187" s="3"/>
      <c r="Q187" s="3">
        <v>48.6</v>
      </c>
      <c r="R187" s="3">
        <v>48.6</v>
      </c>
      <c r="S187" s="3"/>
      <c r="T187" s="42">
        <v>158.4</v>
      </c>
      <c r="U187" s="42">
        <f>AVERAGE(paper3[[#This Row],[Sittende høyde 1]:[Sittende høyde 3]])-56.2</f>
        <v>81.55</v>
      </c>
      <c r="V187" s="12">
        <f>paper3[[#This Row],[height]]-paper3[[#This Row],[sittingheight]]</f>
        <v>76.850000000000009</v>
      </c>
      <c r="W187" s="73">
        <v>48.6</v>
      </c>
      <c r="X187" s="43" cm="1">
        <f t="array" ref="X187">INDEX([1]!phvny[yphv], MATCH(1, (paper3[[#This Row],[id]]=[1]!phvny[id])*(paper3[[#This Row],[time]]=[1]!phvny[time]), 0))</f>
        <v>0.73278372997727148</v>
      </c>
      <c r="Y187" s="3">
        <v>2.1800000000000002</v>
      </c>
      <c r="Z187" s="3">
        <v>3.83</v>
      </c>
      <c r="AA187" s="3">
        <v>5.44</v>
      </c>
      <c r="AB187" s="3">
        <v>2.23</v>
      </c>
      <c r="AC187" s="3">
        <v>3.91</v>
      </c>
      <c r="AD187" s="3">
        <v>5.56</v>
      </c>
      <c r="AE187" s="60">
        <v>2.2400000000000002</v>
      </c>
      <c r="AF187" s="60">
        <v>3.86</v>
      </c>
      <c r="AG187" s="60">
        <v>5.48</v>
      </c>
      <c r="AH187" s="44">
        <v>2.1800000000000002</v>
      </c>
      <c r="AI187" s="44">
        <v>3.83</v>
      </c>
      <c r="AJ187" s="44">
        <v>5.44</v>
      </c>
      <c r="AK187" s="45">
        <v>6.2111801242236009</v>
      </c>
      <c r="AL187" s="3">
        <v>12.19</v>
      </c>
      <c r="AM187" s="3">
        <v>11.51</v>
      </c>
      <c r="AN187" s="3">
        <v>11.91</v>
      </c>
      <c r="AO187" s="3">
        <v>11.4</v>
      </c>
      <c r="AP187" s="3">
        <v>11.4</v>
      </c>
      <c r="AQ187" s="47">
        <v>11.51</v>
      </c>
      <c r="AR187" s="47">
        <v>11.4</v>
      </c>
      <c r="AS187" s="46"/>
      <c r="AT187" s="3">
        <v>26.47</v>
      </c>
      <c r="AU187" s="3">
        <v>25.71</v>
      </c>
      <c r="AV187" s="3"/>
      <c r="AW187" s="3"/>
      <c r="AX187" s="48">
        <v>26.47</v>
      </c>
      <c r="AY187" s="3"/>
      <c r="AZ187" s="3">
        <v>8</v>
      </c>
      <c r="BA187" s="3">
        <v>180</v>
      </c>
      <c r="BB187" s="3">
        <v>7</v>
      </c>
      <c r="BC187" s="3">
        <v>147</v>
      </c>
      <c r="BD187" s="40">
        <v>651.16727767027851</v>
      </c>
      <c r="BE187" s="40">
        <v>638.19212027878234</v>
      </c>
      <c r="BF187" s="40"/>
      <c r="BG187" s="40">
        <v>321.19209403266336</v>
      </c>
      <c r="BH187" s="40">
        <v>335.86792750169894</v>
      </c>
      <c r="BI187" s="49">
        <v>1289.3593979490608</v>
      </c>
      <c r="BJ187" s="49">
        <v>657.06002153436225</v>
      </c>
      <c r="BK187" s="66">
        <v>2.033111500315643E-2</v>
      </c>
      <c r="BL187" s="66">
        <v>-4.3695251220321807E-2</v>
      </c>
      <c r="BM187" s="51">
        <v>26.530028764383967</v>
      </c>
      <c r="BN187" s="51">
        <v>13.519753529513626</v>
      </c>
      <c r="BO187" s="52">
        <v>250</v>
      </c>
      <c r="BP187" s="40">
        <v>250</v>
      </c>
      <c r="BQ187" s="40">
        <v>230</v>
      </c>
      <c r="BR187" s="67">
        <v>8.6956521739130377E-2</v>
      </c>
      <c r="BS187" s="54">
        <v>4.9382716049382713</v>
      </c>
      <c r="BT187" s="3">
        <v>73</v>
      </c>
      <c r="BU187" s="40">
        <v>86</v>
      </c>
      <c r="BV187" s="3">
        <v>84</v>
      </c>
      <c r="BW187" s="3">
        <v>73</v>
      </c>
      <c r="BX187" s="70">
        <v>-0.15116279069767447</v>
      </c>
      <c r="BY187" s="70">
        <v>0.15068493150684925</v>
      </c>
      <c r="BZ187" s="59">
        <v>1.178082191780822</v>
      </c>
      <c r="CA187" s="59">
        <v>0.86904761904761907</v>
      </c>
      <c r="CB187" s="59">
        <v>1.2571141975308642</v>
      </c>
      <c r="CC187" s="59">
        <v>1.2413014403292182</v>
      </c>
      <c r="CD187" s="60">
        <v>78</v>
      </c>
      <c r="CE187" s="60">
        <v>74</v>
      </c>
      <c r="CF187" s="61">
        <v>1.6049382716049383</v>
      </c>
      <c r="CG187" s="61">
        <v>1.522633744855967</v>
      </c>
      <c r="CH187" s="61">
        <v>0.94871794871794868</v>
      </c>
      <c r="CI187" s="41">
        <v>13.4</v>
      </c>
      <c r="CJ187" s="40">
        <f>VLOOKUP(paper3[[#This Row],[YYIR nivå]],$DB:$DC,2)</f>
        <v>440</v>
      </c>
      <c r="CK187" s="3" t="s">
        <v>190</v>
      </c>
      <c r="CL187" s="62"/>
      <c r="CM187" s="63" t="s">
        <v>110</v>
      </c>
      <c r="CN187" s="3">
        <v>86</v>
      </c>
      <c r="CO187" s="3">
        <v>84</v>
      </c>
      <c r="CP187" s="41">
        <v>12.725</v>
      </c>
      <c r="CQ187" s="3" t="s">
        <v>110</v>
      </c>
      <c r="CR187" s="40">
        <v>79.5</v>
      </c>
      <c r="CS187" s="40">
        <v>78.5</v>
      </c>
      <c r="CT187" s="40">
        <v>240</v>
      </c>
      <c r="CU187" s="40"/>
      <c r="CV187" s="40"/>
      <c r="CW187" s="40"/>
      <c r="CX187" s="40"/>
      <c r="CY187" s="40">
        <v>0</v>
      </c>
      <c r="CZ187" s="40"/>
      <c r="DA187" s="40"/>
    </row>
    <row r="188" spans="1:105" ht="15.95" customHeight="1">
      <c r="A188" s="3">
        <v>448</v>
      </c>
      <c r="B188" s="38" t="s">
        <v>103</v>
      </c>
      <c r="C188" s="3" t="s">
        <v>115</v>
      </c>
      <c r="D188" s="3" t="s">
        <v>105</v>
      </c>
      <c r="E188" s="39">
        <v>44641</v>
      </c>
      <c r="F188" s="3" t="s">
        <v>186</v>
      </c>
      <c r="G188" s="3" t="s">
        <v>107</v>
      </c>
      <c r="H188" s="3">
        <v>2009</v>
      </c>
      <c r="I188" s="40" t="s">
        <v>108</v>
      </c>
      <c r="J188" s="39" t="s">
        <v>109</v>
      </c>
      <c r="K188" s="3">
        <v>156.6</v>
      </c>
      <c r="L188" s="3">
        <v>156.6</v>
      </c>
      <c r="M188" s="3"/>
      <c r="N188" s="3">
        <v>140.5</v>
      </c>
      <c r="O188" s="3">
        <v>140.1</v>
      </c>
      <c r="P188" s="3">
        <v>140</v>
      </c>
      <c r="Q188" s="3">
        <v>60.4</v>
      </c>
      <c r="R188" s="3">
        <v>60.5</v>
      </c>
      <c r="S188" s="3"/>
      <c r="T188" s="42">
        <v>156.6</v>
      </c>
      <c r="U188" s="42">
        <f>AVERAGE(paper3[[#This Row],[Sittende høyde 1]:[Sittende høyde 3]])-56.2</f>
        <v>84.000000000000014</v>
      </c>
      <c r="V188" s="12">
        <f>paper3[[#This Row],[height]]-paper3[[#This Row],[sittingheight]]</f>
        <v>72.59999999999998</v>
      </c>
      <c r="W188" s="73">
        <v>60.45</v>
      </c>
      <c r="X188" s="43" cm="1">
        <f t="array" ref="X188">INDEX([1]!phvny[yphv], MATCH(1, (paper3[[#This Row],[id]]=[1]!phvny[id])*(paper3[[#This Row],[time]]=[1]!phvny[time]), 0))</f>
        <v>1.190252374549809</v>
      </c>
      <c r="Y188" s="3">
        <v>2.3199999999999998</v>
      </c>
      <c r="Z188" s="3">
        <v>4.0599999999999996</v>
      </c>
      <c r="AA188" s="60">
        <v>6</v>
      </c>
      <c r="AB188" s="3">
        <v>2.29</v>
      </c>
      <c r="AC188" s="3">
        <v>3.99</v>
      </c>
      <c r="AD188" s="3">
        <v>5.84</v>
      </c>
      <c r="AE188" s="60">
        <v>2.2799999999999998</v>
      </c>
      <c r="AF188" s="60">
        <v>4</v>
      </c>
      <c r="AG188" s="60">
        <v>5.75</v>
      </c>
      <c r="AH188" s="44">
        <v>2.2799999999999998</v>
      </c>
      <c r="AI188" s="44">
        <v>3.99</v>
      </c>
      <c r="AJ188" s="44">
        <v>5.75</v>
      </c>
      <c r="AK188" s="45">
        <v>5.6818181818181825</v>
      </c>
      <c r="AL188" s="3">
        <v>12.91</v>
      </c>
      <c r="AM188" s="3">
        <v>12.68</v>
      </c>
      <c r="AN188" s="3"/>
      <c r="AO188" s="3">
        <v>12.83</v>
      </c>
      <c r="AP188" s="3">
        <v>12.68</v>
      </c>
      <c r="AQ188" s="47">
        <v>12.68</v>
      </c>
      <c r="AR188" s="47">
        <v>12.83</v>
      </c>
      <c r="AS188" s="3">
        <v>21.8</v>
      </c>
      <c r="AT188" s="3">
        <v>25.56</v>
      </c>
      <c r="AU188" s="3">
        <v>23.02</v>
      </c>
      <c r="AV188" s="3"/>
      <c r="AW188" s="3"/>
      <c r="AX188" s="48">
        <v>25.56</v>
      </c>
      <c r="AY188" s="3"/>
      <c r="AZ188" s="3">
        <v>7</v>
      </c>
      <c r="BA188" s="3">
        <v>160</v>
      </c>
      <c r="BB188" s="3">
        <v>10</v>
      </c>
      <c r="BC188" s="3">
        <v>174</v>
      </c>
      <c r="BD188" s="40">
        <v>834.77319288680496</v>
      </c>
      <c r="BE188" s="40">
        <v>967.58477452468151</v>
      </c>
      <c r="BF188" s="40"/>
      <c r="BG188" s="40">
        <v>301.15357353821196</v>
      </c>
      <c r="BH188" s="40">
        <v>314.35940606395081</v>
      </c>
      <c r="BI188" s="49">
        <v>1802.3579674114865</v>
      </c>
      <c r="BJ188" s="49">
        <v>615.51297960216277</v>
      </c>
      <c r="BK188" s="66">
        <v>-0.1372609254864714</v>
      </c>
      <c r="BL188" s="66">
        <v>-4.2008708093348335E-2</v>
      </c>
      <c r="BM188" s="51">
        <v>29.840363698865669</v>
      </c>
      <c r="BN188" s="51">
        <v>10.19061224506892</v>
      </c>
      <c r="BO188" s="52">
        <v>186</v>
      </c>
      <c r="BP188" s="40">
        <v>168</v>
      </c>
      <c r="BQ188" s="40">
        <v>186</v>
      </c>
      <c r="BR188" s="67">
        <v>-9.6774193548387122E-2</v>
      </c>
      <c r="BS188" s="54">
        <v>2.9280397022332503</v>
      </c>
      <c r="BT188" s="3">
        <v>67</v>
      </c>
      <c r="BU188" s="40">
        <v>63</v>
      </c>
      <c r="BV188" s="3">
        <v>90</v>
      </c>
      <c r="BW188" s="3">
        <v>79</v>
      </c>
      <c r="BX188" s="70">
        <v>6.3492063492063489E-2</v>
      </c>
      <c r="BY188" s="70">
        <v>0.139240506329114</v>
      </c>
      <c r="BZ188" s="59">
        <v>0.79746835443037978</v>
      </c>
      <c r="CA188" s="59">
        <v>0.74444444444444446</v>
      </c>
      <c r="CB188" s="59">
        <v>0.78064516129032224</v>
      </c>
      <c r="CC188" s="59">
        <v>1.014838709677419</v>
      </c>
      <c r="CD188" s="60">
        <v>72</v>
      </c>
      <c r="CE188" s="60">
        <v>63</v>
      </c>
      <c r="CF188" s="61">
        <v>1.1910669975186103</v>
      </c>
      <c r="CG188" s="61">
        <v>1.042183622828784</v>
      </c>
      <c r="CH188" s="61">
        <v>0.87499999999999989</v>
      </c>
      <c r="CI188" s="41">
        <v>13.3</v>
      </c>
      <c r="CJ188" s="40">
        <f>VLOOKUP(paper3[[#This Row],[YYIR nivå]],$DB:$DC,2)</f>
        <v>400</v>
      </c>
      <c r="CK188" s="3" t="s">
        <v>190</v>
      </c>
      <c r="CL188" s="62"/>
      <c r="CM188" s="63" t="s">
        <v>110</v>
      </c>
      <c r="CN188" s="3">
        <v>67</v>
      </c>
      <c r="CO188" s="3">
        <v>90</v>
      </c>
      <c r="CP188" s="41">
        <v>13.169444444444444</v>
      </c>
      <c r="CQ188" s="3" t="s">
        <v>110</v>
      </c>
      <c r="CR188" s="40">
        <v>65</v>
      </c>
      <c r="CS188" s="40">
        <v>84.5</v>
      </c>
      <c r="CT188" s="40">
        <v>177</v>
      </c>
      <c r="CU188" s="40"/>
      <c r="CV188" s="40"/>
      <c r="CW188" s="40"/>
      <c r="CX188" s="40"/>
      <c r="CY188" s="40">
        <v>0</v>
      </c>
      <c r="CZ188" s="40"/>
      <c r="DA188" s="40"/>
    </row>
    <row r="189" spans="1:105" ht="15.95" customHeight="1">
      <c r="A189" s="3">
        <v>449</v>
      </c>
      <c r="B189" s="38" t="s">
        <v>103</v>
      </c>
      <c r="C189" s="3" t="s">
        <v>115</v>
      </c>
      <c r="D189" s="3" t="s">
        <v>105</v>
      </c>
      <c r="E189" s="39">
        <v>44641</v>
      </c>
      <c r="F189" s="3" t="s">
        <v>186</v>
      </c>
      <c r="G189" s="3" t="s">
        <v>107</v>
      </c>
      <c r="H189" s="3">
        <v>2009</v>
      </c>
      <c r="I189" s="40" t="s">
        <v>108</v>
      </c>
      <c r="J189" s="39" t="s">
        <v>109</v>
      </c>
      <c r="K189" s="3">
        <v>157</v>
      </c>
      <c r="L189" s="3">
        <v>157.1</v>
      </c>
      <c r="M189" s="3"/>
      <c r="N189" s="3">
        <v>135</v>
      </c>
      <c r="O189" s="3">
        <v>135</v>
      </c>
      <c r="P189" s="3"/>
      <c r="Q189" s="3">
        <v>41.9</v>
      </c>
      <c r="R189" s="3">
        <v>41.9</v>
      </c>
      <c r="S189" s="3"/>
      <c r="T189" s="42">
        <v>157.05000000000001</v>
      </c>
      <c r="U189" s="42">
        <f>AVERAGE(paper3[[#This Row],[Sittende høyde 1]:[Sittende høyde 3]])-56.2</f>
        <v>78.8</v>
      </c>
      <c r="V189" s="12">
        <f>paper3[[#This Row],[height]]-paper3[[#This Row],[sittingheight]]</f>
        <v>78.250000000000014</v>
      </c>
      <c r="W189" s="73">
        <v>41.9</v>
      </c>
      <c r="X189" s="43" cm="1">
        <f t="array" ref="X189">INDEX([1]!phvny[yphv], MATCH(1, (paper3[[#This Row],[id]]=[1]!phvny[id])*(paper3[[#This Row],[time]]=[1]!phvny[time]), 0))</f>
        <v>0.43253855299745392</v>
      </c>
      <c r="Y189" s="3">
        <v>2.2200000000000002</v>
      </c>
      <c r="Z189" s="3">
        <v>3.86</v>
      </c>
      <c r="AA189" s="60">
        <v>5.5</v>
      </c>
      <c r="AB189" s="3">
        <v>2.29</v>
      </c>
      <c r="AC189" s="3">
        <v>4.0599999999999996</v>
      </c>
      <c r="AD189" s="3">
        <v>5.81</v>
      </c>
      <c r="AE189" s="60">
        <v>2.2799999999999998</v>
      </c>
      <c r="AF189" s="60">
        <v>3.96</v>
      </c>
      <c r="AG189" s="60">
        <v>5.7</v>
      </c>
      <c r="AH189" s="44">
        <v>2.2200000000000002</v>
      </c>
      <c r="AI189" s="44">
        <v>3.86</v>
      </c>
      <c r="AJ189" s="44">
        <v>5.5</v>
      </c>
      <c r="AK189" s="45">
        <v>6.0975609756097553</v>
      </c>
      <c r="AL189" s="3">
        <v>12.29</v>
      </c>
      <c r="AM189" s="3">
        <v>12.28</v>
      </c>
      <c r="AN189" s="3">
        <v>12.45</v>
      </c>
      <c r="AO189" s="3">
        <v>12.56</v>
      </c>
      <c r="AP189" s="3">
        <v>12.28</v>
      </c>
      <c r="AQ189" s="47">
        <v>12.28</v>
      </c>
      <c r="AR189" s="47">
        <v>12.45</v>
      </c>
      <c r="AS189" s="3">
        <v>20.260000000000002</v>
      </c>
      <c r="AT189" s="3">
        <v>23.41</v>
      </c>
      <c r="AU189" s="3">
        <v>19.77</v>
      </c>
      <c r="AV189" s="3"/>
      <c r="AW189" s="3"/>
      <c r="AX189" s="48">
        <v>23.41</v>
      </c>
      <c r="AY189" s="3"/>
      <c r="AZ189" s="3">
        <v>8</v>
      </c>
      <c r="BA189" s="3">
        <v>160</v>
      </c>
      <c r="BB189" s="3">
        <v>7</v>
      </c>
      <c r="BC189" s="3">
        <v>131</v>
      </c>
      <c r="BD189" s="40">
        <v>517.27529845079653</v>
      </c>
      <c r="BE189" s="40">
        <v>529.86053325730222</v>
      </c>
      <c r="BF189" s="40"/>
      <c r="BG189" s="40">
        <v>275.21999280343539</v>
      </c>
      <c r="BH189" s="40">
        <v>264.87521391752591</v>
      </c>
      <c r="BI189" s="49">
        <v>1047.1358317080987</v>
      </c>
      <c r="BJ189" s="49">
        <v>540.0952067209613</v>
      </c>
      <c r="BK189" s="66">
        <v>-2.3751976258994612E-2</v>
      </c>
      <c r="BL189" s="66">
        <v>3.9055292237085482E-2</v>
      </c>
      <c r="BM189" s="51">
        <v>24.991308632651521</v>
      </c>
      <c r="BN189" s="51">
        <v>12.89010039906829</v>
      </c>
      <c r="BO189" s="52">
        <v>174</v>
      </c>
      <c r="BP189" s="40">
        <v>172</v>
      </c>
      <c r="BQ189" s="40">
        <v>174</v>
      </c>
      <c r="BR189" s="67">
        <v>-1.1494252873563204E-2</v>
      </c>
      <c r="BS189" s="54">
        <v>4.1288782816229119</v>
      </c>
      <c r="BT189" s="3">
        <v>98</v>
      </c>
      <c r="BU189" s="40">
        <v>101</v>
      </c>
      <c r="BV189" s="3">
        <v>98</v>
      </c>
      <c r="BW189" s="3">
        <v>74</v>
      </c>
      <c r="BX189" s="70">
        <v>-2.9702970297029729E-2</v>
      </c>
      <c r="BY189" s="70">
        <v>0.32432432432432434</v>
      </c>
      <c r="BZ189" s="59">
        <v>1.3648648648648649</v>
      </c>
      <c r="CA189" s="59">
        <v>1</v>
      </c>
      <c r="CB189" s="59">
        <v>1.8582040572792367</v>
      </c>
      <c r="CC189" s="59">
        <v>1.6060859188544157</v>
      </c>
      <c r="CD189" s="60">
        <v>65</v>
      </c>
      <c r="CE189" s="60">
        <v>53</v>
      </c>
      <c r="CF189" s="61">
        <v>1.5513126491646778</v>
      </c>
      <c r="CG189" s="61">
        <v>1.2649164677804297</v>
      </c>
      <c r="CH189" s="61">
        <v>0.81538461538461537</v>
      </c>
      <c r="CI189" s="41">
        <v>13.4</v>
      </c>
      <c r="CJ189" s="40">
        <f>VLOOKUP(paper3[[#This Row],[YYIR nivå]],$DB:$DC,2)</f>
        <v>440</v>
      </c>
      <c r="CK189" s="3" t="s">
        <v>190</v>
      </c>
      <c r="CL189" s="62"/>
      <c r="CM189" s="63" t="s">
        <v>110</v>
      </c>
      <c r="CN189" s="3">
        <v>101</v>
      </c>
      <c r="CO189" s="3">
        <v>98</v>
      </c>
      <c r="CP189" s="41">
        <v>12.658333333333333</v>
      </c>
      <c r="CQ189" s="3" t="s">
        <v>110</v>
      </c>
      <c r="CR189" s="40">
        <v>99.5</v>
      </c>
      <c r="CS189" s="40">
        <v>86</v>
      </c>
      <c r="CT189" s="40">
        <v>173</v>
      </c>
      <c r="CU189" s="40"/>
      <c r="CV189" s="40"/>
      <c r="CW189" s="40"/>
      <c r="CX189" s="40"/>
      <c r="CY189" s="40">
        <v>0</v>
      </c>
      <c r="CZ189" s="40"/>
      <c r="DA189" s="40"/>
    </row>
    <row r="190" spans="1:105" ht="15.95" customHeight="1">
      <c r="A190" s="3">
        <v>450</v>
      </c>
      <c r="B190" s="38" t="s">
        <v>103</v>
      </c>
      <c r="C190" s="3" t="s">
        <v>115</v>
      </c>
      <c r="D190" s="3" t="s">
        <v>105</v>
      </c>
      <c r="E190" s="39">
        <v>44641</v>
      </c>
      <c r="F190" s="3" t="s">
        <v>186</v>
      </c>
      <c r="G190" s="3" t="s">
        <v>107</v>
      </c>
      <c r="H190" s="3">
        <v>2009</v>
      </c>
      <c r="I190" s="40" t="s">
        <v>108</v>
      </c>
      <c r="J190" s="39" t="s">
        <v>109</v>
      </c>
      <c r="K190" s="3">
        <v>163.5</v>
      </c>
      <c r="L190" s="3">
        <v>163.5</v>
      </c>
      <c r="M190" s="3"/>
      <c r="N190" s="3">
        <v>138.6</v>
      </c>
      <c r="O190" s="3">
        <v>138.6</v>
      </c>
      <c r="P190" s="3"/>
      <c r="Q190" s="3">
        <v>42.8</v>
      </c>
      <c r="R190" s="3">
        <v>42.8</v>
      </c>
      <c r="S190" s="3"/>
      <c r="T190" s="42">
        <v>163.5</v>
      </c>
      <c r="U190" s="42">
        <f>AVERAGE(paper3[[#This Row],[Sittende høyde 1]:[Sittende høyde 3]])-56.2</f>
        <v>82.399999999999991</v>
      </c>
      <c r="V190" s="12">
        <f>paper3[[#This Row],[height]]-paper3[[#This Row],[sittingheight]]</f>
        <v>81.100000000000009</v>
      </c>
      <c r="W190" s="73">
        <v>42.8</v>
      </c>
      <c r="X190" s="43" cm="1">
        <f t="array" ref="X190">INDEX([1]!phvny[yphv], MATCH(1, (paper3[[#This Row],[id]]=[1]!phvny[id])*(paper3[[#This Row],[time]]=[1]!phvny[time]), 0))</f>
        <v>0.80639095778593273</v>
      </c>
      <c r="Y190" s="3">
        <v>2.15</v>
      </c>
      <c r="Z190" s="3">
        <v>3.81</v>
      </c>
      <c r="AA190" s="3">
        <v>5.63</v>
      </c>
      <c r="AB190" s="3">
        <v>2.1800000000000002</v>
      </c>
      <c r="AC190" s="3">
        <v>3.81</v>
      </c>
      <c r="AD190" s="3">
        <v>5.46</v>
      </c>
      <c r="AE190" s="60">
        <v>2.2200000000000002</v>
      </c>
      <c r="AF190" s="60">
        <v>3.9</v>
      </c>
      <c r="AG190" s="60">
        <v>5.61</v>
      </c>
      <c r="AH190" s="44">
        <v>2.15</v>
      </c>
      <c r="AI190" s="44">
        <v>3.81</v>
      </c>
      <c r="AJ190" s="44">
        <v>5.46</v>
      </c>
      <c r="AK190" s="45">
        <v>6.0606060606060606</v>
      </c>
      <c r="AL190" s="60">
        <v>11.3</v>
      </c>
      <c r="AM190" s="3">
        <v>11.32</v>
      </c>
      <c r="AN190" s="3">
        <v>11.83</v>
      </c>
      <c r="AO190" s="3">
        <v>12.13</v>
      </c>
      <c r="AP190" s="3">
        <v>11.3</v>
      </c>
      <c r="AQ190" s="47">
        <v>11.3</v>
      </c>
      <c r="AR190" s="47">
        <v>11.83</v>
      </c>
      <c r="AS190" s="3"/>
      <c r="AT190" s="3">
        <v>27.47</v>
      </c>
      <c r="AU190" s="3">
        <v>23.54</v>
      </c>
      <c r="AV190" s="3"/>
      <c r="AW190" s="3"/>
      <c r="AX190" s="48">
        <v>27.47</v>
      </c>
      <c r="AY190" s="3"/>
      <c r="AZ190" s="3">
        <v>9</v>
      </c>
      <c r="BA190" s="3">
        <v>160</v>
      </c>
      <c r="BB190" s="3">
        <v>9</v>
      </c>
      <c r="BC190" s="3">
        <v>159</v>
      </c>
      <c r="BD190" s="40">
        <v>595.99328305439747</v>
      </c>
      <c r="BE190" s="40">
        <v>607.6840327696226</v>
      </c>
      <c r="BF190" s="40"/>
      <c r="BG190" s="40">
        <v>236.97159390494161</v>
      </c>
      <c r="BH190" s="40">
        <v>249.80567620950123</v>
      </c>
      <c r="BI190" s="49">
        <v>1203.6773158240201</v>
      </c>
      <c r="BJ190" s="49">
        <v>486.77727011444284</v>
      </c>
      <c r="BK190" s="66">
        <v>-1.9238204535246051E-2</v>
      </c>
      <c r="BL190" s="66">
        <v>-5.1376263739484562E-2</v>
      </c>
      <c r="BM190" s="51">
        <v>28.123301771589254</v>
      </c>
      <c r="BN190" s="51">
        <v>11.373300703608479</v>
      </c>
      <c r="BO190" s="52">
        <v>229</v>
      </c>
      <c r="BP190" s="40">
        <v>229</v>
      </c>
      <c r="BQ190" s="40">
        <v>208</v>
      </c>
      <c r="BR190" s="67">
        <v>0.10096153846153855</v>
      </c>
      <c r="BS190" s="54">
        <v>5.1051401869158886</v>
      </c>
      <c r="BT190" s="3">
        <v>69</v>
      </c>
      <c r="BU190" s="40">
        <v>73</v>
      </c>
      <c r="BV190" s="3">
        <v>78</v>
      </c>
      <c r="BW190" s="3">
        <v>78</v>
      </c>
      <c r="BX190" s="70">
        <v>-5.4794520547945202E-2</v>
      </c>
      <c r="BY190" s="70">
        <v>0</v>
      </c>
      <c r="BZ190" s="59">
        <v>0.9358974358974359</v>
      </c>
      <c r="CA190" s="59">
        <v>0.88461538461538458</v>
      </c>
      <c r="CB190" s="59">
        <v>1.3453504672897199</v>
      </c>
      <c r="CC190" s="59">
        <v>1.4779906542056076</v>
      </c>
      <c r="CD190" s="60">
        <v>45</v>
      </c>
      <c r="CE190" s="60">
        <v>52</v>
      </c>
      <c r="CF190" s="61">
        <v>1.0514018691588787</v>
      </c>
      <c r="CG190" s="61">
        <v>1.2149532710280375</v>
      </c>
      <c r="CH190" s="61">
        <v>1.1555555555555554</v>
      </c>
      <c r="CI190" s="41"/>
      <c r="CJ190" s="40"/>
      <c r="CK190" s="3" t="s">
        <v>190</v>
      </c>
      <c r="CL190" s="62"/>
      <c r="CM190" s="63" t="s">
        <v>110</v>
      </c>
      <c r="CN190" s="3">
        <v>73</v>
      </c>
      <c r="CO190" s="3">
        <v>78</v>
      </c>
      <c r="CP190" s="41">
        <v>12.658333333333333</v>
      </c>
      <c r="CQ190" s="3" t="s">
        <v>110</v>
      </c>
      <c r="CR190" s="40">
        <v>71</v>
      </c>
      <c r="CS190" s="40">
        <v>78</v>
      </c>
      <c r="CT190" s="40">
        <v>218.5</v>
      </c>
      <c r="CU190" s="40"/>
      <c r="CV190" s="40"/>
      <c r="CW190" s="40"/>
      <c r="CX190" s="40"/>
      <c r="CY190" s="40">
        <v>0</v>
      </c>
      <c r="CZ190" s="40"/>
      <c r="DA190" s="40"/>
    </row>
    <row r="191" spans="1:105" ht="15.95" customHeight="1">
      <c r="A191" s="3">
        <v>451</v>
      </c>
      <c r="B191" s="38" t="s">
        <v>103</v>
      </c>
      <c r="C191" s="3" t="s">
        <v>158</v>
      </c>
      <c r="D191" s="3" t="s">
        <v>105</v>
      </c>
      <c r="E191" s="39">
        <v>44641</v>
      </c>
      <c r="F191" s="3" t="s">
        <v>186</v>
      </c>
      <c r="G191" s="3" t="s">
        <v>107</v>
      </c>
      <c r="H191" s="3">
        <v>2009</v>
      </c>
      <c r="I191" s="40" t="s">
        <v>108</v>
      </c>
      <c r="J191" s="39" t="s">
        <v>109</v>
      </c>
      <c r="K191" s="3">
        <v>160</v>
      </c>
      <c r="L191" s="3">
        <v>159.9</v>
      </c>
      <c r="M191" s="3"/>
      <c r="N191" s="3">
        <v>135.69999999999999</v>
      </c>
      <c r="O191" s="3">
        <v>136</v>
      </c>
      <c r="P191" s="3">
        <v>136</v>
      </c>
      <c r="Q191" s="3">
        <v>43.8</v>
      </c>
      <c r="R191" s="3">
        <v>43.8</v>
      </c>
      <c r="S191" s="3"/>
      <c r="T191" s="42">
        <v>159.94999999999999</v>
      </c>
      <c r="U191" s="42">
        <f>AVERAGE(paper3[[#This Row],[Sittende høyde 1]:[Sittende høyde 3]])-56.2</f>
        <v>79.7</v>
      </c>
      <c r="V191" s="12">
        <f>paper3[[#This Row],[height]]-paper3[[#This Row],[sittingheight]]</f>
        <v>80.249999999999986</v>
      </c>
      <c r="W191" s="73">
        <v>43.8</v>
      </c>
      <c r="X191" s="43" cm="1">
        <f t="array" ref="X191">INDEX([1]!phvny[yphv], MATCH(1, (paper3[[#This Row],[id]]=[1]!phvny[id])*(paper3[[#This Row],[time]]=[1]!phvny[time]), 0))</f>
        <v>0.59557627116703293</v>
      </c>
      <c r="Y191" s="3">
        <v>2.08</v>
      </c>
      <c r="Z191" s="3">
        <v>3.64</v>
      </c>
      <c r="AA191" s="3">
        <v>5.36</v>
      </c>
      <c r="AB191" s="3">
        <v>2.0699999999999998</v>
      </c>
      <c r="AC191" s="3">
        <v>3.62</v>
      </c>
      <c r="AD191" s="3">
        <v>5.19</v>
      </c>
      <c r="AE191" s="60">
        <v>2.0699999999999998</v>
      </c>
      <c r="AF191" s="60">
        <v>3.61</v>
      </c>
      <c r="AG191" s="60">
        <v>5.2</v>
      </c>
      <c r="AH191" s="44">
        <v>2.0699999999999998</v>
      </c>
      <c r="AI191" s="44">
        <v>3.61</v>
      </c>
      <c r="AJ191" s="44">
        <v>5.19</v>
      </c>
      <c r="AK191" s="45">
        <v>6.3291139240506311</v>
      </c>
      <c r="AL191" s="57">
        <v>11.27</v>
      </c>
      <c r="AM191" s="57">
        <v>11.32</v>
      </c>
      <c r="AN191" s="57">
        <v>11.72</v>
      </c>
      <c r="AO191" s="57">
        <v>11.36</v>
      </c>
      <c r="AP191" s="3">
        <v>11.27</v>
      </c>
      <c r="AQ191" s="47">
        <v>11.27</v>
      </c>
      <c r="AR191" s="47">
        <v>11.36</v>
      </c>
      <c r="AS191" s="3">
        <v>21.1</v>
      </c>
      <c r="AT191" s="3">
        <v>24.28</v>
      </c>
      <c r="AU191" s="3">
        <v>22.09</v>
      </c>
      <c r="AV191" s="3"/>
      <c r="AW191" s="3"/>
      <c r="AX191" s="48">
        <v>24.28</v>
      </c>
      <c r="AY191" s="3"/>
      <c r="AZ191" s="3">
        <v>8</v>
      </c>
      <c r="BA191" s="3">
        <v>160</v>
      </c>
      <c r="BB191" s="3">
        <v>9</v>
      </c>
      <c r="BC191" s="46">
        <v>131</v>
      </c>
      <c r="BD191" s="89">
        <v>604.21497014066836</v>
      </c>
      <c r="BE191" s="89">
        <v>682.62209370029746</v>
      </c>
      <c r="BF191" s="40"/>
      <c r="BG191" s="40">
        <v>243.78977167328071</v>
      </c>
      <c r="BH191" s="40">
        <v>224.57549427793765</v>
      </c>
      <c r="BI191" s="49">
        <v>1286.8370638409658</v>
      </c>
      <c r="BJ191" s="49">
        <v>468.36526595121836</v>
      </c>
      <c r="BK191" s="66">
        <v>-0.11486168450043377</v>
      </c>
      <c r="BL191" s="66">
        <v>8.555821042327616E-2</v>
      </c>
      <c r="BM191" s="51">
        <v>29.379841640204702</v>
      </c>
      <c r="BN191" s="51">
        <v>10.693270912128273</v>
      </c>
      <c r="BO191" s="52">
        <v>157</v>
      </c>
      <c r="BP191" s="89">
        <v>157</v>
      </c>
      <c r="BQ191" s="89">
        <v>147</v>
      </c>
      <c r="BR191" s="67">
        <v>6.8027210884353817E-2</v>
      </c>
      <c r="BS191" s="54">
        <v>3.4703196347031966</v>
      </c>
      <c r="BT191" s="57">
        <v>92</v>
      </c>
      <c r="BU191" s="89">
        <v>95</v>
      </c>
      <c r="BV191" s="57">
        <v>85</v>
      </c>
      <c r="BW191" s="57">
        <v>83</v>
      </c>
      <c r="BX191" s="70">
        <v>-3.157894736842104E-2</v>
      </c>
      <c r="BY191" s="70">
        <v>2.4096385542168752E-2</v>
      </c>
      <c r="BZ191" s="59">
        <v>1.1445783132530121</v>
      </c>
      <c r="CA191" s="59">
        <v>1.0823529411764705</v>
      </c>
      <c r="CB191" s="59">
        <v>1.7130993150684928</v>
      </c>
      <c r="CC191" s="59">
        <v>1.539041095890411</v>
      </c>
      <c r="CD191" s="60">
        <v>62</v>
      </c>
      <c r="CE191" s="60">
        <v>50</v>
      </c>
      <c r="CF191" s="61">
        <v>1.4155251141552512</v>
      </c>
      <c r="CG191" s="61">
        <v>1.1415525114155252</v>
      </c>
      <c r="CH191" s="61">
        <v>0.80645161290322587</v>
      </c>
      <c r="CI191" s="41">
        <v>13.4</v>
      </c>
      <c r="CJ191" s="40">
        <f>VLOOKUP(paper3[[#This Row],[YYIR nivå]],$DB:$DC,2)</f>
        <v>440</v>
      </c>
      <c r="CK191" s="3" t="s">
        <v>190</v>
      </c>
      <c r="CL191" s="62"/>
      <c r="CM191" s="63" t="s">
        <v>110</v>
      </c>
      <c r="CN191" s="3">
        <v>95</v>
      </c>
      <c r="CO191" s="3">
        <v>85</v>
      </c>
      <c r="CP191" s="41">
        <v>12.672222222222222</v>
      </c>
      <c r="CQ191" s="3" t="s">
        <v>110</v>
      </c>
      <c r="CR191" s="40">
        <v>93.5</v>
      </c>
      <c r="CS191" s="40">
        <v>84</v>
      </c>
      <c r="CT191" s="40">
        <v>152</v>
      </c>
      <c r="CU191" s="40"/>
      <c r="CV191" s="40"/>
      <c r="CW191" s="40"/>
      <c r="CX191" s="40"/>
      <c r="CY191" s="40">
        <v>0</v>
      </c>
      <c r="CZ191" s="40"/>
      <c r="DA191" s="40"/>
    </row>
    <row r="192" spans="1:105" ht="15.95" customHeight="1">
      <c r="A192" s="3">
        <v>452</v>
      </c>
      <c r="B192" s="38" t="s">
        <v>103</v>
      </c>
      <c r="C192" s="3" t="s">
        <v>115</v>
      </c>
      <c r="D192" s="3" t="s">
        <v>105</v>
      </c>
      <c r="E192" s="39">
        <v>44641</v>
      </c>
      <c r="F192" s="3" t="s">
        <v>186</v>
      </c>
      <c r="G192" s="3" t="s">
        <v>107</v>
      </c>
      <c r="H192" s="3">
        <v>2009</v>
      </c>
      <c r="I192" s="40" t="s">
        <v>108</v>
      </c>
      <c r="J192" s="39" t="s">
        <v>109</v>
      </c>
      <c r="K192" s="3">
        <v>163</v>
      </c>
      <c r="L192" s="3">
        <v>162.9</v>
      </c>
      <c r="M192" s="3"/>
      <c r="N192" s="3">
        <v>137</v>
      </c>
      <c r="O192" s="3">
        <v>136.80000000000001</v>
      </c>
      <c r="P192" s="3"/>
      <c r="Q192" s="3">
        <v>47</v>
      </c>
      <c r="R192" s="3">
        <v>47</v>
      </c>
      <c r="S192" s="3"/>
      <c r="T192" s="42">
        <v>162.94999999999999</v>
      </c>
      <c r="U192" s="42">
        <f>AVERAGE(paper3[[#This Row],[Sittende høyde 1]:[Sittende høyde 3]])-56.2</f>
        <v>80.7</v>
      </c>
      <c r="V192" s="12">
        <f>paper3[[#This Row],[height]]-paper3[[#This Row],[sittingheight]]</f>
        <v>82.249999999999986</v>
      </c>
      <c r="W192" s="73">
        <v>47</v>
      </c>
      <c r="X192" s="43" cm="1">
        <f t="array" ref="X192">INDEX([1]!phvny[yphv], MATCH(1, (paper3[[#This Row],[id]]=[1]!phvny[id])*(paper3[[#This Row],[time]]=[1]!phvny[time]), 0))</f>
        <v>0.94087945676937346</v>
      </c>
      <c r="Y192" s="3">
        <v>2.17</v>
      </c>
      <c r="Z192" s="3">
        <v>3.73</v>
      </c>
      <c r="AA192" s="3">
        <v>5.29</v>
      </c>
      <c r="AB192" s="3">
        <v>2.1</v>
      </c>
      <c r="AC192" s="3">
        <v>3.65</v>
      </c>
      <c r="AD192" s="3">
        <v>5.26</v>
      </c>
      <c r="AE192" s="60">
        <v>2.2000000000000002</v>
      </c>
      <c r="AF192" s="60">
        <v>3.74</v>
      </c>
      <c r="AG192" s="60">
        <v>5.29</v>
      </c>
      <c r="AH192" s="44">
        <v>2.1</v>
      </c>
      <c r="AI192" s="44">
        <v>3.65</v>
      </c>
      <c r="AJ192" s="44">
        <v>5.26</v>
      </c>
      <c r="AK192" s="45">
        <v>6.2111801242236027</v>
      </c>
      <c r="AL192" s="3">
        <v>12.48</v>
      </c>
      <c r="AM192" s="46">
        <v>14.79</v>
      </c>
      <c r="AN192" s="3">
        <v>12.6</v>
      </c>
      <c r="AO192" s="3">
        <v>12</v>
      </c>
      <c r="AP192" s="3">
        <v>12</v>
      </c>
      <c r="AQ192" s="47">
        <v>12.48</v>
      </c>
      <c r="AR192" s="47">
        <v>12</v>
      </c>
      <c r="AS192" s="3">
        <v>27.58</v>
      </c>
      <c r="AT192" s="3"/>
      <c r="AU192" s="3">
        <v>27.05</v>
      </c>
      <c r="AV192" s="3">
        <v>29.63</v>
      </c>
      <c r="AW192" s="3">
        <v>33.28</v>
      </c>
      <c r="AX192" s="48">
        <v>33.28</v>
      </c>
      <c r="AY192" s="3"/>
      <c r="AZ192" s="3">
        <v>8</v>
      </c>
      <c r="BA192" s="3">
        <v>160</v>
      </c>
      <c r="BB192" s="3">
        <v>8</v>
      </c>
      <c r="BC192" s="3">
        <v>145</v>
      </c>
      <c r="BD192" s="40">
        <v>689.63006660728956</v>
      </c>
      <c r="BE192" s="40">
        <v>670.18697641723543</v>
      </c>
      <c r="BF192" s="40"/>
      <c r="BG192" s="40">
        <v>298.92735178181124</v>
      </c>
      <c r="BH192" s="40">
        <v>322.39774336600709</v>
      </c>
      <c r="BI192" s="49">
        <v>1359.817043024525</v>
      </c>
      <c r="BJ192" s="49">
        <v>621.32509514781827</v>
      </c>
      <c r="BK192" s="66">
        <v>2.9011441395049742E-2</v>
      </c>
      <c r="BL192" s="66">
        <v>-7.279949089950899E-2</v>
      </c>
      <c r="BM192" s="51">
        <v>28.932277511160105</v>
      </c>
      <c r="BN192" s="51">
        <v>13.219682875485494</v>
      </c>
      <c r="BO192" s="52">
        <v>213</v>
      </c>
      <c r="BP192" s="40">
        <v>205</v>
      </c>
      <c r="BQ192" s="40">
        <v>213</v>
      </c>
      <c r="BR192" s="67">
        <v>-3.7558685446009377E-2</v>
      </c>
      <c r="BS192" s="54">
        <v>4.4468085106382977</v>
      </c>
      <c r="BT192" s="3">
        <v>94</v>
      </c>
      <c r="BU192" s="40">
        <v>83</v>
      </c>
      <c r="BV192" s="3">
        <v>83</v>
      </c>
      <c r="BW192" s="3">
        <v>92</v>
      </c>
      <c r="BX192" s="70">
        <v>0.1325301204819278</v>
      </c>
      <c r="BY192" s="70">
        <v>-9.7826086956521729E-2</v>
      </c>
      <c r="BZ192" s="59">
        <v>0.90217391304347827</v>
      </c>
      <c r="CA192" s="59">
        <v>1.1325301204819278</v>
      </c>
      <c r="CB192" s="59">
        <v>1.5487499999999998</v>
      </c>
      <c r="CC192" s="59">
        <v>1.5312499999999998</v>
      </c>
      <c r="CD192" s="60">
        <v>62</v>
      </c>
      <c r="CE192" s="60">
        <v>45</v>
      </c>
      <c r="CF192" s="61">
        <v>1.3191489361702127</v>
      </c>
      <c r="CG192" s="61">
        <v>0.95744680851063835</v>
      </c>
      <c r="CH192" s="61">
        <v>0.72580645161290336</v>
      </c>
      <c r="CI192" s="41">
        <v>14.2</v>
      </c>
      <c r="CJ192" s="40">
        <f>VLOOKUP(paper3[[#This Row],[YYIR nivå]],$DB:$DC,2)</f>
        <v>520</v>
      </c>
      <c r="CK192" s="3" t="s">
        <v>190</v>
      </c>
      <c r="CL192" s="62"/>
      <c r="CM192" s="63" t="s">
        <v>110</v>
      </c>
      <c r="CN192" s="3">
        <v>94</v>
      </c>
      <c r="CO192" s="3">
        <v>92</v>
      </c>
      <c r="CP192" s="41">
        <v>12.986111111111111</v>
      </c>
      <c r="CQ192" s="3" t="s">
        <v>110</v>
      </c>
      <c r="CR192" s="40">
        <v>88.5</v>
      </c>
      <c r="CS192" s="40">
        <v>87.5</v>
      </c>
      <c r="CT192" s="40">
        <v>209</v>
      </c>
      <c r="CU192" s="40"/>
      <c r="CV192" s="40"/>
      <c r="CW192" s="40"/>
      <c r="CX192" s="40"/>
      <c r="CY192" s="40">
        <v>0</v>
      </c>
      <c r="CZ192" s="40"/>
      <c r="DA192" s="40"/>
    </row>
    <row r="193" spans="1:105" ht="15.95" customHeight="1">
      <c r="A193" s="3">
        <v>453</v>
      </c>
      <c r="B193" s="38" t="s">
        <v>103</v>
      </c>
      <c r="C193" s="3" t="s">
        <v>115</v>
      </c>
      <c r="D193" s="3" t="s">
        <v>105</v>
      </c>
      <c r="E193" s="39">
        <v>44650</v>
      </c>
      <c r="F193" s="3" t="s">
        <v>186</v>
      </c>
      <c r="G193" s="3" t="s">
        <v>107</v>
      </c>
      <c r="H193" s="3">
        <v>2009</v>
      </c>
      <c r="I193" s="40" t="s">
        <v>108</v>
      </c>
      <c r="J193" s="39" t="s">
        <v>109</v>
      </c>
      <c r="K193" s="75">
        <v>153.5</v>
      </c>
      <c r="L193" s="75">
        <v>153.69999999999999</v>
      </c>
      <c r="M193" s="75"/>
      <c r="N193" s="75">
        <v>132</v>
      </c>
      <c r="O193" s="75">
        <v>131.9</v>
      </c>
      <c r="P193" s="75"/>
      <c r="Q193" s="75">
        <v>53.9</v>
      </c>
      <c r="R193" s="75">
        <v>53.9</v>
      </c>
      <c r="S193" s="3"/>
      <c r="T193" s="42">
        <v>153.6</v>
      </c>
      <c r="U193" s="42">
        <f>AVERAGE(paper3[[#This Row],[Sittende høyde 1]:[Sittende høyde 3]])-56.2</f>
        <v>75.749999999999986</v>
      </c>
      <c r="V193" s="12">
        <f>paper3[[#This Row],[height]]-paper3[[#This Row],[sittingheight]]</f>
        <v>77.850000000000009</v>
      </c>
      <c r="W193" s="73">
        <v>53.9</v>
      </c>
      <c r="X193" s="43" cm="1">
        <f t="array" ref="X193">INDEX([1]!phvny[yphv], MATCH(1, (paper3[[#This Row],[id]]=[1]!phvny[id])*(paper3[[#This Row],[time]]=[1]!phvny[time]), 0))</f>
        <v>0.55983193312499857</v>
      </c>
      <c r="Y193" s="3">
        <v>2.65</v>
      </c>
      <c r="Z193" s="3">
        <v>4.51</v>
      </c>
      <c r="AA193" s="3">
        <v>6.37</v>
      </c>
      <c r="AB193" s="3">
        <v>2.4500000000000002</v>
      </c>
      <c r="AC193" s="3">
        <v>4.28</v>
      </c>
      <c r="AD193" s="3">
        <v>6.12</v>
      </c>
      <c r="AE193" s="3">
        <v>2.46</v>
      </c>
      <c r="AF193" s="3">
        <v>4.3499999999999996</v>
      </c>
      <c r="AG193" s="3">
        <v>6.22</v>
      </c>
      <c r="AH193" s="44">
        <v>2.4500000000000002</v>
      </c>
      <c r="AI193" s="44">
        <v>4.28</v>
      </c>
      <c r="AJ193" s="44">
        <v>6.12</v>
      </c>
      <c r="AK193" s="45">
        <v>5.4347826086956523</v>
      </c>
      <c r="AL193" s="3">
        <v>13.42</v>
      </c>
      <c r="AM193" s="3">
        <v>13.01</v>
      </c>
      <c r="AN193" s="3">
        <v>13.24</v>
      </c>
      <c r="AO193" s="3">
        <v>13.41</v>
      </c>
      <c r="AP193" s="3">
        <v>13.01</v>
      </c>
      <c r="AQ193" s="47">
        <v>13.01</v>
      </c>
      <c r="AR193" s="47">
        <v>13.24</v>
      </c>
      <c r="AS193" s="3">
        <v>14.61</v>
      </c>
      <c r="AT193" s="3">
        <v>16.190000000000001</v>
      </c>
      <c r="AU193" s="3">
        <v>14.73</v>
      </c>
      <c r="AV193" s="3"/>
      <c r="AW193" s="3"/>
      <c r="AX193" s="48">
        <v>16.190000000000001</v>
      </c>
      <c r="AY193" s="3"/>
      <c r="AZ193" s="3"/>
      <c r="BA193" s="3"/>
      <c r="BB193" s="3">
        <v>8</v>
      </c>
      <c r="BC193" s="3">
        <v>145</v>
      </c>
      <c r="BD193" s="121">
        <v>534.28703557618314</v>
      </c>
      <c r="BE193" s="121">
        <v>519.43749504178936</v>
      </c>
      <c r="BF193" s="40"/>
      <c r="BG193" s="40">
        <v>171.83956229786213</v>
      </c>
      <c r="BH193" s="40">
        <v>185.07945783273905</v>
      </c>
      <c r="BI193" s="49">
        <v>1053.7245306179725</v>
      </c>
      <c r="BJ193" s="49">
        <v>356.91902013060121</v>
      </c>
      <c r="BK193" s="66">
        <v>2.8587733223222722E-2</v>
      </c>
      <c r="BL193" s="66">
        <v>-7.1536277931190773E-2</v>
      </c>
      <c r="BM193" s="51">
        <v>19.549620234099677</v>
      </c>
      <c r="BN193" s="51">
        <v>6.6218742139258113</v>
      </c>
      <c r="BO193" s="52">
        <v>211</v>
      </c>
      <c r="BP193" s="40">
        <v>182</v>
      </c>
      <c r="BQ193" s="40">
        <v>211</v>
      </c>
      <c r="BR193" s="67">
        <v>-0.13744075829383884</v>
      </c>
      <c r="BS193" s="54">
        <v>3.6456400742115029</v>
      </c>
      <c r="BT193" s="46">
        <v>72</v>
      </c>
      <c r="BU193" s="84">
        <v>81</v>
      </c>
      <c r="BV193" s="46">
        <v>64</v>
      </c>
      <c r="BW193" s="46">
        <v>67</v>
      </c>
      <c r="BX193" s="70">
        <v>-0.11111111111111116</v>
      </c>
      <c r="BY193" s="70">
        <v>-4.4776119402985093E-2</v>
      </c>
      <c r="BZ193" s="59">
        <v>1.208955223880597</v>
      </c>
      <c r="CA193" s="59">
        <v>1.125</v>
      </c>
      <c r="CB193" s="59">
        <v>1.1049211502782934</v>
      </c>
      <c r="CC193" s="59">
        <v>0.94604359925788506</v>
      </c>
      <c r="CD193" s="60">
        <v>84</v>
      </c>
      <c r="CE193" s="60">
        <v>59</v>
      </c>
      <c r="CF193" s="61">
        <v>1.5584415584415585</v>
      </c>
      <c r="CG193" s="61">
        <v>1.0946196660482375</v>
      </c>
      <c r="CH193" s="61">
        <v>0.70238095238095233</v>
      </c>
      <c r="CI193" s="41">
        <v>12.1</v>
      </c>
      <c r="CJ193" s="40">
        <f>VLOOKUP(paper3[[#This Row],[YYIR nivå]],$DB:$DC,2)</f>
        <v>200</v>
      </c>
      <c r="CK193" s="3" t="s">
        <v>190</v>
      </c>
      <c r="CL193" s="62"/>
      <c r="CM193" s="63" t="s">
        <v>110</v>
      </c>
      <c r="CN193" s="3">
        <v>81</v>
      </c>
      <c r="CO193" s="3">
        <v>67</v>
      </c>
      <c r="CP193" s="41">
        <v>13.022222222222222</v>
      </c>
      <c r="CQ193" s="3" t="s">
        <v>110</v>
      </c>
      <c r="CR193" s="40">
        <v>76.5</v>
      </c>
      <c r="CS193" s="40">
        <v>65.5</v>
      </c>
      <c r="CT193" s="40">
        <v>196.5</v>
      </c>
      <c r="CU193" s="40"/>
      <c r="CV193" s="40"/>
      <c r="CW193" s="40"/>
      <c r="CX193" s="40"/>
      <c r="CY193" s="40">
        <v>0</v>
      </c>
      <c r="CZ193" s="40"/>
      <c r="DA193" s="40"/>
    </row>
    <row r="194" spans="1:105" ht="15.95" customHeight="1">
      <c r="A194" s="3">
        <v>454</v>
      </c>
      <c r="B194" s="38" t="s">
        <v>103</v>
      </c>
      <c r="C194" s="3" t="s">
        <v>158</v>
      </c>
      <c r="D194" s="3" t="s">
        <v>105</v>
      </c>
      <c r="E194" s="39">
        <v>44650</v>
      </c>
      <c r="F194" s="3" t="s">
        <v>186</v>
      </c>
      <c r="G194" s="3" t="s">
        <v>107</v>
      </c>
      <c r="H194" s="3">
        <v>2009</v>
      </c>
      <c r="I194" s="40" t="s">
        <v>108</v>
      </c>
      <c r="J194" s="39" t="s">
        <v>109</v>
      </c>
      <c r="K194" s="75">
        <v>152.9</v>
      </c>
      <c r="L194" s="75">
        <v>152.9</v>
      </c>
      <c r="M194" s="75"/>
      <c r="N194" s="75">
        <v>135.1</v>
      </c>
      <c r="O194" s="75">
        <v>134.9</v>
      </c>
      <c r="P194" s="75"/>
      <c r="Q194" s="75">
        <v>42.7</v>
      </c>
      <c r="R194" s="75">
        <v>42.7</v>
      </c>
      <c r="S194" s="3"/>
      <c r="T194" s="42">
        <v>152.9</v>
      </c>
      <c r="U194" s="42">
        <f>AVERAGE(paper3[[#This Row],[Sittende høyde 1]:[Sittende høyde 3]])-56.2</f>
        <v>78.8</v>
      </c>
      <c r="V194" s="12">
        <f>paper3[[#This Row],[height]]-paper3[[#This Row],[sittingheight]]</f>
        <v>74.100000000000009</v>
      </c>
      <c r="W194" s="73">
        <v>42.7</v>
      </c>
      <c r="X194" s="43" cm="1">
        <f t="array" ref="X194">INDEX([1]!phvny[yphv], MATCH(1, (paper3[[#This Row],[id]]=[1]!phvny[id])*(paper3[[#This Row],[time]]=[1]!phvny[time]), 0))</f>
        <v>0.35137041576455363</v>
      </c>
      <c r="Y194" s="3">
        <v>2.0699999999999998</v>
      </c>
      <c r="Z194" s="3">
        <v>3.54</v>
      </c>
      <c r="AA194" s="3">
        <v>5.0199999999999996</v>
      </c>
      <c r="AB194" s="3">
        <v>2.0499999999999998</v>
      </c>
      <c r="AC194" s="3">
        <v>3.56</v>
      </c>
      <c r="AD194" s="3">
        <v>5.0999999999999996</v>
      </c>
      <c r="AE194" s="3">
        <v>2.12</v>
      </c>
      <c r="AF194" s="3">
        <v>3.67</v>
      </c>
      <c r="AG194" s="3">
        <v>5.19</v>
      </c>
      <c r="AH194" s="44">
        <v>2.0499999999999998</v>
      </c>
      <c r="AI194" s="44">
        <v>3.54</v>
      </c>
      <c r="AJ194" s="44">
        <v>5.0199999999999996</v>
      </c>
      <c r="AK194" s="45">
        <v>6.7567567567567588</v>
      </c>
      <c r="AL194" s="3">
        <v>11.63</v>
      </c>
      <c r="AM194" s="3">
        <v>12.04</v>
      </c>
      <c r="AN194" s="3">
        <v>12.4</v>
      </c>
      <c r="AO194" s="3">
        <v>11.8</v>
      </c>
      <c r="AP194" s="3">
        <v>11.63</v>
      </c>
      <c r="AQ194" s="47">
        <v>11.63</v>
      </c>
      <c r="AR194" s="47">
        <v>11.8</v>
      </c>
      <c r="AS194" s="3">
        <v>20.03</v>
      </c>
      <c r="AT194" s="3">
        <v>21.11</v>
      </c>
      <c r="AU194" s="3">
        <v>21.18</v>
      </c>
      <c r="AV194" s="3"/>
      <c r="AW194" s="3"/>
      <c r="AX194" s="48">
        <v>21.18</v>
      </c>
      <c r="AY194" s="3"/>
      <c r="AZ194" s="3"/>
      <c r="BA194" s="3"/>
      <c r="BB194" s="3">
        <v>10</v>
      </c>
      <c r="BC194" s="3">
        <v>163</v>
      </c>
      <c r="BD194" s="121"/>
      <c r="BE194" s="121"/>
      <c r="BF194" s="40"/>
      <c r="BG194" s="40">
        <v>251.69260791854498</v>
      </c>
      <c r="BH194" s="40">
        <v>235.12235245502177</v>
      </c>
      <c r="BI194" s="49"/>
      <c r="BJ194" s="49">
        <v>486.81496037356675</v>
      </c>
      <c r="BK194" s="66"/>
      <c r="BL194" s="66">
        <v>7.0475032639413016E-2</v>
      </c>
      <c r="BM194" s="51"/>
      <c r="BN194" s="51">
        <v>11.400818744111632</v>
      </c>
      <c r="BO194" s="52">
        <v>171</v>
      </c>
      <c r="BP194" s="40">
        <v>171</v>
      </c>
      <c r="BQ194" s="40">
        <v>171</v>
      </c>
      <c r="BR194" s="67">
        <v>0</v>
      </c>
      <c r="BS194" s="54">
        <v>4.0046838407494141</v>
      </c>
      <c r="BT194" s="46">
        <v>85</v>
      </c>
      <c r="BU194" s="84">
        <v>85</v>
      </c>
      <c r="BV194" s="46">
        <v>75</v>
      </c>
      <c r="BW194" s="46">
        <v>77</v>
      </c>
      <c r="BX194" s="70">
        <v>0</v>
      </c>
      <c r="BY194" s="70">
        <v>-2.5974025974025983E-2</v>
      </c>
      <c r="BZ194" s="59">
        <v>1.1038961038961039</v>
      </c>
      <c r="CA194" s="59">
        <v>1.1333333333333333</v>
      </c>
      <c r="CB194" s="59">
        <v>1.4750585480093676</v>
      </c>
      <c r="CC194" s="59">
        <v>1.3188758782201406</v>
      </c>
      <c r="CD194" s="60">
        <v>73</v>
      </c>
      <c r="CE194" s="60">
        <v>61</v>
      </c>
      <c r="CF194" s="61">
        <v>1.7096018735362997</v>
      </c>
      <c r="CG194" s="61">
        <v>1.4285714285714284</v>
      </c>
      <c r="CH194" s="61">
        <v>0.83561643835616428</v>
      </c>
      <c r="CI194" s="41">
        <v>12.2</v>
      </c>
      <c r="CJ194" s="40">
        <f>VLOOKUP(paper3[[#This Row],[YYIR nivå]],$DB:$DC,2)</f>
        <v>240</v>
      </c>
      <c r="CK194" s="3" t="s">
        <v>190</v>
      </c>
      <c r="CL194" s="62"/>
      <c r="CM194" s="63" t="s">
        <v>110</v>
      </c>
      <c r="CN194" s="3">
        <v>85</v>
      </c>
      <c r="CO194" s="3">
        <v>77</v>
      </c>
      <c r="CP194" s="41">
        <v>12.71111111111111</v>
      </c>
      <c r="CQ194" s="3" t="s">
        <v>110</v>
      </c>
      <c r="CR194" s="40">
        <v>85</v>
      </c>
      <c r="CS194" s="40">
        <v>76</v>
      </c>
      <c r="CT194" s="40">
        <v>171</v>
      </c>
      <c r="CU194" s="40"/>
      <c r="CV194" s="40"/>
      <c r="CW194" s="40"/>
      <c r="CX194" s="40"/>
      <c r="CY194" s="40">
        <v>0</v>
      </c>
      <c r="CZ194" s="40"/>
      <c r="DA194" s="40"/>
    </row>
    <row r="195" spans="1:105" ht="15.95" customHeight="1">
      <c r="A195" s="3">
        <v>456</v>
      </c>
      <c r="B195" s="38" t="s">
        <v>103</v>
      </c>
      <c r="C195" s="3" t="s">
        <v>115</v>
      </c>
      <c r="D195" s="3" t="s">
        <v>105</v>
      </c>
      <c r="E195" s="39">
        <v>44650</v>
      </c>
      <c r="F195" s="3" t="s">
        <v>186</v>
      </c>
      <c r="G195" s="3" t="s">
        <v>107</v>
      </c>
      <c r="H195" s="3">
        <v>2009</v>
      </c>
      <c r="I195" s="40" t="s">
        <v>108</v>
      </c>
      <c r="J195" s="39" t="s">
        <v>109</v>
      </c>
      <c r="K195" s="75">
        <v>164.2</v>
      </c>
      <c r="L195" s="75">
        <v>164</v>
      </c>
      <c r="M195" s="75"/>
      <c r="N195" s="75">
        <v>143</v>
      </c>
      <c r="O195" s="75">
        <v>143.19999999999999</v>
      </c>
      <c r="P195" s="75"/>
      <c r="Q195" s="75">
        <v>71.599999999999994</v>
      </c>
      <c r="R195" s="75">
        <v>71.599999999999994</v>
      </c>
      <c r="S195" s="3"/>
      <c r="T195" s="42">
        <v>164.1</v>
      </c>
      <c r="U195" s="42">
        <f>AVERAGE(paper3[[#This Row],[Sittende høyde 1]:[Sittende høyde 3]])-56.2</f>
        <v>86.899999999999991</v>
      </c>
      <c r="V195" s="12">
        <f>paper3[[#This Row],[height]]-paper3[[#This Row],[sittingheight]]</f>
        <v>77.2</v>
      </c>
      <c r="W195" s="73">
        <v>71.599999999999994</v>
      </c>
      <c r="X195" s="43" cm="1">
        <f t="array" ref="X195">INDEX([1]!phvny[yphv], MATCH(1, (paper3[[#This Row],[id]]=[1]!phvny[id])*(paper3[[#This Row],[time]]=[1]!phvny[time]), 0))</f>
        <v>1.4159455193343486</v>
      </c>
      <c r="Y195" s="3">
        <v>2.38</v>
      </c>
      <c r="Z195" s="3">
        <v>4.2300000000000004</v>
      </c>
      <c r="AA195" s="3">
        <v>6.12</v>
      </c>
      <c r="AB195" s="3">
        <v>2.54</v>
      </c>
      <c r="AC195" s="3">
        <v>4.45</v>
      </c>
      <c r="AD195" s="3">
        <v>6.41</v>
      </c>
      <c r="AE195" s="3">
        <v>2.4900000000000002</v>
      </c>
      <c r="AF195" s="3">
        <v>4.37</v>
      </c>
      <c r="AG195" s="3">
        <v>6.4</v>
      </c>
      <c r="AH195" s="44">
        <v>2.38</v>
      </c>
      <c r="AI195" s="44">
        <v>4.2300000000000004</v>
      </c>
      <c r="AJ195" s="44">
        <v>6.12</v>
      </c>
      <c r="AK195" s="45">
        <v>5.291005291005292</v>
      </c>
      <c r="AL195" s="3">
        <v>13.75</v>
      </c>
      <c r="AM195" s="3">
        <v>14.05</v>
      </c>
      <c r="AN195" s="3">
        <v>14.39</v>
      </c>
      <c r="AO195" s="3">
        <v>13.77</v>
      </c>
      <c r="AP195" s="3">
        <v>13.75</v>
      </c>
      <c r="AQ195" s="47">
        <v>13.75</v>
      </c>
      <c r="AR195" s="47">
        <v>13.77</v>
      </c>
      <c r="AS195" s="3">
        <v>17.2</v>
      </c>
      <c r="AT195" s="3">
        <v>16.52</v>
      </c>
      <c r="AU195" s="3">
        <v>16.84</v>
      </c>
      <c r="AV195" s="3"/>
      <c r="AW195" s="3"/>
      <c r="AX195" s="48">
        <v>17.2</v>
      </c>
      <c r="AY195" s="3"/>
      <c r="AZ195" s="3"/>
      <c r="BA195" s="3"/>
      <c r="BB195" s="3">
        <v>9</v>
      </c>
      <c r="BC195" s="3">
        <v>149</v>
      </c>
      <c r="BD195" s="40">
        <v>947.60995568658018</v>
      </c>
      <c r="BE195" s="40">
        <v>858.29747412062875</v>
      </c>
      <c r="BF195" s="40"/>
      <c r="BG195" s="40">
        <v>199.13762877132939</v>
      </c>
      <c r="BH195" s="40">
        <v>180.5587415891336</v>
      </c>
      <c r="BI195" s="49">
        <v>1805.9074298072089</v>
      </c>
      <c r="BJ195" s="49">
        <v>379.69637036046299</v>
      </c>
      <c r="BK195" s="66">
        <v>0.10405772387651124</v>
      </c>
      <c r="BL195" s="66">
        <v>0.10289663640031654</v>
      </c>
      <c r="BM195" s="51">
        <v>25.222170807363256</v>
      </c>
      <c r="BN195" s="51">
        <v>5.3030219324087016</v>
      </c>
      <c r="BO195" s="52">
        <v>189</v>
      </c>
      <c r="BP195" s="40">
        <v>176</v>
      </c>
      <c r="BQ195" s="40">
        <v>189</v>
      </c>
      <c r="BR195" s="67">
        <v>-6.8783068783068835E-2</v>
      </c>
      <c r="BS195" s="54">
        <v>2.5488826815642458</v>
      </c>
      <c r="BT195" s="46">
        <v>87</v>
      </c>
      <c r="BU195" s="84">
        <v>70</v>
      </c>
      <c r="BV195" s="46">
        <v>62</v>
      </c>
      <c r="BW195" s="46">
        <v>72</v>
      </c>
      <c r="BX195" s="70">
        <v>0.24285714285714288</v>
      </c>
      <c r="BY195" s="70">
        <v>-0.13888888888888884</v>
      </c>
      <c r="BZ195" s="59">
        <v>0.97222222222222221</v>
      </c>
      <c r="CA195" s="59">
        <v>1.403225806451613</v>
      </c>
      <c r="CB195" s="59">
        <v>0.84639664804469283</v>
      </c>
      <c r="CC195" s="59">
        <v>0.72240223463687159</v>
      </c>
      <c r="CD195" s="60">
        <v>75</v>
      </c>
      <c r="CE195" s="60">
        <v>62</v>
      </c>
      <c r="CF195" s="61">
        <v>1.0474860335195531</v>
      </c>
      <c r="CG195" s="61">
        <v>0.86592178770949724</v>
      </c>
      <c r="CH195" s="61">
        <v>0.82666666666666666</v>
      </c>
      <c r="CI195" s="41"/>
      <c r="CJ195" s="40"/>
      <c r="CK195" s="3"/>
      <c r="CL195" s="62"/>
      <c r="CM195" s="63" t="s">
        <v>110</v>
      </c>
      <c r="CN195" s="3">
        <v>87</v>
      </c>
      <c r="CO195" s="3">
        <v>72</v>
      </c>
      <c r="CP195" s="41">
        <v>12.672222222222222</v>
      </c>
      <c r="CQ195" s="3" t="s">
        <v>110</v>
      </c>
      <c r="CR195" s="40">
        <v>78.5</v>
      </c>
      <c r="CS195" s="40">
        <v>67</v>
      </c>
      <c r="CT195" s="40">
        <v>182.5</v>
      </c>
      <c r="CU195" s="40"/>
      <c r="CV195" s="40"/>
      <c r="CW195" s="40"/>
      <c r="CX195" s="40"/>
      <c r="CY195" s="40" t="s">
        <v>125</v>
      </c>
      <c r="CZ195" s="40"/>
      <c r="DA195" s="40"/>
    </row>
    <row r="196" spans="1:105" ht="15.95" customHeight="1">
      <c r="A196" s="3">
        <v>458</v>
      </c>
      <c r="B196" s="38" t="s">
        <v>103</v>
      </c>
      <c r="C196" s="3" t="s">
        <v>115</v>
      </c>
      <c r="D196" s="3" t="s">
        <v>105</v>
      </c>
      <c r="E196" s="39">
        <v>44650</v>
      </c>
      <c r="F196" s="3" t="s">
        <v>186</v>
      </c>
      <c r="G196" s="3" t="s">
        <v>107</v>
      </c>
      <c r="H196" s="3">
        <v>2009</v>
      </c>
      <c r="I196" s="40" t="s">
        <v>108</v>
      </c>
      <c r="J196" s="39" t="s">
        <v>109</v>
      </c>
      <c r="K196" s="75">
        <v>168.9</v>
      </c>
      <c r="L196" s="75">
        <v>169.1</v>
      </c>
      <c r="M196" s="75"/>
      <c r="N196" s="75">
        <v>141.5</v>
      </c>
      <c r="O196" s="75">
        <v>141.4</v>
      </c>
      <c r="P196" s="75"/>
      <c r="Q196" s="75">
        <v>70.2</v>
      </c>
      <c r="R196" s="75">
        <v>70.099999999999994</v>
      </c>
      <c r="S196" s="3"/>
      <c r="T196" s="42">
        <v>169</v>
      </c>
      <c r="U196" s="42">
        <f>AVERAGE(paper3[[#This Row],[Sittende høyde 1]:[Sittende høyde 3]])-56.2</f>
        <v>85.249999999999986</v>
      </c>
      <c r="V196" s="12">
        <f>paper3[[#This Row],[height]]-paper3[[#This Row],[sittingheight]]</f>
        <v>83.750000000000014</v>
      </c>
      <c r="W196" s="73">
        <v>70.150000000000006</v>
      </c>
      <c r="X196" s="43" cm="1">
        <f t="array" ref="X196">INDEX([1]!phvny[yphv], MATCH(1, (paper3[[#This Row],[id]]=[1]!phvny[id])*(paper3[[#This Row],[time]]=[1]!phvny[time]), 0))</f>
        <v>1.5545914471786628</v>
      </c>
      <c r="Y196" s="3">
        <v>2.27</v>
      </c>
      <c r="Z196" s="3">
        <v>3.96</v>
      </c>
      <c r="AA196" s="3">
        <v>5.58</v>
      </c>
      <c r="AB196" s="3">
        <v>2.29</v>
      </c>
      <c r="AC196" s="3">
        <v>3.94</v>
      </c>
      <c r="AD196" s="3">
        <v>5.57</v>
      </c>
      <c r="AE196" s="3">
        <v>2.2400000000000002</v>
      </c>
      <c r="AF196" s="3">
        <v>3.9</v>
      </c>
      <c r="AG196" s="3">
        <v>5.54</v>
      </c>
      <c r="AH196" s="44">
        <v>2.2400000000000002</v>
      </c>
      <c r="AI196" s="44">
        <v>3.9</v>
      </c>
      <c r="AJ196" s="44">
        <v>5.54</v>
      </c>
      <c r="AK196" s="45">
        <v>6.0975609756097553</v>
      </c>
      <c r="AL196" s="3"/>
      <c r="AM196" s="3">
        <v>12.95</v>
      </c>
      <c r="AN196" s="3">
        <v>13.55</v>
      </c>
      <c r="AO196" s="3">
        <v>12.92</v>
      </c>
      <c r="AP196" s="3">
        <v>12.92</v>
      </c>
      <c r="AQ196" s="47">
        <v>12.95</v>
      </c>
      <c r="AR196" s="47">
        <v>12.92</v>
      </c>
      <c r="AS196" s="3">
        <v>23.26</v>
      </c>
      <c r="AT196" s="3">
        <v>24.55</v>
      </c>
      <c r="AU196" s="3">
        <v>24.67</v>
      </c>
      <c r="AV196" s="3"/>
      <c r="AW196" s="3"/>
      <c r="AX196" s="48">
        <v>24.67</v>
      </c>
      <c r="AY196" s="3" t="s">
        <v>192</v>
      </c>
      <c r="AZ196" s="3"/>
      <c r="BA196" s="3"/>
      <c r="BB196" s="3">
        <v>12</v>
      </c>
      <c r="BC196" s="3">
        <v>189</v>
      </c>
      <c r="BD196" s="40"/>
      <c r="BE196" s="40"/>
      <c r="BF196" s="40"/>
      <c r="BG196" s="40"/>
      <c r="BH196" s="40"/>
      <c r="BI196" s="49"/>
      <c r="BJ196" s="49"/>
      <c r="BK196" s="66"/>
      <c r="BL196" s="66"/>
      <c r="BM196" s="51"/>
      <c r="BN196" s="51"/>
      <c r="BO196" s="52">
        <v>284</v>
      </c>
      <c r="BP196" s="40">
        <v>210</v>
      </c>
      <c r="BQ196" s="40">
        <v>284</v>
      </c>
      <c r="BR196" s="67">
        <v>-0.26056338028169013</v>
      </c>
      <c r="BS196" s="54">
        <v>3.5210263720598713</v>
      </c>
      <c r="BT196" s="46">
        <v>78</v>
      </c>
      <c r="BU196" s="84">
        <v>79</v>
      </c>
      <c r="BV196" s="46">
        <v>79</v>
      </c>
      <c r="BW196" s="46">
        <v>66</v>
      </c>
      <c r="BX196" s="70">
        <v>-1.2658227848101222E-2</v>
      </c>
      <c r="BY196" s="70">
        <v>0.19696969696969702</v>
      </c>
      <c r="BZ196" s="59">
        <v>1.196969696969697</v>
      </c>
      <c r="CA196" s="59">
        <v>0.98734177215189878</v>
      </c>
      <c r="CB196" s="59">
        <v>0.9371881682109765</v>
      </c>
      <c r="CC196" s="59">
        <v>0.86555595153243059</v>
      </c>
      <c r="CD196" s="60">
        <v>88</v>
      </c>
      <c r="CE196" s="60">
        <v>76</v>
      </c>
      <c r="CF196" s="61">
        <v>1.2544547398431931</v>
      </c>
      <c r="CG196" s="61">
        <v>1.0833927298645758</v>
      </c>
      <c r="CH196" s="61">
        <v>0.86363636363636354</v>
      </c>
      <c r="CI196" s="41">
        <v>12.2</v>
      </c>
      <c r="CJ196" s="40">
        <f>VLOOKUP(paper3[[#This Row],[YYIR nivå]],$DB:$DC,2)</f>
        <v>240</v>
      </c>
      <c r="CK196" s="3" t="s">
        <v>190</v>
      </c>
      <c r="CL196" s="62"/>
      <c r="CM196" s="63" t="s">
        <v>110</v>
      </c>
      <c r="CN196" s="3">
        <v>79</v>
      </c>
      <c r="CO196" s="3">
        <v>79</v>
      </c>
      <c r="CP196" s="41">
        <v>12.897222222222222</v>
      </c>
      <c r="CQ196" s="3" t="s">
        <v>110</v>
      </c>
      <c r="CR196" s="40">
        <v>78.5</v>
      </c>
      <c r="CS196" s="40">
        <v>72.5</v>
      </c>
      <c r="CT196" s="40">
        <v>247</v>
      </c>
      <c r="CU196" s="40"/>
      <c r="CV196" s="40"/>
      <c r="CW196" s="40"/>
      <c r="CX196" s="40"/>
      <c r="CY196" s="40">
        <v>0</v>
      </c>
      <c r="CZ196" s="40"/>
      <c r="DA196" s="40"/>
    </row>
    <row r="197" spans="1:105" ht="15.95" customHeight="1">
      <c r="A197" s="3">
        <v>459</v>
      </c>
      <c r="B197" s="38" t="s">
        <v>103</v>
      </c>
      <c r="C197" s="3">
        <v>0</v>
      </c>
      <c r="D197" s="3" t="s">
        <v>105</v>
      </c>
      <c r="E197" s="39">
        <v>44650</v>
      </c>
      <c r="F197" s="3" t="s">
        <v>186</v>
      </c>
      <c r="G197" s="3" t="s">
        <v>107</v>
      </c>
      <c r="H197" s="3">
        <v>2009</v>
      </c>
      <c r="I197" s="40" t="s">
        <v>108</v>
      </c>
      <c r="J197" s="39" t="s">
        <v>109</v>
      </c>
      <c r="K197" s="75">
        <v>163.5</v>
      </c>
      <c r="L197" s="75">
        <v>163.6</v>
      </c>
      <c r="M197" s="75"/>
      <c r="N197" s="75">
        <v>138.19999999999999</v>
      </c>
      <c r="O197" s="75">
        <v>138.4</v>
      </c>
      <c r="P197" s="75"/>
      <c r="Q197" s="75">
        <v>74.599999999999994</v>
      </c>
      <c r="R197" s="75">
        <v>74.599999999999994</v>
      </c>
      <c r="S197" s="3"/>
      <c r="T197" s="42">
        <v>163.55000000000001</v>
      </c>
      <c r="U197" s="42">
        <f>AVERAGE(paper3[[#This Row],[Sittende høyde 1]:[Sittende høyde 3]])-56.2</f>
        <v>82.100000000000009</v>
      </c>
      <c r="V197" s="12">
        <f>paper3[[#This Row],[height]]-paper3[[#This Row],[sittingheight]]</f>
        <v>81.45</v>
      </c>
      <c r="W197" s="73">
        <v>74.599999999999994</v>
      </c>
      <c r="X197" s="43" cm="1">
        <f t="array" ref="X197">INDEX([1]!phvny[yphv], MATCH(1, (paper3[[#This Row],[id]]=[1]!phvny[id])*(paper3[[#This Row],[time]]=[1]!phvny[time]), 0))</f>
        <v>1.3671157595207384</v>
      </c>
      <c r="Y197" s="3">
        <v>2.27</v>
      </c>
      <c r="Z197" s="3">
        <v>3.95</v>
      </c>
      <c r="AA197" s="3">
        <v>5.62</v>
      </c>
      <c r="AB197" s="3">
        <v>2.31</v>
      </c>
      <c r="AC197" s="3">
        <v>4</v>
      </c>
      <c r="AD197" s="3">
        <v>5.7</v>
      </c>
      <c r="AE197" s="3">
        <v>2.35</v>
      </c>
      <c r="AF197" s="3">
        <v>4.09</v>
      </c>
      <c r="AG197" s="3">
        <v>5.8</v>
      </c>
      <c r="AH197" s="44">
        <v>2.27</v>
      </c>
      <c r="AI197" s="44">
        <v>3.95</v>
      </c>
      <c r="AJ197" s="44">
        <v>5.62</v>
      </c>
      <c r="AK197" s="45">
        <v>5.9880239520958085</v>
      </c>
      <c r="AL197" s="3">
        <v>12.6</v>
      </c>
      <c r="AM197" s="3">
        <v>12.46</v>
      </c>
      <c r="AN197" s="3">
        <v>12.61</v>
      </c>
      <c r="AO197" s="3">
        <v>13.24</v>
      </c>
      <c r="AP197" s="3">
        <v>12.46</v>
      </c>
      <c r="AQ197" s="47">
        <v>12.46</v>
      </c>
      <c r="AR197" s="47">
        <v>12.61</v>
      </c>
      <c r="AS197" s="3">
        <v>19.77</v>
      </c>
      <c r="AT197" s="3">
        <v>19.66</v>
      </c>
      <c r="AU197" s="3">
        <v>19.55</v>
      </c>
      <c r="AV197" s="3"/>
      <c r="AW197" s="3"/>
      <c r="AX197" s="48">
        <v>19.77</v>
      </c>
      <c r="AY197" s="3"/>
      <c r="AZ197" s="3"/>
      <c r="BA197" s="3"/>
      <c r="BB197" s="3">
        <v>13</v>
      </c>
      <c r="BC197" s="3">
        <v>202</v>
      </c>
      <c r="BD197" s="40">
        <v>618.09634691666486</v>
      </c>
      <c r="BE197" s="40">
        <v>376.95030540546077</v>
      </c>
      <c r="BF197" s="40"/>
      <c r="BG197" s="40">
        <v>277.2380557937289</v>
      </c>
      <c r="BH197" s="40">
        <v>273.73020584856806</v>
      </c>
      <c r="BI197" s="49">
        <v>995.04665232212562</v>
      </c>
      <c r="BJ197" s="49">
        <v>550.96826164229697</v>
      </c>
      <c r="BK197" s="66">
        <v>0.63972899889766399</v>
      </c>
      <c r="BL197" s="66">
        <v>1.2814990345279664E-2</v>
      </c>
      <c r="BM197" s="51">
        <v>13.338426974827422</v>
      </c>
      <c r="BN197" s="51">
        <v>7.385633534079048</v>
      </c>
      <c r="BO197" s="52">
        <v>184</v>
      </c>
      <c r="BP197" s="40">
        <v>158</v>
      </c>
      <c r="BQ197" s="40">
        <v>184</v>
      </c>
      <c r="BR197" s="67">
        <v>-0.14130434782608692</v>
      </c>
      <c r="BS197" s="54">
        <v>2.292225201072386</v>
      </c>
      <c r="BT197" s="46">
        <v>75</v>
      </c>
      <c r="BU197" s="84">
        <v>68</v>
      </c>
      <c r="BV197" s="46">
        <v>81</v>
      </c>
      <c r="BW197" s="46">
        <v>98</v>
      </c>
      <c r="BX197" s="70">
        <v>0.10294117647058831</v>
      </c>
      <c r="BY197" s="70">
        <v>-0.17346938775510201</v>
      </c>
      <c r="BZ197" s="59">
        <v>0.69387755102040816</v>
      </c>
      <c r="CA197" s="59">
        <v>0.92592592592592593</v>
      </c>
      <c r="CB197" s="59">
        <v>0.7806534852546918</v>
      </c>
      <c r="CC197" s="59">
        <v>0.97718163538874003</v>
      </c>
      <c r="CD197" s="60">
        <v>82</v>
      </c>
      <c r="CE197" s="60">
        <v>78</v>
      </c>
      <c r="CF197" s="61">
        <v>1.0991957104557641</v>
      </c>
      <c r="CG197" s="61">
        <v>1.0455764075067024</v>
      </c>
      <c r="CH197" s="61">
        <v>0.95121951219512191</v>
      </c>
      <c r="CI197" s="41">
        <v>12.2</v>
      </c>
      <c r="CJ197" s="40">
        <f>VLOOKUP(paper3[[#This Row],[YYIR nivå]],$DB:$DC,2)</f>
        <v>240</v>
      </c>
      <c r="CK197" s="3" t="s">
        <v>190</v>
      </c>
      <c r="CL197" s="62"/>
      <c r="CM197" s="63" t="s">
        <v>110</v>
      </c>
      <c r="CN197" s="3">
        <v>75</v>
      </c>
      <c r="CO197" s="3">
        <v>98</v>
      </c>
      <c r="CP197" s="41">
        <v>12.977777777777778</v>
      </c>
      <c r="CQ197" s="3" t="s">
        <v>110</v>
      </c>
      <c r="CR197" s="40">
        <v>71.5</v>
      </c>
      <c r="CS197" s="40">
        <v>89.5</v>
      </c>
      <c r="CT197" s="40">
        <v>171</v>
      </c>
      <c r="CU197" s="40"/>
      <c r="CV197" s="40"/>
      <c r="CW197" s="40"/>
      <c r="CX197" s="40"/>
      <c r="CY197" s="40">
        <v>0</v>
      </c>
      <c r="CZ197" s="40"/>
      <c r="DA197" s="40"/>
    </row>
    <row r="198" spans="1:105" ht="15.95" customHeight="1">
      <c r="A198" s="3">
        <v>461</v>
      </c>
      <c r="B198" s="38" t="s">
        <v>103</v>
      </c>
      <c r="C198" s="3">
        <v>0</v>
      </c>
      <c r="D198" s="3" t="s">
        <v>105</v>
      </c>
      <c r="E198" s="39">
        <v>44650</v>
      </c>
      <c r="F198" s="3" t="s">
        <v>186</v>
      </c>
      <c r="G198" s="3" t="s">
        <v>107</v>
      </c>
      <c r="H198" s="3">
        <v>2009</v>
      </c>
      <c r="I198" s="40" t="s">
        <v>108</v>
      </c>
      <c r="J198" s="39" t="s">
        <v>109</v>
      </c>
      <c r="K198" s="75">
        <v>151.69999999999999</v>
      </c>
      <c r="L198" s="75">
        <v>151.5</v>
      </c>
      <c r="M198" s="75"/>
      <c r="N198" s="75">
        <v>130.5</v>
      </c>
      <c r="O198" s="75">
        <v>130.30000000000001</v>
      </c>
      <c r="P198" s="75"/>
      <c r="Q198" s="75">
        <v>49.4</v>
      </c>
      <c r="R198" s="75">
        <v>49.4</v>
      </c>
      <c r="S198" s="3"/>
      <c r="T198" s="42">
        <v>151.6</v>
      </c>
      <c r="U198" s="42">
        <f>AVERAGE(paper3[[#This Row],[Sittende høyde 1]:[Sittende høyde 3]])-56.2</f>
        <v>74.2</v>
      </c>
      <c r="V198" s="12">
        <f>paper3[[#This Row],[height]]-paper3[[#This Row],[sittingheight]]</f>
        <v>77.399999999999991</v>
      </c>
      <c r="W198" s="73">
        <v>49.4</v>
      </c>
      <c r="X198" s="43" cm="1">
        <f t="array" ref="X198">INDEX([1]!phvny[yphv], MATCH(1, (paper3[[#This Row],[id]]=[1]!phvny[id])*(paper3[[#This Row],[time]]=[1]!phvny[time]), 0))</f>
        <v>0.21348177240281396</v>
      </c>
      <c r="Y198" s="3">
        <v>2.5099999999999998</v>
      </c>
      <c r="Z198" s="3">
        <v>4.47</v>
      </c>
      <c r="AA198" s="3">
        <v>6.41</v>
      </c>
      <c r="AB198" s="3">
        <v>2.5099999999999998</v>
      </c>
      <c r="AC198" s="3">
        <v>4.45</v>
      </c>
      <c r="AD198" s="3">
        <v>6.49</v>
      </c>
      <c r="AE198" s="3">
        <v>2.57</v>
      </c>
      <c r="AF198" s="3">
        <v>4.51</v>
      </c>
      <c r="AG198" s="3">
        <v>6.48</v>
      </c>
      <c r="AH198" s="44">
        <v>2.5099999999999998</v>
      </c>
      <c r="AI198" s="44">
        <v>4.45</v>
      </c>
      <c r="AJ198" s="44">
        <v>6.41</v>
      </c>
      <c r="AK198" s="45">
        <v>5.1020408163265305</v>
      </c>
      <c r="AL198" s="3">
        <v>13.31</v>
      </c>
      <c r="AM198" s="46">
        <v>13.64</v>
      </c>
      <c r="AN198" s="3">
        <v>13.69</v>
      </c>
      <c r="AO198" s="3">
        <v>14.11</v>
      </c>
      <c r="AP198" s="3">
        <v>13.31</v>
      </c>
      <c r="AQ198" s="47">
        <v>13.31</v>
      </c>
      <c r="AR198" s="47">
        <v>13.69</v>
      </c>
      <c r="AS198" s="3">
        <v>14.17</v>
      </c>
      <c r="AT198" s="3">
        <v>17.07</v>
      </c>
      <c r="AU198" s="3">
        <v>16.41</v>
      </c>
      <c r="AV198" s="3"/>
      <c r="AW198" s="3"/>
      <c r="AX198" s="48">
        <v>17.07</v>
      </c>
      <c r="AY198" s="3"/>
      <c r="AZ198" s="3"/>
      <c r="BA198" s="3"/>
      <c r="BB198" s="3">
        <v>9</v>
      </c>
      <c r="BC198" s="3">
        <v>149</v>
      </c>
      <c r="BD198" s="40">
        <v>622.58069817745877</v>
      </c>
      <c r="BE198" s="40">
        <v>569.81491146971405</v>
      </c>
      <c r="BF198" s="40"/>
      <c r="BG198" s="40">
        <v>162.17591154430437</v>
      </c>
      <c r="BH198" s="40">
        <v>151.32861560783599</v>
      </c>
      <c r="BI198" s="49">
        <v>1192.3956096471729</v>
      </c>
      <c r="BJ198" s="49">
        <v>313.50452715214033</v>
      </c>
      <c r="BK198" s="66">
        <v>9.2601624923515535E-2</v>
      </c>
      <c r="BL198" s="66">
        <v>7.1680401574404584E-2</v>
      </c>
      <c r="BM198" s="51">
        <v>24.137562948323339</v>
      </c>
      <c r="BN198" s="51">
        <v>6.3462454889097231</v>
      </c>
      <c r="BO198" s="52">
        <v>118</v>
      </c>
      <c r="BP198" s="40">
        <v>105</v>
      </c>
      <c r="BQ198" s="40">
        <v>118</v>
      </c>
      <c r="BR198" s="67">
        <v>-0.11016949152542377</v>
      </c>
      <c r="BS198" s="54">
        <v>2.2570850202429149</v>
      </c>
      <c r="BT198" s="46">
        <v>67</v>
      </c>
      <c r="BU198" s="84">
        <v>94</v>
      </c>
      <c r="BV198" s="46">
        <v>71</v>
      </c>
      <c r="BW198" s="46">
        <v>81</v>
      </c>
      <c r="BX198" s="70">
        <v>-0.28723404255319152</v>
      </c>
      <c r="BY198" s="70">
        <v>-0.12345679012345678</v>
      </c>
      <c r="BZ198" s="59">
        <v>1.1604938271604939</v>
      </c>
      <c r="CA198" s="59">
        <v>0.94366197183098588</v>
      </c>
      <c r="CB198" s="59">
        <v>1.2612753036437245</v>
      </c>
      <c r="CC198" s="59">
        <v>1.1907692307692306</v>
      </c>
      <c r="CD198" s="60">
        <v>79</v>
      </c>
      <c r="CE198" s="60">
        <v>59</v>
      </c>
      <c r="CF198" s="61">
        <v>1.5991902834008098</v>
      </c>
      <c r="CG198" s="61">
        <v>1.1943319838056681</v>
      </c>
      <c r="CH198" s="61">
        <v>0.74683544303797467</v>
      </c>
      <c r="CI198" s="41">
        <v>12.1</v>
      </c>
      <c r="CJ198" s="40">
        <f>VLOOKUP(paper3[[#This Row],[YYIR nivå]],$DB:$DC,2)</f>
        <v>200</v>
      </c>
      <c r="CK198" s="3" t="s">
        <v>190</v>
      </c>
      <c r="CL198" s="62"/>
      <c r="CM198" s="63" t="s">
        <v>110</v>
      </c>
      <c r="CN198" s="3">
        <v>94</v>
      </c>
      <c r="CO198" s="3">
        <v>81</v>
      </c>
      <c r="CP198" s="41">
        <v>12.705555555555556</v>
      </c>
      <c r="CQ198" s="3" t="s">
        <v>110</v>
      </c>
      <c r="CR198" s="40">
        <v>80.5</v>
      </c>
      <c r="CS198" s="40">
        <v>76</v>
      </c>
      <c r="CT198" s="40">
        <v>111.5</v>
      </c>
      <c r="CU198" s="40"/>
      <c r="CV198" s="40"/>
      <c r="CW198" s="40"/>
      <c r="CX198" s="40"/>
      <c r="CY198" s="40">
        <v>0</v>
      </c>
      <c r="CZ198" s="40"/>
      <c r="DA198" s="40"/>
    </row>
    <row r="199" spans="1:105" ht="15.95" customHeight="1">
      <c r="A199" s="3">
        <v>463</v>
      </c>
      <c r="B199" s="38" t="s">
        <v>103</v>
      </c>
      <c r="C199" s="3" t="s">
        <v>104</v>
      </c>
      <c r="D199" s="3" t="s">
        <v>105</v>
      </c>
      <c r="E199" s="39">
        <v>44677</v>
      </c>
      <c r="F199" s="3" t="s">
        <v>186</v>
      </c>
      <c r="G199" s="3" t="s">
        <v>107</v>
      </c>
      <c r="H199" s="3">
        <v>2007</v>
      </c>
      <c r="I199" s="40" t="s">
        <v>116</v>
      </c>
      <c r="J199" s="39" t="s">
        <v>117</v>
      </c>
      <c r="K199" s="3">
        <v>170.2</v>
      </c>
      <c r="L199" s="3">
        <v>170</v>
      </c>
      <c r="M199" s="3"/>
      <c r="N199" s="3">
        <v>141.9</v>
      </c>
      <c r="O199" s="3">
        <v>142</v>
      </c>
      <c r="P199" s="3"/>
      <c r="Q199" s="3">
        <v>62.5</v>
      </c>
      <c r="R199" s="3"/>
      <c r="S199" s="3"/>
      <c r="T199" s="42">
        <v>170.1</v>
      </c>
      <c r="U199" s="42">
        <f>AVERAGE(paper3[[#This Row],[Sittende høyde 1]:[Sittende høyde 3]])-56.2</f>
        <v>85.749999999999986</v>
      </c>
      <c r="V199" s="12">
        <f>paper3[[#This Row],[height]]-paper3[[#This Row],[sittingheight]]</f>
        <v>84.350000000000009</v>
      </c>
      <c r="W199" s="73">
        <v>62.5</v>
      </c>
      <c r="X199" s="43" cm="1">
        <f t="array" ref="X199">INDEX([1]!phvny[yphv], MATCH(1, (paper3[[#This Row],[id]]=[1]!phvny[id])*(paper3[[#This Row],[time]]=[1]!phvny[time]), 0))</f>
        <v>2.6454664458127564</v>
      </c>
      <c r="Y199" s="60">
        <v>2.34</v>
      </c>
      <c r="Z199" s="60">
        <v>4</v>
      </c>
      <c r="AA199" s="60">
        <v>5.63</v>
      </c>
      <c r="AB199" s="3">
        <v>2.31</v>
      </c>
      <c r="AC199" s="3">
        <v>4.01</v>
      </c>
      <c r="AD199" s="3">
        <v>5.68</v>
      </c>
      <c r="AE199" s="3">
        <v>2.3199999999999998</v>
      </c>
      <c r="AF199" s="3">
        <v>4.03</v>
      </c>
      <c r="AG199" s="3">
        <v>5.76</v>
      </c>
      <c r="AH199" s="44">
        <v>2.31</v>
      </c>
      <c r="AI199" s="45">
        <v>4</v>
      </c>
      <c r="AJ199" s="44">
        <v>5.63</v>
      </c>
      <c r="AK199" s="45">
        <v>6.1349693251533743</v>
      </c>
      <c r="AL199" s="3">
        <v>12.26</v>
      </c>
      <c r="AM199" s="3">
        <v>12.29</v>
      </c>
      <c r="AN199" s="3">
        <v>12.14</v>
      </c>
      <c r="AO199" s="3">
        <v>12.1</v>
      </c>
      <c r="AP199" s="3">
        <v>12.1</v>
      </c>
      <c r="AQ199" s="47">
        <v>12.26</v>
      </c>
      <c r="AR199" s="47">
        <v>12.1</v>
      </c>
      <c r="AS199" s="3">
        <v>16.989999999999998</v>
      </c>
      <c r="AT199" s="3">
        <v>15.68</v>
      </c>
      <c r="AU199" s="3">
        <v>18.93</v>
      </c>
      <c r="AV199" s="3">
        <v>18.46</v>
      </c>
      <c r="AW199" s="3"/>
      <c r="AX199" s="48">
        <v>18.93</v>
      </c>
      <c r="AY199" s="3"/>
      <c r="AZ199" s="3">
        <v>10</v>
      </c>
      <c r="BA199" s="3">
        <v>200</v>
      </c>
      <c r="BB199" s="3">
        <v>10</v>
      </c>
      <c r="BC199" s="3">
        <v>218</v>
      </c>
      <c r="BD199" s="40">
        <v>840.73664869302343</v>
      </c>
      <c r="BE199" s="40">
        <v>813.15203001136251</v>
      </c>
      <c r="BF199" s="40"/>
      <c r="BG199" s="40">
        <v>318.96475649710248</v>
      </c>
      <c r="BH199" s="40">
        <v>308.45015418726661</v>
      </c>
      <c r="BI199" s="49">
        <v>1653.8886787043859</v>
      </c>
      <c r="BJ199" s="49">
        <v>627.41491068436903</v>
      </c>
      <c r="BK199" s="66">
        <v>3.3923076698554766E-2</v>
      </c>
      <c r="BL199" s="66">
        <v>3.4088497499833448E-2</v>
      </c>
      <c r="BM199" s="51">
        <v>26.462218859270173</v>
      </c>
      <c r="BN199" s="51">
        <v>10.038638570949905</v>
      </c>
      <c r="BO199" s="52">
        <v>198</v>
      </c>
      <c r="BP199" s="40">
        <v>198</v>
      </c>
      <c r="BQ199" s="40">
        <v>195</v>
      </c>
      <c r="BR199" s="67">
        <v>1.538461538461533E-2</v>
      </c>
      <c r="BS199" s="54">
        <v>3.1440000000000001</v>
      </c>
      <c r="BT199" s="3">
        <v>90</v>
      </c>
      <c r="BU199" s="40">
        <v>123</v>
      </c>
      <c r="BV199" s="3">
        <v>95</v>
      </c>
      <c r="BW199" s="3">
        <v>101</v>
      </c>
      <c r="BX199" s="70">
        <v>-0.26829268292682928</v>
      </c>
      <c r="BY199" s="70">
        <v>-5.9405940594059459E-2</v>
      </c>
      <c r="BZ199" s="59">
        <v>1.2178217821782178</v>
      </c>
      <c r="CA199" s="59">
        <v>0.94736842105263153</v>
      </c>
      <c r="CB199" s="59">
        <v>1.4373240000000003</v>
      </c>
      <c r="CC199" s="59">
        <v>1.3226080000000002</v>
      </c>
      <c r="CD199" s="60">
        <v>57</v>
      </c>
      <c r="CE199" s="60">
        <v>64</v>
      </c>
      <c r="CF199" s="61">
        <v>0.91200000000000003</v>
      </c>
      <c r="CG199" s="61">
        <v>1.024</v>
      </c>
      <c r="CH199" s="61">
        <v>1.1228070175438596</v>
      </c>
      <c r="CI199" s="41">
        <v>13.3</v>
      </c>
      <c r="CJ199" s="40">
        <f>VLOOKUP(paper3[[#This Row],[YYIR nivå]],$DB:$DC,2)</f>
        <v>400</v>
      </c>
      <c r="CK199" s="3" t="s">
        <v>193</v>
      </c>
      <c r="CL199" s="62"/>
      <c r="CM199" s="63" t="s">
        <v>110</v>
      </c>
      <c r="CN199" s="3">
        <v>123</v>
      </c>
      <c r="CO199" s="3">
        <v>101</v>
      </c>
      <c r="CP199" s="41">
        <v>15.055555555555555</v>
      </c>
      <c r="CQ199" s="3" t="s">
        <v>110</v>
      </c>
      <c r="CR199" s="40">
        <v>106.5</v>
      </c>
      <c r="CS199" s="40">
        <v>98</v>
      </c>
      <c r="CT199" s="40">
        <v>196.5</v>
      </c>
      <c r="CU199" s="40"/>
      <c r="CV199" s="40"/>
      <c r="CW199" s="40"/>
      <c r="CX199" s="40"/>
      <c r="CY199" s="40">
        <v>0</v>
      </c>
      <c r="CZ199" s="40"/>
      <c r="DA199" s="40"/>
    </row>
    <row r="200" spans="1:105" ht="15.95" customHeight="1">
      <c r="A200" s="3">
        <v>464</v>
      </c>
      <c r="B200" s="38" t="s">
        <v>103</v>
      </c>
      <c r="C200" s="3" t="s">
        <v>104</v>
      </c>
      <c r="D200" s="3" t="s">
        <v>105</v>
      </c>
      <c r="E200" s="39">
        <v>44677</v>
      </c>
      <c r="F200" s="3" t="s">
        <v>186</v>
      </c>
      <c r="G200" s="3" t="s">
        <v>107</v>
      </c>
      <c r="H200" s="3">
        <v>2007</v>
      </c>
      <c r="I200" s="40" t="s">
        <v>116</v>
      </c>
      <c r="J200" s="39" t="s">
        <v>117</v>
      </c>
      <c r="K200" s="3">
        <v>164.6</v>
      </c>
      <c r="L200" s="3">
        <v>164.7</v>
      </c>
      <c r="M200" s="3"/>
      <c r="N200" s="3">
        <v>139.5</v>
      </c>
      <c r="O200" s="3">
        <v>139.9</v>
      </c>
      <c r="P200" s="3">
        <v>140</v>
      </c>
      <c r="Q200" s="3">
        <v>62.5</v>
      </c>
      <c r="R200" s="3">
        <v>62.5</v>
      </c>
      <c r="S200" s="3"/>
      <c r="T200" s="42">
        <v>164.64999999999998</v>
      </c>
      <c r="U200" s="42">
        <f>AVERAGE(paper3[[#This Row],[Sittende høyde 1]:[Sittende høyde 3]])-56.2</f>
        <v>83.59999999999998</v>
      </c>
      <c r="V200" s="12">
        <f>paper3[[#This Row],[height]]-paper3[[#This Row],[sittingheight]]</f>
        <v>81.05</v>
      </c>
      <c r="W200" s="73">
        <v>62.5</v>
      </c>
      <c r="X200" s="43" cm="1">
        <f t="array" ref="X200">INDEX([1]!phvny[yphv], MATCH(1, (paper3[[#This Row],[id]]=[1]!phvny[id])*(paper3[[#This Row],[time]]=[1]!phvny[time]), 0))</f>
        <v>2.0557001730447388</v>
      </c>
      <c r="Y200" s="60">
        <v>2.21</v>
      </c>
      <c r="Z200" s="60">
        <v>3.83</v>
      </c>
      <c r="AA200" s="60">
        <v>5.4</v>
      </c>
      <c r="AB200" s="3">
        <v>2.25</v>
      </c>
      <c r="AC200" s="3">
        <v>3.92</v>
      </c>
      <c r="AD200" s="60">
        <v>5.5</v>
      </c>
      <c r="AE200" s="3">
        <v>2.29</v>
      </c>
      <c r="AF200" s="3">
        <v>3.94</v>
      </c>
      <c r="AG200" s="3">
        <v>5.56</v>
      </c>
      <c r="AH200" s="44">
        <v>2.21</v>
      </c>
      <c r="AI200" s="44">
        <v>3.83</v>
      </c>
      <c r="AJ200" s="45">
        <v>5.4</v>
      </c>
      <c r="AK200" s="45">
        <v>6.3694267515923553</v>
      </c>
      <c r="AL200" s="3">
        <v>12.13</v>
      </c>
      <c r="AM200" s="3">
        <v>11.98</v>
      </c>
      <c r="AN200" s="3">
        <v>12.38</v>
      </c>
      <c r="AO200" s="3">
        <v>12.05</v>
      </c>
      <c r="AP200" s="3">
        <v>11.98</v>
      </c>
      <c r="AQ200" s="47">
        <v>11.98</v>
      </c>
      <c r="AR200" s="47">
        <v>12.05</v>
      </c>
      <c r="AS200" s="3">
        <v>21.23</v>
      </c>
      <c r="AT200" s="3">
        <v>21.03</v>
      </c>
      <c r="AU200" s="3">
        <v>20.29</v>
      </c>
      <c r="AV200" s="3"/>
      <c r="AW200" s="3"/>
      <c r="AX200" s="48">
        <v>21.23</v>
      </c>
      <c r="AY200" s="3"/>
      <c r="AZ200" s="3">
        <v>8</v>
      </c>
      <c r="BA200" s="3">
        <v>200</v>
      </c>
      <c r="BB200" s="3">
        <v>10</v>
      </c>
      <c r="BC200" s="3">
        <v>218</v>
      </c>
      <c r="BD200" s="40">
        <v>905.23298075293837</v>
      </c>
      <c r="BE200" s="40">
        <v>860.00874983524955</v>
      </c>
      <c r="BF200" s="40"/>
      <c r="BG200" s="40">
        <v>327.71745308556137</v>
      </c>
      <c r="BH200" s="40">
        <v>312.62795365895994</v>
      </c>
      <c r="BI200" s="49">
        <v>1765.2417305881879</v>
      </c>
      <c r="BJ200" s="49">
        <v>640.34540674452137</v>
      </c>
      <c r="BK200" s="66">
        <v>5.258578000090397E-2</v>
      </c>
      <c r="BL200" s="66">
        <v>4.8266635308825467E-2</v>
      </c>
      <c r="BM200" s="51">
        <v>28.243867689411008</v>
      </c>
      <c r="BN200" s="51">
        <v>10.245526507912341</v>
      </c>
      <c r="BO200" s="52">
        <v>182</v>
      </c>
      <c r="BP200" s="40">
        <v>173</v>
      </c>
      <c r="BQ200" s="40">
        <v>182</v>
      </c>
      <c r="BR200" s="67">
        <v>-4.9450549450549497E-2</v>
      </c>
      <c r="BS200" s="54">
        <v>2.84</v>
      </c>
      <c r="BT200" s="3">
        <v>91</v>
      </c>
      <c r="BU200" s="40">
        <v>87</v>
      </c>
      <c r="BV200" s="3">
        <v>81</v>
      </c>
      <c r="BW200" s="3">
        <v>85</v>
      </c>
      <c r="BX200" s="70">
        <v>4.5977011494252817E-2</v>
      </c>
      <c r="BY200" s="70">
        <v>-4.705882352941182E-2</v>
      </c>
      <c r="BZ200" s="59">
        <v>1.0235294117647058</v>
      </c>
      <c r="CA200" s="59">
        <v>1.1234567901234569</v>
      </c>
      <c r="CB200" s="59">
        <v>1.1541520000000001</v>
      </c>
      <c r="CC200" s="59">
        <v>1.076344</v>
      </c>
      <c r="CD200" s="60">
        <v>73</v>
      </c>
      <c r="CE200" s="60">
        <v>63</v>
      </c>
      <c r="CF200" s="61">
        <v>1.1679999999999999</v>
      </c>
      <c r="CG200" s="61">
        <v>1.008</v>
      </c>
      <c r="CH200" s="61">
        <v>0.86301369863013699</v>
      </c>
      <c r="CI200" s="41">
        <v>13.3</v>
      </c>
      <c r="CJ200" s="40">
        <f>VLOOKUP(paper3[[#This Row],[YYIR nivå]],$DB:$DC,2)</f>
        <v>400</v>
      </c>
      <c r="CK200" s="3" t="s">
        <v>193</v>
      </c>
      <c r="CL200" s="62"/>
      <c r="CM200" s="63" t="s">
        <v>110</v>
      </c>
      <c r="CN200" s="3">
        <v>91</v>
      </c>
      <c r="CO200" s="3">
        <v>85</v>
      </c>
      <c r="CP200" s="41">
        <v>14.458333333333334</v>
      </c>
      <c r="CQ200" s="3" t="s">
        <v>110</v>
      </c>
      <c r="CR200" s="40">
        <v>89</v>
      </c>
      <c r="CS200" s="40">
        <v>83</v>
      </c>
      <c r="CT200" s="40">
        <v>177.5</v>
      </c>
      <c r="CU200" s="40"/>
      <c r="CV200" s="40"/>
      <c r="CW200" s="40"/>
      <c r="CX200" s="40"/>
      <c r="CY200" s="40">
        <v>0</v>
      </c>
      <c r="CZ200" s="40"/>
      <c r="DA200" s="40"/>
    </row>
    <row r="201" spans="1:105" ht="15.95" customHeight="1">
      <c r="A201" s="3">
        <v>466</v>
      </c>
      <c r="B201" s="38" t="s">
        <v>103</v>
      </c>
      <c r="C201" s="3" t="s">
        <v>104</v>
      </c>
      <c r="D201" s="3" t="s">
        <v>105</v>
      </c>
      <c r="E201" s="39">
        <v>44677</v>
      </c>
      <c r="F201" s="3" t="s">
        <v>186</v>
      </c>
      <c r="G201" s="3" t="s">
        <v>107</v>
      </c>
      <c r="H201" s="3">
        <v>2007</v>
      </c>
      <c r="I201" s="3" t="s">
        <v>116</v>
      </c>
      <c r="J201" s="39" t="s">
        <v>117</v>
      </c>
      <c r="K201" s="3">
        <v>177.9</v>
      </c>
      <c r="L201" s="3">
        <v>177.9</v>
      </c>
      <c r="M201" s="3"/>
      <c r="N201" s="3">
        <v>146.1</v>
      </c>
      <c r="O201" s="3">
        <v>146</v>
      </c>
      <c r="P201" s="3"/>
      <c r="Q201" s="3">
        <v>77</v>
      </c>
      <c r="R201" s="3"/>
      <c r="S201" s="3"/>
      <c r="T201" s="42">
        <v>177.9</v>
      </c>
      <c r="U201" s="42">
        <f>AVERAGE(paper3[[#This Row],[Sittende høyde 1]:[Sittende høyde 3]])-56.2</f>
        <v>89.850000000000009</v>
      </c>
      <c r="V201" s="12">
        <f>paper3[[#This Row],[height]]-paper3[[#This Row],[sittingheight]]</f>
        <v>88.05</v>
      </c>
      <c r="W201" s="99">
        <v>77</v>
      </c>
      <c r="X201" s="43" cm="1">
        <f t="array" ref="X201">INDEX([1]!phvny[yphv], MATCH(1, (paper3[[#This Row],[id]]=[1]!phvny[id])*(paper3[[#This Row],[time]]=[1]!phvny[time]), 0))</f>
        <v>2.8336354187684094</v>
      </c>
      <c r="Y201" s="60">
        <v>2.2400000000000002</v>
      </c>
      <c r="Z201" s="60">
        <v>3.87</v>
      </c>
      <c r="AA201" s="60">
        <v>5.48</v>
      </c>
      <c r="AB201" s="3">
        <v>2.25</v>
      </c>
      <c r="AC201" s="3">
        <v>3.9</v>
      </c>
      <c r="AD201" s="3">
        <v>5.53</v>
      </c>
      <c r="AE201" s="3">
        <v>2.27</v>
      </c>
      <c r="AF201" s="3">
        <v>3.95</v>
      </c>
      <c r="AG201" s="3">
        <v>5.57</v>
      </c>
      <c r="AH201" s="44">
        <v>2.2400000000000002</v>
      </c>
      <c r="AI201" s="44">
        <v>3.87</v>
      </c>
      <c r="AJ201" s="44">
        <v>5.48</v>
      </c>
      <c r="AK201" s="45">
        <v>6.2111801242236009</v>
      </c>
      <c r="AL201" s="3">
        <v>12.04</v>
      </c>
      <c r="AM201" s="3">
        <v>11.83</v>
      </c>
      <c r="AN201" s="3">
        <v>11.61</v>
      </c>
      <c r="AO201" s="3">
        <v>11.73</v>
      </c>
      <c r="AP201" s="3">
        <v>11.61</v>
      </c>
      <c r="AQ201" s="47">
        <v>11.83</v>
      </c>
      <c r="AR201" s="47">
        <v>11.61</v>
      </c>
      <c r="AS201" s="3">
        <v>22.93</v>
      </c>
      <c r="AT201" s="3">
        <v>23.65</v>
      </c>
      <c r="AU201" s="3">
        <v>24.41</v>
      </c>
      <c r="AV201" s="3">
        <v>25.02</v>
      </c>
      <c r="AW201" s="3">
        <v>24.25</v>
      </c>
      <c r="AX201" s="48">
        <v>25.02</v>
      </c>
      <c r="AY201" s="3"/>
      <c r="AZ201" s="3">
        <v>10</v>
      </c>
      <c r="BA201" s="3">
        <v>240</v>
      </c>
      <c r="BB201" s="3">
        <v>8</v>
      </c>
      <c r="BC201" s="3">
        <v>217</v>
      </c>
      <c r="BD201" s="3">
        <v>861</v>
      </c>
      <c r="BE201" s="3">
        <v>875</v>
      </c>
      <c r="BF201" s="3"/>
      <c r="BG201" s="3">
        <v>372</v>
      </c>
      <c r="BH201" s="3">
        <v>375</v>
      </c>
      <c r="BI201" s="25">
        <v>1736</v>
      </c>
      <c r="BJ201" s="25">
        <v>747</v>
      </c>
      <c r="BK201" s="66">
        <v>-1.6000000000000014E-2</v>
      </c>
      <c r="BL201" s="122">
        <v>-8.0000000000000071E-3</v>
      </c>
      <c r="BM201" s="51">
        <v>22.545454545454547</v>
      </c>
      <c r="BN201" s="51">
        <v>9.7012987012987004</v>
      </c>
      <c r="BO201" s="3">
        <v>182</v>
      </c>
      <c r="BP201" s="3">
        <v>182</v>
      </c>
      <c r="BQ201" s="3">
        <v>180</v>
      </c>
      <c r="BR201" s="67">
        <v>1.1111111111111072E-2</v>
      </c>
      <c r="BS201" s="54">
        <v>2.3506493506493507</v>
      </c>
      <c r="BT201" s="3">
        <v>88</v>
      </c>
      <c r="BU201" s="3">
        <v>80</v>
      </c>
      <c r="BV201" s="3">
        <v>97</v>
      </c>
      <c r="BW201" s="3">
        <v>111</v>
      </c>
      <c r="BX201" s="70">
        <v>0.10000000000000009</v>
      </c>
      <c r="BY201" s="70">
        <v>-0.12612612612612617</v>
      </c>
      <c r="BZ201" s="59">
        <v>0.72072072072072069</v>
      </c>
      <c r="CA201" s="59">
        <v>0.90721649484536082</v>
      </c>
      <c r="CB201" s="59">
        <v>0.96054545454545437</v>
      </c>
      <c r="CC201" s="59">
        <v>1.189246753246753</v>
      </c>
      <c r="CD201" s="60">
        <v>60</v>
      </c>
      <c r="CE201" s="60">
        <v>79.75</v>
      </c>
      <c r="CF201" s="61">
        <v>0.77922077922077926</v>
      </c>
      <c r="CG201" s="61">
        <v>1.0357142857142858</v>
      </c>
      <c r="CH201" s="61">
        <v>1.3291666666666668</v>
      </c>
      <c r="CI201" s="41">
        <v>12.3</v>
      </c>
      <c r="CJ201" s="40">
        <f>VLOOKUP(paper3[[#This Row],[YYIR nivå]],$DB:$DC,2)</f>
        <v>280</v>
      </c>
      <c r="CK201" s="3" t="s">
        <v>193</v>
      </c>
      <c r="CL201" s="62"/>
      <c r="CM201" s="63" t="s">
        <v>110</v>
      </c>
      <c r="CN201" s="3">
        <v>88</v>
      </c>
      <c r="CO201" s="3">
        <v>111</v>
      </c>
      <c r="CP201" s="41">
        <v>14.383333333333333</v>
      </c>
      <c r="CQ201" s="3" t="s">
        <v>110</v>
      </c>
      <c r="CR201" s="40">
        <v>84</v>
      </c>
      <c r="CS201" s="40">
        <v>104</v>
      </c>
      <c r="CT201" s="40">
        <v>181</v>
      </c>
      <c r="CU201" s="40"/>
      <c r="CV201" s="40"/>
      <c r="CW201" s="40"/>
      <c r="CX201" s="40"/>
      <c r="CY201" s="40">
        <v>0</v>
      </c>
      <c r="CZ201" s="40"/>
      <c r="DA201" s="40"/>
    </row>
    <row r="202" spans="1:105" ht="15.95" customHeight="1">
      <c r="A202" s="3">
        <v>467</v>
      </c>
      <c r="B202" s="38" t="s">
        <v>103</v>
      </c>
      <c r="C202" s="3" t="s">
        <v>104</v>
      </c>
      <c r="D202" s="3" t="s">
        <v>105</v>
      </c>
      <c r="E202" s="39">
        <v>44677</v>
      </c>
      <c r="F202" s="3" t="s">
        <v>186</v>
      </c>
      <c r="G202" s="3" t="s">
        <v>107</v>
      </c>
      <c r="H202" s="3">
        <v>2007</v>
      </c>
      <c r="I202" s="40" t="s">
        <v>116</v>
      </c>
      <c r="J202" s="39" t="s">
        <v>117</v>
      </c>
      <c r="K202" s="3">
        <v>155.5</v>
      </c>
      <c r="L202" s="3">
        <v>155.4</v>
      </c>
      <c r="M202" s="3"/>
      <c r="N202" s="3">
        <v>131.80000000000001</v>
      </c>
      <c r="O202" s="3">
        <v>132</v>
      </c>
      <c r="P202" s="3"/>
      <c r="Q202" s="3">
        <v>56.2</v>
      </c>
      <c r="R202" s="3"/>
      <c r="S202" s="3"/>
      <c r="T202" s="42">
        <v>155.44999999999999</v>
      </c>
      <c r="U202" s="42">
        <f>AVERAGE(paper3[[#This Row],[Sittende høyde 1]:[Sittende høyde 3]])-56.2</f>
        <v>75.7</v>
      </c>
      <c r="V202" s="12">
        <f>paper3[[#This Row],[height]]-paper3[[#This Row],[sittingheight]]</f>
        <v>79.749999999999986</v>
      </c>
      <c r="W202" s="73">
        <v>56.2</v>
      </c>
      <c r="X202" s="43" cm="1">
        <f t="array" ref="X202">INDEX([1]!phvny[yphv], MATCH(1, (paper3[[#This Row],[id]]=[1]!phvny[id])*(paper3[[#This Row],[time]]=[1]!phvny[time]), 0))</f>
        <v>1.6963129754614736</v>
      </c>
      <c r="Y202" s="60">
        <v>2.19</v>
      </c>
      <c r="Z202" s="60">
        <v>3.71</v>
      </c>
      <c r="AA202" s="60">
        <v>5.21</v>
      </c>
      <c r="AB202" s="3">
        <v>2.19</v>
      </c>
      <c r="AC202" s="3">
        <v>3.73</v>
      </c>
      <c r="AD202" s="3">
        <v>5.24</v>
      </c>
      <c r="AE202" s="3">
        <v>2.25</v>
      </c>
      <c r="AF202" s="3">
        <v>3.79</v>
      </c>
      <c r="AG202" s="3">
        <v>5.27</v>
      </c>
      <c r="AH202" s="44">
        <v>2.19</v>
      </c>
      <c r="AI202" s="44">
        <v>3.71</v>
      </c>
      <c r="AJ202" s="44">
        <v>5.21</v>
      </c>
      <c r="AK202" s="45">
        <v>6.666666666666667</v>
      </c>
      <c r="AL202" s="3">
        <v>12.34</v>
      </c>
      <c r="AM202" s="3">
        <v>11.93</v>
      </c>
      <c r="AN202" s="3">
        <v>11.8</v>
      </c>
      <c r="AO202" s="3">
        <v>11.68</v>
      </c>
      <c r="AP202" s="3">
        <v>11.68</v>
      </c>
      <c r="AQ202" s="47">
        <v>11.93</v>
      </c>
      <c r="AR202" s="47">
        <v>11.68</v>
      </c>
      <c r="AS202" s="3">
        <v>26.06</v>
      </c>
      <c r="AT202" s="3">
        <v>29.43</v>
      </c>
      <c r="AU202" s="3">
        <v>27.51</v>
      </c>
      <c r="AV202" s="3"/>
      <c r="AW202" s="3"/>
      <c r="AX202" s="48">
        <v>29.43</v>
      </c>
      <c r="AY202" s="3"/>
      <c r="AZ202" s="3">
        <v>7</v>
      </c>
      <c r="BA202" s="3">
        <v>200</v>
      </c>
      <c r="BB202" s="3">
        <v>7</v>
      </c>
      <c r="BC202" s="3">
        <v>163</v>
      </c>
      <c r="BD202" s="40"/>
      <c r="BE202" s="40"/>
      <c r="BF202" s="40"/>
      <c r="BG202" s="40">
        <v>296.32630645306773</v>
      </c>
      <c r="BH202" s="40">
        <v>261.55368324047691</v>
      </c>
      <c r="BI202" s="49"/>
      <c r="BJ202" s="49">
        <v>557.87998969354464</v>
      </c>
      <c r="BK202" s="66"/>
      <c r="BL202" s="66">
        <v>0.13294641001335195</v>
      </c>
      <c r="BM202" s="51"/>
      <c r="BN202" s="51">
        <v>9.9266902080701893</v>
      </c>
      <c r="BO202" s="52">
        <v>101</v>
      </c>
      <c r="BP202" s="40">
        <v>101</v>
      </c>
      <c r="BQ202" s="40">
        <v>97</v>
      </c>
      <c r="BR202" s="67">
        <v>4.1237113402061931E-2</v>
      </c>
      <c r="BS202" s="54">
        <v>1.7615658362989324</v>
      </c>
      <c r="BT202" s="3">
        <v>90</v>
      </c>
      <c r="BU202" s="40">
        <v>81</v>
      </c>
      <c r="BV202" s="3">
        <v>103</v>
      </c>
      <c r="BW202" s="3">
        <v>113</v>
      </c>
      <c r="BX202" s="70">
        <v>0.11111111111111116</v>
      </c>
      <c r="BY202" s="70">
        <v>-8.8495575221238965E-2</v>
      </c>
      <c r="BZ202" s="59">
        <v>0.7168141592920354</v>
      </c>
      <c r="CA202" s="59">
        <v>0.87378640776699024</v>
      </c>
      <c r="CB202" s="59">
        <v>1.2132784697508894</v>
      </c>
      <c r="CC202" s="59">
        <v>1.5325622775800707</v>
      </c>
      <c r="CD202" s="60">
        <v>72</v>
      </c>
      <c r="CE202" s="60">
        <v>66</v>
      </c>
      <c r="CF202" s="61">
        <v>1.2811387900355871</v>
      </c>
      <c r="CG202" s="61">
        <v>1.1743772241992882</v>
      </c>
      <c r="CH202" s="61">
        <v>0.91666666666666674</v>
      </c>
      <c r="CI202" s="41">
        <v>13.4</v>
      </c>
      <c r="CJ202" s="40">
        <f>VLOOKUP(paper3[[#This Row],[YYIR nivå]],$DB:$DC,2)</f>
        <v>440</v>
      </c>
      <c r="CK202" s="3" t="s">
        <v>193</v>
      </c>
      <c r="CL202" s="62"/>
      <c r="CM202" s="63" t="s">
        <v>110</v>
      </c>
      <c r="CN202" s="3">
        <v>90</v>
      </c>
      <c r="CO202" s="3">
        <v>113</v>
      </c>
      <c r="CP202" s="41">
        <v>15.280555555555555</v>
      </c>
      <c r="CQ202" s="3" t="s">
        <v>110</v>
      </c>
      <c r="CR202" s="40">
        <v>85.5</v>
      </c>
      <c r="CS202" s="40">
        <v>108</v>
      </c>
      <c r="CT202" s="40">
        <v>99</v>
      </c>
      <c r="CU202" s="40"/>
      <c r="CV202" s="40"/>
      <c r="CW202" s="40"/>
      <c r="CX202" s="40"/>
      <c r="CY202" s="40">
        <v>0</v>
      </c>
      <c r="CZ202" s="40"/>
      <c r="DA202" s="40"/>
    </row>
    <row r="203" spans="1:105" ht="15.95" customHeight="1">
      <c r="A203" s="3">
        <v>468</v>
      </c>
      <c r="B203" s="38" t="s">
        <v>103</v>
      </c>
      <c r="C203" s="3" t="s">
        <v>104</v>
      </c>
      <c r="D203" s="3" t="s">
        <v>105</v>
      </c>
      <c r="E203" s="39">
        <v>44677</v>
      </c>
      <c r="F203" s="3" t="s">
        <v>186</v>
      </c>
      <c r="G203" s="3" t="s">
        <v>107</v>
      </c>
      <c r="H203" s="3">
        <v>2007</v>
      </c>
      <c r="I203" s="40" t="s">
        <v>116</v>
      </c>
      <c r="J203" s="39" t="s">
        <v>117</v>
      </c>
      <c r="K203" s="3">
        <v>160.19999999999999</v>
      </c>
      <c r="L203" s="3">
        <v>160.19999999999999</v>
      </c>
      <c r="M203" s="3"/>
      <c r="N203" s="3">
        <v>137.9</v>
      </c>
      <c r="O203" s="3">
        <v>137</v>
      </c>
      <c r="P203" s="3">
        <v>137.1</v>
      </c>
      <c r="Q203" s="3">
        <v>53.2</v>
      </c>
      <c r="R203" s="3"/>
      <c r="S203" s="3"/>
      <c r="T203" s="42">
        <v>160.19999999999999</v>
      </c>
      <c r="U203" s="42">
        <f>AVERAGE(paper3[[#This Row],[Sittende høyde 1]:[Sittende høyde 3]])-56.2</f>
        <v>81.13333333333334</v>
      </c>
      <c r="V203" s="12">
        <f>paper3[[#This Row],[height]]-paper3[[#This Row],[sittingheight]]</f>
        <v>79.066666666666649</v>
      </c>
      <c r="W203" s="73">
        <v>53.2</v>
      </c>
      <c r="X203" s="43" cm="1">
        <f t="array" ref="X203">INDEX([1]!phvny[yphv], MATCH(1, (paper3[[#This Row],[id]]=[1]!phvny[id])*(paper3[[#This Row],[time]]=[1]!phvny[time]), 0))</f>
        <v>2.0895495089354985</v>
      </c>
      <c r="Y203" s="60">
        <v>2.16</v>
      </c>
      <c r="Z203" s="60">
        <v>3.73</v>
      </c>
      <c r="AA203" s="60">
        <v>5.22</v>
      </c>
      <c r="AB203" s="3">
        <v>2.09</v>
      </c>
      <c r="AC203" s="3">
        <v>3.66</v>
      </c>
      <c r="AD203" s="3">
        <v>5.17</v>
      </c>
      <c r="AE203" s="3">
        <v>2.08</v>
      </c>
      <c r="AF203" s="3">
        <v>3.65</v>
      </c>
      <c r="AG203" s="3">
        <v>5.15</v>
      </c>
      <c r="AH203" s="44">
        <v>2.08</v>
      </c>
      <c r="AI203" s="44">
        <v>3.65</v>
      </c>
      <c r="AJ203" s="44">
        <v>5.15</v>
      </c>
      <c r="AK203" s="45">
        <v>6.6666666666666643</v>
      </c>
      <c r="AL203" s="3">
        <v>11.12</v>
      </c>
      <c r="AM203" s="3">
        <v>10.66</v>
      </c>
      <c r="AN203" s="3">
        <v>10.64</v>
      </c>
      <c r="AO203" s="3">
        <v>10.82</v>
      </c>
      <c r="AP203" s="3">
        <v>10.64</v>
      </c>
      <c r="AQ203" s="47">
        <v>10.66</v>
      </c>
      <c r="AR203" s="47">
        <v>10.64</v>
      </c>
      <c r="AS203" s="3">
        <v>22.91</v>
      </c>
      <c r="AT203" s="46">
        <v>22.99</v>
      </c>
      <c r="AU203" s="60">
        <v>22.285</v>
      </c>
      <c r="AV203" s="3"/>
      <c r="AW203" s="3"/>
      <c r="AX203" s="48">
        <v>22.99</v>
      </c>
      <c r="AY203" s="3"/>
      <c r="AZ203" s="3">
        <v>8</v>
      </c>
      <c r="BA203" s="3">
        <v>200</v>
      </c>
      <c r="BB203" s="3">
        <v>11</v>
      </c>
      <c r="BC203" s="3">
        <v>236</v>
      </c>
      <c r="BD203" s="40">
        <v>880.93828238002175</v>
      </c>
      <c r="BE203" s="40">
        <v>925.41894235669611</v>
      </c>
      <c r="BF203" s="40"/>
      <c r="BG203" s="40">
        <v>272.76500394919424</v>
      </c>
      <c r="BH203" s="40">
        <v>312.98779579827607</v>
      </c>
      <c r="BI203" s="49">
        <v>1806.3572247367179</v>
      </c>
      <c r="BJ203" s="49">
        <v>585.75279974747036</v>
      </c>
      <c r="BK203" s="66">
        <v>-4.8065430629071315E-2</v>
      </c>
      <c r="BL203" s="66">
        <v>-0.12851233303360443</v>
      </c>
      <c r="BM203" s="51">
        <v>33.954083171742816</v>
      </c>
      <c r="BN203" s="51">
        <v>11.010390972696811</v>
      </c>
      <c r="BO203" s="52">
        <v>244</v>
      </c>
      <c r="BP203" s="40">
        <v>239</v>
      </c>
      <c r="BQ203" s="40">
        <v>244</v>
      </c>
      <c r="BR203" s="67">
        <v>-2.0491803278688492E-2</v>
      </c>
      <c r="BS203" s="54">
        <v>4.5394736842105257</v>
      </c>
      <c r="BT203" s="3">
        <v>122</v>
      </c>
      <c r="BU203" s="40">
        <v>98</v>
      </c>
      <c r="BV203" s="3">
        <v>114</v>
      </c>
      <c r="BW203" s="3">
        <v>119</v>
      </c>
      <c r="BX203" s="70">
        <v>0.24489795918367352</v>
      </c>
      <c r="BY203" s="70">
        <v>-4.2016806722689037E-2</v>
      </c>
      <c r="BZ203" s="59">
        <v>0.82352941176470584</v>
      </c>
      <c r="CA203" s="59">
        <v>1.0701754385964912</v>
      </c>
      <c r="CB203" s="59">
        <v>1.6348370927318292</v>
      </c>
      <c r="CC203" s="59">
        <v>1.7314411027568919</v>
      </c>
      <c r="CD203" s="60">
        <v>65</v>
      </c>
      <c r="CE203" s="60">
        <v>72</v>
      </c>
      <c r="CF203" s="61">
        <v>1.2218045112781954</v>
      </c>
      <c r="CG203" s="61">
        <v>1.3533834586466165</v>
      </c>
      <c r="CH203" s="61">
        <v>1.1076923076923078</v>
      </c>
      <c r="CI203" s="41">
        <v>13.2</v>
      </c>
      <c r="CJ203" s="40">
        <f>VLOOKUP(paper3[[#This Row],[YYIR nivå]],$DB:$DC,2)</f>
        <v>360</v>
      </c>
      <c r="CK203" s="3" t="s">
        <v>193</v>
      </c>
      <c r="CL203" s="62"/>
      <c r="CM203" s="63" t="s">
        <v>110</v>
      </c>
      <c r="CN203" s="3">
        <v>122</v>
      </c>
      <c r="CO203" s="3">
        <v>119</v>
      </c>
      <c r="CP203" s="41">
        <v>15.21111111111111</v>
      </c>
      <c r="CQ203" s="3" t="s">
        <v>110</v>
      </c>
      <c r="CR203" s="40">
        <v>110</v>
      </c>
      <c r="CS203" s="40">
        <v>116.5</v>
      </c>
      <c r="CT203" s="40">
        <v>241.5</v>
      </c>
      <c r="CU203" s="40"/>
      <c r="CV203" s="40"/>
      <c r="CW203" s="40"/>
      <c r="CX203" s="40"/>
      <c r="CY203" s="40">
        <v>0</v>
      </c>
      <c r="CZ203" s="40"/>
      <c r="DA203" s="40"/>
    </row>
    <row r="204" spans="1:105" ht="15.95" customHeight="1">
      <c r="A204" s="3">
        <v>469</v>
      </c>
      <c r="B204" s="38" t="s">
        <v>103</v>
      </c>
      <c r="C204" s="3" t="s">
        <v>104</v>
      </c>
      <c r="D204" s="3" t="s">
        <v>105</v>
      </c>
      <c r="E204" s="39">
        <v>44677</v>
      </c>
      <c r="F204" s="3" t="s">
        <v>186</v>
      </c>
      <c r="G204" s="3" t="s">
        <v>107</v>
      </c>
      <c r="H204" s="3">
        <v>2007</v>
      </c>
      <c r="I204" s="40" t="s">
        <v>116</v>
      </c>
      <c r="J204" s="39" t="s">
        <v>117</v>
      </c>
      <c r="K204" s="3">
        <v>162.9</v>
      </c>
      <c r="L204" s="3">
        <v>162.9</v>
      </c>
      <c r="M204" s="3"/>
      <c r="N204" s="3">
        <v>142.1</v>
      </c>
      <c r="O204" s="3">
        <v>141.80000000000001</v>
      </c>
      <c r="P204" s="3">
        <v>142.1</v>
      </c>
      <c r="Q204" s="3">
        <v>58.7</v>
      </c>
      <c r="R204" s="3"/>
      <c r="S204" s="3"/>
      <c r="T204" s="42">
        <v>162.9</v>
      </c>
      <c r="U204" s="42">
        <f>AVERAGE(paper3[[#This Row],[Sittende høyde 1]:[Sittende høyde 3]])-56.2</f>
        <v>85.8</v>
      </c>
      <c r="V204" s="12">
        <f>paper3[[#This Row],[height]]-paper3[[#This Row],[sittingheight]]</f>
        <v>77.100000000000009</v>
      </c>
      <c r="W204" s="73">
        <v>58.7</v>
      </c>
      <c r="X204" s="43" cm="1">
        <f t="array" ref="X204">INDEX([1]!phvny[yphv], MATCH(1, (paper3[[#This Row],[id]]=[1]!phvny[id])*(paper3[[#This Row],[time]]=[1]!phvny[time]), 0))</f>
        <v>2.2380008023290374</v>
      </c>
      <c r="Y204" s="60">
        <v>2.1</v>
      </c>
      <c r="Z204" s="60">
        <v>3.63</v>
      </c>
      <c r="AA204" s="60">
        <v>5.12</v>
      </c>
      <c r="AB204" s="3">
        <v>2.19</v>
      </c>
      <c r="AC204" s="3">
        <v>3.73</v>
      </c>
      <c r="AD204" s="3">
        <v>5.26</v>
      </c>
      <c r="AE204" s="3">
        <v>2.11</v>
      </c>
      <c r="AF204" s="3">
        <v>3.65</v>
      </c>
      <c r="AG204" s="3">
        <v>5.15</v>
      </c>
      <c r="AH204" s="44">
        <v>2.1</v>
      </c>
      <c r="AI204" s="44">
        <v>3.63</v>
      </c>
      <c r="AJ204" s="44">
        <v>5.12</v>
      </c>
      <c r="AK204" s="45">
        <v>6.7114093959731536</v>
      </c>
      <c r="AL204" s="3">
        <v>10.91</v>
      </c>
      <c r="AM204" s="3">
        <v>10.82</v>
      </c>
      <c r="AN204" s="3">
        <v>11.5</v>
      </c>
      <c r="AO204" s="3">
        <v>10.94</v>
      </c>
      <c r="AP204" s="3">
        <v>10.82</v>
      </c>
      <c r="AQ204" s="47">
        <v>10.82</v>
      </c>
      <c r="AR204" s="47">
        <v>10.94</v>
      </c>
      <c r="AS204" s="3">
        <v>29.22</v>
      </c>
      <c r="AT204" s="3">
        <v>26.95</v>
      </c>
      <c r="AU204" s="3">
        <v>26.29</v>
      </c>
      <c r="AV204" s="3"/>
      <c r="AW204" s="3"/>
      <c r="AX204" s="48">
        <v>29.22</v>
      </c>
      <c r="AY204" s="3"/>
      <c r="AZ204" s="3">
        <v>8</v>
      </c>
      <c r="BA204" s="3">
        <v>200</v>
      </c>
      <c r="BB204" s="3">
        <v>9</v>
      </c>
      <c r="BC204" s="3">
        <v>181</v>
      </c>
      <c r="BD204" s="40">
        <v>1020.1636321719361</v>
      </c>
      <c r="BE204" s="40">
        <v>901.61087358052782</v>
      </c>
      <c r="BF204" s="40"/>
      <c r="BG204" s="40">
        <v>334.58526485675475</v>
      </c>
      <c r="BH204" s="40">
        <v>295.46086048074267</v>
      </c>
      <c r="BI204" s="49">
        <v>1921.7745057524639</v>
      </c>
      <c r="BJ204" s="49">
        <v>630.04612533749741</v>
      </c>
      <c r="BK204" s="66">
        <v>0.13148993880320559</v>
      </c>
      <c r="BL204" s="66">
        <v>0.13241823066633263</v>
      </c>
      <c r="BM204" s="51">
        <v>32.738918326277066</v>
      </c>
      <c r="BN204" s="51">
        <v>10.733324111371335</v>
      </c>
      <c r="BO204" s="52">
        <v>197</v>
      </c>
      <c r="BP204" s="40">
        <v>190</v>
      </c>
      <c r="BQ204" s="40">
        <v>197</v>
      </c>
      <c r="BR204" s="67">
        <v>-3.5532994923857864E-2</v>
      </c>
      <c r="BS204" s="54">
        <v>3.2964224872231687</v>
      </c>
      <c r="BT204" s="3">
        <v>100</v>
      </c>
      <c r="BU204" s="40">
        <v>113</v>
      </c>
      <c r="BV204" s="3">
        <v>83</v>
      </c>
      <c r="BW204" s="3">
        <v>89</v>
      </c>
      <c r="BX204" s="70">
        <v>-0.11504424778761058</v>
      </c>
      <c r="BY204" s="70">
        <v>-6.7415730337078705E-2</v>
      </c>
      <c r="BZ204" s="59">
        <v>1.2696629213483146</v>
      </c>
      <c r="CA204" s="59">
        <v>1.2048192771084338</v>
      </c>
      <c r="CB204" s="59">
        <v>1.3988330494037482</v>
      </c>
      <c r="CC204" s="59">
        <v>1.1295741056218058</v>
      </c>
      <c r="CD204" s="60">
        <v>75</v>
      </c>
      <c r="CE204" s="60">
        <v>77</v>
      </c>
      <c r="CF204" s="61">
        <v>1.2776831345826234</v>
      </c>
      <c r="CG204" s="61">
        <v>1.31175468483816</v>
      </c>
      <c r="CH204" s="61">
        <v>1.0266666666666666</v>
      </c>
      <c r="CI204" s="41">
        <v>14.1</v>
      </c>
      <c r="CJ204" s="40">
        <f>VLOOKUP(paper3[[#This Row],[YYIR nivå]],$DB:$DC,2)</f>
        <v>480</v>
      </c>
      <c r="CK204" s="3" t="s">
        <v>193</v>
      </c>
      <c r="CL204" s="62"/>
      <c r="CM204" s="63" t="s">
        <v>110</v>
      </c>
      <c r="CN204" s="3">
        <v>113</v>
      </c>
      <c r="CO204" s="3">
        <v>89</v>
      </c>
      <c r="CP204" s="41">
        <v>14.758333333333333</v>
      </c>
      <c r="CQ204" s="3" t="s">
        <v>110</v>
      </c>
      <c r="CR204" s="40">
        <v>106.5</v>
      </c>
      <c r="CS204" s="40">
        <v>86</v>
      </c>
      <c r="CT204" s="40">
        <v>193.5</v>
      </c>
      <c r="CU204" s="40"/>
      <c r="CV204" s="40"/>
      <c r="CW204" s="40"/>
      <c r="CX204" s="40"/>
      <c r="CY204" s="40">
        <v>0</v>
      </c>
      <c r="CZ204" s="40"/>
      <c r="DA204" s="40"/>
    </row>
    <row r="205" spans="1:105" ht="15.95" customHeight="1">
      <c r="A205" s="3">
        <v>471</v>
      </c>
      <c r="B205" s="38" t="s">
        <v>103</v>
      </c>
      <c r="C205" s="3" t="s">
        <v>171</v>
      </c>
      <c r="D205" s="3" t="s">
        <v>105</v>
      </c>
      <c r="E205" s="39">
        <v>44679</v>
      </c>
      <c r="F205" s="3" t="s">
        <v>186</v>
      </c>
      <c r="G205" s="3" t="s">
        <v>107</v>
      </c>
      <c r="H205" s="3">
        <v>2005</v>
      </c>
      <c r="I205" s="40" t="s">
        <v>121</v>
      </c>
      <c r="J205" s="39" t="s">
        <v>120</v>
      </c>
      <c r="K205" s="3">
        <v>164.2</v>
      </c>
      <c r="L205" s="3" t="s">
        <v>191</v>
      </c>
      <c r="M205" s="3"/>
      <c r="N205" s="3">
        <v>140.4</v>
      </c>
      <c r="O205" s="3">
        <v>140.30000000000001</v>
      </c>
      <c r="P205" s="3"/>
      <c r="Q205" s="3">
        <v>59.9</v>
      </c>
      <c r="R205" s="3"/>
      <c r="S205" s="3"/>
      <c r="T205" s="42">
        <v>164.2</v>
      </c>
      <c r="U205" s="42">
        <f>AVERAGE(paper3[[#This Row],[Sittende høyde 1]:[Sittende høyde 3]])-56.2</f>
        <v>84.15000000000002</v>
      </c>
      <c r="V205" s="12">
        <f>paper3[[#This Row],[height]]-paper3[[#This Row],[sittingheight]]</f>
        <v>80.049999999999969</v>
      </c>
      <c r="W205" s="73">
        <v>59.9</v>
      </c>
      <c r="X205" s="43" cm="1">
        <f t="array" ref="X205">INDEX([1]!phvny[yphv], MATCH(1, (paper3[[#This Row],[id]]=[1]!phvny[id])*(paper3[[#This Row],[time]]=[1]!phvny[time]), 0))</f>
        <v>3.06442006583144</v>
      </c>
      <c r="Y205" s="3">
        <v>1.98</v>
      </c>
      <c r="Z205" s="3">
        <v>3.4</v>
      </c>
      <c r="AA205" s="3">
        <v>4.79</v>
      </c>
      <c r="AB205" s="3">
        <v>1.96</v>
      </c>
      <c r="AC205" s="3">
        <v>3.37</v>
      </c>
      <c r="AD205" s="3">
        <v>4.68</v>
      </c>
      <c r="AE205" s="3">
        <v>1.99</v>
      </c>
      <c r="AF205" s="3">
        <v>3.38</v>
      </c>
      <c r="AG205" s="3">
        <v>4.72</v>
      </c>
      <c r="AH205" s="44">
        <v>1.96</v>
      </c>
      <c r="AI205" s="44">
        <v>3.37</v>
      </c>
      <c r="AJ205" s="44">
        <v>4.68</v>
      </c>
      <c r="AK205" s="45">
        <v>7.633587786259544</v>
      </c>
      <c r="AL205" s="3">
        <v>10.7</v>
      </c>
      <c r="AM205" s="3">
        <v>10.32</v>
      </c>
      <c r="AN205" s="3">
        <v>10.48</v>
      </c>
      <c r="AO205" s="3">
        <v>10.47</v>
      </c>
      <c r="AP205" s="3">
        <v>10.32</v>
      </c>
      <c r="AQ205" s="47">
        <v>10.32</v>
      </c>
      <c r="AR205" s="47">
        <v>10.47</v>
      </c>
      <c r="AS205" s="3">
        <v>31.89</v>
      </c>
      <c r="AT205" s="3">
        <v>27.82</v>
      </c>
      <c r="AU205" s="3">
        <v>31.11</v>
      </c>
      <c r="AV205" s="3"/>
      <c r="AW205" s="3"/>
      <c r="AX205" s="48">
        <v>31.89</v>
      </c>
      <c r="AY205" s="3"/>
      <c r="AZ205" s="3">
        <v>8</v>
      </c>
      <c r="BA205" s="3">
        <v>260</v>
      </c>
      <c r="BB205" s="3">
        <v>9</v>
      </c>
      <c r="BC205" s="3">
        <v>259</v>
      </c>
      <c r="BD205" s="40">
        <v>1186.3259317017246</v>
      </c>
      <c r="BE205" s="40">
        <v>1209.5639620155966</v>
      </c>
      <c r="BF205" s="40"/>
      <c r="BG205" s="40">
        <v>492.70990751370704</v>
      </c>
      <c r="BH205" s="40">
        <v>494.61206037906936</v>
      </c>
      <c r="BI205" s="49">
        <v>2395.8898937173212</v>
      </c>
      <c r="BJ205" s="49">
        <v>987.32196789277646</v>
      </c>
      <c r="BK205" s="66">
        <v>-1.9211906971127513E-2</v>
      </c>
      <c r="BL205" s="66">
        <v>-3.8457470363835178E-3</v>
      </c>
      <c r="BM205" s="51">
        <v>39.998161831674814</v>
      </c>
      <c r="BN205" s="51">
        <v>16.482837527425318</v>
      </c>
      <c r="BO205" s="52">
        <v>284</v>
      </c>
      <c r="BP205" s="40">
        <v>284</v>
      </c>
      <c r="BQ205" s="40">
        <v>283</v>
      </c>
      <c r="BR205" s="67">
        <v>3.5335689045936647E-3</v>
      </c>
      <c r="BS205" s="54">
        <v>4.7328881469115194</v>
      </c>
      <c r="BT205" s="46">
        <v>122</v>
      </c>
      <c r="BU205" s="84">
        <v>132</v>
      </c>
      <c r="BV205" s="46">
        <v>125</v>
      </c>
      <c r="BW205" s="46">
        <v>131</v>
      </c>
      <c r="BX205" s="70">
        <v>-7.5757575757575801E-2</v>
      </c>
      <c r="BY205" s="70">
        <v>-4.5801526717557217E-2</v>
      </c>
      <c r="BZ205" s="59">
        <v>1.0076335877862594</v>
      </c>
      <c r="CA205" s="59">
        <v>0.97599999999999998</v>
      </c>
      <c r="CB205" s="59">
        <v>1.6972203672787973</v>
      </c>
      <c r="CC205" s="59">
        <v>1.7105843071786304</v>
      </c>
      <c r="CD205" s="60">
        <v>101</v>
      </c>
      <c r="CE205" s="60">
        <v>111</v>
      </c>
      <c r="CF205" s="61">
        <v>1.6861435726210352</v>
      </c>
      <c r="CG205" s="61">
        <v>1.8530884808013357</v>
      </c>
      <c r="CH205" s="61">
        <v>1.0990099009900991</v>
      </c>
      <c r="CI205" s="41">
        <v>14.3</v>
      </c>
      <c r="CJ205" s="40">
        <f>VLOOKUP(paper3[[#This Row],[YYIR nivå]],$DB:$DC,2)</f>
        <v>560</v>
      </c>
      <c r="CK205" s="3" t="s">
        <v>194</v>
      </c>
      <c r="CL205" s="62"/>
      <c r="CM205" s="63" t="s">
        <v>110</v>
      </c>
      <c r="CN205" s="3">
        <v>132</v>
      </c>
      <c r="CO205" s="3">
        <v>131</v>
      </c>
      <c r="CP205" s="41">
        <v>16.455555555555556</v>
      </c>
      <c r="CQ205" s="3" t="s">
        <v>110</v>
      </c>
      <c r="CR205" s="40">
        <v>127</v>
      </c>
      <c r="CS205" s="40">
        <v>128</v>
      </c>
      <c r="CT205" s="40">
        <v>283.5</v>
      </c>
      <c r="CU205" s="40"/>
      <c r="CV205" s="40"/>
      <c r="CW205" s="40"/>
      <c r="CX205" s="40"/>
      <c r="CY205" s="40">
        <v>0</v>
      </c>
      <c r="CZ205" s="40"/>
      <c r="DA205" s="40"/>
    </row>
    <row r="206" spans="1:105" ht="15.95" customHeight="1">
      <c r="A206" s="3">
        <v>472</v>
      </c>
      <c r="B206" s="38" t="s">
        <v>103</v>
      </c>
      <c r="C206" s="3" t="s">
        <v>104</v>
      </c>
      <c r="D206" s="3" t="s">
        <v>105</v>
      </c>
      <c r="E206" s="39">
        <v>44679</v>
      </c>
      <c r="F206" s="3" t="s">
        <v>186</v>
      </c>
      <c r="G206" s="3" t="s">
        <v>107</v>
      </c>
      <c r="H206" s="3">
        <v>2005</v>
      </c>
      <c r="I206" s="40" t="s">
        <v>121</v>
      </c>
      <c r="J206" s="39" t="s">
        <v>120</v>
      </c>
      <c r="K206" s="3">
        <v>166.5</v>
      </c>
      <c r="L206" s="3">
        <v>166.7</v>
      </c>
      <c r="M206" s="3"/>
      <c r="N206" s="3">
        <v>138.9</v>
      </c>
      <c r="O206" s="3" t="s">
        <v>191</v>
      </c>
      <c r="P206" s="3"/>
      <c r="Q206" s="3">
        <v>64</v>
      </c>
      <c r="R206" s="3"/>
      <c r="S206" s="3"/>
      <c r="T206" s="42">
        <v>166.6</v>
      </c>
      <c r="U206" s="42">
        <f>AVERAGE(paper3[[#This Row],[Sittende høyde 1]:[Sittende høyde 3]])-56.2</f>
        <v>82.7</v>
      </c>
      <c r="V206" s="12">
        <f>paper3[[#This Row],[height]]-paper3[[#This Row],[sittingheight]]</f>
        <v>83.899999999999991</v>
      </c>
      <c r="W206" s="73">
        <v>64</v>
      </c>
      <c r="X206" s="43" cm="1">
        <f t="array" ref="X206">INDEX([1]!phvny[yphv], MATCH(1, (paper3[[#This Row],[id]]=[1]!phvny[id])*(paper3[[#This Row],[time]]=[1]!phvny[time]), 0))</f>
        <v>3.3125394430915049</v>
      </c>
      <c r="Y206" s="60">
        <v>2.04</v>
      </c>
      <c r="Z206" s="60">
        <v>3.44</v>
      </c>
      <c r="AA206" s="60">
        <v>4.7699999999999996</v>
      </c>
      <c r="AB206" s="3">
        <v>2.02</v>
      </c>
      <c r="AC206" s="3">
        <v>3.4</v>
      </c>
      <c r="AD206" s="3">
        <v>4.7300000000000004</v>
      </c>
      <c r="AE206" s="3">
        <v>2.04</v>
      </c>
      <c r="AF206" s="3">
        <v>3.45</v>
      </c>
      <c r="AG206" s="3">
        <v>4.78</v>
      </c>
      <c r="AH206" s="44">
        <v>2.02</v>
      </c>
      <c r="AI206" s="45">
        <v>3.4</v>
      </c>
      <c r="AJ206" s="44">
        <v>4.7300000000000004</v>
      </c>
      <c r="AK206" s="45">
        <v>7.5187969924812004</v>
      </c>
      <c r="AL206" s="3">
        <v>10.69</v>
      </c>
      <c r="AM206" s="3">
        <v>10.37</v>
      </c>
      <c r="AN206" s="3">
        <v>10.7</v>
      </c>
      <c r="AO206" s="3">
        <v>10.88</v>
      </c>
      <c r="AP206" s="3">
        <v>10.37</v>
      </c>
      <c r="AQ206" s="47">
        <v>10.37</v>
      </c>
      <c r="AR206" s="47">
        <v>10.7</v>
      </c>
      <c r="AS206" s="3">
        <v>27.29</v>
      </c>
      <c r="AT206" s="3">
        <v>26.47</v>
      </c>
      <c r="AU206" s="3">
        <v>25.56</v>
      </c>
      <c r="AV206" s="3"/>
      <c r="AW206" s="3"/>
      <c r="AX206" s="48">
        <v>27.29</v>
      </c>
      <c r="AY206" s="3"/>
      <c r="AZ206" s="3">
        <v>9</v>
      </c>
      <c r="BA206" s="3">
        <v>260</v>
      </c>
      <c r="BB206" s="3">
        <v>11</v>
      </c>
      <c r="BC206" s="3">
        <v>308</v>
      </c>
      <c r="BD206" s="40">
        <v>1362.1161287804521</v>
      </c>
      <c r="BE206" s="40">
        <v>1256.1626083464853</v>
      </c>
      <c r="BF206" s="40"/>
      <c r="BG206" s="40">
        <v>475.32809240270035</v>
      </c>
      <c r="BH206" s="40">
        <v>469.48370148794459</v>
      </c>
      <c r="BI206" s="49">
        <v>2618.2787371269374</v>
      </c>
      <c r="BJ206" s="49">
        <v>944.81179389064494</v>
      </c>
      <c r="BK206" s="66">
        <v>8.434697843254213E-2</v>
      </c>
      <c r="BL206" s="66">
        <v>1.2448549110934071E-2</v>
      </c>
      <c r="BM206" s="51">
        <v>40.910605267608396</v>
      </c>
      <c r="BN206" s="51">
        <v>14.762684279541327</v>
      </c>
      <c r="BO206" s="52">
        <v>240</v>
      </c>
      <c r="BP206" s="40">
        <v>240</v>
      </c>
      <c r="BQ206" s="40">
        <v>239</v>
      </c>
      <c r="BR206" s="67">
        <v>4.1841004184099972E-3</v>
      </c>
      <c r="BS206" s="54">
        <v>3.7421875</v>
      </c>
      <c r="BT206" s="3">
        <v>89</v>
      </c>
      <c r="BU206" s="40">
        <v>92</v>
      </c>
      <c r="BV206" s="3">
        <v>100</v>
      </c>
      <c r="BW206" s="3">
        <v>100</v>
      </c>
      <c r="BX206" s="70">
        <v>-3.2608695652173947E-2</v>
      </c>
      <c r="BY206" s="70">
        <v>0</v>
      </c>
      <c r="BZ206" s="59">
        <v>0.92</v>
      </c>
      <c r="CA206" s="59">
        <v>0.89</v>
      </c>
      <c r="CB206" s="59">
        <v>1.1863984374999998</v>
      </c>
      <c r="CC206" s="59">
        <v>1.3109374999999999</v>
      </c>
      <c r="CD206" s="60">
        <v>79</v>
      </c>
      <c r="CE206" s="60">
        <v>83</v>
      </c>
      <c r="CF206" s="61">
        <v>1.234375</v>
      </c>
      <c r="CG206" s="61">
        <v>1.296875</v>
      </c>
      <c r="CH206" s="61">
        <v>1.0506329113924051</v>
      </c>
      <c r="CI206" s="41"/>
      <c r="CJ206" s="40"/>
      <c r="CK206" s="3"/>
      <c r="CL206" s="62"/>
      <c r="CM206" s="63" t="s">
        <v>110</v>
      </c>
      <c r="CN206" s="3">
        <v>92</v>
      </c>
      <c r="CO206" s="3">
        <v>100</v>
      </c>
      <c r="CP206" s="41">
        <v>16.93888888888889</v>
      </c>
      <c r="CQ206" s="3" t="s">
        <v>110</v>
      </c>
      <c r="CR206" s="40">
        <v>90.5</v>
      </c>
      <c r="CS206" s="40">
        <v>100</v>
      </c>
      <c r="CT206" s="40">
        <v>239.5</v>
      </c>
      <c r="CU206" s="40"/>
      <c r="CV206" s="40"/>
      <c r="CW206" s="40"/>
      <c r="CX206" s="40"/>
      <c r="CY206" s="40">
        <v>0</v>
      </c>
      <c r="CZ206" s="40"/>
      <c r="DA206" s="40"/>
    </row>
    <row r="207" spans="1:105" ht="15.95" customHeight="1">
      <c r="A207" s="3">
        <v>473</v>
      </c>
      <c r="B207" s="38" t="s">
        <v>103</v>
      </c>
      <c r="C207" s="3" t="s">
        <v>104</v>
      </c>
      <c r="D207" s="3" t="s">
        <v>105</v>
      </c>
      <c r="E207" s="39">
        <v>44679</v>
      </c>
      <c r="F207" s="3" t="s">
        <v>186</v>
      </c>
      <c r="G207" s="3" t="s">
        <v>107</v>
      </c>
      <c r="H207" s="3">
        <v>2005</v>
      </c>
      <c r="I207" s="40" t="s">
        <v>121</v>
      </c>
      <c r="J207" s="39" t="s">
        <v>120</v>
      </c>
      <c r="K207" s="3">
        <v>173.5</v>
      </c>
      <c r="L207" s="3">
        <v>173.6</v>
      </c>
      <c r="M207" s="3"/>
      <c r="N207" s="3">
        <v>148</v>
      </c>
      <c r="O207" s="3">
        <v>147.9</v>
      </c>
      <c r="P207" s="3"/>
      <c r="Q207" s="3">
        <v>66</v>
      </c>
      <c r="R207" s="3"/>
      <c r="S207" s="3"/>
      <c r="T207" s="42">
        <v>173.55</v>
      </c>
      <c r="U207" s="42">
        <f>AVERAGE(paper3[[#This Row],[Sittende høyde 1]:[Sittende høyde 3]])-56.2</f>
        <v>91.749999999999986</v>
      </c>
      <c r="V207" s="12">
        <f>paper3[[#This Row],[height]]-paper3[[#This Row],[sittingheight]]</f>
        <v>81.800000000000026</v>
      </c>
      <c r="W207" s="73">
        <v>66</v>
      </c>
      <c r="X207" s="43" cm="1">
        <f t="array" ref="X207">INDEX([1]!phvny[yphv], MATCH(1, (paper3[[#This Row],[id]]=[1]!phvny[id])*(paper3[[#This Row],[time]]=[1]!phvny[time]), 0))</f>
        <v>4.0145027339433872</v>
      </c>
      <c r="Y207" s="60">
        <v>2.0299999999999998</v>
      </c>
      <c r="Z207" s="60">
        <v>3.4</v>
      </c>
      <c r="AA207" s="60">
        <v>4.68</v>
      </c>
      <c r="AB207" s="3">
        <v>2.04</v>
      </c>
      <c r="AC207" s="3">
        <v>3.4</v>
      </c>
      <c r="AD207" s="60">
        <v>4.71</v>
      </c>
      <c r="AE207" s="3">
        <v>2.06</v>
      </c>
      <c r="AF207" s="3">
        <v>3.46</v>
      </c>
      <c r="AG207" s="3">
        <v>4.79</v>
      </c>
      <c r="AH207" s="44">
        <v>2.0299999999999998</v>
      </c>
      <c r="AI207" s="44">
        <v>3.4</v>
      </c>
      <c r="AJ207" s="45">
        <v>4.68</v>
      </c>
      <c r="AK207" s="45">
        <v>7.8125000000000009</v>
      </c>
      <c r="AL207" s="3">
        <v>11.03</v>
      </c>
      <c r="AM207" s="3">
        <v>10.39</v>
      </c>
      <c r="AN207" s="3">
        <v>10.87</v>
      </c>
      <c r="AO207" s="3">
        <v>10.65</v>
      </c>
      <c r="AP207" s="3">
        <v>10.39</v>
      </c>
      <c r="AQ207" s="47">
        <v>10.39</v>
      </c>
      <c r="AR207" s="47">
        <v>10.65</v>
      </c>
      <c r="AS207" s="3">
        <v>32.51</v>
      </c>
      <c r="AT207" s="3">
        <v>33.07</v>
      </c>
      <c r="AU207" s="3">
        <v>33.72</v>
      </c>
      <c r="AV207" s="3">
        <v>33.43</v>
      </c>
      <c r="AW207" s="3"/>
      <c r="AX207" s="48">
        <v>33.72</v>
      </c>
      <c r="AY207" s="3"/>
      <c r="AZ207" s="3">
        <v>9</v>
      </c>
      <c r="BA207" s="3">
        <v>280</v>
      </c>
      <c r="BB207" s="3">
        <v>11</v>
      </c>
      <c r="BC207" s="3">
        <v>332</v>
      </c>
      <c r="BD207" s="40">
        <v>1464.7598634952599</v>
      </c>
      <c r="BE207" s="40">
        <v>1432.8515853749795</v>
      </c>
      <c r="BF207" s="40"/>
      <c r="BG207" s="40">
        <v>682.42869711741548</v>
      </c>
      <c r="BH207" s="40">
        <v>662.93375694505005</v>
      </c>
      <c r="BI207" s="49">
        <v>2897.6114488702397</v>
      </c>
      <c r="BJ207" s="49">
        <v>1345.3624540624655</v>
      </c>
      <c r="BK207" s="66">
        <v>2.2269074093901997E-2</v>
      </c>
      <c r="BL207" s="66">
        <v>2.9407071171337895E-2</v>
      </c>
      <c r="BM207" s="51">
        <v>43.903203770761209</v>
      </c>
      <c r="BN207" s="51">
        <v>20.384279607007052</v>
      </c>
      <c r="BO207" s="52">
        <v>304</v>
      </c>
      <c r="BP207" s="40">
        <v>304</v>
      </c>
      <c r="BQ207" s="40">
        <v>280</v>
      </c>
      <c r="BR207" s="67">
        <v>8.5714285714285632E-2</v>
      </c>
      <c r="BS207" s="54">
        <v>4.4242424242424239</v>
      </c>
      <c r="BT207" s="3">
        <v>142</v>
      </c>
      <c r="BU207" s="40">
        <v>147</v>
      </c>
      <c r="BV207" s="3">
        <v>122</v>
      </c>
      <c r="BW207" s="3">
        <v>135</v>
      </c>
      <c r="BX207" s="70">
        <v>-3.4013605442176909E-2</v>
      </c>
      <c r="BY207" s="70">
        <v>-9.6296296296296324E-2</v>
      </c>
      <c r="BZ207" s="59">
        <v>1.0888888888888888</v>
      </c>
      <c r="CA207" s="59">
        <v>1.1639344262295082</v>
      </c>
      <c r="CB207" s="59">
        <v>1.7909242424242429</v>
      </c>
      <c r="CC207" s="59">
        <v>1.5926212121212127</v>
      </c>
      <c r="CD207" s="60">
        <v>91</v>
      </c>
      <c r="CE207" s="60">
        <v>106</v>
      </c>
      <c r="CF207" s="61">
        <v>1.3787878787878789</v>
      </c>
      <c r="CG207" s="61">
        <v>1.606060606060606</v>
      </c>
      <c r="CH207" s="61">
        <v>1.1648351648351647</v>
      </c>
      <c r="CI207" s="41"/>
      <c r="CJ207" s="40"/>
      <c r="CK207" s="3"/>
      <c r="CL207" s="62"/>
      <c r="CM207" s="63" t="s">
        <v>110</v>
      </c>
      <c r="CN207" s="3">
        <v>147</v>
      </c>
      <c r="CO207" s="3">
        <v>135</v>
      </c>
      <c r="CP207" s="41">
        <v>16.75</v>
      </c>
      <c r="CQ207" s="3" t="s">
        <v>110</v>
      </c>
      <c r="CR207" s="40">
        <v>144.5</v>
      </c>
      <c r="CS207" s="40">
        <v>128.5</v>
      </c>
      <c r="CT207" s="40">
        <v>292</v>
      </c>
      <c r="CU207" s="40"/>
      <c r="CV207" s="40"/>
      <c r="CW207" s="40"/>
      <c r="CX207" s="40"/>
      <c r="CY207" s="40">
        <v>0</v>
      </c>
      <c r="CZ207" s="40"/>
      <c r="DA207" s="40"/>
    </row>
    <row r="208" spans="1:105" ht="15.95" customHeight="1">
      <c r="A208" s="3">
        <v>477</v>
      </c>
      <c r="B208" s="38" t="s">
        <v>103</v>
      </c>
      <c r="C208" s="3" t="s">
        <v>171</v>
      </c>
      <c r="D208" s="3" t="s">
        <v>105</v>
      </c>
      <c r="E208" s="39">
        <v>44679</v>
      </c>
      <c r="F208" s="3" t="s">
        <v>186</v>
      </c>
      <c r="G208" s="3" t="s">
        <v>107</v>
      </c>
      <c r="H208" s="3">
        <v>2005</v>
      </c>
      <c r="I208" s="40" t="s">
        <v>121</v>
      </c>
      <c r="J208" s="39" t="s">
        <v>120</v>
      </c>
      <c r="K208" s="3">
        <v>168.3</v>
      </c>
      <c r="L208" s="3">
        <v>168.3</v>
      </c>
      <c r="M208" s="3"/>
      <c r="N208" s="3">
        <v>144.5</v>
      </c>
      <c r="O208" s="3">
        <v>144</v>
      </c>
      <c r="P208" s="3">
        <v>144.19999999999999</v>
      </c>
      <c r="Q208" s="3">
        <v>62.7</v>
      </c>
      <c r="R208" s="3"/>
      <c r="S208" s="3"/>
      <c r="T208" s="42">
        <v>168.3</v>
      </c>
      <c r="U208" s="42">
        <f>AVERAGE(paper3[[#This Row],[Sittende høyde 1]:[Sittende høyde 3]])-56.2</f>
        <v>88.033333333333317</v>
      </c>
      <c r="V208" s="12">
        <f>paper3[[#This Row],[height]]-paper3[[#This Row],[sittingheight]]</f>
        <v>80.266666666666694</v>
      </c>
      <c r="W208" s="73">
        <v>62.7</v>
      </c>
      <c r="X208" s="43" cm="1">
        <f t="array" ref="X208">INDEX([1]!phvny[yphv], MATCH(1, (paper3[[#This Row],[id]]=[1]!phvny[id])*(paper3[[#This Row],[time]]=[1]!phvny[time]), 0))</f>
        <v>3.5204715007320271</v>
      </c>
      <c r="Y208" s="60">
        <v>2.1</v>
      </c>
      <c r="Z208" s="60">
        <v>3.58</v>
      </c>
      <c r="AA208" s="60">
        <v>5.01</v>
      </c>
      <c r="AB208" s="3">
        <v>2.08</v>
      </c>
      <c r="AC208" s="3">
        <v>3.56</v>
      </c>
      <c r="AD208" s="3">
        <v>5.0199999999999996</v>
      </c>
      <c r="AE208" s="3">
        <v>2.11</v>
      </c>
      <c r="AF208" s="3">
        <v>3.62</v>
      </c>
      <c r="AG208" s="3">
        <v>5.13</v>
      </c>
      <c r="AH208" s="44">
        <v>2.08</v>
      </c>
      <c r="AI208" s="44">
        <v>3.56</v>
      </c>
      <c r="AJ208" s="44">
        <v>5.01</v>
      </c>
      <c r="AK208" s="45">
        <v>6.8965517241379324</v>
      </c>
      <c r="AL208" s="3">
        <v>10.89</v>
      </c>
      <c r="AM208" s="3">
        <v>10.79</v>
      </c>
      <c r="AN208" s="57">
        <v>10.9</v>
      </c>
      <c r="AO208" s="57">
        <v>10.84</v>
      </c>
      <c r="AP208" s="3">
        <v>10.79</v>
      </c>
      <c r="AQ208" s="47">
        <v>10.79</v>
      </c>
      <c r="AR208" s="47">
        <v>10.84</v>
      </c>
      <c r="AS208" s="3">
        <v>26.99</v>
      </c>
      <c r="AT208" s="3">
        <v>24.9</v>
      </c>
      <c r="AU208" s="3">
        <v>27.91</v>
      </c>
      <c r="AV208" s="3"/>
      <c r="AW208" s="3"/>
      <c r="AX208" s="48">
        <v>27.91</v>
      </c>
      <c r="AY208" s="3"/>
      <c r="AZ208" s="3">
        <v>9</v>
      </c>
      <c r="BA208" s="3">
        <v>260</v>
      </c>
      <c r="BB208" s="3">
        <v>10</v>
      </c>
      <c r="BC208" s="3">
        <v>284</v>
      </c>
      <c r="BD208" s="89">
        <v>1149.9225923895747</v>
      </c>
      <c r="BE208" s="89">
        <v>1136.2579213918016</v>
      </c>
      <c r="BF208" s="40"/>
      <c r="BG208" s="40">
        <v>417.39168629240811</v>
      </c>
      <c r="BH208" s="40">
        <v>422.25505692419603</v>
      </c>
      <c r="BI208" s="49">
        <v>2286.1805137813762</v>
      </c>
      <c r="BJ208" s="49">
        <v>839.64674321660414</v>
      </c>
      <c r="BK208" s="66">
        <v>1.2026029249622594E-2</v>
      </c>
      <c r="BL208" s="66">
        <v>-1.1517613707728747E-2</v>
      </c>
      <c r="BM208" s="51">
        <v>36.462209151218119</v>
      </c>
      <c r="BN208" s="51">
        <v>13.391495107122873</v>
      </c>
      <c r="BO208" s="52">
        <v>249</v>
      </c>
      <c r="BP208" s="89">
        <v>233</v>
      </c>
      <c r="BQ208" s="89">
        <v>249</v>
      </c>
      <c r="BR208" s="67">
        <v>-6.4257028112449821E-2</v>
      </c>
      <c r="BS208" s="54">
        <v>3.8437001594896332</v>
      </c>
      <c r="BT208" s="57">
        <v>120</v>
      </c>
      <c r="BU208" s="89">
        <v>119</v>
      </c>
      <c r="BV208" s="57">
        <v>140</v>
      </c>
      <c r="BW208" s="57">
        <v>137</v>
      </c>
      <c r="BX208" s="70">
        <v>8.4033613445377853E-3</v>
      </c>
      <c r="BY208" s="70">
        <v>2.1897810218978186E-2</v>
      </c>
      <c r="BZ208" s="59">
        <v>0.86861313868613144</v>
      </c>
      <c r="CA208" s="59">
        <v>0.8571428571428571</v>
      </c>
      <c r="CB208" s="59">
        <v>1.5298032961190862</v>
      </c>
      <c r="CC208" s="59">
        <v>1.7730356193514094</v>
      </c>
      <c r="CD208" s="60">
        <v>83</v>
      </c>
      <c r="CE208" s="60">
        <v>90</v>
      </c>
      <c r="CF208" s="61">
        <v>1.3237639553429026</v>
      </c>
      <c r="CG208" s="61">
        <v>1.4354066985645932</v>
      </c>
      <c r="CH208" s="61">
        <v>1.0843373493975905</v>
      </c>
      <c r="CI208" s="41"/>
      <c r="CJ208" s="40"/>
      <c r="CK208" s="3"/>
      <c r="CL208" s="62"/>
      <c r="CM208" s="63" t="s">
        <v>110</v>
      </c>
      <c r="CN208" s="3">
        <v>120</v>
      </c>
      <c r="CO208" s="3">
        <v>140</v>
      </c>
      <c r="CP208" s="41">
        <v>16.600000000000001</v>
      </c>
      <c r="CQ208" s="3" t="s">
        <v>110</v>
      </c>
      <c r="CR208" s="40">
        <v>119.5</v>
      </c>
      <c r="CS208" s="40">
        <v>138.5</v>
      </c>
      <c r="CT208" s="40">
        <v>241</v>
      </c>
      <c r="CU208" s="40"/>
      <c r="CV208" s="40"/>
      <c r="CW208" s="40"/>
      <c r="CX208" s="40"/>
      <c r="CY208" s="40">
        <v>0</v>
      </c>
      <c r="CZ208" s="40"/>
      <c r="DA208" s="40"/>
    </row>
    <row r="209" spans="1:105" ht="15.95" customHeight="1">
      <c r="A209" s="3">
        <v>478</v>
      </c>
      <c r="B209" s="38" t="s">
        <v>103</v>
      </c>
      <c r="C209" s="3" t="s">
        <v>104</v>
      </c>
      <c r="D209" s="3" t="s">
        <v>105</v>
      </c>
      <c r="E209" s="39">
        <v>44679</v>
      </c>
      <c r="F209" s="3" t="s">
        <v>186</v>
      </c>
      <c r="G209" s="3" t="s">
        <v>107</v>
      </c>
      <c r="H209" s="3">
        <v>2005</v>
      </c>
      <c r="I209" s="40" t="s">
        <v>121</v>
      </c>
      <c r="J209" s="39" t="s">
        <v>120</v>
      </c>
      <c r="K209" s="3">
        <v>184</v>
      </c>
      <c r="L209" s="3">
        <v>184</v>
      </c>
      <c r="M209" s="3"/>
      <c r="N209" s="3">
        <v>149.5</v>
      </c>
      <c r="O209" s="3">
        <v>149.1</v>
      </c>
      <c r="P209" s="3">
        <v>149.30000000000001</v>
      </c>
      <c r="Q209" s="3">
        <v>85.4</v>
      </c>
      <c r="R209" s="3"/>
      <c r="S209" s="3"/>
      <c r="T209" s="42">
        <v>184</v>
      </c>
      <c r="U209" s="42">
        <f>AVERAGE(paper3[[#This Row],[Sittende høyde 1]:[Sittende høyde 3]])-56.2</f>
        <v>93.100000000000009</v>
      </c>
      <c r="V209" s="12">
        <f>paper3[[#This Row],[height]]-paper3[[#This Row],[sittingheight]]</f>
        <v>90.899999999999991</v>
      </c>
      <c r="W209" s="73">
        <v>85.4</v>
      </c>
      <c r="X209" s="43" cm="1">
        <f t="array" ref="X209">INDEX([1]!phvny[yphv], MATCH(1, (paper3[[#This Row],[id]]=[1]!phvny[id])*(paper3[[#This Row],[time]]=[1]!phvny[time]), 0))</f>
        <v>4.3572521877826089</v>
      </c>
      <c r="Y209" s="60">
        <v>2.0499999999999998</v>
      </c>
      <c r="Z209" s="60">
        <v>3.43</v>
      </c>
      <c r="AA209" s="60">
        <v>4.7300000000000004</v>
      </c>
      <c r="AB209" s="3">
        <v>1.96</v>
      </c>
      <c r="AC209" s="3">
        <v>3.35</v>
      </c>
      <c r="AD209" s="3">
        <v>4.67</v>
      </c>
      <c r="AE209" s="3">
        <v>1.97</v>
      </c>
      <c r="AF209" s="3">
        <v>3.36</v>
      </c>
      <c r="AG209" s="3">
        <v>4.6900000000000004</v>
      </c>
      <c r="AH209" s="44">
        <v>1.96</v>
      </c>
      <c r="AI209" s="44">
        <v>3.35</v>
      </c>
      <c r="AJ209" s="44">
        <v>4.67</v>
      </c>
      <c r="AK209" s="45">
        <v>7.575757575757577</v>
      </c>
      <c r="AL209" s="3">
        <v>10.32</v>
      </c>
      <c r="AM209" s="3">
        <v>10.130000000000001</v>
      </c>
      <c r="AN209" s="3">
        <v>10.56</v>
      </c>
      <c r="AO209" s="3">
        <v>10.47</v>
      </c>
      <c r="AP209" s="3">
        <v>10.130000000000001</v>
      </c>
      <c r="AQ209" s="47">
        <v>10.130000000000001</v>
      </c>
      <c r="AR209" s="47">
        <v>10.47</v>
      </c>
      <c r="AS209" s="3">
        <v>29.02</v>
      </c>
      <c r="AT209" s="3">
        <v>28.99</v>
      </c>
      <c r="AU209" s="3">
        <v>28.55</v>
      </c>
      <c r="AV209" s="3"/>
      <c r="AW209" s="3"/>
      <c r="AX209" s="48">
        <v>29.02</v>
      </c>
      <c r="AY209" s="3"/>
      <c r="AZ209" s="3">
        <v>12</v>
      </c>
      <c r="BA209" s="3">
        <v>280</v>
      </c>
      <c r="BB209" s="3">
        <v>13</v>
      </c>
      <c r="BC209" s="3">
        <v>384</v>
      </c>
      <c r="BD209" s="40">
        <v>1827.329354495962</v>
      </c>
      <c r="BE209" s="40">
        <v>1945.6582531623376</v>
      </c>
      <c r="BF209" s="40"/>
      <c r="BG209" s="40">
        <v>585.11958410811621</v>
      </c>
      <c r="BH209" s="40">
        <v>641.45729225685977</v>
      </c>
      <c r="BI209" s="49">
        <v>3772.9876076582996</v>
      </c>
      <c r="BJ209" s="49">
        <v>1226.576876364976</v>
      </c>
      <c r="BK209" s="66">
        <v>-6.0816897558475191E-2</v>
      </c>
      <c r="BL209" s="66">
        <v>-8.7827683664689182E-2</v>
      </c>
      <c r="BM209" s="51">
        <v>44.180182759464863</v>
      </c>
      <c r="BN209" s="51">
        <v>14.362726889519625</v>
      </c>
      <c r="BO209" s="52">
        <v>408</v>
      </c>
      <c r="BP209" s="40">
        <v>408</v>
      </c>
      <c r="BQ209" s="40">
        <v>341</v>
      </c>
      <c r="BR209" s="67">
        <v>0.19648093841642233</v>
      </c>
      <c r="BS209" s="54">
        <v>4.3852459016393439</v>
      </c>
      <c r="BT209" s="3">
        <v>137</v>
      </c>
      <c r="BU209" s="40">
        <v>133</v>
      </c>
      <c r="BV209" s="3">
        <v>147</v>
      </c>
      <c r="BW209" s="3">
        <v>141</v>
      </c>
      <c r="BX209" s="70">
        <v>3.007518796992481E-2</v>
      </c>
      <c r="BY209" s="70">
        <v>4.2553191489361764E-2</v>
      </c>
      <c r="BZ209" s="59">
        <v>0.94326241134751776</v>
      </c>
      <c r="CA209" s="59">
        <v>0.93197278911564629</v>
      </c>
      <c r="CB209" s="59">
        <v>1.4369437939110068</v>
      </c>
      <c r="CC209" s="59">
        <v>1.5327400468384071</v>
      </c>
      <c r="CD209" s="60">
        <v>114</v>
      </c>
      <c r="CE209" s="60">
        <v>112</v>
      </c>
      <c r="CF209" s="61">
        <v>1.3348946135831381</v>
      </c>
      <c r="CG209" s="61">
        <v>1.3114754098360655</v>
      </c>
      <c r="CH209" s="61">
        <v>0.98245614035087714</v>
      </c>
      <c r="CI209" s="41">
        <v>16.100000000000001</v>
      </c>
      <c r="CJ209" s="40">
        <f>VLOOKUP(paper3[[#This Row],[YYIR nivå]],$DB:$DC,2)</f>
        <v>1120</v>
      </c>
      <c r="CK209" s="3" t="s">
        <v>194</v>
      </c>
      <c r="CL209" s="62"/>
      <c r="CM209" s="63" t="s">
        <v>110</v>
      </c>
      <c r="CN209" s="3">
        <v>137</v>
      </c>
      <c r="CO209" s="3">
        <v>147</v>
      </c>
      <c r="CP209" s="41">
        <v>16.583333333333332</v>
      </c>
      <c r="CQ209" s="3" t="s">
        <v>110</v>
      </c>
      <c r="CR209" s="40">
        <v>135</v>
      </c>
      <c r="CS209" s="40">
        <v>144</v>
      </c>
      <c r="CT209" s="40">
        <v>374.5</v>
      </c>
      <c r="CU209" s="40"/>
      <c r="CV209" s="40"/>
      <c r="CW209" s="40"/>
      <c r="CX209" s="40"/>
      <c r="CY209" s="40">
        <v>0</v>
      </c>
      <c r="CZ209" s="40"/>
      <c r="DA209" s="40"/>
    </row>
    <row r="210" spans="1:105" ht="15.95" customHeight="1">
      <c r="A210" s="3">
        <v>479</v>
      </c>
      <c r="B210" s="38" t="s">
        <v>103</v>
      </c>
      <c r="C210" s="3" t="s">
        <v>171</v>
      </c>
      <c r="D210" s="3" t="s">
        <v>105</v>
      </c>
      <c r="E210" s="39">
        <v>44679</v>
      </c>
      <c r="F210" s="3" t="s">
        <v>186</v>
      </c>
      <c r="G210" s="3" t="s">
        <v>107</v>
      </c>
      <c r="H210" s="3">
        <v>2005</v>
      </c>
      <c r="I210" s="40" t="s">
        <v>121</v>
      </c>
      <c r="J210" s="39" t="s">
        <v>120</v>
      </c>
      <c r="K210" s="3">
        <v>174</v>
      </c>
      <c r="L210" s="3">
        <v>174.1</v>
      </c>
      <c r="M210" s="3"/>
      <c r="N210" s="3">
        <v>144.6</v>
      </c>
      <c r="O210" s="3">
        <v>144.5</v>
      </c>
      <c r="P210" s="3"/>
      <c r="Q210" s="3">
        <v>69.7</v>
      </c>
      <c r="R210" s="3"/>
      <c r="S210" s="3"/>
      <c r="T210" s="42">
        <v>174.05</v>
      </c>
      <c r="U210" s="42">
        <f>AVERAGE(paper3[[#This Row],[Sittende høyde 1]:[Sittende høyde 3]])-56.2</f>
        <v>88.350000000000009</v>
      </c>
      <c r="V210" s="12">
        <f>paper3[[#This Row],[height]]-paper3[[#This Row],[sittingheight]]</f>
        <v>85.7</v>
      </c>
      <c r="W210" s="73">
        <v>69.7</v>
      </c>
      <c r="X210" s="43" cm="1">
        <f t="array" ref="X210">INDEX([1]!phvny[yphv], MATCH(1, (paper3[[#This Row],[id]]=[1]!phvny[id])*(paper3[[#This Row],[time]]=[1]!phvny[time]), 0))</f>
        <v>3.9395623500980648</v>
      </c>
      <c r="Y210" s="60">
        <v>2.06</v>
      </c>
      <c r="Z210" s="60">
        <v>3.53</v>
      </c>
      <c r="AA210" s="60">
        <v>4.95</v>
      </c>
      <c r="AB210" s="3">
        <v>2.09</v>
      </c>
      <c r="AC210" s="3">
        <v>3.56</v>
      </c>
      <c r="AD210" s="3">
        <v>4.95</v>
      </c>
      <c r="AE210" s="3">
        <v>2.12</v>
      </c>
      <c r="AF210" s="3">
        <v>3.58</v>
      </c>
      <c r="AG210" s="3">
        <v>4.96</v>
      </c>
      <c r="AH210" s="44">
        <v>2.06</v>
      </c>
      <c r="AI210" s="44">
        <v>3.53</v>
      </c>
      <c r="AJ210" s="44">
        <v>4.95</v>
      </c>
      <c r="AK210" s="45">
        <v>7.0422535211267583</v>
      </c>
      <c r="AL210" s="3">
        <v>11.23</v>
      </c>
      <c r="AM210" s="3">
        <v>11.36</v>
      </c>
      <c r="AN210" s="3">
        <v>11.35</v>
      </c>
      <c r="AO210" s="3">
        <v>11.42</v>
      </c>
      <c r="AP210" s="3">
        <v>11.23</v>
      </c>
      <c r="AQ210" s="47">
        <v>11.23</v>
      </c>
      <c r="AR210" s="47">
        <v>11.35</v>
      </c>
      <c r="AS210" s="3">
        <v>25.11</v>
      </c>
      <c r="AT210" s="3">
        <v>24.58</v>
      </c>
      <c r="AU210" s="3">
        <v>23</v>
      </c>
      <c r="AV210" s="3"/>
      <c r="AW210" s="3"/>
      <c r="AX210" s="48">
        <v>25.11</v>
      </c>
      <c r="AY210" s="3"/>
      <c r="AZ210" s="3">
        <v>10</v>
      </c>
      <c r="BA210" s="3">
        <v>280</v>
      </c>
      <c r="BB210" s="3">
        <v>9</v>
      </c>
      <c r="BC210" s="3">
        <v>279</v>
      </c>
      <c r="BD210" s="40">
        <v>1214.6794782181073</v>
      </c>
      <c r="BE210" s="40">
        <v>1256.4834726814097</v>
      </c>
      <c r="BF210" s="40"/>
      <c r="BG210" s="40">
        <v>444.88757680445099</v>
      </c>
      <c r="BH210" s="40">
        <v>474.75352382225697</v>
      </c>
      <c r="BI210" s="49">
        <v>2471.162950899517</v>
      </c>
      <c r="BJ210" s="49">
        <v>919.64110062670795</v>
      </c>
      <c r="BK210" s="66">
        <v>-3.3270628203401875E-2</v>
      </c>
      <c r="BL210" s="66">
        <v>-6.2908320884812463E-2</v>
      </c>
      <c r="BM210" s="51">
        <v>35.45427476182951</v>
      </c>
      <c r="BN210" s="51">
        <v>13.194276909995809</v>
      </c>
      <c r="BO210" s="52">
        <v>277</v>
      </c>
      <c r="BP210" s="40">
        <v>277</v>
      </c>
      <c r="BQ210" s="40">
        <v>252</v>
      </c>
      <c r="BR210" s="67">
        <v>9.9206349206349298E-2</v>
      </c>
      <c r="BS210" s="54">
        <v>3.7948350071736008</v>
      </c>
      <c r="BT210" s="3">
        <v>133</v>
      </c>
      <c r="BU210" s="40">
        <v>133</v>
      </c>
      <c r="BV210" s="3">
        <v>115</v>
      </c>
      <c r="BW210" s="3">
        <v>123</v>
      </c>
      <c r="BX210" s="70">
        <v>0</v>
      </c>
      <c r="BY210" s="70">
        <v>-6.5040650406504086E-2</v>
      </c>
      <c r="BZ210" s="59">
        <v>1.0813008130081301</v>
      </c>
      <c r="CA210" s="59">
        <v>1.1565217391304348</v>
      </c>
      <c r="CB210" s="59">
        <v>1.6353084648493543</v>
      </c>
      <c r="CC210" s="59">
        <v>1.463170731707317</v>
      </c>
      <c r="CD210" s="60">
        <v>87</v>
      </c>
      <c r="CE210" s="60">
        <v>98</v>
      </c>
      <c r="CF210" s="61">
        <v>1.2482065997130558</v>
      </c>
      <c r="CG210" s="61">
        <v>1.406025824964132</v>
      </c>
      <c r="CH210" s="61">
        <v>1.1264367816091956</v>
      </c>
      <c r="CI210" s="41"/>
      <c r="CJ210" s="40"/>
      <c r="CK210" s="3"/>
      <c r="CL210" s="62"/>
      <c r="CM210" s="63" t="s">
        <v>110</v>
      </c>
      <c r="CN210" s="3">
        <v>133</v>
      </c>
      <c r="CO210" s="3">
        <v>123</v>
      </c>
      <c r="CP210" s="41">
        <v>16.963888888888889</v>
      </c>
      <c r="CQ210" s="3" t="s">
        <v>110</v>
      </c>
      <c r="CR210" s="40">
        <v>133</v>
      </c>
      <c r="CS210" s="40">
        <v>119</v>
      </c>
      <c r="CT210" s="40">
        <v>264.5</v>
      </c>
      <c r="CU210" s="40"/>
      <c r="CV210" s="40"/>
      <c r="CW210" s="40"/>
      <c r="CX210" s="40"/>
      <c r="CY210" s="40">
        <v>0</v>
      </c>
      <c r="CZ210" s="40"/>
      <c r="DA210" s="40"/>
    </row>
    <row r="211" spans="1:105" ht="15.95" customHeight="1">
      <c r="A211" s="3">
        <v>480</v>
      </c>
      <c r="B211" s="38" t="s">
        <v>103</v>
      </c>
      <c r="C211" s="3" t="s">
        <v>115</v>
      </c>
      <c r="D211" s="3" t="s">
        <v>105</v>
      </c>
      <c r="E211" s="39">
        <v>44684</v>
      </c>
      <c r="F211" s="3" t="s">
        <v>186</v>
      </c>
      <c r="G211" s="3" t="s">
        <v>122</v>
      </c>
      <c r="H211" s="3">
        <v>2007</v>
      </c>
      <c r="I211" s="40" t="s">
        <v>116</v>
      </c>
      <c r="J211" s="39" t="s">
        <v>157</v>
      </c>
      <c r="K211" s="3">
        <v>177.1</v>
      </c>
      <c r="L211" s="3">
        <v>177.1</v>
      </c>
      <c r="M211" s="3"/>
      <c r="N211" s="3">
        <v>142.19999999999999</v>
      </c>
      <c r="O211" s="3">
        <v>142.1</v>
      </c>
      <c r="P211" s="3"/>
      <c r="Q211" s="3">
        <v>61.7</v>
      </c>
      <c r="R211" s="3"/>
      <c r="S211" s="3"/>
      <c r="T211" s="42">
        <v>177.1</v>
      </c>
      <c r="U211" s="42">
        <f>AVERAGE(paper3[[#This Row],[Sittende høyde 1]:[Sittende høyde 3]])-56.2</f>
        <v>85.949999999999974</v>
      </c>
      <c r="V211" s="12">
        <f>paper3[[#This Row],[height]]-paper3[[#This Row],[sittingheight]]</f>
        <v>91.15000000000002</v>
      </c>
      <c r="W211" s="73">
        <v>61.7</v>
      </c>
      <c r="X211" s="43" cm="1">
        <f t="array" ref="X211">INDEX([1]!phvny[yphv], MATCH(1, (paper3[[#This Row],[id]]=[1]!phvny[id])*(paper3[[#This Row],[time]]=[1]!phvny[time]), 0))</f>
        <v>0.49354573340891605</v>
      </c>
      <c r="Y211" s="3">
        <v>1.84</v>
      </c>
      <c r="Z211" s="3">
        <v>3.14</v>
      </c>
      <c r="AA211" s="60">
        <v>4.4000000000000004</v>
      </c>
      <c r="AB211" s="3">
        <v>1.83</v>
      </c>
      <c r="AC211" s="3">
        <v>3.1</v>
      </c>
      <c r="AD211" s="3">
        <v>4.41</v>
      </c>
      <c r="AE211" s="3">
        <v>1.81</v>
      </c>
      <c r="AF211" s="3">
        <v>3.1</v>
      </c>
      <c r="AG211" s="60">
        <v>4.4000000000000004</v>
      </c>
      <c r="AH211" s="44">
        <v>1.81</v>
      </c>
      <c r="AI211" s="44">
        <v>3.1</v>
      </c>
      <c r="AJ211" s="45">
        <v>4.4000000000000004</v>
      </c>
      <c r="AK211" s="45">
        <v>7.6923076923076907</v>
      </c>
      <c r="AL211" s="60">
        <v>9.67</v>
      </c>
      <c r="AM211" s="60">
        <v>9.19</v>
      </c>
      <c r="AN211" s="60">
        <v>9.49</v>
      </c>
      <c r="AO211" s="60">
        <v>9.43</v>
      </c>
      <c r="AP211" s="3">
        <v>9.19</v>
      </c>
      <c r="AQ211" s="47">
        <v>9.19</v>
      </c>
      <c r="AR211" s="47">
        <v>9.43</v>
      </c>
      <c r="AS211" s="3">
        <v>38.479999999999997</v>
      </c>
      <c r="AT211" s="3">
        <v>44.17</v>
      </c>
      <c r="AU211" s="3">
        <v>39.72</v>
      </c>
      <c r="AV211" s="3"/>
      <c r="AW211" s="3"/>
      <c r="AX211" s="48">
        <v>44.17</v>
      </c>
      <c r="AY211" s="3"/>
      <c r="AZ211" s="3">
        <v>9</v>
      </c>
      <c r="BA211" s="3">
        <v>270</v>
      </c>
      <c r="BB211" s="3">
        <v>9</v>
      </c>
      <c r="BC211" s="3">
        <v>259</v>
      </c>
      <c r="BD211" s="40">
        <v>1082.9659270631691</v>
      </c>
      <c r="BE211" s="40">
        <v>1037.9234573983631</v>
      </c>
      <c r="BF211" s="40"/>
      <c r="BG211" s="40">
        <v>497.03126522246464</v>
      </c>
      <c r="BH211" s="40">
        <v>470.11437502547699</v>
      </c>
      <c r="BI211" s="49">
        <v>2120.8893844615322</v>
      </c>
      <c r="BJ211" s="49">
        <v>967.14564024794163</v>
      </c>
      <c r="BK211" s="66">
        <v>4.3396716148711434E-2</v>
      </c>
      <c r="BL211" s="66">
        <v>5.7256045819762402E-2</v>
      </c>
      <c r="BM211" s="51">
        <v>34.374220169554818</v>
      </c>
      <c r="BN211" s="51">
        <v>15.674969858151403</v>
      </c>
      <c r="BO211" s="52">
        <v>259</v>
      </c>
      <c r="BP211" s="40">
        <v>259</v>
      </c>
      <c r="BQ211" s="40">
        <v>248</v>
      </c>
      <c r="BR211" s="67">
        <v>4.4354838709677491E-2</v>
      </c>
      <c r="BS211" s="54">
        <v>4.1085899513776338</v>
      </c>
      <c r="BT211" s="3">
        <v>193</v>
      </c>
      <c r="BU211" s="40">
        <v>189</v>
      </c>
      <c r="BV211" s="3">
        <v>167</v>
      </c>
      <c r="BW211" s="3">
        <v>160</v>
      </c>
      <c r="BX211" s="70">
        <v>2.1164021164021163E-2</v>
      </c>
      <c r="BY211" s="70">
        <v>4.3749999999999956E-2</v>
      </c>
      <c r="BZ211" s="59">
        <v>1.1812499999999999</v>
      </c>
      <c r="CA211" s="59">
        <v>1.1556886227544909</v>
      </c>
      <c r="CB211" s="59">
        <v>2.821661264181524</v>
      </c>
      <c r="CC211" s="59">
        <v>2.4154011345218804</v>
      </c>
      <c r="CD211" s="60">
        <v>108</v>
      </c>
      <c r="CE211" s="60">
        <v>107</v>
      </c>
      <c r="CF211" s="61">
        <v>1.7504051863857373</v>
      </c>
      <c r="CG211" s="61">
        <v>1.7341977309562397</v>
      </c>
      <c r="CH211" s="61">
        <v>0.99074074074074081</v>
      </c>
      <c r="CI211" s="41">
        <v>16.3</v>
      </c>
      <c r="CJ211" s="40">
        <f>VLOOKUP(paper3[[#This Row],[YYIR nivå]],$DB:$DC,2)</f>
        <v>1200</v>
      </c>
      <c r="CK211" s="3" t="s">
        <v>188</v>
      </c>
      <c r="CL211" s="62"/>
      <c r="CM211" s="63" t="s">
        <v>110</v>
      </c>
      <c r="CN211" s="3">
        <v>193</v>
      </c>
      <c r="CO211" s="3">
        <v>167</v>
      </c>
      <c r="CP211" s="41">
        <v>14.530555555555555</v>
      </c>
      <c r="CQ211" s="3" t="s">
        <v>110</v>
      </c>
      <c r="CR211" s="40">
        <v>191</v>
      </c>
      <c r="CS211" s="40">
        <v>163.5</v>
      </c>
      <c r="CT211" s="40">
        <v>253.5</v>
      </c>
      <c r="CU211" s="40"/>
      <c r="CV211" s="40"/>
      <c r="CW211" s="40"/>
      <c r="CX211" s="40"/>
      <c r="CY211" s="40">
        <v>0</v>
      </c>
      <c r="CZ211" s="40"/>
      <c r="DA211" s="40"/>
    </row>
    <row r="212" spans="1:105" ht="15.95" customHeight="1">
      <c r="A212" s="3">
        <v>482</v>
      </c>
      <c r="B212" s="38" t="s">
        <v>103</v>
      </c>
      <c r="C212" s="3" t="s">
        <v>115</v>
      </c>
      <c r="D212" s="3" t="s">
        <v>105</v>
      </c>
      <c r="E212" s="39">
        <v>44684</v>
      </c>
      <c r="F212" s="3" t="s">
        <v>186</v>
      </c>
      <c r="G212" s="3" t="s">
        <v>122</v>
      </c>
      <c r="H212" s="3">
        <v>2007</v>
      </c>
      <c r="I212" s="40" t="s">
        <v>116</v>
      </c>
      <c r="J212" s="39" t="s">
        <v>157</v>
      </c>
      <c r="K212" s="3">
        <v>192.4</v>
      </c>
      <c r="L212" s="3">
        <v>192.4</v>
      </c>
      <c r="M212" s="3"/>
      <c r="N212" s="3">
        <v>156.9</v>
      </c>
      <c r="O212" s="3">
        <v>156.80000000000001</v>
      </c>
      <c r="P212" s="3"/>
      <c r="Q212" s="3">
        <v>89.6</v>
      </c>
      <c r="R212" s="3">
        <v>89.6</v>
      </c>
      <c r="S212" s="3"/>
      <c r="T212" s="42">
        <v>192.4</v>
      </c>
      <c r="U212" s="42">
        <f>AVERAGE(paper3[[#This Row],[Sittende høyde 1]:[Sittende høyde 3]])-56.2</f>
        <v>100.65000000000002</v>
      </c>
      <c r="V212" s="12">
        <f>paper3[[#This Row],[height]]-paper3[[#This Row],[sittingheight]]</f>
        <v>91.749999999999986</v>
      </c>
      <c r="W212" s="73">
        <v>89.6</v>
      </c>
      <c r="X212" s="43" cm="1">
        <f t="array" ref="X212">INDEX([1]!phvny[yphv], MATCH(1, (paper3[[#This Row],[id]]=[1]!phvny[id])*(paper3[[#This Row],[time]]=[1]!phvny[time]), 0))</f>
        <v>3.8203654439312293</v>
      </c>
      <c r="Y212" s="60">
        <v>1.96</v>
      </c>
      <c r="Z212" s="60">
        <v>3.33</v>
      </c>
      <c r="AA212" s="60">
        <v>4.63</v>
      </c>
      <c r="AB212" s="3">
        <v>1.97</v>
      </c>
      <c r="AC212" s="3">
        <v>3.33</v>
      </c>
      <c r="AD212" s="60">
        <v>4.68</v>
      </c>
      <c r="AE212" s="3">
        <v>2.0099999999999998</v>
      </c>
      <c r="AF212" s="3">
        <v>3.38</v>
      </c>
      <c r="AG212" s="60">
        <v>4.72</v>
      </c>
      <c r="AH212" s="44">
        <v>1.96</v>
      </c>
      <c r="AI212" s="44">
        <v>3.33</v>
      </c>
      <c r="AJ212" s="45">
        <v>4.63</v>
      </c>
      <c r="AK212" s="45">
        <v>7.6923076923076934</v>
      </c>
      <c r="AL212" s="60">
        <v>10.3</v>
      </c>
      <c r="AM212" s="60">
        <v>10.25</v>
      </c>
      <c r="AN212" s="60">
        <v>10.83</v>
      </c>
      <c r="AO212" s="60">
        <v>10.62</v>
      </c>
      <c r="AP212" s="3">
        <v>10.25</v>
      </c>
      <c r="AQ212" s="47">
        <v>10.25</v>
      </c>
      <c r="AR212" s="47">
        <v>10.62</v>
      </c>
      <c r="AS212" s="3">
        <v>30.25</v>
      </c>
      <c r="AT212" s="3">
        <v>27.58</v>
      </c>
      <c r="AU212" s="3">
        <v>30.43</v>
      </c>
      <c r="AV212" s="3">
        <v>30.65</v>
      </c>
      <c r="AW212" s="3"/>
      <c r="AX212" s="48">
        <v>30.65</v>
      </c>
      <c r="AY212" s="3"/>
      <c r="AZ212" s="3">
        <v>11</v>
      </c>
      <c r="BA212" s="3">
        <v>290</v>
      </c>
      <c r="BB212" s="3">
        <v>10</v>
      </c>
      <c r="BC212" s="3">
        <v>317</v>
      </c>
      <c r="BD212" s="40">
        <v>1341.9534290754727</v>
      </c>
      <c r="BE212" s="40">
        <v>1353.3221795005416</v>
      </c>
      <c r="BF212" s="40"/>
      <c r="BG212" s="40">
        <v>734.58724621478393</v>
      </c>
      <c r="BH212" s="40">
        <v>687.5298203979163</v>
      </c>
      <c r="BI212" s="49">
        <v>2695.2756085760143</v>
      </c>
      <c r="BJ212" s="49">
        <v>1422.1170666127002</v>
      </c>
      <c r="BK212" s="66">
        <v>-8.4006237371093695E-3</v>
      </c>
      <c r="BL212" s="66">
        <v>6.8444196049027406E-2</v>
      </c>
      <c r="BM212" s="51">
        <v>30.081200988571592</v>
      </c>
      <c r="BN212" s="51">
        <v>15.87184226130246</v>
      </c>
      <c r="BO212" s="52">
        <v>404</v>
      </c>
      <c r="BP212" s="40">
        <v>381</v>
      </c>
      <c r="BQ212" s="40">
        <v>404</v>
      </c>
      <c r="BR212" s="67">
        <v>-5.6930693069306981E-2</v>
      </c>
      <c r="BS212" s="54">
        <v>4.3805803571428577</v>
      </c>
      <c r="BT212" s="3">
        <v>175</v>
      </c>
      <c r="BU212" s="40">
        <v>214</v>
      </c>
      <c r="BV212" s="3">
        <v>159</v>
      </c>
      <c r="BW212" s="3">
        <v>156</v>
      </c>
      <c r="BX212" s="70">
        <v>-0.18224299065420557</v>
      </c>
      <c r="BY212" s="70">
        <v>1.9230769230769162E-2</v>
      </c>
      <c r="BZ212" s="59">
        <v>1.3717948717948718</v>
      </c>
      <c r="CA212" s="59">
        <v>1.10062893081761</v>
      </c>
      <c r="CB212" s="59">
        <v>1.9916713169642857</v>
      </c>
      <c r="CC212" s="59">
        <v>1.6127929687499998</v>
      </c>
      <c r="CD212" s="60">
        <v>145</v>
      </c>
      <c r="CE212" s="60">
        <v>169</v>
      </c>
      <c r="CF212" s="61">
        <v>1.6183035714285716</v>
      </c>
      <c r="CG212" s="61">
        <v>1.8861607142857144</v>
      </c>
      <c r="CH212" s="61">
        <v>1.1655172413793102</v>
      </c>
      <c r="CI212" s="41">
        <v>15.2</v>
      </c>
      <c r="CJ212" s="40">
        <f>VLOOKUP(paper3[[#This Row],[YYIR nivå]],$DB:$DC,2)</f>
        <v>840</v>
      </c>
      <c r="CK212" s="3"/>
      <c r="CL212" s="62"/>
      <c r="CM212" s="63" t="s">
        <v>110</v>
      </c>
      <c r="CN212" s="3">
        <v>214</v>
      </c>
      <c r="CO212" s="3">
        <v>159</v>
      </c>
      <c r="CP212" s="41">
        <v>15.111111111111111</v>
      </c>
      <c r="CQ212" s="3" t="s">
        <v>110</v>
      </c>
      <c r="CR212" s="40">
        <v>194.5</v>
      </c>
      <c r="CS212" s="40">
        <v>157.5</v>
      </c>
      <c r="CT212" s="40">
        <v>392.5</v>
      </c>
      <c r="CU212" s="40"/>
      <c r="CV212" s="40"/>
      <c r="CW212" s="40"/>
      <c r="CX212" s="40"/>
      <c r="CY212" s="40">
        <v>0</v>
      </c>
      <c r="CZ212" s="40"/>
      <c r="DA212" s="40"/>
    </row>
    <row r="213" spans="1:105" ht="15.95" customHeight="1">
      <c r="A213" s="3">
        <v>482</v>
      </c>
      <c r="B213" s="38" t="s">
        <v>103</v>
      </c>
      <c r="C213" s="3" t="s">
        <v>115</v>
      </c>
      <c r="D213" s="3" t="s">
        <v>105</v>
      </c>
      <c r="E213" s="39">
        <v>45043</v>
      </c>
      <c r="F213" s="3" t="s">
        <v>186</v>
      </c>
      <c r="G213" s="3" t="s">
        <v>122</v>
      </c>
      <c r="H213" s="3">
        <v>2007</v>
      </c>
      <c r="I213" s="40" t="s">
        <v>116</v>
      </c>
      <c r="J213" s="39" t="s">
        <v>157</v>
      </c>
      <c r="K213" s="3">
        <v>192.6</v>
      </c>
      <c r="L213" s="3">
        <v>192.5</v>
      </c>
      <c r="M213" s="3"/>
      <c r="N213" s="3">
        <v>157.69999999999999</v>
      </c>
      <c r="O213" s="3">
        <v>157.69999999999999</v>
      </c>
      <c r="P213" s="3"/>
      <c r="Q213" s="3">
        <v>101</v>
      </c>
      <c r="R213" s="3"/>
      <c r="S213" s="3"/>
      <c r="T213" s="42">
        <v>192.55</v>
      </c>
      <c r="U213" s="42">
        <f>AVERAGE(paper3[[#This Row],[Sittende høyde 1]:[Sittende høyde 3]])-56.2</f>
        <v>101.49999999999999</v>
      </c>
      <c r="V213" s="12">
        <f>paper3[[#This Row],[height]]-paper3[[#This Row],[sittingheight]]</f>
        <v>91.050000000000026</v>
      </c>
      <c r="W213" s="73">
        <v>101</v>
      </c>
      <c r="X213" s="43" cm="1">
        <f t="array" ref="X213">INDEX([1]!phvny[yphv], MATCH(1, (paper3[[#This Row],[id]]=[1]!phvny[id])*(paper3[[#This Row],[time]]=[1]!phvny[time]), 0))</f>
        <v>3.8203654439312293</v>
      </c>
      <c r="Y213" s="3">
        <v>1.93</v>
      </c>
      <c r="Z213" s="3">
        <v>3.32</v>
      </c>
      <c r="AA213" s="3">
        <v>4.63</v>
      </c>
      <c r="AB213" s="3">
        <v>1.92</v>
      </c>
      <c r="AC213" s="3">
        <v>3.3</v>
      </c>
      <c r="AD213" s="3">
        <v>4.6100000000000003</v>
      </c>
      <c r="AE213" s="3">
        <v>1.94</v>
      </c>
      <c r="AF213" s="3">
        <v>3.32</v>
      </c>
      <c r="AG213" s="3">
        <v>4.68</v>
      </c>
      <c r="AH213" s="44">
        <v>1.92</v>
      </c>
      <c r="AI213" s="44">
        <v>3.3</v>
      </c>
      <c r="AJ213" s="44">
        <v>4.6100000000000003</v>
      </c>
      <c r="AK213" s="45">
        <v>7.6335877862595387</v>
      </c>
      <c r="AL213" s="3">
        <v>10.029999999999999</v>
      </c>
      <c r="AM213" s="3">
        <v>9.9</v>
      </c>
      <c r="AN213" s="3">
        <v>10.6</v>
      </c>
      <c r="AO213" s="3">
        <v>10.37</v>
      </c>
      <c r="AP213" s="3">
        <v>9.9</v>
      </c>
      <c r="AQ213" s="47">
        <v>9.9</v>
      </c>
      <c r="AR213" s="47">
        <v>10.37</v>
      </c>
      <c r="AS213" s="3">
        <v>29.17</v>
      </c>
      <c r="AT213" s="3">
        <v>29.22</v>
      </c>
      <c r="AU213" s="3">
        <v>30.78</v>
      </c>
      <c r="AV213" s="3">
        <v>29.36</v>
      </c>
      <c r="AW213" s="3"/>
      <c r="AX213" s="48">
        <v>30.78</v>
      </c>
      <c r="AY213" s="71"/>
      <c r="AZ213" s="3">
        <v>13</v>
      </c>
      <c r="BA213" s="3">
        <v>360</v>
      </c>
      <c r="BB213" s="3"/>
      <c r="BC213" s="3"/>
      <c r="BD213" s="40">
        <v>1789.6335023826659</v>
      </c>
      <c r="BE213" s="40">
        <v>1888.8255453005665</v>
      </c>
      <c r="BF213" s="40"/>
      <c r="BG213" s="40">
        <v>834.36588644997391</v>
      </c>
      <c r="BH213" s="40">
        <v>807.1321851149562</v>
      </c>
      <c r="BI213" s="49">
        <v>3678.4590476832327</v>
      </c>
      <c r="BJ213" s="49">
        <v>1641.4980715649301</v>
      </c>
      <c r="BK213" s="66">
        <v>-5.2515195574674545E-2</v>
      </c>
      <c r="BL213" s="66">
        <v>3.3741315037683517E-2</v>
      </c>
      <c r="BM213" s="51">
        <v>36.420386610725075</v>
      </c>
      <c r="BN213" s="51">
        <v>16.25245615410822</v>
      </c>
      <c r="BO213" s="52">
        <v>413</v>
      </c>
      <c r="BP213" s="40">
        <v>413</v>
      </c>
      <c r="BQ213" s="40">
        <v>402</v>
      </c>
      <c r="BR213" s="67">
        <v>2.7363184079602032E-2</v>
      </c>
      <c r="BS213" s="54">
        <v>4.0346534653465342</v>
      </c>
      <c r="BT213" s="3">
        <v>124</v>
      </c>
      <c r="BU213" s="40">
        <v>144</v>
      </c>
      <c r="BV213" s="3">
        <v>181</v>
      </c>
      <c r="BW213" s="3">
        <v>187</v>
      </c>
      <c r="BX213" s="70">
        <v>-0.13888888888888884</v>
      </c>
      <c r="BY213" s="70">
        <v>-3.208556149732622E-2</v>
      </c>
      <c r="BZ213" s="59">
        <v>0.77005347593582885</v>
      </c>
      <c r="CA213" s="59">
        <v>0.68508287292817682</v>
      </c>
      <c r="CB213" s="59">
        <v>1.2079900990099015</v>
      </c>
      <c r="CC213" s="59">
        <v>1.6587326732673273</v>
      </c>
      <c r="CD213" s="60">
        <v>182</v>
      </c>
      <c r="CE213" s="60">
        <v>202</v>
      </c>
      <c r="CF213" s="61">
        <v>1.801980198019802</v>
      </c>
      <c r="CG213" s="61">
        <v>2</v>
      </c>
      <c r="CH213" s="61">
        <v>1.1098901098901099</v>
      </c>
      <c r="CI213" s="41"/>
      <c r="CJ213" s="40"/>
      <c r="CK213" s="3"/>
      <c r="CL213" s="62"/>
      <c r="CM213" s="63" t="s">
        <v>110</v>
      </c>
      <c r="CN213" s="3">
        <v>144</v>
      </c>
      <c r="CO213" s="3">
        <v>187</v>
      </c>
      <c r="CP213" s="41">
        <v>15.111111111111111</v>
      </c>
      <c r="CQ213" s="3" t="s">
        <v>110</v>
      </c>
      <c r="CR213" s="40">
        <v>134</v>
      </c>
      <c r="CS213" s="40">
        <v>184</v>
      </c>
      <c r="CT213" s="40">
        <v>407.5</v>
      </c>
      <c r="CU213" s="40"/>
      <c r="CV213" s="40"/>
      <c r="CW213" s="40"/>
      <c r="CX213" s="40"/>
      <c r="CY213" s="40">
        <v>0</v>
      </c>
      <c r="CZ213" s="40"/>
      <c r="DA213" s="40"/>
    </row>
    <row r="214" spans="1:105" ht="15.95" customHeight="1">
      <c r="A214" s="3">
        <v>483</v>
      </c>
      <c r="B214" s="38" t="s">
        <v>103</v>
      </c>
      <c r="C214" s="3" t="s">
        <v>115</v>
      </c>
      <c r="D214" s="3" t="s">
        <v>105</v>
      </c>
      <c r="E214" s="39">
        <v>44684</v>
      </c>
      <c r="F214" s="3" t="s">
        <v>186</v>
      </c>
      <c r="G214" s="3" t="s">
        <v>122</v>
      </c>
      <c r="H214" s="3">
        <v>2007</v>
      </c>
      <c r="I214" s="40" t="s">
        <v>116</v>
      </c>
      <c r="J214" s="39" t="s">
        <v>157</v>
      </c>
      <c r="K214" s="3">
        <v>176.5</v>
      </c>
      <c r="L214" s="3">
        <v>176.4</v>
      </c>
      <c r="M214" s="3"/>
      <c r="N214" s="3">
        <v>147.69999999999999</v>
      </c>
      <c r="O214" s="3">
        <v>147.6</v>
      </c>
      <c r="P214" s="3"/>
      <c r="Q214" s="3">
        <v>66.2</v>
      </c>
      <c r="R214" s="3"/>
      <c r="S214" s="3"/>
      <c r="T214" s="42">
        <v>176.45</v>
      </c>
      <c r="U214" s="42">
        <f>AVERAGE(paper3[[#This Row],[Sittende høyde 1]:[Sittende høyde 3]])-56.2</f>
        <v>91.449999999999974</v>
      </c>
      <c r="V214" s="12">
        <f>paper3[[#This Row],[height]]-paper3[[#This Row],[sittingheight]]</f>
        <v>85.000000000000014</v>
      </c>
      <c r="W214" s="73">
        <v>66.2</v>
      </c>
      <c r="X214" s="43" cm="1">
        <f t="array" ref="X214">INDEX([1]!phvny[yphv], MATCH(1, (paper3[[#This Row],[id]]=[1]!phvny[id])*(paper3[[#This Row],[time]]=[1]!phvny[time]), 0))</f>
        <v>1.6598086590242698</v>
      </c>
      <c r="Y214" s="60">
        <v>1.9</v>
      </c>
      <c r="Z214" s="60">
        <v>3.25</v>
      </c>
      <c r="AA214" s="60">
        <v>4.5</v>
      </c>
      <c r="AB214" s="3">
        <v>1.85</v>
      </c>
      <c r="AC214" s="3">
        <v>3.22</v>
      </c>
      <c r="AD214" s="3">
        <v>4.53</v>
      </c>
      <c r="AE214" s="3">
        <v>1.87</v>
      </c>
      <c r="AF214" s="3">
        <v>3.16</v>
      </c>
      <c r="AG214" s="60">
        <v>4.5</v>
      </c>
      <c r="AH214" s="44">
        <v>1.85</v>
      </c>
      <c r="AI214" s="44">
        <v>3.16</v>
      </c>
      <c r="AJ214" s="45">
        <v>4.5</v>
      </c>
      <c r="AK214" s="45">
        <v>7.4626865671641802</v>
      </c>
      <c r="AL214" s="60">
        <v>9.4499999999999993</v>
      </c>
      <c r="AM214" s="60">
        <v>9.1999999999999993</v>
      </c>
      <c r="AN214" s="60">
        <v>9.73</v>
      </c>
      <c r="AO214" s="60">
        <v>9.4499999999999993</v>
      </c>
      <c r="AP214" s="3">
        <v>9.1999999999999993</v>
      </c>
      <c r="AQ214" s="47">
        <v>9.1999999999999993</v>
      </c>
      <c r="AR214" s="47">
        <v>9.4499999999999993</v>
      </c>
      <c r="AS214" s="3">
        <v>30.77</v>
      </c>
      <c r="AT214" s="3">
        <v>31.7</v>
      </c>
      <c r="AU214" s="3">
        <v>32.03</v>
      </c>
      <c r="AV214" s="3">
        <v>30.04</v>
      </c>
      <c r="AW214" s="3"/>
      <c r="AX214" s="48">
        <v>32.03</v>
      </c>
      <c r="AY214" s="3"/>
      <c r="AZ214" s="3"/>
      <c r="BA214" s="3"/>
      <c r="BB214" s="3"/>
      <c r="BC214" s="3"/>
      <c r="BD214" s="40"/>
      <c r="BE214" s="40"/>
      <c r="BF214" s="40"/>
      <c r="BG214" s="40"/>
      <c r="BH214" s="40"/>
      <c r="BI214" s="49"/>
      <c r="BJ214" s="49"/>
      <c r="BK214" s="66"/>
      <c r="BL214" s="66"/>
      <c r="BM214" s="51"/>
      <c r="BN214" s="51"/>
      <c r="BO214" s="52">
        <v>352</v>
      </c>
      <c r="BP214" s="40">
        <v>352</v>
      </c>
      <c r="BQ214" s="40">
        <v>331</v>
      </c>
      <c r="BR214" s="67">
        <v>6.3444108761329332E-2</v>
      </c>
      <c r="BS214" s="54">
        <v>5.1586102719033233</v>
      </c>
      <c r="BT214" s="3">
        <v>207</v>
      </c>
      <c r="BU214" s="40">
        <v>209</v>
      </c>
      <c r="BV214" s="3">
        <v>160</v>
      </c>
      <c r="BW214" s="3">
        <v>173</v>
      </c>
      <c r="BX214" s="70">
        <v>-9.5693779904306719E-3</v>
      </c>
      <c r="BY214" s="70">
        <v>-7.5144508670520249E-2</v>
      </c>
      <c r="BZ214" s="59">
        <v>1.2080924855491328</v>
      </c>
      <c r="CA214" s="59">
        <v>1.29375</v>
      </c>
      <c r="CB214" s="59">
        <v>2.6706948640483383</v>
      </c>
      <c r="CC214" s="59">
        <v>2.1378398791540785</v>
      </c>
      <c r="CD214" s="60">
        <v>157</v>
      </c>
      <c r="CE214" s="60">
        <v>175</v>
      </c>
      <c r="CF214" s="61">
        <v>2.3716012084592144</v>
      </c>
      <c r="CG214" s="61">
        <v>2.6435045317220545</v>
      </c>
      <c r="CH214" s="61">
        <v>1.1146496815286624</v>
      </c>
      <c r="CI214" s="41"/>
      <c r="CJ214" s="40"/>
      <c r="CK214" s="3"/>
      <c r="CL214" s="62"/>
      <c r="CM214" s="63" t="s">
        <v>110</v>
      </c>
      <c r="CN214" s="3">
        <v>209</v>
      </c>
      <c r="CO214" s="3">
        <v>173</v>
      </c>
      <c r="CP214" s="41">
        <v>15.294444444444444</v>
      </c>
      <c r="CQ214" s="3" t="s">
        <v>110</v>
      </c>
      <c r="CR214" s="40">
        <v>208</v>
      </c>
      <c r="CS214" s="40">
        <v>166.5</v>
      </c>
      <c r="CT214" s="40">
        <v>341.5</v>
      </c>
      <c r="CU214" s="40"/>
      <c r="CV214" s="40"/>
      <c r="CW214" s="40"/>
      <c r="CX214" s="40"/>
      <c r="CY214" s="40">
        <v>0</v>
      </c>
      <c r="CZ214" s="40"/>
      <c r="DA214" s="40"/>
    </row>
    <row r="215" spans="1:105" ht="15.95" customHeight="1">
      <c r="A215" s="3">
        <v>484</v>
      </c>
      <c r="B215" s="38" t="s">
        <v>103</v>
      </c>
      <c r="C215" s="3" t="s">
        <v>115</v>
      </c>
      <c r="D215" s="3" t="s">
        <v>105</v>
      </c>
      <c r="E215" s="39">
        <v>44684</v>
      </c>
      <c r="F215" s="3" t="s">
        <v>186</v>
      </c>
      <c r="G215" s="3" t="s">
        <v>122</v>
      </c>
      <c r="H215" s="3">
        <v>2007</v>
      </c>
      <c r="I215" s="40" t="s">
        <v>116</v>
      </c>
      <c r="J215" s="39" t="s">
        <v>157</v>
      </c>
      <c r="K215" s="3">
        <v>180.8</v>
      </c>
      <c r="L215" s="3">
        <v>180.7</v>
      </c>
      <c r="M215" s="3"/>
      <c r="N215" s="3">
        <v>148.30000000000001</v>
      </c>
      <c r="O215" s="3">
        <v>148.30000000000001</v>
      </c>
      <c r="P215" s="3"/>
      <c r="Q215" s="3">
        <v>60.6</v>
      </c>
      <c r="R215" s="3"/>
      <c r="S215" s="3"/>
      <c r="T215" s="42">
        <v>180.75</v>
      </c>
      <c r="U215" s="42">
        <f>AVERAGE(paper3[[#This Row],[Sittende høyde 1]:[Sittende høyde 3]])-56.2</f>
        <v>92.100000000000009</v>
      </c>
      <c r="V215" s="12">
        <f>paper3[[#This Row],[height]]-paper3[[#This Row],[sittingheight]]</f>
        <v>88.649999999999991</v>
      </c>
      <c r="W215" s="73">
        <v>60.6</v>
      </c>
      <c r="X215" s="43" cm="1">
        <f t="array" ref="X215">INDEX([1]!phvny[yphv], MATCH(1, (paper3[[#This Row],[id]]=[1]!phvny[id])*(paper3[[#This Row],[time]]=[1]!phvny[time]), 0))</f>
        <v>1.4837202512738603</v>
      </c>
      <c r="Y215" s="60">
        <v>1.98</v>
      </c>
      <c r="Z215" s="60">
        <v>3.32</v>
      </c>
      <c r="AA215" s="60">
        <v>4.59</v>
      </c>
      <c r="AB215" s="3">
        <v>1.94</v>
      </c>
      <c r="AC215" s="3">
        <v>3.29</v>
      </c>
      <c r="AD215" s="3">
        <v>4.57</v>
      </c>
      <c r="AE215" s="3">
        <v>1.94</v>
      </c>
      <c r="AF215" s="3">
        <v>3.28</v>
      </c>
      <c r="AG215" s="60">
        <v>4.53</v>
      </c>
      <c r="AH215" s="44">
        <v>1.94</v>
      </c>
      <c r="AI215" s="44">
        <v>3.28</v>
      </c>
      <c r="AJ215" s="45">
        <v>4.53</v>
      </c>
      <c r="AK215" s="45">
        <v>7.9999999999999973</v>
      </c>
      <c r="AL215" s="60">
        <v>9.65</v>
      </c>
      <c r="AM215" s="60">
        <v>9.5500000000000007</v>
      </c>
      <c r="AN215" s="60">
        <v>10.16</v>
      </c>
      <c r="AO215" s="60">
        <v>9.76</v>
      </c>
      <c r="AP215" s="3">
        <v>9.5500000000000007</v>
      </c>
      <c r="AQ215" s="47">
        <v>9.5500000000000007</v>
      </c>
      <c r="AR215" s="47">
        <v>9.76</v>
      </c>
      <c r="AS215" s="3">
        <v>27.76</v>
      </c>
      <c r="AT215" s="3">
        <v>27.7</v>
      </c>
      <c r="AU215" s="3">
        <v>31.39</v>
      </c>
      <c r="AV215" s="3">
        <v>29.5</v>
      </c>
      <c r="AW215" s="3"/>
      <c r="AX215" s="48">
        <v>31.39</v>
      </c>
      <c r="AY215" s="3"/>
      <c r="AZ215" s="3"/>
      <c r="BA215" s="3"/>
      <c r="BB215" s="3"/>
      <c r="BC215" s="3"/>
      <c r="BD215" s="40"/>
      <c r="BE215" s="40"/>
      <c r="BF215" s="40"/>
      <c r="BG215" s="40"/>
      <c r="BH215" s="40"/>
      <c r="BI215" s="49"/>
      <c r="BJ215" s="49"/>
      <c r="BK215" s="66"/>
      <c r="BL215" s="66"/>
      <c r="BM215" s="51"/>
      <c r="BN215" s="51"/>
      <c r="BO215" s="52">
        <v>227</v>
      </c>
      <c r="BP215" s="40">
        <v>220</v>
      </c>
      <c r="BQ215" s="40">
        <v>227</v>
      </c>
      <c r="BR215" s="67">
        <v>-3.0837004405286361E-2</v>
      </c>
      <c r="BS215" s="54">
        <v>3.6881188118811878</v>
      </c>
      <c r="BT215" s="3">
        <v>155</v>
      </c>
      <c r="BU215" s="40">
        <v>147</v>
      </c>
      <c r="BV215" s="3">
        <v>113</v>
      </c>
      <c r="BW215" s="3">
        <v>116</v>
      </c>
      <c r="BX215" s="70">
        <v>5.4421768707483054E-2</v>
      </c>
      <c r="BY215" s="70">
        <v>-2.5862068965517238E-2</v>
      </c>
      <c r="BZ215" s="59">
        <v>1.2672413793103448</v>
      </c>
      <c r="CA215" s="59">
        <v>1.3716814159292035</v>
      </c>
      <c r="CB215" s="59">
        <v>2.2089356435643563</v>
      </c>
      <c r="CC215" s="59">
        <v>1.6749876237623762</v>
      </c>
      <c r="CD215" s="60">
        <v>131</v>
      </c>
      <c r="CE215" s="60">
        <v>109</v>
      </c>
      <c r="CF215" s="61">
        <v>2.1617161716171616</v>
      </c>
      <c r="CG215" s="61">
        <v>1.7986798679867986</v>
      </c>
      <c r="CH215" s="61">
        <v>0.83206106870229013</v>
      </c>
      <c r="CI215" s="41"/>
      <c r="CJ215" s="40"/>
      <c r="CK215" s="3"/>
      <c r="CL215" s="62"/>
      <c r="CM215" s="63" t="s">
        <v>110</v>
      </c>
      <c r="CN215" s="3">
        <v>155</v>
      </c>
      <c r="CO215" s="3">
        <v>116</v>
      </c>
      <c r="CP215" s="41">
        <v>14.966666666666667</v>
      </c>
      <c r="CQ215" s="3" t="s">
        <v>110</v>
      </c>
      <c r="CR215" s="40">
        <v>151</v>
      </c>
      <c r="CS215" s="40">
        <v>114.5</v>
      </c>
      <c r="CT215" s="40">
        <v>223.5</v>
      </c>
      <c r="CU215" s="40"/>
      <c r="CV215" s="40"/>
      <c r="CW215" s="40"/>
      <c r="CX215" s="40"/>
      <c r="CY215" s="40">
        <v>0</v>
      </c>
      <c r="CZ215" s="40"/>
      <c r="DA215" s="40"/>
    </row>
    <row r="216" spans="1:105" ht="15.95" customHeight="1">
      <c r="A216" s="3">
        <v>485</v>
      </c>
      <c r="B216" s="38" t="s">
        <v>103</v>
      </c>
      <c r="C216" s="3" t="s">
        <v>115</v>
      </c>
      <c r="D216" s="3" t="s">
        <v>105</v>
      </c>
      <c r="E216" s="39">
        <v>44684</v>
      </c>
      <c r="F216" s="3" t="s">
        <v>186</v>
      </c>
      <c r="G216" s="3" t="s">
        <v>122</v>
      </c>
      <c r="H216" s="3">
        <v>2007</v>
      </c>
      <c r="I216" s="40" t="s">
        <v>116</v>
      </c>
      <c r="J216" s="39" t="s">
        <v>157</v>
      </c>
      <c r="K216" s="3">
        <v>158.80000000000001</v>
      </c>
      <c r="L216" s="3">
        <v>158.69999999999999</v>
      </c>
      <c r="M216" s="3"/>
      <c r="N216" s="3">
        <v>138.80000000000001</v>
      </c>
      <c r="O216" s="3">
        <v>138.80000000000001</v>
      </c>
      <c r="P216" s="3"/>
      <c r="Q216" s="3">
        <v>45</v>
      </c>
      <c r="R216" s="3"/>
      <c r="S216" s="3"/>
      <c r="T216" s="42">
        <v>158.75</v>
      </c>
      <c r="U216" s="42">
        <f>AVERAGE(paper3[[#This Row],[Sittende høyde 1]:[Sittende høyde 3]])-56.2</f>
        <v>82.600000000000009</v>
      </c>
      <c r="V216" s="12">
        <f>paper3[[#This Row],[height]]-paper3[[#This Row],[sittingheight]]</f>
        <v>76.149999999999991</v>
      </c>
      <c r="W216" s="73">
        <v>45</v>
      </c>
      <c r="X216" s="43" cm="1">
        <f t="array" ref="X216">INDEX([1]!phvny[yphv], MATCH(1, (paper3[[#This Row],[id]]=[1]!phvny[id])*(paper3[[#This Row],[time]]=[1]!phvny[time]), 0))</f>
        <v>0.2910901719015766</v>
      </c>
      <c r="Y216" s="60">
        <v>1.94</v>
      </c>
      <c r="Z216" s="60">
        <v>3.29</v>
      </c>
      <c r="AA216" s="60">
        <v>4.58</v>
      </c>
      <c r="AB216" s="3">
        <v>1.91</v>
      </c>
      <c r="AC216" s="3">
        <v>3.27</v>
      </c>
      <c r="AD216" s="3">
        <v>4.58</v>
      </c>
      <c r="AE216" s="3">
        <v>1.95</v>
      </c>
      <c r="AF216" s="3">
        <v>3.33</v>
      </c>
      <c r="AG216" s="60">
        <v>4.6399999999999997</v>
      </c>
      <c r="AH216" s="44">
        <v>1.91</v>
      </c>
      <c r="AI216" s="44">
        <v>3.27</v>
      </c>
      <c r="AJ216" s="45">
        <v>4.58</v>
      </c>
      <c r="AK216" s="45">
        <v>7.6335877862595414</v>
      </c>
      <c r="AL216" s="60">
        <v>9.8699999999999992</v>
      </c>
      <c r="AM216" s="60">
        <v>9.74</v>
      </c>
      <c r="AN216" s="60">
        <v>10.18</v>
      </c>
      <c r="AO216" s="60">
        <v>10.08</v>
      </c>
      <c r="AP216" s="3">
        <v>9.74</v>
      </c>
      <c r="AQ216" s="47">
        <v>9.74</v>
      </c>
      <c r="AR216" s="47">
        <v>10.08</v>
      </c>
      <c r="AS216" s="3">
        <v>29.01</v>
      </c>
      <c r="AT216" s="3">
        <v>31.45</v>
      </c>
      <c r="AU216" s="3">
        <v>30.79</v>
      </c>
      <c r="AV216" s="3"/>
      <c r="AW216" s="3"/>
      <c r="AX216" s="48">
        <v>31.45</v>
      </c>
      <c r="AY216" s="3"/>
      <c r="AZ216" s="3">
        <v>7</v>
      </c>
      <c r="BA216" s="3">
        <v>250</v>
      </c>
      <c r="BB216" s="3">
        <v>8</v>
      </c>
      <c r="BC216" s="3">
        <v>203</v>
      </c>
      <c r="BD216" s="40">
        <v>805.35441900652131</v>
      </c>
      <c r="BE216" s="40">
        <v>797.33289453054579</v>
      </c>
      <c r="BF216" s="40"/>
      <c r="BG216" s="40">
        <v>341.04623762956567</v>
      </c>
      <c r="BH216" s="40">
        <v>362.17990246635327</v>
      </c>
      <c r="BI216" s="49">
        <v>1602.687313537067</v>
      </c>
      <c r="BJ216" s="49">
        <v>703.22614009591894</v>
      </c>
      <c r="BK216" s="66">
        <v>1.0060445932935425E-2</v>
      </c>
      <c r="BL216" s="66">
        <v>-5.8351290871947126E-2</v>
      </c>
      <c r="BM216" s="51">
        <v>35.615273634157042</v>
      </c>
      <c r="BN216" s="51">
        <v>15.627247557687088</v>
      </c>
      <c r="BO216" s="52">
        <v>269</v>
      </c>
      <c r="BP216" s="40">
        <v>243</v>
      </c>
      <c r="BQ216" s="40">
        <v>269</v>
      </c>
      <c r="BR216" s="67">
        <v>-9.6654275092936781E-2</v>
      </c>
      <c r="BS216" s="54">
        <v>5.6888888888888891</v>
      </c>
      <c r="BT216" s="3">
        <v>129</v>
      </c>
      <c r="BU216" s="40">
        <v>133</v>
      </c>
      <c r="BV216" s="3">
        <v>85</v>
      </c>
      <c r="BW216" s="3">
        <v>93</v>
      </c>
      <c r="BX216" s="70">
        <v>-3.007518796992481E-2</v>
      </c>
      <c r="BY216" s="70">
        <v>-8.6021505376344121E-2</v>
      </c>
      <c r="BZ216" s="59">
        <v>1.4301075268817205</v>
      </c>
      <c r="CA216" s="59">
        <v>1.5176470588235293</v>
      </c>
      <c r="CB216" s="59">
        <v>2.2168111111111108</v>
      </c>
      <c r="CC216" s="59">
        <v>1.5060777777777778</v>
      </c>
      <c r="CD216" s="60">
        <v>113</v>
      </c>
      <c r="CE216" s="60">
        <v>80</v>
      </c>
      <c r="CF216" s="61">
        <v>2.5111111111111111</v>
      </c>
      <c r="CG216" s="61">
        <v>1.7777777777777777</v>
      </c>
      <c r="CH216" s="61">
        <v>0.70796460176991149</v>
      </c>
      <c r="CI216" s="41">
        <v>16.600000000000001</v>
      </c>
      <c r="CJ216" s="40">
        <f>VLOOKUP(paper3[[#This Row],[YYIR nivå]],$DB:$DC,2)</f>
        <v>1320</v>
      </c>
      <c r="CK216" s="3"/>
      <c r="CL216" s="62"/>
      <c r="CM216" s="63" t="s">
        <v>110</v>
      </c>
      <c r="CN216" s="3">
        <v>133</v>
      </c>
      <c r="CO216" s="3">
        <v>93</v>
      </c>
      <c r="CP216" s="41">
        <v>15.283333333333333</v>
      </c>
      <c r="CQ216" s="3" t="s">
        <v>110</v>
      </c>
      <c r="CR216" s="40">
        <v>131</v>
      </c>
      <c r="CS216" s="40">
        <v>89</v>
      </c>
      <c r="CT216" s="40">
        <v>256</v>
      </c>
      <c r="CU216" s="40"/>
      <c r="CV216" s="40"/>
      <c r="CW216" s="40"/>
      <c r="CX216" s="40"/>
      <c r="CY216" s="40">
        <v>0</v>
      </c>
      <c r="CZ216" s="40"/>
      <c r="DA216" s="40"/>
    </row>
    <row r="217" spans="1:105" ht="15.95" customHeight="1">
      <c r="A217" s="3">
        <v>486</v>
      </c>
      <c r="B217" s="38" t="s">
        <v>103</v>
      </c>
      <c r="C217" s="3" t="s">
        <v>115</v>
      </c>
      <c r="D217" s="3" t="s">
        <v>105</v>
      </c>
      <c r="E217" s="39">
        <v>44684</v>
      </c>
      <c r="F217" s="3" t="s">
        <v>186</v>
      </c>
      <c r="G217" s="3" t="s">
        <v>122</v>
      </c>
      <c r="H217" s="3">
        <v>2007</v>
      </c>
      <c r="I217" s="40" t="s">
        <v>116</v>
      </c>
      <c r="J217" s="39" t="s">
        <v>157</v>
      </c>
      <c r="K217" s="3">
        <v>181.5</v>
      </c>
      <c r="L217" s="3">
        <v>181.5</v>
      </c>
      <c r="M217" s="3"/>
      <c r="N217" s="3">
        <v>146.5</v>
      </c>
      <c r="O217" s="3">
        <v>146.30000000000001</v>
      </c>
      <c r="P217" s="3"/>
      <c r="Q217" s="3">
        <v>68.099999999999994</v>
      </c>
      <c r="R217" s="3"/>
      <c r="S217" s="3"/>
      <c r="T217" s="42">
        <v>181.5</v>
      </c>
      <c r="U217" s="42">
        <f>AVERAGE(paper3[[#This Row],[Sittende høyde 1]:[Sittende høyde 3]])-56.2</f>
        <v>90.2</v>
      </c>
      <c r="V217" s="12">
        <f>paper3[[#This Row],[height]]-paper3[[#This Row],[sittingheight]]</f>
        <v>91.3</v>
      </c>
      <c r="W217" s="73">
        <v>68.099999999999994</v>
      </c>
      <c r="X217" s="43" cm="1">
        <f t="array" ref="X217">INDEX([1]!phvny[yphv], MATCH(1, (paper3[[#This Row],[id]]=[1]!phvny[id])*(paper3[[#This Row],[time]]=[1]!phvny[time]), 0))</f>
        <v>1.2913325853301205</v>
      </c>
      <c r="Y217" s="60">
        <v>1.94</v>
      </c>
      <c r="Z217" s="60">
        <v>3.25</v>
      </c>
      <c r="AA217" s="60">
        <v>4.49</v>
      </c>
      <c r="AB217" s="3">
        <v>2</v>
      </c>
      <c r="AC217" s="3">
        <v>3.33</v>
      </c>
      <c r="AD217" s="3">
        <v>4.59</v>
      </c>
      <c r="AE217" s="3">
        <v>1.97</v>
      </c>
      <c r="AF217" s="3">
        <v>3.29</v>
      </c>
      <c r="AG217" s="60">
        <v>4.54</v>
      </c>
      <c r="AH217" s="44">
        <v>1.94</v>
      </c>
      <c r="AI217" s="44">
        <v>3.25</v>
      </c>
      <c r="AJ217" s="45">
        <v>4.49</v>
      </c>
      <c r="AK217" s="45">
        <v>8.0645161290322562</v>
      </c>
      <c r="AL217" s="60">
        <v>9.9</v>
      </c>
      <c r="AM217" s="60">
        <v>9.8800000000000008</v>
      </c>
      <c r="AN217" s="60">
        <v>10.07</v>
      </c>
      <c r="AO217" s="60">
        <v>10</v>
      </c>
      <c r="AP217" s="3">
        <v>9.8800000000000008</v>
      </c>
      <c r="AQ217" s="47">
        <v>9.8800000000000008</v>
      </c>
      <c r="AR217" s="47">
        <v>10</v>
      </c>
      <c r="AS217" s="3">
        <v>35.14</v>
      </c>
      <c r="AT217" s="3">
        <v>32.6</v>
      </c>
      <c r="AU217" s="3">
        <v>34.85</v>
      </c>
      <c r="AV217" s="3"/>
      <c r="AW217" s="3"/>
      <c r="AX217" s="48">
        <v>35.14</v>
      </c>
      <c r="AY217" s="3"/>
      <c r="AZ217" s="3">
        <v>11</v>
      </c>
      <c r="BA217" s="3">
        <v>270</v>
      </c>
      <c r="BB217" s="3">
        <v>8</v>
      </c>
      <c r="BC217" s="3">
        <v>244</v>
      </c>
      <c r="BD217" s="40">
        <v>1077.9504250107971</v>
      </c>
      <c r="BE217" s="40">
        <v>1056.2101806650221</v>
      </c>
      <c r="BF217" s="40"/>
      <c r="BG217" s="40">
        <v>376.54430806339286</v>
      </c>
      <c r="BH217" s="40">
        <v>351.6142969187681</v>
      </c>
      <c r="BI217" s="49">
        <v>2134.1606056758192</v>
      </c>
      <c r="BJ217" s="49">
        <v>728.15860498216102</v>
      </c>
      <c r="BK217" s="66">
        <v>2.0583255817593571E-2</v>
      </c>
      <c r="BL217" s="66">
        <v>7.0901585524504984E-2</v>
      </c>
      <c r="BM217" s="51">
        <v>31.338628570863719</v>
      </c>
      <c r="BN217" s="51">
        <v>10.69249052837241</v>
      </c>
      <c r="BO217" s="52">
        <v>318</v>
      </c>
      <c r="BP217" s="40">
        <v>305</v>
      </c>
      <c r="BQ217" s="40">
        <v>318</v>
      </c>
      <c r="BR217" s="67">
        <v>-4.0880503144654079E-2</v>
      </c>
      <c r="BS217" s="54">
        <v>4.5741556534508083</v>
      </c>
      <c r="BT217" s="3">
        <v>132</v>
      </c>
      <c r="BU217" s="40">
        <v>150</v>
      </c>
      <c r="BV217" s="3">
        <v>98</v>
      </c>
      <c r="BW217" s="3">
        <v>120</v>
      </c>
      <c r="BX217" s="70">
        <v>-0.12</v>
      </c>
      <c r="BY217" s="70">
        <v>-0.18333333333333335</v>
      </c>
      <c r="BZ217" s="59">
        <v>1.25</v>
      </c>
      <c r="CA217" s="59">
        <v>1.346938775510204</v>
      </c>
      <c r="CB217" s="59">
        <v>1.8903524229074888</v>
      </c>
      <c r="CC217" s="59">
        <v>1.4613362701908958</v>
      </c>
      <c r="CD217" s="60">
        <v>79</v>
      </c>
      <c r="CE217" s="60">
        <v>110</v>
      </c>
      <c r="CF217" s="61">
        <v>1.1600587371512483</v>
      </c>
      <c r="CG217" s="61">
        <v>1.6152716593245229</v>
      </c>
      <c r="CH217" s="61">
        <v>1.3924050632911391</v>
      </c>
      <c r="CI217" s="41">
        <v>17.2</v>
      </c>
      <c r="CJ217" s="40">
        <f>VLOOKUP(paper3[[#This Row],[YYIR nivå]],$DB:$DC,2)</f>
        <v>1480</v>
      </c>
      <c r="CK217" s="3" t="s">
        <v>195</v>
      </c>
      <c r="CL217" s="62"/>
      <c r="CM217" s="63" t="s">
        <v>110</v>
      </c>
      <c r="CN217" s="3">
        <v>150</v>
      </c>
      <c r="CO217" s="3">
        <v>120</v>
      </c>
      <c r="CP217" s="41">
        <v>14.902777777777779</v>
      </c>
      <c r="CQ217" s="3" t="s">
        <v>110</v>
      </c>
      <c r="CR217" s="40">
        <v>141</v>
      </c>
      <c r="CS217" s="40">
        <v>109</v>
      </c>
      <c r="CT217" s="40">
        <v>311.5</v>
      </c>
      <c r="CU217" s="40"/>
      <c r="CV217" s="40"/>
      <c r="CW217" s="40"/>
      <c r="CX217" s="40"/>
      <c r="CY217" s="40">
        <v>0</v>
      </c>
      <c r="CZ217" s="40"/>
      <c r="DA217" s="40"/>
    </row>
    <row r="218" spans="1:105" ht="15.95" customHeight="1">
      <c r="A218" s="3">
        <v>487</v>
      </c>
      <c r="B218" s="38" t="s">
        <v>103</v>
      </c>
      <c r="C218" s="3" t="s">
        <v>115</v>
      </c>
      <c r="D218" s="3" t="s">
        <v>105</v>
      </c>
      <c r="E218" s="39">
        <v>44684</v>
      </c>
      <c r="F218" s="3" t="s">
        <v>186</v>
      </c>
      <c r="G218" s="3" t="s">
        <v>122</v>
      </c>
      <c r="H218" s="3">
        <v>2007</v>
      </c>
      <c r="I218" s="40" t="s">
        <v>116</v>
      </c>
      <c r="J218" s="39" t="s">
        <v>157</v>
      </c>
      <c r="K218" s="3">
        <v>177.5</v>
      </c>
      <c r="L218" s="3">
        <v>177.6</v>
      </c>
      <c r="M218" s="3"/>
      <c r="N218" s="3">
        <v>145.5</v>
      </c>
      <c r="O218" s="3">
        <v>145.4</v>
      </c>
      <c r="P218" s="3"/>
      <c r="Q218" s="3">
        <v>64.8</v>
      </c>
      <c r="R218" s="3"/>
      <c r="S218" s="3"/>
      <c r="T218" s="42">
        <v>177.55</v>
      </c>
      <c r="U218" s="42">
        <f>AVERAGE(paper3[[#This Row],[Sittende høyde 1]:[Sittende høyde 3]])-56.2</f>
        <v>89.249999999999986</v>
      </c>
      <c r="V218" s="12">
        <f>paper3[[#This Row],[height]]-paper3[[#This Row],[sittingheight]]</f>
        <v>88.300000000000026</v>
      </c>
      <c r="W218" s="73">
        <v>64.8</v>
      </c>
      <c r="X218" s="43" cm="1">
        <f t="array" ref="X218">INDEX([1]!phvny[yphv], MATCH(1, (paper3[[#This Row],[id]]=[1]!phvny[id])*(paper3[[#This Row],[time]]=[1]!phvny[time]), 0))</f>
        <v>1.0529081010772368</v>
      </c>
      <c r="Y218" s="60">
        <v>1.99</v>
      </c>
      <c r="Z218" s="60">
        <v>3.32</v>
      </c>
      <c r="AA218" s="60">
        <v>4.62</v>
      </c>
      <c r="AB218" s="3">
        <v>1.91</v>
      </c>
      <c r="AC218" s="3">
        <v>3.25</v>
      </c>
      <c r="AD218" s="3">
        <v>4.5599999999999996</v>
      </c>
      <c r="AE218" s="3">
        <v>1.92</v>
      </c>
      <c r="AF218" s="3">
        <v>3.26</v>
      </c>
      <c r="AG218" s="60">
        <v>4.59</v>
      </c>
      <c r="AH218" s="44">
        <v>1.91</v>
      </c>
      <c r="AI218" s="44">
        <v>3.25</v>
      </c>
      <c r="AJ218" s="45">
        <v>4.5599999999999996</v>
      </c>
      <c r="AK218" s="45">
        <v>7.633587786259544</v>
      </c>
      <c r="AL218" s="60">
        <v>9.8699999999999992</v>
      </c>
      <c r="AM218" s="60">
        <v>9.5</v>
      </c>
      <c r="AN218" s="60">
        <v>10.1</v>
      </c>
      <c r="AO218" s="60">
        <v>9.67</v>
      </c>
      <c r="AP218" s="3">
        <v>9.5</v>
      </c>
      <c r="AQ218" s="47">
        <v>9.5</v>
      </c>
      <c r="AR218" s="47">
        <v>9.67</v>
      </c>
      <c r="AS218" s="3">
        <v>32.369999999999997</v>
      </c>
      <c r="AT218" s="3">
        <v>32.78</v>
      </c>
      <c r="AU218" s="3">
        <v>30.08</v>
      </c>
      <c r="AV218" s="3"/>
      <c r="AW218" s="3"/>
      <c r="AX218" s="48">
        <v>32.78</v>
      </c>
      <c r="AY218" s="3"/>
      <c r="AZ218" s="3">
        <v>10</v>
      </c>
      <c r="BA218" s="3">
        <v>270</v>
      </c>
      <c r="BB218" s="3">
        <v>9</v>
      </c>
      <c r="BC218" s="3">
        <v>269</v>
      </c>
      <c r="BD218" s="40"/>
      <c r="BE218" s="40"/>
      <c r="BF218" s="40"/>
      <c r="BG218" s="40">
        <v>378.82464968990894</v>
      </c>
      <c r="BH218" s="40">
        <v>411.34197696124113</v>
      </c>
      <c r="BI218" s="49"/>
      <c r="BJ218" s="49">
        <v>790.16662665115007</v>
      </c>
      <c r="BK218" s="66"/>
      <c r="BL218" s="66">
        <v>-7.905180869589723E-2</v>
      </c>
      <c r="BM218" s="51"/>
      <c r="BN218" s="51">
        <v>12.193929423628859</v>
      </c>
      <c r="BO218" s="52">
        <v>337</v>
      </c>
      <c r="BP218" s="40">
        <v>337</v>
      </c>
      <c r="BQ218" s="40">
        <v>296</v>
      </c>
      <c r="BR218" s="67">
        <v>0.1385135135135136</v>
      </c>
      <c r="BS218" s="54">
        <v>4.8842592592592595</v>
      </c>
      <c r="BT218" s="3">
        <v>150</v>
      </c>
      <c r="BU218" s="40">
        <v>161</v>
      </c>
      <c r="BV218" s="3">
        <v>137</v>
      </c>
      <c r="BW218" s="3">
        <v>138</v>
      </c>
      <c r="BX218" s="70">
        <v>-6.8322981366459645E-2</v>
      </c>
      <c r="BY218" s="70">
        <v>-7.2463768115942351E-3</v>
      </c>
      <c r="BZ218" s="59">
        <v>1.1666666666666667</v>
      </c>
      <c r="CA218" s="59">
        <v>1.0948905109489051</v>
      </c>
      <c r="CB218" s="59">
        <v>2.1189274691358029</v>
      </c>
      <c r="CC218" s="59">
        <v>1.8736496913580254</v>
      </c>
      <c r="CD218" s="60">
        <v>87</v>
      </c>
      <c r="CE218" s="60">
        <v>106</v>
      </c>
      <c r="CF218" s="61">
        <v>1.3425925925925926</v>
      </c>
      <c r="CG218" s="61">
        <v>1.6358024691358026</v>
      </c>
      <c r="CH218" s="61">
        <v>1.2183908045977012</v>
      </c>
      <c r="CI218" s="41">
        <v>16.2</v>
      </c>
      <c r="CJ218" s="40">
        <f>VLOOKUP(paper3[[#This Row],[YYIR nivå]],$DB:$DC,2)</f>
        <v>1160</v>
      </c>
      <c r="CK218" s="3"/>
      <c r="CL218" s="62"/>
      <c r="CM218" s="63" t="s">
        <v>110</v>
      </c>
      <c r="CN218" s="3">
        <v>161</v>
      </c>
      <c r="CO218" s="3">
        <v>138</v>
      </c>
      <c r="CP218" s="41">
        <v>14.719444444444445</v>
      </c>
      <c r="CQ218" s="3" t="s">
        <v>110</v>
      </c>
      <c r="CR218" s="40">
        <v>155.5</v>
      </c>
      <c r="CS218" s="40">
        <v>137.5</v>
      </c>
      <c r="CT218" s="40">
        <v>316.5</v>
      </c>
      <c r="CU218" s="40"/>
      <c r="CV218" s="40"/>
      <c r="CW218" s="40"/>
      <c r="CX218" s="40"/>
      <c r="CY218" s="40" t="s">
        <v>125</v>
      </c>
      <c r="CZ218" s="40"/>
      <c r="DA218" s="40"/>
    </row>
    <row r="219" spans="1:105" ht="15.95" customHeight="1">
      <c r="A219" s="3">
        <v>488</v>
      </c>
      <c r="B219" s="38" t="s">
        <v>103</v>
      </c>
      <c r="C219" s="3" t="s">
        <v>115</v>
      </c>
      <c r="D219" s="3" t="s">
        <v>105</v>
      </c>
      <c r="E219" s="39">
        <v>44685</v>
      </c>
      <c r="F219" s="3" t="s">
        <v>186</v>
      </c>
      <c r="G219" s="3" t="s">
        <v>107</v>
      </c>
      <c r="H219" s="3">
        <v>2009</v>
      </c>
      <c r="I219" s="40" t="s">
        <v>108</v>
      </c>
      <c r="J219" s="39" t="s">
        <v>109</v>
      </c>
      <c r="K219" s="3">
        <v>164.7</v>
      </c>
      <c r="L219" s="3">
        <v>165</v>
      </c>
      <c r="M219" s="3">
        <v>164.8</v>
      </c>
      <c r="N219" s="3">
        <v>143.5</v>
      </c>
      <c r="O219" s="3">
        <v>143.30000000000001</v>
      </c>
      <c r="P219" s="3"/>
      <c r="Q219" s="3">
        <v>58</v>
      </c>
      <c r="R219" s="3">
        <v>58.1</v>
      </c>
      <c r="S219" s="3"/>
      <c r="T219" s="42">
        <v>164.83333333333334</v>
      </c>
      <c r="U219" s="42">
        <f>AVERAGE(paper3[[#This Row],[Sittende høyde 1]:[Sittende høyde 3]])-56.2</f>
        <v>87.2</v>
      </c>
      <c r="V219" s="12">
        <f>paper3[[#This Row],[height]]-paper3[[#This Row],[sittingheight]]</f>
        <v>77.63333333333334</v>
      </c>
      <c r="W219" s="73">
        <v>58.05</v>
      </c>
      <c r="X219" s="43" cm="1">
        <f t="array" ref="X219">INDEX([1]!phvny[yphv], MATCH(1, (paper3[[#This Row],[id]]=[1]!phvny[id])*(paper3[[#This Row],[time]]=[1]!phvny[time]), 0))</f>
        <v>1.4226798770805149</v>
      </c>
      <c r="Y219" s="60">
        <v>2.31</v>
      </c>
      <c r="Z219" s="60">
        <v>3.93</v>
      </c>
      <c r="AA219" s="60">
        <v>5.48</v>
      </c>
      <c r="AB219" s="3">
        <v>2.4</v>
      </c>
      <c r="AC219" s="3">
        <v>4.03</v>
      </c>
      <c r="AD219" s="3">
        <v>5.6</v>
      </c>
      <c r="AE219" s="3">
        <v>2.4700000000000002</v>
      </c>
      <c r="AF219" s="3">
        <v>4.1399999999999997</v>
      </c>
      <c r="AG219" s="60">
        <v>5.75</v>
      </c>
      <c r="AH219" s="44">
        <v>2.31</v>
      </c>
      <c r="AI219" s="45">
        <v>3.93</v>
      </c>
      <c r="AJ219" s="44">
        <v>5.48</v>
      </c>
      <c r="AK219" s="45">
        <v>6.4516129032258052</v>
      </c>
      <c r="AL219" s="60">
        <v>12.18</v>
      </c>
      <c r="AM219" s="60">
        <v>12.23</v>
      </c>
      <c r="AN219" s="60">
        <v>12.08</v>
      </c>
      <c r="AO219" s="60">
        <v>12.17</v>
      </c>
      <c r="AP219" s="3">
        <v>12.08</v>
      </c>
      <c r="AQ219" s="47">
        <v>12.18</v>
      </c>
      <c r="AR219" s="47">
        <v>12.08</v>
      </c>
      <c r="AS219" s="3">
        <v>17.86</v>
      </c>
      <c r="AT219" s="3">
        <v>16.63</v>
      </c>
      <c r="AU219" s="3">
        <v>18.48</v>
      </c>
      <c r="AV219" s="3"/>
      <c r="AW219" s="3"/>
      <c r="AX219" s="48">
        <v>18.48</v>
      </c>
      <c r="AY219" s="3"/>
      <c r="AZ219" s="3">
        <v>9</v>
      </c>
      <c r="BA219" s="3">
        <v>210</v>
      </c>
      <c r="BB219" s="3">
        <v>8</v>
      </c>
      <c r="BC219" s="3">
        <v>190</v>
      </c>
      <c r="BD219" s="40">
        <v>906.23347687888941</v>
      </c>
      <c r="BE219" s="40">
        <v>962.72589841574745</v>
      </c>
      <c r="BF219" s="40"/>
      <c r="BG219" s="40">
        <v>220.2357864165065</v>
      </c>
      <c r="BH219" s="40">
        <v>211.43925001325346</v>
      </c>
      <c r="BI219" s="49">
        <v>1868.9593752946369</v>
      </c>
      <c r="BJ219" s="49">
        <v>431.67503642975998</v>
      </c>
      <c r="BK219" s="66">
        <v>-5.867965287920629E-2</v>
      </c>
      <c r="BL219" s="66">
        <v>4.1603138502911197E-2</v>
      </c>
      <c r="BM219" s="51">
        <v>32.223437505079943</v>
      </c>
      <c r="BN219" s="51">
        <v>7.4426730418924132</v>
      </c>
      <c r="BO219" s="52">
        <v>142</v>
      </c>
      <c r="BP219" s="40">
        <v>117</v>
      </c>
      <c r="BQ219" s="40">
        <v>142</v>
      </c>
      <c r="BR219" s="67">
        <v>-0.176056338028169</v>
      </c>
      <c r="BS219" s="54">
        <v>2.2308354866494402</v>
      </c>
      <c r="BT219" s="3">
        <v>103</v>
      </c>
      <c r="BU219" s="40">
        <v>132</v>
      </c>
      <c r="BV219" s="3">
        <v>84</v>
      </c>
      <c r="BW219" s="3">
        <v>93</v>
      </c>
      <c r="BX219" s="70">
        <v>-0.21969696969696972</v>
      </c>
      <c r="BY219" s="70">
        <v>-9.6774193548387122E-2</v>
      </c>
      <c r="BZ219" s="59">
        <v>1.4193548387096775</v>
      </c>
      <c r="CA219" s="59">
        <v>1.2261904761904763</v>
      </c>
      <c r="CB219" s="59">
        <v>1.5713896066609248</v>
      </c>
      <c r="CC219" s="59">
        <v>1.1835572782084414</v>
      </c>
      <c r="CD219" s="60">
        <v>80</v>
      </c>
      <c r="CE219" s="60">
        <v>73</v>
      </c>
      <c r="CF219" s="61">
        <v>1.3781223083548666</v>
      </c>
      <c r="CG219" s="61">
        <v>1.2575366063738158</v>
      </c>
      <c r="CH219" s="61">
        <v>0.91249999999999998</v>
      </c>
      <c r="CI219" s="41">
        <v>14.3</v>
      </c>
      <c r="CJ219" s="40">
        <f>VLOOKUP(paper3[[#This Row],[YYIR nivå]],$DB:$DC,2)</f>
        <v>560</v>
      </c>
      <c r="CK219" s="3" t="s">
        <v>194</v>
      </c>
      <c r="CL219" s="62"/>
      <c r="CM219" s="63" t="s">
        <v>110</v>
      </c>
      <c r="CN219" s="3">
        <v>132</v>
      </c>
      <c r="CO219" s="3">
        <v>93</v>
      </c>
      <c r="CP219" s="41">
        <v>12.96111111111111</v>
      </c>
      <c r="CQ219" s="3" t="s">
        <v>110</v>
      </c>
      <c r="CR219" s="40">
        <v>117.5</v>
      </c>
      <c r="CS219" s="40">
        <v>88.5</v>
      </c>
      <c r="CT219" s="40">
        <v>129.5</v>
      </c>
      <c r="CU219" s="40"/>
      <c r="CV219" s="40"/>
      <c r="CW219" s="40"/>
      <c r="CX219" s="40"/>
      <c r="CY219" s="40">
        <v>0</v>
      </c>
      <c r="CZ219" s="40"/>
      <c r="DA219" s="40"/>
    </row>
    <row r="220" spans="1:105" ht="15.95" customHeight="1">
      <c r="A220" s="3">
        <v>489</v>
      </c>
      <c r="B220" s="38" t="s">
        <v>103</v>
      </c>
      <c r="C220" s="3" t="s">
        <v>115</v>
      </c>
      <c r="D220" s="3" t="s">
        <v>105</v>
      </c>
      <c r="E220" s="39">
        <v>44685</v>
      </c>
      <c r="F220" s="3" t="s">
        <v>186</v>
      </c>
      <c r="G220" s="3" t="s">
        <v>107</v>
      </c>
      <c r="H220" s="3">
        <v>2009</v>
      </c>
      <c r="I220" s="40" t="s">
        <v>108</v>
      </c>
      <c r="J220" s="39" t="s">
        <v>109</v>
      </c>
      <c r="K220" s="3">
        <v>151.9</v>
      </c>
      <c r="L220" s="3">
        <v>152</v>
      </c>
      <c r="M220" s="3"/>
      <c r="N220" s="3">
        <v>137.6</v>
      </c>
      <c r="O220" s="3">
        <v>136.69999999999999</v>
      </c>
      <c r="P220" s="3">
        <v>137.6</v>
      </c>
      <c r="Q220" s="3">
        <v>45.6</v>
      </c>
      <c r="R220" s="3">
        <v>45.6</v>
      </c>
      <c r="S220" s="3"/>
      <c r="T220" s="42">
        <v>151.94999999999999</v>
      </c>
      <c r="U220" s="42">
        <f>AVERAGE(paper3[[#This Row],[Sittende høyde 1]:[Sittende høyde 3]])-56.2</f>
        <v>81.09999999999998</v>
      </c>
      <c r="V220" s="12">
        <f>paper3[[#This Row],[height]]-paper3[[#This Row],[sittingheight]]</f>
        <v>70.850000000000009</v>
      </c>
      <c r="W220" s="73">
        <v>45.6</v>
      </c>
      <c r="X220" s="43" cm="1">
        <f t="array" ref="X220">INDEX([1]!phvny[yphv], MATCH(1, (paper3[[#This Row],[id]]=[1]!phvny[id])*(paper3[[#This Row],[time]]=[1]!phvny[time]), 0))</f>
        <v>0.29665401860990315</v>
      </c>
      <c r="Y220" s="60">
        <v>2.13</v>
      </c>
      <c r="Z220" s="60">
        <v>3.65</v>
      </c>
      <c r="AA220" s="60">
        <v>5.15</v>
      </c>
      <c r="AB220" s="3">
        <v>2.15</v>
      </c>
      <c r="AC220" s="3">
        <v>3.69</v>
      </c>
      <c r="AD220" s="60">
        <v>5.2</v>
      </c>
      <c r="AE220" s="3">
        <v>2.15</v>
      </c>
      <c r="AF220" s="3">
        <v>3.72</v>
      </c>
      <c r="AG220" s="60">
        <v>5.25</v>
      </c>
      <c r="AH220" s="44">
        <v>2.13</v>
      </c>
      <c r="AI220" s="44">
        <v>3.65</v>
      </c>
      <c r="AJ220" s="45">
        <v>5.15</v>
      </c>
      <c r="AK220" s="45">
        <v>6.6666666666666643</v>
      </c>
      <c r="AL220" s="60">
        <v>12.1</v>
      </c>
      <c r="AM220" s="60">
        <v>11.88</v>
      </c>
      <c r="AN220" s="60"/>
      <c r="AO220" s="60">
        <v>12.25</v>
      </c>
      <c r="AP220" s="3">
        <v>11.88</v>
      </c>
      <c r="AQ220" s="47">
        <v>11.88</v>
      </c>
      <c r="AR220" s="47">
        <v>12.25</v>
      </c>
      <c r="AS220" s="3">
        <v>23.13</v>
      </c>
      <c r="AT220" s="3">
        <v>27.4</v>
      </c>
      <c r="AU220" s="3">
        <v>23.87</v>
      </c>
      <c r="AV220" s="3"/>
      <c r="AW220" s="3"/>
      <c r="AX220" s="48">
        <v>27.4</v>
      </c>
      <c r="AY220" s="3"/>
      <c r="AZ220" s="3">
        <v>7</v>
      </c>
      <c r="BA220" s="3">
        <v>210</v>
      </c>
      <c r="BB220" s="3">
        <v>9</v>
      </c>
      <c r="BC220" s="3">
        <v>209</v>
      </c>
      <c r="BD220" s="40">
        <v>1005.7456886581876</v>
      </c>
      <c r="BE220" s="40">
        <v>1286.4793184982436</v>
      </c>
      <c r="BF220" s="40"/>
      <c r="BG220" s="40">
        <v>160.56339390862223</v>
      </c>
      <c r="BH220" s="40">
        <v>168.58810472235604</v>
      </c>
      <c r="BI220" s="49">
        <v>2292.2250071564313</v>
      </c>
      <c r="BJ220" s="49">
        <v>329.15149863097827</v>
      </c>
      <c r="BK220" s="66">
        <v>-0.21821853317297557</v>
      </c>
      <c r="BL220" s="66">
        <v>-4.7599507847540745E-2</v>
      </c>
      <c r="BM220" s="51">
        <v>50.268092262202437</v>
      </c>
      <c r="BN220" s="51">
        <v>7.2182346191004001</v>
      </c>
      <c r="BO220" s="52">
        <v>199</v>
      </c>
      <c r="BP220" s="40">
        <v>199</v>
      </c>
      <c r="BQ220" s="40">
        <v>193</v>
      </c>
      <c r="BR220" s="67">
        <v>3.1088082901554515E-2</v>
      </c>
      <c r="BS220" s="54">
        <v>4.2982456140350873</v>
      </c>
      <c r="BT220" s="3">
        <v>94</v>
      </c>
      <c r="BU220" s="40">
        <v>98</v>
      </c>
      <c r="BV220" s="3">
        <v>69</v>
      </c>
      <c r="BW220" s="3">
        <v>74</v>
      </c>
      <c r="BX220" s="70">
        <v>-4.081632653061229E-2</v>
      </c>
      <c r="BY220" s="70">
        <v>-6.7567567567567544E-2</v>
      </c>
      <c r="BZ220" s="59">
        <v>1.3243243243243243</v>
      </c>
      <c r="CA220" s="59">
        <v>1.3623188405797102</v>
      </c>
      <c r="CB220" s="59">
        <v>1.4915789473684213</v>
      </c>
      <c r="CC220" s="59">
        <v>1.1109155701754387</v>
      </c>
      <c r="CD220" s="60">
        <v>88</v>
      </c>
      <c r="CE220" s="60">
        <v>78</v>
      </c>
      <c r="CF220" s="61">
        <v>1.9298245614035088</v>
      </c>
      <c r="CG220" s="61">
        <v>1.7105263157894737</v>
      </c>
      <c r="CH220" s="61">
        <v>0.88636363636363635</v>
      </c>
      <c r="CI220" s="41">
        <v>14.2</v>
      </c>
      <c r="CJ220" s="40">
        <f>VLOOKUP(paper3[[#This Row],[YYIR nivå]],$DB:$DC,2)</f>
        <v>520</v>
      </c>
      <c r="CK220" s="3"/>
      <c r="CL220" s="62"/>
      <c r="CM220" s="63" t="s">
        <v>110</v>
      </c>
      <c r="CN220" s="3">
        <v>98</v>
      </c>
      <c r="CO220" s="3">
        <v>74</v>
      </c>
      <c r="CP220" s="41">
        <v>12.358333333333333</v>
      </c>
      <c r="CQ220" s="3" t="s">
        <v>110</v>
      </c>
      <c r="CR220" s="40">
        <v>96</v>
      </c>
      <c r="CS220" s="40">
        <v>71.5</v>
      </c>
      <c r="CT220" s="40">
        <v>196</v>
      </c>
      <c r="CU220" s="40"/>
      <c r="CV220" s="40"/>
      <c r="CW220" s="40"/>
      <c r="CX220" s="40"/>
      <c r="CY220" s="40">
        <v>0</v>
      </c>
      <c r="CZ220" s="40"/>
      <c r="DA220" s="40"/>
    </row>
    <row r="221" spans="1:105" ht="15.95" customHeight="1">
      <c r="A221" s="3">
        <v>490</v>
      </c>
      <c r="B221" s="38" t="s">
        <v>103</v>
      </c>
      <c r="C221" s="3" t="s">
        <v>115</v>
      </c>
      <c r="D221" s="3" t="s">
        <v>105</v>
      </c>
      <c r="E221" s="39">
        <v>44685</v>
      </c>
      <c r="F221" s="3" t="s">
        <v>186</v>
      </c>
      <c r="G221" s="3" t="s">
        <v>107</v>
      </c>
      <c r="H221" s="3">
        <v>2009</v>
      </c>
      <c r="I221" s="40" t="s">
        <v>108</v>
      </c>
      <c r="J221" s="39" t="s">
        <v>109</v>
      </c>
      <c r="K221" s="3">
        <v>166.5</v>
      </c>
      <c r="L221" s="3">
        <v>166.5</v>
      </c>
      <c r="M221" s="3"/>
      <c r="N221" s="3">
        <v>142.30000000000001</v>
      </c>
      <c r="O221" s="3">
        <v>142</v>
      </c>
      <c r="P221" s="3">
        <v>142</v>
      </c>
      <c r="Q221" s="3">
        <v>49.7</v>
      </c>
      <c r="R221" s="3">
        <v>49.7</v>
      </c>
      <c r="S221" s="3"/>
      <c r="T221" s="42">
        <v>166.5</v>
      </c>
      <c r="U221" s="42">
        <f>AVERAGE(paper3[[#This Row],[Sittende høyde 1]:[Sittende høyde 3]])-56.2</f>
        <v>85.899999999999991</v>
      </c>
      <c r="V221" s="12">
        <f>paper3[[#This Row],[height]]-paper3[[#This Row],[sittingheight]]</f>
        <v>80.600000000000009</v>
      </c>
      <c r="W221" s="73">
        <v>49.7</v>
      </c>
      <c r="X221" s="43" cm="1">
        <f t="array" ref="X221">INDEX([1]!phvny[yphv], MATCH(1, (paper3[[#This Row],[id]]=[1]!phvny[id])*(paper3[[#This Row],[time]]=[1]!phvny[time]), 0))</f>
        <v>1.3961226638933939</v>
      </c>
      <c r="Y221" s="60">
        <v>2.14</v>
      </c>
      <c r="Z221" s="60">
        <v>3.75</v>
      </c>
      <c r="AA221" s="60">
        <v>5.34</v>
      </c>
      <c r="AB221" s="3">
        <v>2.27</v>
      </c>
      <c r="AC221" s="3">
        <v>3.92</v>
      </c>
      <c r="AD221" s="3">
        <v>5.57</v>
      </c>
      <c r="AE221" s="3">
        <v>2.23</v>
      </c>
      <c r="AF221" s="3">
        <v>3.86</v>
      </c>
      <c r="AG221" s="60">
        <v>5.46</v>
      </c>
      <c r="AH221" s="44">
        <v>2.14</v>
      </c>
      <c r="AI221" s="44">
        <v>3.75</v>
      </c>
      <c r="AJ221" s="44">
        <v>5.34</v>
      </c>
      <c r="AK221" s="45">
        <v>6.2893081761006293</v>
      </c>
      <c r="AL221" s="60">
        <v>12.19</v>
      </c>
      <c r="AM221" s="60">
        <v>11.78</v>
      </c>
      <c r="AN221" s="60">
        <v>11.86</v>
      </c>
      <c r="AO221" s="60">
        <v>11.42</v>
      </c>
      <c r="AP221" s="3">
        <v>11.42</v>
      </c>
      <c r="AQ221" s="47">
        <v>11.78</v>
      </c>
      <c r="AR221" s="47">
        <v>11.42</v>
      </c>
      <c r="AS221" s="3">
        <v>25.36</v>
      </c>
      <c r="AT221" s="3">
        <v>25.36</v>
      </c>
      <c r="AU221" s="3">
        <v>25.2</v>
      </c>
      <c r="AV221" s="3"/>
      <c r="AW221" s="3"/>
      <c r="AX221" s="48">
        <v>25.36</v>
      </c>
      <c r="AY221" s="3"/>
      <c r="AZ221" s="3">
        <v>8</v>
      </c>
      <c r="BA221" s="3">
        <v>195</v>
      </c>
      <c r="BB221" s="3">
        <v>7</v>
      </c>
      <c r="BC221" s="3">
        <v>159</v>
      </c>
      <c r="BD221" s="40">
        <v>556.60796820779524</v>
      </c>
      <c r="BE221" s="40">
        <v>589.47963670046261</v>
      </c>
      <c r="BF221" s="40"/>
      <c r="BG221" s="40">
        <v>157.22716683050274</v>
      </c>
      <c r="BH221" s="40">
        <v>151.91459566461242</v>
      </c>
      <c r="BI221" s="49">
        <v>1146.0876049082578</v>
      </c>
      <c r="BJ221" s="49">
        <v>309.14176249511513</v>
      </c>
      <c r="BK221" s="66">
        <v>-5.5763874519334289E-2</v>
      </c>
      <c r="BL221" s="66">
        <v>3.4970775142759036E-2</v>
      </c>
      <c r="BM221" s="51">
        <v>23.060112774814041</v>
      </c>
      <c r="BN221" s="51">
        <v>6.2201561870244486</v>
      </c>
      <c r="BO221" s="52">
        <v>133</v>
      </c>
      <c r="BP221" s="40">
        <v>133</v>
      </c>
      <c r="BQ221" s="40">
        <v>133</v>
      </c>
      <c r="BR221" s="67">
        <v>0</v>
      </c>
      <c r="BS221" s="54">
        <v>2.676056338028169</v>
      </c>
      <c r="BT221" s="3">
        <v>105</v>
      </c>
      <c r="BU221" s="40">
        <v>98</v>
      </c>
      <c r="BV221" s="3">
        <v>98</v>
      </c>
      <c r="BW221" s="3">
        <v>97</v>
      </c>
      <c r="BX221" s="70">
        <v>7.1428571428571397E-2</v>
      </c>
      <c r="BY221" s="70">
        <v>1.0309278350515427E-2</v>
      </c>
      <c r="BZ221" s="59">
        <v>1.0103092783505154</v>
      </c>
      <c r="CA221" s="59">
        <v>1.0714285714285714</v>
      </c>
      <c r="CB221" s="59">
        <v>1.6460563380281692</v>
      </c>
      <c r="CC221" s="59">
        <v>1.5811871227364185</v>
      </c>
      <c r="CD221" s="60">
        <v>78</v>
      </c>
      <c r="CE221" s="60">
        <v>54</v>
      </c>
      <c r="CF221" s="61">
        <v>1.5694164989939636</v>
      </c>
      <c r="CG221" s="61">
        <v>1.0865191146881288</v>
      </c>
      <c r="CH221" s="61">
        <v>0.6923076923076924</v>
      </c>
      <c r="CI221" s="41"/>
      <c r="CJ221" s="40"/>
      <c r="CK221" s="3"/>
      <c r="CL221" s="62"/>
      <c r="CM221" s="63" t="s">
        <v>110</v>
      </c>
      <c r="CN221" s="3">
        <v>105</v>
      </c>
      <c r="CO221" s="3">
        <v>98</v>
      </c>
      <c r="CP221" s="41">
        <v>13.113888888888889</v>
      </c>
      <c r="CQ221" s="3" t="s">
        <v>110</v>
      </c>
      <c r="CR221" s="40">
        <v>101.5</v>
      </c>
      <c r="CS221" s="40">
        <v>97.5</v>
      </c>
      <c r="CT221" s="40">
        <v>133</v>
      </c>
      <c r="CU221" s="40"/>
      <c r="CV221" s="40"/>
      <c r="CW221" s="40"/>
      <c r="CX221" s="40"/>
      <c r="CY221" s="40">
        <v>0</v>
      </c>
      <c r="CZ221" s="40"/>
      <c r="DA221" s="40"/>
    </row>
    <row r="222" spans="1:105" ht="15.75" customHeight="1">
      <c r="A222" s="3">
        <v>491</v>
      </c>
      <c r="B222" s="38" t="s">
        <v>103</v>
      </c>
      <c r="C222" s="3" t="s">
        <v>115</v>
      </c>
      <c r="D222" s="3" t="s">
        <v>105</v>
      </c>
      <c r="E222" s="39">
        <v>44685</v>
      </c>
      <c r="F222" s="3" t="s">
        <v>186</v>
      </c>
      <c r="G222" s="3" t="s">
        <v>107</v>
      </c>
      <c r="H222" s="3">
        <v>2009</v>
      </c>
      <c r="I222" s="40" t="s">
        <v>108</v>
      </c>
      <c r="J222" s="39" t="s">
        <v>109</v>
      </c>
      <c r="K222" s="3">
        <v>151.30000000000001</v>
      </c>
      <c r="L222" s="3">
        <v>151.19999999999999</v>
      </c>
      <c r="M222" s="3"/>
      <c r="N222" s="3">
        <v>129.80000000000001</v>
      </c>
      <c r="O222" s="3">
        <v>130.1</v>
      </c>
      <c r="P222" s="3">
        <v>129.9</v>
      </c>
      <c r="Q222" s="3">
        <v>40.6</v>
      </c>
      <c r="R222" s="3">
        <v>40.6</v>
      </c>
      <c r="S222" s="3"/>
      <c r="T222" s="42">
        <v>151.25</v>
      </c>
      <c r="U222" s="42">
        <f>AVERAGE(paper3[[#This Row],[Sittende høyde 1]:[Sittende høyde 3]])-56.2</f>
        <v>73.733333333333306</v>
      </c>
      <c r="V222" s="12">
        <f>paper3[[#This Row],[height]]-paper3[[#This Row],[sittingheight]]</f>
        <v>77.516666666666694</v>
      </c>
      <c r="W222" s="73">
        <v>40.6</v>
      </c>
      <c r="X222" s="43" cm="1">
        <f t="array" ref="X222">INDEX([1]!phvny[yphv], MATCH(1, (paper3[[#This Row],[id]]=[1]!phvny[id])*(paper3[[#This Row],[time]]=[1]!phvny[time]), 0))</f>
        <v>0.12413571397796019</v>
      </c>
      <c r="Y222" s="60">
        <v>2.34</v>
      </c>
      <c r="Z222" s="60">
        <v>3.98</v>
      </c>
      <c r="AA222" s="60">
        <v>5.61</v>
      </c>
      <c r="AB222" s="3">
        <v>2.04</v>
      </c>
      <c r="AC222" s="3">
        <v>3.54</v>
      </c>
      <c r="AD222" s="3">
        <v>4.99</v>
      </c>
      <c r="AE222" s="3">
        <v>2.2999999999999998</v>
      </c>
      <c r="AF222" s="3">
        <v>4</v>
      </c>
      <c r="AG222" s="60">
        <v>5.67</v>
      </c>
      <c r="AH222" s="44">
        <v>2.04</v>
      </c>
      <c r="AI222" s="44">
        <v>3.54</v>
      </c>
      <c r="AJ222" s="44">
        <v>4.99</v>
      </c>
      <c r="AK222" s="45">
        <v>6.8965517241379306</v>
      </c>
      <c r="AL222" s="60">
        <v>12.73</v>
      </c>
      <c r="AM222" s="60">
        <v>12.41</v>
      </c>
      <c r="AN222" s="60">
        <v>12.59</v>
      </c>
      <c r="AO222" s="60">
        <v>12.33</v>
      </c>
      <c r="AP222" s="3">
        <v>12.33</v>
      </c>
      <c r="AQ222" s="47">
        <v>12.41</v>
      </c>
      <c r="AR222" s="47">
        <v>12.33</v>
      </c>
      <c r="AS222" s="3">
        <v>23.75</v>
      </c>
      <c r="AT222" s="3">
        <v>17.559999999999999</v>
      </c>
      <c r="AU222" s="3">
        <v>18.86</v>
      </c>
      <c r="AV222" s="3"/>
      <c r="AW222" s="3"/>
      <c r="AX222" s="48">
        <v>23.75</v>
      </c>
      <c r="AY222" s="3"/>
      <c r="AZ222" s="3">
        <v>8</v>
      </c>
      <c r="BA222" s="3">
        <v>190</v>
      </c>
      <c r="BB222" s="3">
        <v>8</v>
      </c>
      <c r="BC222" s="3">
        <v>172</v>
      </c>
      <c r="BD222" s="40">
        <v>625.70548883637434</v>
      </c>
      <c r="BE222" s="40">
        <v>600.5611834864244</v>
      </c>
      <c r="BF222" s="40"/>
      <c r="BG222" s="40">
        <v>133.33844170646978</v>
      </c>
      <c r="BH222" s="40">
        <v>136.65141415647673</v>
      </c>
      <c r="BI222" s="49">
        <v>1226.2666723227987</v>
      </c>
      <c r="BJ222" s="49">
        <v>269.98985586294651</v>
      </c>
      <c r="BK222" s="66">
        <v>4.1868016184429813E-2</v>
      </c>
      <c r="BL222" s="66">
        <v>-2.4243967546602407E-2</v>
      </c>
      <c r="BM222" s="51">
        <v>30.203612618788146</v>
      </c>
      <c r="BN222" s="51">
        <v>6.6499964498262685</v>
      </c>
      <c r="BO222" s="52">
        <v>109</v>
      </c>
      <c r="BP222" s="40">
        <v>109</v>
      </c>
      <c r="BQ222" s="40">
        <v>99</v>
      </c>
      <c r="BR222" s="67">
        <v>0.10101010101010099</v>
      </c>
      <c r="BS222" s="54">
        <v>2.5615763546798029</v>
      </c>
      <c r="BT222" s="3">
        <v>72</v>
      </c>
      <c r="BU222" s="40">
        <v>67</v>
      </c>
      <c r="BV222" s="3"/>
      <c r="BW222" s="3">
        <v>50</v>
      </c>
      <c r="BX222" s="70">
        <v>7.4626865671641784E-2</v>
      </c>
      <c r="BY222" s="70">
        <v>-1</v>
      </c>
      <c r="BZ222" s="59">
        <v>1.34</v>
      </c>
      <c r="CA222" s="59" t="e">
        <v>#DIV/0!</v>
      </c>
      <c r="CB222" s="59">
        <v>1.326947865353038</v>
      </c>
      <c r="CC222" s="59">
        <v>0.95463875205254545</v>
      </c>
      <c r="CD222" s="60">
        <v>65</v>
      </c>
      <c r="CE222" s="60">
        <v>64</v>
      </c>
      <c r="CF222" s="61">
        <v>1.6009852216748768</v>
      </c>
      <c r="CG222" s="61">
        <v>1.5763546798029555</v>
      </c>
      <c r="CH222" s="61">
        <v>0.98461538461538456</v>
      </c>
      <c r="CI222" s="41">
        <v>13.3</v>
      </c>
      <c r="CJ222" s="40">
        <f>VLOOKUP(paper3[[#This Row],[YYIR nivå]],$DB:$DC,2)</f>
        <v>400</v>
      </c>
      <c r="CK222" s="3"/>
      <c r="CL222" s="62"/>
      <c r="CM222" s="63" t="s">
        <v>110</v>
      </c>
      <c r="CN222" s="3">
        <v>72</v>
      </c>
      <c r="CO222" s="3">
        <v>50</v>
      </c>
      <c r="CP222" s="41">
        <v>12.891666666666667</v>
      </c>
      <c r="CQ222" s="3" t="s">
        <v>110</v>
      </c>
      <c r="CR222" s="40">
        <v>69.5</v>
      </c>
      <c r="CS222" s="40">
        <v>50</v>
      </c>
      <c r="CT222" s="40">
        <v>104</v>
      </c>
      <c r="CU222" s="40"/>
      <c r="CV222" s="40"/>
      <c r="CW222" s="40"/>
      <c r="CX222" s="40"/>
      <c r="CY222" s="40">
        <v>0</v>
      </c>
      <c r="CZ222" s="40"/>
      <c r="DA222" s="40"/>
    </row>
    <row r="223" spans="1:105" ht="15.95" customHeight="1">
      <c r="A223" s="3">
        <v>492</v>
      </c>
      <c r="B223" s="38" t="s">
        <v>103</v>
      </c>
      <c r="C223" s="3" t="s">
        <v>115</v>
      </c>
      <c r="D223" s="3" t="s">
        <v>105</v>
      </c>
      <c r="E223" s="39">
        <v>44685</v>
      </c>
      <c r="F223" s="3" t="s">
        <v>186</v>
      </c>
      <c r="G223" s="3" t="s">
        <v>107</v>
      </c>
      <c r="H223" s="3">
        <v>2009</v>
      </c>
      <c r="I223" s="40" t="s">
        <v>108</v>
      </c>
      <c r="J223" s="39" t="s">
        <v>109</v>
      </c>
      <c r="K223" s="3">
        <v>163.4</v>
      </c>
      <c r="L223" s="3">
        <v>163.4</v>
      </c>
      <c r="M223" s="3"/>
      <c r="N223" s="3">
        <v>138.5</v>
      </c>
      <c r="O223" s="3">
        <v>138.30000000000001</v>
      </c>
      <c r="P223" s="3"/>
      <c r="Q223" s="3">
        <v>49.5</v>
      </c>
      <c r="R223" s="3">
        <v>49.5</v>
      </c>
      <c r="S223" s="3"/>
      <c r="T223" s="42">
        <v>163.4</v>
      </c>
      <c r="U223" s="42">
        <f>AVERAGE(paper3[[#This Row],[Sittende høyde 1]:[Sittende høyde 3]])-56.2</f>
        <v>82.2</v>
      </c>
      <c r="V223" s="12">
        <f>paper3[[#This Row],[height]]-paper3[[#This Row],[sittingheight]]</f>
        <v>81.2</v>
      </c>
      <c r="W223" s="73">
        <v>49.5</v>
      </c>
      <c r="X223" s="43" cm="1">
        <f t="array" ref="X223">INDEX([1]!phvny[yphv], MATCH(1, (paper3[[#This Row],[id]]=[1]!phvny[id])*(paper3[[#This Row],[time]]=[1]!phvny[time]), 0))</f>
        <v>1.2019131928986826</v>
      </c>
      <c r="Y223" s="60">
        <v>2.0499999999999998</v>
      </c>
      <c r="Z223" s="60">
        <v>3.57</v>
      </c>
      <c r="AA223" s="60">
        <v>5.03</v>
      </c>
      <c r="AB223" s="3">
        <v>2.16</v>
      </c>
      <c r="AC223" s="3">
        <v>3.77</v>
      </c>
      <c r="AD223" s="3">
        <v>5.34</v>
      </c>
      <c r="AE223" s="3">
        <v>2.09</v>
      </c>
      <c r="AF223" s="3">
        <v>3.62</v>
      </c>
      <c r="AG223" s="60">
        <v>5.0999999999999996</v>
      </c>
      <c r="AH223" s="44">
        <v>2.0499999999999998</v>
      </c>
      <c r="AI223" s="44">
        <v>3.57</v>
      </c>
      <c r="AJ223" s="44">
        <v>5.03</v>
      </c>
      <c r="AK223" s="45">
        <v>6.8493150684931488</v>
      </c>
      <c r="AL223" s="60">
        <v>11.22</v>
      </c>
      <c r="AM223" s="60">
        <v>10.7</v>
      </c>
      <c r="AN223" s="60">
        <v>11.05</v>
      </c>
      <c r="AO223" s="60">
        <v>11.05</v>
      </c>
      <c r="AP223" s="3">
        <v>10.7</v>
      </c>
      <c r="AQ223" s="47">
        <v>10.7</v>
      </c>
      <c r="AR223" s="47">
        <v>11.05</v>
      </c>
      <c r="AS223" s="3">
        <v>24.4</v>
      </c>
      <c r="AT223" s="3">
        <v>26.08</v>
      </c>
      <c r="AU223" s="3">
        <v>23.8</v>
      </c>
      <c r="AV223" s="3"/>
      <c r="AW223" s="3"/>
      <c r="AX223" s="48">
        <v>26.08</v>
      </c>
      <c r="AY223" s="3"/>
      <c r="AZ223" s="3">
        <v>8</v>
      </c>
      <c r="BA223" s="3">
        <v>210</v>
      </c>
      <c r="BB223" s="3">
        <v>7</v>
      </c>
      <c r="BC223" s="3">
        <v>171</v>
      </c>
      <c r="BD223" s="40"/>
      <c r="BE223" s="40"/>
      <c r="BF223" s="40"/>
      <c r="BG223" s="40">
        <v>230.18878446115269</v>
      </c>
      <c r="BH223" s="40">
        <v>231.7858266477898</v>
      </c>
      <c r="BI223" s="49"/>
      <c r="BJ223" s="49">
        <v>461.9746111089425</v>
      </c>
      <c r="BK223" s="66"/>
      <c r="BL223" s="66">
        <v>-6.8901632586184647E-3</v>
      </c>
      <c r="BM223" s="51"/>
      <c r="BN223" s="51">
        <v>9.3328204264432824</v>
      </c>
      <c r="BO223" s="52">
        <v>235</v>
      </c>
      <c r="BP223" s="40">
        <v>209</v>
      </c>
      <c r="BQ223" s="40">
        <v>235</v>
      </c>
      <c r="BR223" s="67">
        <v>-0.11063829787234047</v>
      </c>
      <c r="BS223" s="54">
        <v>4.4848484848484844</v>
      </c>
      <c r="BT223" s="3">
        <v>77</v>
      </c>
      <c r="BU223" s="40">
        <v>84</v>
      </c>
      <c r="BV223" s="3">
        <v>93</v>
      </c>
      <c r="BW223" s="3">
        <v>97</v>
      </c>
      <c r="BX223" s="70">
        <v>-8.333333333333337E-2</v>
      </c>
      <c r="BY223" s="70">
        <v>-4.123711340206182E-2</v>
      </c>
      <c r="BZ223" s="59">
        <v>0.865979381443299</v>
      </c>
      <c r="CA223" s="59">
        <v>0.82795698924731187</v>
      </c>
      <c r="CB223" s="59">
        <v>1.3205252525252524</v>
      </c>
      <c r="CC223" s="59">
        <v>1.5583838383838384</v>
      </c>
      <c r="CD223" s="60">
        <v>68</v>
      </c>
      <c r="CE223" s="60">
        <v>66</v>
      </c>
      <c r="CF223" s="61">
        <v>1.3737373737373737</v>
      </c>
      <c r="CG223" s="61">
        <v>1.3333333333333333</v>
      </c>
      <c r="CH223" s="61">
        <v>0.97058823529411764</v>
      </c>
      <c r="CI223" s="41">
        <v>14.1</v>
      </c>
      <c r="CJ223" s="40">
        <f>VLOOKUP(paper3[[#This Row],[YYIR nivå]],$DB:$DC,2)</f>
        <v>480</v>
      </c>
      <c r="CK223" s="3"/>
      <c r="CL223" s="62"/>
      <c r="CM223" s="63" t="s">
        <v>110</v>
      </c>
      <c r="CN223" s="3">
        <v>84</v>
      </c>
      <c r="CO223" s="3">
        <v>97</v>
      </c>
      <c r="CP223" s="41">
        <v>13.261111111111111</v>
      </c>
      <c r="CQ223" s="3" t="s">
        <v>110</v>
      </c>
      <c r="CR223" s="40">
        <v>80.5</v>
      </c>
      <c r="CS223" s="40">
        <v>95</v>
      </c>
      <c r="CT223" s="40">
        <v>222</v>
      </c>
      <c r="CU223" s="40"/>
      <c r="CV223" s="40"/>
      <c r="CW223" s="40"/>
      <c r="CX223" s="40"/>
      <c r="CY223" s="40">
        <v>0</v>
      </c>
      <c r="CZ223" s="40"/>
      <c r="DA223" s="40"/>
    </row>
    <row r="224" spans="1:105" ht="15.95" customHeight="1">
      <c r="A224" s="3">
        <v>494</v>
      </c>
      <c r="B224" s="38" t="s">
        <v>103</v>
      </c>
      <c r="C224" s="3" t="s">
        <v>115</v>
      </c>
      <c r="D224" s="3" t="s">
        <v>105</v>
      </c>
      <c r="E224" s="39">
        <v>44685</v>
      </c>
      <c r="F224" s="3" t="s">
        <v>186</v>
      </c>
      <c r="G224" s="3" t="s">
        <v>107</v>
      </c>
      <c r="H224" s="3">
        <v>2009</v>
      </c>
      <c r="I224" s="40" t="s">
        <v>108</v>
      </c>
      <c r="J224" s="39" t="s">
        <v>109</v>
      </c>
      <c r="K224" s="3">
        <v>155.1</v>
      </c>
      <c r="L224" s="3">
        <v>155.1</v>
      </c>
      <c r="M224" s="3"/>
      <c r="N224" s="3">
        <v>136.5</v>
      </c>
      <c r="O224" s="3">
        <v>136.19999999999999</v>
      </c>
      <c r="P224" s="3">
        <v>136.19999999999999</v>
      </c>
      <c r="Q224" s="3">
        <v>47.9</v>
      </c>
      <c r="R224" s="3">
        <v>48</v>
      </c>
      <c r="S224" s="3"/>
      <c r="T224" s="42">
        <v>155.1</v>
      </c>
      <c r="U224" s="42">
        <f>AVERAGE(paper3[[#This Row],[Sittende høyde 1]:[Sittende høyde 3]])-56.2</f>
        <v>80.09999999999998</v>
      </c>
      <c r="V224" s="12">
        <f>paper3[[#This Row],[height]]-paper3[[#This Row],[sittingheight]]</f>
        <v>75.000000000000014</v>
      </c>
      <c r="W224" s="73">
        <v>47.95</v>
      </c>
      <c r="X224" s="43" cm="1">
        <f t="array" ref="X224">INDEX([1]!phvny[yphv], MATCH(1, (paper3[[#This Row],[id]]=[1]!phvny[id])*(paper3[[#This Row],[time]]=[1]!phvny[time]), 0))</f>
        <v>0.51939869121534521</v>
      </c>
      <c r="Y224" s="60">
        <v>2.21</v>
      </c>
      <c r="Z224" s="60">
        <v>3.85</v>
      </c>
      <c r="AA224" s="60">
        <v>5.45</v>
      </c>
      <c r="AB224" s="3"/>
      <c r="AC224" s="3"/>
      <c r="AD224" s="3"/>
      <c r="AE224" s="3">
        <v>2.2599999999999998</v>
      </c>
      <c r="AF224" s="3">
        <v>3.96</v>
      </c>
      <c r="AG224" s="60">
        <v>5.64</v>
      </c>
      <c r="AH224" s="44">
        <v>2.21</v>
      </c>
      <c r="AI224" s="45">
        <v>3.85</v>
      </c>
      <c r="AJ224" s="44">
        <v>5.45</v>
      </c>
      <c r="AK224" s="45">
        <v>6.25</v>
      </c>
      <c r="AL224" s="60">
        <v>12.71</v>
      </c>
      <c r="AM224" s="60">
        <v>13.04</v>
      </c>
      <c r="AN224" s="60">
        <v>13.07</v>
      </c>
      <c r="AO224" s="60">
        <v>13.48</v>
      </c>
      <c r="AP224" s="3">
        <v>12.71</v>
      </c>
      <c r="AQ224" s="47">
        <v>12.71</v>
      </c>
      <c r="AR224" s="47">
        <v>13.07</v>
      </c>
      <c r="AS224" s="3">
        <v>19.329999999999998</v>
      </c>
      <c r="AT224" s="3">
        <v>18.95</v>
      </c>
      <c r="AU224" s="3">
        <v>17.97</v>
      </c>
      <c r="AV224" s="3"/>
      <c r="AW224" s="3"/>
      <c r="AX224" s="48">
        <v>19.329999999999998</v>
      </c>
      <c r="AY224" s="3"/>
      <c r="AZ224" s="3">
        <v>8</v>
      </c>
      <c r="BA224" s="3">
        <v>190</v>
      </c>
      <c r="BB224" s="3">
        <v>10</v>
      </c>
      <c r="BC224" s="3">
        <v>207</v>
      </c>
      <c r="BD224" s="40">
        <v>991.04322812704652</v>
      </c>
      <c r="BE224" s="40">
        <v>908.74509818514821</v>
      </c>
      <c r="BF224" s="40"/>
      <c r="BG224" s="40">
        <v>173.39694466864819</v>
      </c>
      <c r="BH224" s="40">
        <v>149.25277949233816</v>
      </c>
      <c r="BI224" s="49">
        <v>1899.7883263121948</v>
      </c>
      <c r="BJ224" s="49">
        <v>322.64972416098635</v>
      </c>
      <c r="BK224" s="66">
        <v>9.0562392145229209E-2</v>
      </c>
      <c r="BL224" s="66">
        <v>0.16176693833396549</v>
      </c>
      <c r="BM224" s="51">
        <v>39.661551697540602</v>
      </c>
      <c r="BN224" s="51">
        <v>6.7359023833191305</v>
      </c>
      <c r="BO224" s="52">
        <v>144</v>
      </c>
      <c r="BP224" s="40">
        <v>125</v>
      </c>
      <c r="BQ224" s="40">
        <v>144</v>
      </c>
      <c r="BR224" s="67">
        <v>-0.13194444444444442</v>
      </c>
      <c r="BS224" s="54">
        <v>2.8050052137643378</v>
      </c>
      <c r="BT224" s="3">
        <v>89</v>
      </c>
      <c r="BU224" s="40">
        <v>90</v>
      </c>
      <c r="BV224" s="3">
        <v>78</v>
      </c>
      <c r="BW224" s="3">
        <v>98</v>
      </c>
      <c r="BX224" s="70">
        <v>-1.1111111111111072E-2</v>
      </c>
      <c r="BY224" s="70">
        <v>-0.20408163265306123</v>
      </c>
      <c r="BZ224" s="59">
        <v>0.91836734693877553</v>
      </c>
      <c r="CA224" s="59">
        <v>1.141025641025641</v>
      </c>
      <c r="CB224" s="59">
        <v>1.3998957247132431</v>
      </c>
      <c r="CC224" s="59">
        <v>1.3764337851929096</v>
      </c>
      <c r="CD224" s="60">
        <v>66</v>
      </c>
      <c r="CE224" s="60">
        <v>72</v>
      </c>
      <c r="CF224" s="61">
        <v>1.3764337851929092</v>
      </c>
      <c r="CG224" s="61">
        <v>1.5015641293013555</v>
      </c>
      <c r="CH224" s="61">
        <v>1.0909090909090911</v>
      </c>
      <c r="CI224" s="41">
        <v>13.3</v>
      </c>
      <c r="CJ224" s="40">
        <f>VLOOKUP(paper3[[#This Row],[YYIR nivå]],$DB:$DC,2)</f>
        <v>400</v>
      </c>
      <c r="CK224" s="3"/>
      <c r="CL224" s="62"/>
      <c r="CM224" s="63" t="s">
        <v>110</v>
      </c>
      <c r="CN224" s="3">
        <v>90</v>
      </c>
      <c r="CO224" s="3">
        <v>98</v>
      </c>
      <c r="CP224" s="41">
        <v>12.636111111111111</v>
      </c>
      <c r="CQ224" s="3" t="s">
        <v>110</v>
      </c>
      <c r="CR224" s="40">
        <v>89.5</v>
      </c>
      <c r="CS224" s="40">
        <v>88</v>
      </c>
      <c r="CT224" s="40">
        <v>134.5</v>
      </c>
      <c r="CU224" s="40"/>
      <c r="CV224" s="40"/>
      <c r="CW224" s="40"/>
      <c r="CX224" s="40"/>
      <c r="CY224" s="40" t="s">
        <v>125</v>
      </c>
      <c r="CZ224" s="40"/>
      <c r="DA224" s="40"/>
    </row>
    <row r="225" spans="1:105" ht="15.95" customHeight="1">
      <c r="A225" s="3">
        <v>495</v>
      </c>
      <c r="B225" s="38" t="s">
        <v>103</v>
      </c>
      <c r="C225" s="3" t="s">
        <v>115</v>
      </c>
      <c r="D225" s="3" t="s">
        <v>105</v>
      </c>
      <c r="E225" s="39">
        <v>44685</v>
      </c>
      <c r="F225" s="3" t="s">
        <v>186</v>
      </c>
      <c r="G225" s="3" t="s">
        <v>107</v>
      </c>
      <c r="H225" s="3">
        <v>2009</v>
      </c>
      <c r="I225" s="40" t="s">
        <v>108</v>
      </c>
      <c r="J225" s="39" t="s">
        <v>109</v>
      </c>
      <c r="K225" s="3">
        <v>165.5</v>
      </c>
      <c r="L225" s="3">
        <v>165.5</v>
      </c>
      <c r="M225" s="3"/>
      <c r="N225" s="3">
        <v>144.4</v>
      </c>
      <c r="O225" s="3">
        <v>144.19999999999999</v>
      </c>
      <c r="P225" s="3"/>
      <c r="Q225" s="3">
        <v>57.1</v>
      </c>
      <c r="R225" s="3">
        <v>57.1</v>
      </c>
      <c r="S225" s="3"/>
      <c r="T225" s="42">
        <v>165.5</v>
      </c>
      <c r="U225" s="42">
        <f>AVERAGE(paper3[[#This Row],[Sittende høyde 1]:[Sittende høyde 3]])-56.2</f>
        <v>88.100000000000009</v>
      </c>
      <c r="V225" s="12">
        <f>paper3[[#This Row],[height]]-paper3[[#This Row],[sittingheight]]</f>
        <v>77.399999999999991</v>
      </c>
      <c r="W225" s="73">
        <v>57.1</v>
      </c>
      <c r="X225" s="43" cm="1">
        <f t="array" ref="X225">INDEX([1]!phvny[yphv], MATCH(1, (paper3[[#This Row],[id]]=[1]!phvny[id])*(paper3[[#This Row],[time]]=[1]!phvny[time]), 0))</f>
        <v>1.5466204806258821</v>
      </c>
      <c r="Y225" s="60">
        <v>2.0699999999999998</v>
      </c>
      <c r="Z225" s="60">
        <v>3.54</v>
      </c>
      <c r="AA225" s="60">
        <v>4.97</v>
      </c>
      <c r="AB225" s="3">
        <v>2.0699999999999998</v>
      </c>
      <c r="AC225" s="3">
        <v>3.55</v>
      </c>
      <c r="AD225" s="60">
        <v>4.96</v>
      </c>
      <c r="AE225" s="3">
        <v>2.1</v>
      </c>
      <c r="AF225" s="3">
        <v>3.61</v>
      </c>
      <c r="AG225" s="60">
        <v>5.07</v>
      </c>
      <c r="AH225" s="44">
        <v>2.0699999999999998</v>
      </c>
      <c r="AI225" s="44">
        <v>3.54</v>
      </c>
      <c r="AJ225" s="45">
        <v>4.96</v>
      </c>
      <c r="AK225" s="45">
        <v>7.042253521126761</v>
      </c>
      <c r="AL225" s="60"/>
      <c r="AM225" s="60">
        <v>11.81</v>
      </c>
      <c r="AN225" s="60">
        <v>11.62</v>
      </c>
      <c r="AO225" s="60">
        <v>11.65</v>
      </c>
      <c r="AP225" s="3">
        <v>11.62</v>
      </c>
      <c r="AQ225" s="47">
        <v>11.81</v>
      </c>
      <c r="AR225" s="47">
        <v>11.62</v>
      </c>
      <c r="AS225" s="3">
        <v>22.35</v>
      </c>
      <c r="AT225" s="3">
        <v>22.37</v>
      </c>
      <c r="AU225" s="3"/>
      <c r="AV225" s="3"/>
      <c r="AW225" s="3"/>
      <c r="AX225" s="48">
        <v>22.37</v>
      </c>
      <c r="AY225" s="3"/>
      <c r="AZ225" s="3">
        <v>9</v>
      </c>
      <c r="BA225" s="3">
        <v>190</v>
      </c>
      <c r="BB225" s="3">
        <v>9</v>
      </c>
      <c r="BC225" s="3">
        <v>189</v>
      </c>
      <c r="BD225" s="40">
        <v>941.20691077302945</v>
      </c>
      <c r="BE225" s="40">
        <v>752.19539163566481</v>
      </c>
      <c r="BF225" s="40"/>
      <c r="BG225" s="40">
        <v>194.14236598519966</v>
      </c>
      <c r="BH225" s="40">
        <v>193.04724666946672</v>
      </c>
      <c r="BI225" s="49">
        <v>1693.4023024086941</v>
      </c>
      <c r="BJ225" s="49">
        <v>387.18961265466635</v>
      </c>
      <c r="BK225" s="66">
        <v>0.2512798153766338</v>
      </c>
      <c r="BL225" s="66">
        <v>5.6728046352714223E-3</v>
      </c>
      <c r="BM225" s="51">
        <v>29.656782879311631</v>
      </c>
      <c r="BN225" s="51">
        <v>6.7809038993811965</v>
      </c>
      <c r="BO225" s="52">
        <v>210</v>
      </c>
      <c r="BP225" s="40">
        <v>195</v>
      </c>
      <c r="BQ225" s="40">
        <v>210</v>
      </c>
      <c r="BR225" s="67">
        <v>-7.1428571428571397E-2</v>
      </c>
      <c r="BS225" s="54">
        <v>3.5464098073555164</v>
      </c>
      <c r="BT225" s="3">
        <v>123</v>
      </c>
      <c r="BU225" s="40">
        <v>121</v>
      </c>
      <c r="BV225" s="3">
        <v>111</v>
      </c>
      <c r="BW225" s="3">
        <v>124</v>
      </c>
      <c r="BX225" s="70">
        <v>1.6528925619834656E-2</v>
      </c>
      <c r="BY225" s="70">
        <v>-0.10483870967741937</v>
      </c>
      <c r="BZ225" s="59">
        <v>0.97580645161290325</v>
      </c>
      <c r="CA225" s="59">
        <v>1.1081081081081081</v>
      </c>
      <c r="CB225" s="59">
        <v>1.6537302977232922</v>
      </c>
      <c r="CC225" s="59">
        <v>1.5927320490367773</v>
      </c>
      <c r="CD225" s="60">
        <v>100</v>
      </c>
      <c r="CE225" s="60">
        <v>68</v>
      </c>
      <c r="CF225" s="61">
        <v>1.7513134851138352</v>
      </c>
      <c r="CG225" s="61">
        <v>1.1908931698774081</v>
      </c>
      <c r="CH225" s="61">
        <v>0.68</v>
      </c>
      <c r="CI225" s="41">
        <v>13.3</v>
      </c>
      <c r="CJ225" s="40">
        <f>VLOOKUP(paper3[[#This Row],[YYIR nivå]],$DB:$DC,2)</f>
        <v>400</v>
      </c>
      <c r="CK225" s="3"/>
      <c r="CL225" s="62"/>
      <c r="CM225" s="63" t="s">
        <v>110</v>
      </c>
      <c r="CN225" s="3">
        <v>123</v>
      </c>
      <c r="CO225" s="3">
        <v>124</v>
      </c>
      <c r="CP225" s="41">
        <v>13.102777777777778</v>
      </c>
      <c r="CQ225" s="3" t="s">
        <v>110</v>
      </c>
      <c r="CR225" s="40">
        <v>122</v>
      </c>
      <c r="CS225" s="40">
        <v>117.5</v>
      </c>
      <c r="CT225" s="40">
        <v>202.5</v>
      </c>
      <c r="CU225" s="40"/>
      <c r="CV225" s="40"/>
      <c r="CW225" s="40"/>
      <c r="CX225" s="40"/>
      <c r="CY225" s="40">
        <v>0</v>
      </c>
      <c r="CZ225" s="40"/>
      <c r="DA225" s="40"/>
    </row>
    <row r="226" spans="1:105" ht="15.75" customHeight="1">
      <c r="A226" s="3">
        <v>496</v>
      </c>
      <c r="B226" s="38" t="s">
        <v>103</v>
      </c>
      <c r="C226" s="3" t="s">
        <v>158</v>
      </c>
      <c r="D226" s="3" t="s">
        <v>105</v>
      </c>
      <c r="E226" s="39">
        <v>44685</v>
      </c>
      <c r="F226" s="3" t="s">
        <v>186</v>
      </c>
      <c r="G226" s="3" t="s">
        <v>107</v>
      </c>
      <c r="H226" s="3">
        <v>2009</v>
      </c>
      <c r="I226" s="40" t="s">
        <v>108</v>
      </c>
      <c r="J226" s="39" t="s">
        <v>109</v>
      </c>
      <c r="K226" s="3">
        <v>159.4</v>
      </c>
      <c r="L226" s="3">
        <v>159.30000000000001</v>
      </c>
      <c r="M226" s="3"/>
      <c r="N226" s="3">
        <v>138</v>
      </c>
      <c r="O226" s="3">
        <v>137.69999999999999</v>
      </c>
      <c r="P226" s="3">
        <v>137.69999999999999</v>
      </c>
      <c r="Q226" s="3">
        <v>49.9</v>
      </c>
      <c r="R226" s="3">
        <v>49.9</v>
      </c>
      <c r="S226" s="3"/>
      <c r="T226" s="42">
        <v>159.35000000000002</v>
      </c>
      <c r="U226" s="42">
        <f>AVERAGE(paper3[[#This Row],[Sittende høyde 1]:[Sittende høyde 3]])-56.2</f>
        <v>81.59999999999998</v>
      </c>
      <c r="V226" s="12">
        <f>paper3[[#This Row],[height]]-paper3[[#This Row],[sittingheight]]</f>
        <v>77.750000000000043</v>
      </c>
      <c r="W226" s="73">
        <v>49.9</v>
      </c>
      <c r="X226" s="43" cm="1">
        <f t="array" ref="X226">INDEX([1]!phvny[yphv], MATCH(1, (paper3[[#This Row],[id]]=[1]!phvny[id])*(paper3[[#This Row],[time]]=[1]!phvny[time]), 0))</f>
        <v>0.97553019504253524</v>
      </c>
      <c r="Y226" s="60">
        <v>2.08</v>
      </c>
      <c r="Z226" s="60">
        <v>3.6</v>
      </c>
      <c r="AA226" s="60">
        <v>5.05</v>
      </c>
      <c r="AB226" s="3">
        <v>2.08</v>
      </c>
      <c r="AC226" s="3">
        <v>3.6</v>
      </c>
      <c r="AD226" s="3">
        <v>5.07</v>
      </c>
      <c r="AE226" s="3">
        <v>2.13</v>
      </c>
      <c r="AF226" s="3">
        <v>3.7</v>
      </c>
      <c r="AG226" s="60">
        <v>5.23</v>
      </c>
      <c r="AH226" s="44">
        <v>2.08</v>
      </c>
      <c r="AI226" s="44">
        <v>3.6</v>
      </c>
      <c r="AJ226" s="44">
        <v>5.05</v>
      </c>
      <c r="AK226" s="45">
        <v>6.8965517241379324</v>
      </c>
      <c r="AL226" s="60">
        <v>11.19</v>
      </c>
      <c r="AM226" s="60">
        <v>11.47</v>
      </c>
      <c r="AN226" s="83"/>
      <c r="AO226" s="83">
        <v>11.44</v>
      </c>
      <c r="AP226" s="3">
        <v>11.19</v>
      </c>
      <c r="AQ226" s="47">
        <v>11.19</v>
      </c>
      <c r="AR226" s="47">
        <v>11.44</v>
      </c>
      <c r="AS226" s="3">
        <v>22.17</v>
      </c>
      <c r="AT226" s="3">
        <v>22.91</v>
      </c>
      <c r="AU226" s="3">
        <v>23.1</v>
      </c>
      <c r="AV226" s="3"/>
      <c r="AW226" s="3"/>
      <c r="AX226" s="48">
        <v>23.1</v>
      </c>
      <c r="AY226" s="3"/>
      <c r="AZ226" s="3">
        <v>9</v>
      </c>
      <c r="BA226" s="3">
        <v>160</v>
      </c>
      <c r="BB226" s="3">
        <v>13</v>
      </c>
      <c r="BC226" s="3">
        <v>216</v>
      </c>
      <c r="BD226" s="89">
        <v>865.66736632673258</v>
      </c>
      <c r="BE226" s="89">
        <v>835.85652292967279</v>
      </c>
      <c r="BF226" s="40"/>
      <c r="BG226" s="40">
        <v>318.17986329084079</v>
      </c>
      <c r="BH226" s="40">
        <v>322.16938569330119</v>
      </c>
      <c r="BI226" s="49">
        <v>1701.5238892564053</v>
      </c>
      <c r="BJ226" s="49">
        <v>640.34924898414192</v>
      </c>
      <c r="BK226" s="66">
        <v>3.5665024533843459E-2</v>
      </c>
      <c r="BL226" s="66">
        <v>-1.238330697957235E-2</v>
      </c>
      <c r="BM226" s="51">
        <v>34.098675135398906</v>
      </c>
      <c r="BN226" s="51">
        <v>12.832650280243325</v>
      </c>
      <c r="BO226" s="52">
        <v>234</v>
      </c>
      <c r="BP226" s="89">
        <v>234</v>
      </c>
      <c r="BQ226" s="89">
        <v>221</v>
      </c>
      <c r="BR226" s="67">
        <v>5.8823529411764719E-2</v>
      </c>
      <c r="BS226" s="54">
        <v>4.5591182364729459</v>
      </c>
      <c r="BT226" s="57">
        <v>122</v>
      </c>
      <c r="BU226" s="89">
        <v>125</v>
      </c>
      <c r="BV226" s="57">
        <v>80</v>
      </c>
      <c r="BW226" s="57">
        <v>72</v>
      </c>
      <c r="BX226" s="70">
        <v>-2.4000000000000021E-2</v>
      </c>
      <c r="BY226" s="70">
        <v>0.11111111111111116</v>
      </c>
      <c r="BZ226" s="59">
        <v>1.7361111111111112</v>
      </c>
      <c r="CA226" s="59">
        <v>1.5249999999999999</v>
      </c>
      <c r="CB226" s="59">
        <v>1.9242735470941894</v>
      </c>
      <c r="CC226" s="59">
        <v>1.1841683366733473</v>
      </c>
      <c r="CD226" s="60">
        <v>120</v>
      </c>
      <c r="CE226" s="60">
        <v>106</v>
      </c>
      <c r="CF226" s="61">
        <v>2.4048096192384771</v>
      </c>
      <c r="CG226" s="61">
        <v>2.1242484969939879</v>
      </c>
      <c r="CH226" s="61">
        <v>0.88333333333333319</v>
      </c>
      <c r="CI226" s="41">
        <v>13.4</v>
      </c>
      <c r="CJ226" s="40">
        <f>VLOOKUP(paper3[[#This Row],[YYIR nivå]],$DB:$DC,2)</f>
        <v>440</v>
      </c>
      <c r="CK226" s="3"/>
      <c r="CL226" s="62"/>
      <c r="CM226" s="63" t="s">
        <v>110</v>
      </c>
      <c r="CN226" s="3">
        <v>125</v>
      </c>
      <c r="CO226" s="3">
        <v>80</v>
      </c>
      <c r="CP226" s="41">
        <v>13.102777777777778</v>
      </c>
      <c r="CQ226" s="3" t="s">
        <v>110</v>
      </c>
      <c r="CR226" s="40">
        <v>123.5</v>
      </c>
      <c r="CS226" s="40">
        <v>76</v>
      </c>
      <c r="CT226" s="40">
        <v>227.5</v>
      </c>
      <c r="CU226" s="40"/>
      <c r="CV226" s="40"/>
      <c r="CW226" s="40"/>
      <c r="CX226" s="40"/>
      <c r="CY226" s="40">
        <v>0</v>
      </c>
      <c r="CZ226" s="40"/>
      <c r="DA226" s="40"/>
    </row>
    <row r="227" spans="1:105" ht="15.75" customHeight="1">
      <c r="A227" s="3">
        <v>497</v>
      </c>
      <c r="B227" s="38" t="s">
        <v>103</v>
      </c>
      <c r="C227" s="3" t="s">
        <v>115</v>
      </c>
      <c r="D227" s="3" t="s">
        <v>105</v>
      </c>
      <c r="E227" s="39">
        <v>44685</v>
      </c>
      <c r="F227" s="3" t="s">
        <v>186</v>
      </c>
      <c r="G227" s="3" t="s">
        <v>107</v>
      </c>
      <c r="H227" s="3">
        <v>2009</v>
      </c>
      <c r="I227" s="40" t="s">
        <v>108</v>
      </c>
      <c r="J227" s="39" t="s">
        <v>109</v>
      </c>
      <c r="K227" s="3">
        <v>155.19999999999999</v>
      </c>
      <c r="L227" s="3">
        <v>155.6</v>
      </c>
      <c r="M227" s="3">
        <v>155.19999999999999</v>
      </c>
      <c r="N227" s="3">
        <v>133.6</v>
      </c>
      <c r="O227" s="3">
        <v>133.80000000000001</v>
      </c>
      <c r="P227" s="3"/>
      <c r="Q227" s="3">
        <v>43.2</v>
      </c>
      <c r="R227" s="3">
        <v>43.2</v>
      </c>
      <c r="S227" s="3"/>
      <c r="T227" s="42">
        <v>155.33333333333331</v>
      </c>
      <c r="U227" s="42">
        <f>AVERAGE(paper3[[#This Row],[Sittende høyde 1]:[Sittende høyde 3]])-56.2</f>
        <v>77.499999999999986</v>
      </c>
      <c r="V227" s="12">
        <f>paper3[[#This Row],[height]]-paper3[[#This Row],[sittingheight]]</f>
        <v>77.833333333333329</v>
      </c>
      <c r="W227" s="73">
        <v>43.2</v>
      </c>
      <c r="X227" s="43" cm="1">
        <f t="array" ref="X227">INDEX([1]!phvny[yphv], MATCH(1, (paper3[[#This Row],[id]]=[1]!phvny[id])*(paper3[[#This Row],[time]]=[1]!phvny[time]), 0))</f>
        <v>0.57200946329637303</v>
      </c>
      <c r="Y227" s="60">
        <v>2.2000000000000002</v>
      </c>
      <c r="Z227" s="60">
        <v>3.84</v>
      </c>
      <c r="AA227" s="60">
        <v>5.44</v>
      </c>
      <c r="AB227" s="3">
        <v>2.2200000000000002</v>
      </c>
      <c r="AC227" s="3">
        <v>3.86</v>
      </c>
      <c r="AD227" s="3">
        <v>5.47</v>
      </c>
      <c r="AE227" s="3">
        <v>2.31</v>
      </c>
      <c r="AF227" s="3">
        <v>3.98</v>
      </c>
      <c r="AG227" s="60">
        <v>5.63</v>
      </c>
      <c r="AH227" s="44">
        <v>2.2000000000000002</v>
      </c>
      <c r="AI227" s="44">
        <v>3.84</v>
      </c>
      <c r="AJ227" s="44">
        <v>5.44</v>
      </c>
      <c r="AK227" s="45">
        <v>6.2499999999999982</v>
      </c>
      <c r="AL227" s="60">
        <v>11.75</v>
      </c>
      <c r="AM227" s="60">
        <v>12.17</v>
      </c>
      <c r="AN227" s="60">
        <v>11.89</v>
      </c>
      <c r="AO227" s="60">
        <v>12.35</v>
      </c>
      <c r="AP227" s="3">
        <v>11.75</v>
      </c>
      <c r="AQ227" s="47">
        <v>11.75</v>
      </c>
      <c r="AR227" s="47">
        <v>11.89</v>
      </c>
      <c r="AS227" s="3">
        <v>21.74</v>
      </c>
      <c r="AT227" s="3">
        <v>20.69</v>
      </c>
      <c r="AU227" s="3">
        <v>19.96</v>
      </c>
      <c r="AV227" s="3"/>
      <c r="AW227" s="3"/>
      <c r="AX227" s="48">
        <v>21.74</v>
      </c>
      <c r="AY227" s="3"/>
      <c r="AZ227" s="3">
        <v>9</v>
      </c>
      <c r="BA227" s="3">
        <v>140</v>
      </c>
      <c r="BB227" s="3">
        <v>13</v>
      </c>
      <c r="BC227" s="3">
        <v>188</v>
      </c>
      <c r="BD227" s="40">
        <v>652.19017104228783</v>
      </c>
      <c r="BE227" s="40">
        <v>632.84547674956252</v>
      </c>
      <c r="BF227" s="40"/>
      <c r="BG227" s="40">
        <v>189.26419775860063</v>
      </c>
      <c r="BH227" s="40">
        <v>200.85449041880415</v>
      </c>
      <c r="BI227" s="49">
        <v>1285.0356477918504</v>
      </c>
      <c r="BJ227" s="49">
        <v>390.11868817740481</v>
      </c>
      <c r="BK227" s="66">
        <v>3.0567800519147426E-2</v>
      </c>
      <c r="BL227" s="66">
        <v>-5.7704921787092966E-2</v>
      </c>
      <c r="BM227" s="51">
        <v>29.746195550737276</v>
      </c>
      <c r="BN227" s="51">
        <v>9.0305251892917777</v>
      </c>
      <c r="BO227" s="52">
        <v>161</v>
      </c>
      <c r="BP227" s="40">
        <v>161</v>
      </c>
      <c r="BQ227" s="40">
        <v>156</v>
      </c>
      <c r="BR227" s="67">
        <v>3.2051282051282159E-2</v>
      </c>
      <c r="BS227" s="54">
        <v>3.6689814814814814</v>
      </c>
      <c r="BT227" s="3">
        <v>99</v>
      </c>
      <c r="BU227" s="40">
        <v>99</v>
      </c>
      <c r="BV227" s="3">
        <v>86</v>
      </c>
      <c r="BW227" s="3">
        <v>89</v>
      </c>
      <c r="BX227" s="70">
        <v>0</v>
      </c>
      <c r="BY227" s="70">
        <v>-3.3707865168539297E-2</v>
      </c>
      <c r="BZ227" s="59">
        <v>1.1123595505617978</v>
      </c>
      <c r="CA227" s="59">
        <v>1.1511627906976745</v>
      </c>
      <c r="CB227" s="59">
        <v>1.7836805555555553</v>
      </c>
      <c r="CC227" s="59">
        <v>1.5764853395061729</v>
      </c>
      <c r="CD227" s="60">
        <v>68</v>
      </c>
      <c r="CE227" s="60">
        <v>59</v>
      </c>
      <c r="CF227" s="61">
        <v>1.574074074074074</v>
      </c>
      <c r="CG227" s="61">
        <v>1.3657407407407407</v>
      </c>
      <c r="CH227" s="61">
        <v>0.86764705882352944</v>
      </c>
      <c r="CI227" s="41"/>
      <c r="CJ227" s="40"/>
      <c r="CK227" s="3"/>
      <c r="CL227" s="62"/>
      <c r="CM227" s="63" t="s">
        <v>110</v>
      </c>
      <c r="CN227" s="3">
        <v>99</v>
      </c>
      <c r="CO227" s="3">
        <v>89</v>
      </c>
      <c r="CP227" s="41">
        <v>13.108333333333333</v>
      </c>
      <c r="CQ227" s="3" t="s">
        <v>110</v>
      </c>
      <c r="CR227" s="40">
        <v>99</v>
      </c>
      <c r="CS227" s="40">
        <v>87.5</v>
      </c>
      <c r="CT227" s="40">
        <v>158.5</v>
      </c>
      <c r="CU227" s="40"/>
      <c r="CV227" s="40"/>
      <c r="CW227" s="40"/>
      <c r="CX227" s="40"/>
      <c r="CY227" s="40">
        <v>0</v>
      </c>
      <c r="CZ227" s="40"/>
      <c r="DA227" s="40"/>
    </row>
    <row r="228" spans="1:105" ht="15.95" customHeight="1">
      <c r="A228" s="3">
        <v>498</v>
      </c>
      <c r="B228" s="38" t="s">
        <v>103</v>
      </c>
      <c r="C228" s="3" t="s">
        <v>115</v>
      </c>
      <c r="D228" s="3" t="s">
        <v>105</v>
      </c>
      <c r="E228" s="39">
        <v>44685</v>
      </c>
      <c r="F228" s="3" t="s">
        <v>186</v>
      </c>
      <c r="G228" s="3" t="s">
        <v>107</v>
      </c>
      <c r="H228" s="3">
        <v>2009</v>
      </c>
      <c r="I228" s="40" t="s">
        <v>108</v>
      </c>
      <c r="J228" s="39" t="s">
        <v>109</v>
      </c>
      <c r="K228" s="3">
        <v>166.6</v>
      </c>
      <c r="L228" s="3">
        <v>166.6</v>
      </c>
      <c r="M228" s="3"/>
      <c r="N228" s="3">
        <v>142.19999999999999</v>
      </c>
      <c r="O228" s="3">
        <v>142.1</v>
      </c>
      <c r="P228" s="3"/>
      <c r="Q228" s="3">
        <v>49.1</v>
      </c>
      <c r="R228" s="3">
        <v>49.1</v>
      </c>
      <c r="S228" s="3"/>
      <c r="T228" s="42">
        <v>166.6</v>
      </c>
      <c r="U228" s="42">
        <f>AVERAGE(paper3[[#This Row],[Sittende høyde 1]:[Sittende høyde 3]])-56.2</f>
        <v>85.949999999999974</v>
      </c>
      <c r="V228" s="12">
        <f>paper3[[#This Row],[height]]-paper3[[#This Row],[sittingheight]]</f>
        <v>80.65000000000002</v>
      </c>
      <c r="W228" s="73">
        <v>49.1</v>
      </c>
      <c r="X228" s="43" cm="1">
        <f t="array" ref="X228">INDEX([1]!phvny[yphv], MATCH(1, (paper3[[#This Row],[id]]=[1]!phvny[id])*(paper3[[#This Row],[time]]=[1]!phvny[time]), 0))</f>
        <v>1.1569111270212407</v>
      </c>
      <c r="Y228" s="60">
        <v>2.0499999999999998</v>
      </c>
      <c r="Z228" s="60">
        <v>3.53</v>
      </c>
      <c r="AA228" s="60">
        <v>4.93</v>
      </c>
      <c r="AB228" s="3">
        <v>2.08</v>
      </c>
      <c r="AC228" s="3">
        <v>3.57</v>
      </c>
      <c r="AD228" s="3">
        <v>5.01</v>
      </c>
      <c r="AE228" s="3">
        <v>2.09</v>
      </c>
      <c r="AF228" s="3">
        <v>3.6</v>
      </c>
      <c r="AG228" s="60">
        <v>5.0999999999999996</v>
      </c>
      <c r="AH228" s="44">
        <v>2.0499999999999998</v>
      </c>
      <c r="AI228" s="44">
        <v>3.53</v>
      </c>
      <c r="AJ228" s="44">
        <v>4.93</v>
      </c>
      <c r="AK228" s="45">
        <v>7.1428571428571432</v>
      </c>
      <c r="AL228" s="60">
        <v>11.59</v>
      </c>
      <c r="AM228" s="60">
        <v>11.49</v>
      </c>
      <c r="AN228" s="60">
        <v>11.92</v>
      </c>
      <c r="AO228" s="60">
        <v>11.71</v>
      </c>
      <c r="AP228" s="3">
        <v>11.49</v>
      </c>
      <c r="AQ228" s="47">
        <v>11.49</v>
      </c>
      <c r="AR228" s="47">
        <v>11.71</v>
      </c>
      <c r="AS228" s="3">
        <v>21.72</v>
      </c>
      <c r="AT228" s="3">
        <v>24.3</v>
      </c>
      <c r="AU228" s="3">
        <v>26.64</v>
      </c>
      <c r="AV228" s="3"/>
      <c r="AW228" s="3"/>
      <c r="AX228" s="48">
        <v>26.64</v>
      </c>
      <c r="AY228" s="3"/>
      <c r="AZ228" s="3">
        <v>10</v>
      </c>
      <c r="BA228" s="3">
        <v>180</v>
      </c>
      <c r="BB228" s="3">
        <v>12</v>
      </c>
      <c r="BC228" s="3">
        <v>228</v>
      </c>
      <c r="BD228" s="40">
        <v>1010.7317178557646</v>
      </c>
      <c r="BE228" s="40">
        <v>915.93124303784839</v>
      </c>
      <c r="BF228" s="40"/>
      <c r="BG228" s="40">
        <v>244.32705080896997</v>
      </c>
      <c r="BH228" s="40">
        <v>217.9327621242696</v>
      </c>
      <c r="BI228" s="49">
        <v>1926.662960893613</v>
      </c>
      <c r="BJ228" s="49">
        <v>462.25981293323957</v>
      </c>
      <c r="BK228" s="66">
        <v>0.10350173720845413</v>
      </c>
      <c r="BL228" s="66">
        <v>0.12111207340936558</v>
      </c>
      <c r="BM228" s="51">
        <v>39.239571504961567</v>
      </c>
      <c r="BN228" s="51">
        <v>9.4146601412065092</v>
      </c>
      <c r="BO228" s="52">
        <v>158</v>
      </c>
      <c r="BP228" s="40">
        <v>158</v>
      </c>
      <c r="BQ228" s="40">
        <v>158</v>
      </c>
      <c r="BR228" s="67">
        <v>0</v>
      </c>
      <c r="BS228" s="54">
        <v>3.2179226069246436</v>
      </c>
      <c r="BT228" s="3">
        <v>125</v>
      </c>
      <c r="BU228" s="40">
        <v>116</v>
      </c>
      <c r="BV228" s="3">
        <v>104</v>
      </c>
      <c r="BW228" s="3">
        <v>100</v>
      </c>
      <c r="BX228" s="70">
        <v>7.7586206896551824E-2</v>
      </c>
      <c r="BY228" s="70">
        <v>4.0000000000000036E-2</v>
      </c>
      <c r="BZ228" s="59">
        <v>1.1599999999999999</v>
      </c>
      <c r="CA228" s="59">
        <v>1.2019230769230769</v>
      </c>
      <c r="CB228" s="59">
        <v>1.979292260692465</v>
      </c>
      <c r="CC228" s="59">
        <v>1.6754175152749495</v>
      </c>
      <c r="CD228" s="60">
        <v>72</v>
      </c>
      <c r="CE228" s="60">
        <v>85</v>
      </c>
      <c r="CF228" s="61">
        <v>1.4663951120162932</v>
      </c>
      <c r="CG228" s="61">
        <v>1.7311608961303462</v>
      </c>
      <c r="CH228" s="61">
        <v>1.1805555555555556</v>
      </c>
      <c r="CI228" s="41"/>
      <c r="CJ228" s="40"/>
      <c r="CK228" s="3"/>
      <c r="CL228" s="62"/>
      <c r="CM228" s="63" t="s">
        <v>110</v>
      </c>
      <c r="CN228" s="3">
        <v>125</v>
      </c>
      <c r="CO228" s="3">
        <v>104</v>
      </c>
      <c r="CP228" s="41">
        <v>12.680555555555555</v>
      </c>
      <c r="CQ228" s="3" t="s">
        <v>110</v>
      </c>
      <c r="CR228" s="40">
        <v>120.5</v>
      </c>
      <c r="CS228" s="40">
        <v>102</v>
      </c>
      <c r="CT228" s="40">
        <v>158</v>
      </c>
      <c r="CU228" s="40"/>
      <c r="CV228" s="40"/>
      <c r="CW228" s="40"/>
      <c r="CX228" s="40"/>
      <c r="CY228" s="40">
        <v>0</v>
      </c>
      <c r="CZ228" s="40"/>
      <c r="DA228" s="40"/>
    </row>
    <row r="229" spans="1:105" ht="15.95" customHeight="1">
      <c r="A229" s="3">
        <v>499</v>
      </c>
      <c r="B229" s="38" t="s">
        <v>103</v>
      </c>
      <c r="C229" s="3" t="s">
        <v>115</v>
      </c>
      <c r="D229" s="3" t="s">
        <v>105</v>
      </c>
      <c r="E229" s="39">
        <v>44685</v>
      </c>
      <c r="F229" s="3" t="s">
        <v>186</v>
      </c>
      <c r="G229" s="3" t="s">
        <v>107</v>
      </c>
      <c r="H229" s="3">
        <v>2009</v>
      </c>
      <c r="I229" s="40" t="s">
        <v>108</v>
      </c>
      <c r="J229" s="39" t="s">
        <v>109</v>
      </c>
      <c r="K229" s="3">
        <v>167.1</v>
      </c>
      <c r="L229" s="3">
        <v>167.1</v>
      </c>
      <c r="M229" s="3"/>
      <c r="N229" s="3">
        <v>139.4</v>
      </c>
      <c r="O229" s="3">
        <v>139.30000000000001</v>
      </c>
      <c r="P229" s="3"/>
      <c r="Q229" s="3">
        <v>49.6</v>
      </c>
      <c r="R229" s="3">
        <v>49.6</v>
      </c>
      <c r="S229" s="3"/>
      <c r="T229" s="42">
        <v>167.1</v>
      </c>
      <c r="U229" s="42">
        <f>AVERAGE(paper3[[#This Row],[Sittende høyde 1]:[Sittende høyde 3]])-56.2</f>
        <v>83.15000000000002</v>
      </c>
      <c r="V229" s="12">
        <f>paper3[[#This Row],[height]]-paper3[[#This Row],[sittingheight]]</f>
        <v>83.949999999999974</v>
      </c>
      <c r="W229" s="73">
        <v>49.6</v>
      </c>
      <c r="X229" s="43" cm="1">
        <f t="array" ref="X229">INDEX([1]!phvny[yphv], MATCH(1, (paper3[[#This Row],[id]]=[1]!phvny[id])*(paper3[[#This Row],[time]]=[1]!phvny[time]), 0))</f>
        <v>1.1398637535835352</v>
      </c>
      <c r="Y229" s="60">
        <v>2</v>
      </c>
      <c r="Z229" s="60">
        <v>3.44</v>
      </c>
      <c r="AA229" s="60">
        <v>4.83</v>
      </c>
      <c r="AB229" s="3">
        <v>2.02</v>
      </c>
      <c r="AC229" s="3">
        <v>3.45</v>
      </c>
      <c r="AD229" s="3">
        <v>4.84</v>
      </c>
      <c r="AE229" s="3">
        <v>2.0099999999999998</v>
      </c>
      <c r="AF229" s="3">
        <v>3.48</v>
      </c>
      <c r="AG229" s="60">
        <v>4.87</v>
      </c>
      <c r="AH229" s="44">
        <v>2</v>
      </c>
      <c r="AI229" s="44">
        <v>3.44</v>
      </c>
      <c r="AJ229" s="44">
        <v>4.83</v>
      </c>
      <c r="AK229" s="45">
        <v>7.1942446043165464</v>
      </c>
      <c r="AL229" s="60">
        <v>11.3</v>
      </c>
      <c r="AM229" s="60">
        <v>10.8</v>
      </c>
      <c r="AN229" s="60">
        <v>11.41</v>
      </c>
      <c r="AO229" s="60">
        <v>11.34</v>
      </c>
      <c r="AP229" s="3">
        <v>10.8</v>
      </c>
      <c r="AQ229" s="47">
        <v>10.8</v>
      </c>
      <c r="AR229" s="47">
        <v>11.34</v>
      </c>
      <c r="AS229" s="3">
        <v>27.44</v>
      </c>
      <c r="AT229" s="3">
        <v>27.78</v>
      </c>
      <c r="AU229" s="3">
        <v>28.39</v>
      </c>
      <c r="AV229" s="3"/>
      <c r="AW229" s="3"/>
      <c r="AX229" s="48">
        <v>28.39</v>
      </c>
      <c r="AY229" s="3"/>
      <c r="AZ229" s="3">
        <v>10</v>
      </c>
      <c r="BA229" s="3">
        <v>200</v>
      </c>
      <c r="BB229" s="3">
        <v>12</v>
      </c>
      <c r="BC229" s="3">
        <v>254</v>
      </c>
      <c r="BD229" s="40">
        <v>1010.1071063209458</v>
      </c>
      <c r="BE229" s="40">
        <v>918.15995746813792</v>
      </c>
      <c r="BF229" s="40"/>
      <c r="BG229" s="40">
        <v>326.48891982260818</v>
      </c>
      <c r="BH229" s="40">
        <v>297.5680299753555</v>
      </c>
      <c r="BI229" s="49">
        <v>1928.2670637890837</v>
      </c>
      <c r="BJ229" s="49">
        <v>624.05694979796363</v>
      </c>
      <c r="BK229" s="66">
        <v>0.10014284341734503</v>
      </c>
      <c r="BL229" s="66">
        <v>9.7190850272617979E-2</v>
      </c>
      <c r="BM229" s="51">
        <v>38.876352092521849</v>
      </c>
      <c r="BN229" s="51">
        <v>12.581793342700879</v>
      </c>
      <c r="BO229" s="52">
        <v>204</v>
      </c>
      <c r="BP229" s="40">
        <v>197</v>
      </c>
      <c r="BQ229" s="40">
        <v>204</v>
      </c>
      <c r="BR229" s="67">
        <v>-3.4313725490196068E-2</v>
      </c>
      <c r="BS229" s="54">
        <v>4.042338709677419</v>
      </c>
      <c r="BT229" s="3">
        <v>93</v>
      </c>
      <c r="BU229" s="40">
        <v>102</v>
      </c>
      <c r="BV229" s="3">
        <v>78</v>
      </c>
      <c r="BW229" s="3">
        <v>75</v>
      </c>
      <c r="BX229" s="70">
        <v>-8.8235294117647078E-2</v>
      </c>
      <c r="BY229" s="70">
        <v>4.0000000000000036E-2</v>
      </c>
      <c r="BZ229" s="59">
        <v>1.36</v>
      </c>
      <c r="CA229" s="59">
        <v>1.1923076923076923</v>
      </c>
      <c r="CB229" s="59">
        <v>1.6502268145161283</v>
      </c>
      <c r="CC229" s="59">
        <v>1.294793346774193</v>
      </c>
      <c r="CD229" s="60">
        <v>62</v>
      </c>
      <c r="CE229" s="60">
        <v>78</v>
      </c>
      <c r="CF229" s="61">
        <v>1.25</v>
      </c>
      <c r="CG229" s="61">
        <v>1.5725806451612903</v>
      </c>
      <c r="CH229" s="61">
        <v>1.2580645161290323</v>
      </c>
      <c r="CI229" s="41"/>
      <c r="CJ229" s="40"/>
      <c r="CK229" s="3"/>
      <c r="CL229" s="62"/>
      <c r="CM229" s="63" t="s">
        <v>110</v>
      </c>
      <c r="CN229" s="3">
        <v>102</v>
      </c>
      <c r="CO229" s="3">
        <v>78</v>
      </c>
      <c r="CP229" s="41">
        <v>12.847222222222221</v>
      </c>
      <c r="CQ229" s="3" t="s">
        <v>110</v>
      </c>
      <c r="CR229" s="40">
        <v>97.5</v>
      </c>
      <c r="CS229" s="40">
        <v>76.5</v>
      </c>
      <c r="CT229" s="40">
        <v>200.5</v>
      </c>
      <c r="CU229" s="40"/>
      <c r="CV229" s="40"/>
      <c r="CW229" s="40"/>
      <c r="CX229" s="40"/>
      <c r="CY229" s="40">
        <v>0</v>
      </c>
      <c r="CZ229" s="40"/>
      <c r="DA229" s="40"/>
    </row>
    <row r="230" spans="1:105" ht="15.95" customHeight="1">
      <c r="A230" s="3">
        <v>500</v>
      </c>
      <c r="B230" s="38" t="s">
        <v>103</v>
      </c>
      <c r="C230" s="3" t="s">
        <v>115</v>
      </c>
      <c r="D230" s="3" t="s">
        <v>105</v>
      </c>
      <c r="E230" s="39">
        <v>44685</v>
      </c>
      <c r="F230" s="3" t="s">
        <v>186</v>
      </c>
      <c r="G230" s="3" t="s">
        <v>107</v>
      </c>
      <c r="H230" s="3">
        <v>2009</v>
      </c>
      <c r="I230" s="40" t="s">
        <v>108</v>
      </c>
      <c r="J230" s="39" t="s">
        <v>109</v>
      </c>
      <c r="K230" s="3">
        <v>166.6</v>
      </c>
      <c r="L230" s="3">
        <v>166.4</v>
      </c>
      <c r="M230" s="3"/>
      <c r="N230" s="3">
        <v>140</v>
      </c>
      <c r="O230" s="3">
        <v>140</v>
      </c>
      <c r="P230" s="3"/>
      <c r="Q230" s="3">
        <v>54</v>
      </c>
      <c r="R230" s="3">
        <v>54</v>
      </c>
      <c r="S230" s="3"/>
      <c r="T230" s="42">
        <v>166.5</v>
      </c>
      <c r="U230" s="42">
        <f>AVERAGE(paper3[[#This Row],[Sittende høyde 1]:[Sittende høyde 3]])-56.2</f>
        <v>83.8</v>
      </c>
      <c r="V230" s="12">
        <f>paper3[[#This Row],[height]]-paper3[[#This Row],[sittingheight]]</f>
        <v>82.7</v>
      </c>
      <c r="W230" s="73">
        <v>54</v>
      </c>
      <c r="X230" s="43" cm="1">
        <f t="array" ref="X230">INDEX([1]!phvny[yphv], MATCH(1, (paper3[[#This Row],[id]]=[1]!phvny[id])*(paper3[[#This Row],[time]]=[1]!phvny[time]), 0))</f>
        <v>1.417762309027027</v>
      </c>
      <c r="Y230" s="60">
        <v>2.12</v>
      </c>
      <c r="Z230" s="60">
        <v>3.64</v>
      </c>
      <c r="AA230" s="60">
        <v>5.16</v>
      </c>
      <c r="AB230" s="3">
        <v>2.08</v>
      </c>
      <c r="AC230" s="3">
        <v>3.62</v>
      </c>
      <c r="AD230" s="3">
        <v>5.13</v>
      </c>
      <c r="AE230" s="3">
        <v>2.09</v>
      </c>
      <c r="AF230" s="3">
        <v>3.67</v>
      </c>
      <c r="AG230" s="60">
        <v>5.19</v>
      </c>
      <c r="AH230" s="44">
        <v>2.08</v>
      </c>
      <c r="AI230" s="45">
        <v>3.62</v>
      </c>
      <c r="AJ230" s="44">
        <v>5.13</v>
      </c>
      <c r="AK230" s="45">
        <v>6.6225165562913917</v>
      </c>
      <c r="AL230" s="60">
        <v>11.62</v>
      </c>
      <c r="AM230" s="60">
        <v>11.64</v>
      </c>
      <c r="AN230" s="60">
        <v>11.83</v>
      </c>
      <c r="AO230" s="60">
        <v>11.9</v>
      </c>
      <c r="AP230" s="3">
        <v>11.62</v>
      </c>
      <c r="AQ230" s="47">
        <v>11.62</v>
      </c>
      <c r="AR230" s="47">
        <v>11.83</v>
      </c>
      <c r="AS230" s="3">
        <v>24.53</v>
      </c>
      <c r="AT230" s="3">
        <v>27.21</v>
      </c>
      <c r="AU230" s="3">
        <v>26.64</v>
      </c>
      <c r="AV230" s="3"/>
      <c r="AW230" s="3"/>
      <c r="AX230" s="48">
        <v>27.21</v>
      </c>
      <c r="AY230" s="3"/>
      <c r="AZ230" s="3">
        <v>10</v>
      </c>
      <c r="BA230" s="3">
        <v>200</v>
      </c>
      <c r="BB230" s="3">
        <v>9</v>
      </c>
      <c r="BC230" s="3">
        <v>199</v>
      </c>
      <c r="BD230" s="40">
        <v>1074.9160701004409</v>
      </c>
      <c r="BE230" s="40">
        <v>907.59625531193524</v>
      </c>
      <c r="BF230" s="40"/>
      <c r="BG230" s="40">
        <v>280.81979365318733</v>
      </c>
      <c r="BH230" s="40">
        <v>266.6910080585447</v>
      </c>
      <c r="BI230" s="49">
        <v>1982.5123254123762</v>
      </c>
      <c r="BJ230" s="49">
        <v>547.51080171173203</v>
      </c>
      <c r="BK230" s="66">
        <v>0.18435489768630542</v>
      </c>
      <c r="BL230" s="66">
        <v>5.2978110126386646E-2</v>
      </c>
      <c r="BM230" s="51">
        <v>36.713191211340302</v>
      </c>
      <c r="BN230" s="51">
        <v>10.13908892058763</v>
      </c>
      <c r="BO230" s="52"/>
      <c r="BP230" s="123"/>
      <c r="BQ230" s="123"/>
      <c r="BR230" s="67"/>
      <c r="BS230" s="54" t="s">
        <v>110</v>
      </c>
      <c r="BT230" s="3">
        <v>110</v>
      </c>
      <c r="BU230" s="40">
        <v>104</v>
      </c>
      <c r="BV230" s="3">
        <v>118</v>
      </c>
      <c r="BW230" s="3">
        <v>105</v>
      </c>
      <c r="BX230" s="70">
        <v>5.7692307692307709E-2</v>
      </c>
      <c r="BY230" s="70">
        <v>0.12380952380952381</v>
      </c>
      <c r="BZ230" s="59">
        <v>0.99047619047619051</v>
      </c>
      <c r="CA230" s="59">
        <v>0.93220338983050843</v>
      </c>
      <c r="CB230" s="59">
        <v>1.6386851851851854</v>
      </c>
      <c r="CC230" s="59">
        <v>1.7076018518518521</v>
      </c>
      <c r="CD230" s="60">
        <v>99</v>
      </c>
      <c r="CE230" s="60">
        <v>100</v>
      </c>
      <c r="CF230" s="61">
        <v>1.8333333333333333</v>
      </c>
      <c r="CG230" s="61">
        <v>1.8518518518518519</v>
      </c>
      <c r="CH230" s="61">
        <v>1.0101010101010102</v>
      </c>
      <c r="CI230" s="41">
        <v>13.3</v>
      </c>
      <c r="CJ230" s="40">
        <f>VLOOKUP(paper3[[#This Row],[YYIR nivå]],$DB:$DC,2)</f>
        <v>400</v>
      </c>
      <c r="CK230" s="3"/>
      <c r="CL230" s="62"/>
      <c r="CM230" s="63" t="s">
        <v>110</v>
      </c>
      <c r="CN230" s="3">
        <v>110</v>
      </c>
      <c r="CO230" s="3">
        <v>118</v>
      </c>
      <c r="CP230" s="41">
        <v>13.25</v>
      </c>
      <c r="CQ230" s="3" t="s">
        <v>110</v>
      </c>
      <c r="CR230" s="40">
        <v>107</v>
      </c>
      <c r="CS230" s="40">
        <v>111.5</v>
      </c>
      <c r="CT230" s="40" t="s">
        <v>110</v>
      </c>
      <c r="CU230" s="40"/>
      <c r="CV230" s="40"/>
      <c r="CW230" s="40"/>
      <c r="CX230" s="40"/>
      <c r="CY230" s="40">
        <v>0</v>
      </c>
      <c r="CZ230" s="40"/>
      <c r="DA230" s="40"/>
    </row>
    <row r="231" spans="1:105" ht="15.95" customHeight="1">
      <c r="A231" s="3">
        <v>502</v>
      </c>
      <c r="B231" s="38" t="s">
        <v>103</v>
      </c>
      <c r="C231" s="3" t="s">
        <v>115</v>
      </c>
      <c r="D231" s="3" t="s">
        <v>105</v>
      </c>
      <c r="E231" s="39">
        <v>44685</v>
      </c>
      <c r="F231" s="3" t="s">
        <v>186</v>
      </c>
      <c r="G231" s="3" t="s">
        <v>107</v>
      </c>
      <c r="H231" s="3">
        <v>2009</v>
      </c>
      <c r="I231" s="40" t="s">
        <v>108</v>
      </c>
      <c r="J231" s="39" t="s">
        <v>109</v>
      </c>
      <c r="K231" s="3">
        <v>149.80000000000001</v>
      </c>
      <c r="L231" s="3">
        <v>149.69999999999999</v>
      </c>
      <c r="M231" s="3"/>
      <c r="N231" s="3">
        <v>132.30000000000001</v>
      </c>
      <c r="O231" s="3">
        <v>132.19999999999999</v>
      </c>
      <c r="P231" s="3"/>
      <c r="Q231" s="3">
        <v>41.6</v>
      </c>
      <c r="R231" s="3">
        <v>41.6</v>
      </c>
      <c r="S231" s="3"/>
      <c r="T231" s="42">
        <v>149.75</v>
      </c>
      <c r="U231" s="42">
        <f>AVERAGE(paper3[[#This Row],[Sittende høyde 1]:[Sittende høyde 3]])-56.2</f>
        <v>76.05</v>
      </c>
      <c r="V231" s="12">
        <f>paper3[[#This Row],[height]]-paper3[[#This Row],[sittingheight]]</f>
        <v>73.7</v>
      </c>
      <c r="W231" s="73">
        <v>41.6</v>
      </c>
      <c r="X231" s="43" cm="1">
        <f t="array" ref="X231">INDEX([1]!phvny[yphv], MATCH(1, (paper3[[#This Row],[id]]=[1]!phvny[id])*(paper3[[#This Row],[time]]=[1]!phvny[time]), 0))</f>
        <v>2.413435501984873E-2</v>
      </c>
      <c r="Y231" s="60">
        <v>2.19</v>
      </c>
      <c r="Z231" s="60">
        <v>3.78</v>
      </c>
      <c r="AA231" s="60">
        <v>5.38</v>
      </c>
      <c r="AB231" s="3">
        <v>2.25</v>
      </c>
      <c r="AC231" s="3">
        <v>3.82</v>
      </c>
      <c r="AD231" s="3">
        <v>5.42</v>
      </c>
      <c r="AE231" s="3">
        <v>2.23</v>
      </c>
      <c r="AF231" s="3">
        <v>3.85</v>
      </c>
      <c r="AG231" s="60">
        <v>5.47</v>
      </c>
      <c r="AH231" s="44">
        <v>2.19</v>
      </c>
      <c r="AI231" s="44">
        <v>3.78</v>
      </c>
      <c r="AJ231" s="44">
        <v>5.38</v>
      </c>
      <c r="AK231" s="45">
        <v>6.25</v>
      </c>
      <c r="AL231" s="60">
        <v>12.07</v>
      </c>
      <c r="AM231" s="60">
        <v>11.95</v>
      </c>
      <c r="AN231" s="60">
        <v>12.26</v>
      </c>
      <c r="AO231" s="60">
        <v>11.85</v>
      </c>
      <c r="AP231" s="3">
        <v>11.85</v>
      </c>
      <c r="AQ231" s="47">
        <v>11.95</v>
      </c>
      <c r="AR231" s="47">
        <v>11.85</v>
      </c>
      <c r="AS231" s="3">
        <v>22.07</v>
      </c>
      <c r="AT231" s="3">
        <v>24.27</v>
      </c>
      <c r="AU231" s="3">
        <v>25.18</v>
      </c>
      <c r="AV231" s="3"/>
      <c r="AW231" s="3"/>
      <c r="AX231" s="48">
        <v>25.18</v>
      </c>
      <c r="AY231" s="3"/>
      <c r="AZ231" s="3">
        <v>8</v>
      </c>
      <c r="BA231" s="3">
        <v>200</v>
      </c>
      <c r="BB231" s="3">
        <v>10</v>
      </c>
      <c r="BC231" s="3">
        <v>218</v>
      </c>
      <c r="BD231" s="40">
        <v>953.97200141357939</v>
      </c>
      <c r="BE231" s="40">
        <v>926.26299813375726</v>
      </c>
      <c r="BF231" s="40"/>
      <c r="BG231" s="40">
        <v>242.33052211552643</v>
      </c>
      <c r="BH231" s="40">
        <v>237.06380801604081</v>
      </c>
      <c r="BI231" s="49">
        <v>1880.2349995473367</v>
      </c>
      <c r="BJ231" s="49">
        <v>479.39433013156724</v>
      </c>
      <c r="BK231" s="66">
        <v>2.9914833406549102E-2</v>
      </c>
      <c r="BL231" s="66">
        <v>2.2216440980857177E-2</v>
      </c>
      <c r="BM231" s="51">
        <v>45.197956719887898</v>
      </c>
      <c r="BN231" s="51">
        <v>11.523902166624213</v>
      </c>
      <c r="BO231" s="52">
        <v>118</v>
      </c>
      <c r="BP231" s="40">
        <v>118</v>
      </c>
      <c r="BQ231" s="40">
        <v>89</v>
      </c>
      <c r="BR231" s="67">
        <v>0.32584269662921339</v>
      </c>
      <c r="BS231" s="54">
        <v>2.4879807692307692</v>
      </c>
      <c r="BT231" s="3">
        <v>95</v>
      </c>
      <c r="BU231" s="40">
        <v>103</v>
      </c>
      <c r="BV231" s="3">
        <v>85</v>
      </c>
      <c r="BW231" s="3">
        <v>83</v>
      </c>
      <c r="BX231" s="70">
        <v>-7.7669902912621325E-2</v>
      </c>
      <c r="BY231" s="70">
        <v>2.4096385542168752E-2</v>
      </c>
      <c r="BZ231" s="59">
        <v>1.2409638554216869</v>
      </c>
      <c r="CA231" s="59">
        <v>1.1176470588235294</v>
      </c>
      <c r="CB231" s="59">
        <v>1.7539182692307691</v>
      </c>
      <c r="CC231" s="59">
        <v>1.488173076923077</v>
      </c>
      <c r="CD231" s="60">
        <v>57</v>
      </c>
      <c r="CE231" s="60">
        <v>66</v>
      </c>
      <c r="CF231" s="61">
        <v>1.3701923076923077</v>
      </c>
      <c r="CG231" s="61">
        <v>1.5865384615384615</v>
      </c>
      <c r="CH231" s="61">
        <v>1.1578947368421051</v>
      </c>
      <c r="CI231" s="41">
        <v>14.2</v>
      </c>
      <c r="CJ231" s="40">
        <f>VLOOKUP(paper3[[#This Row],[YYIR nivå]],$DB:$DC,2)</f>
        <v>520</v>
      </c>
      <c r="CK231" s="3"/>
      <c r="CL231" s="62"/>
      <c r="CM231" s="63" t="s">
        <v>110</v>
      </c>
      <c r="CN231" s="3">
        <v>103</v>
      </c>
      <c r="CO231" s="3">
        <v>85</v>
      </c>
      <c r="CP231" s="41">
        <v>12.522222222222222</v>
      </c>
      <c r="CQ231" s="3" t="s">
        <v>110</v>
      </c>
      <c r="CR231" s="40">
        <v>99</v>
      </c>
      <c r="CS231" s="40">
        <v>84</v>
      </c>
      <c r="CT231" s="40">
        <v>103.5</v>
      </c>
      <c r="CU231" s="40"/>
      <c r="CV231" s="40"/>
      <c r="CW231" s="40"/>
      <c r="CX231" s="40"/>
      <c r="CY231" s="40">
        <v>0</v>
      </c>
      <c r="CZ231" s="40"/>
      <c r="DA231" s="40"/>
    </row>
    <row r="232" spans="1:105" ht="15.95" customHeight="1">
      <c r="A232" s="3">
        <v>503</v>
      </c>
      <c r="B232" s="38" t="s">
        <v>103</v>
      </c>
      <c r="C232" s="3" t="s">
        <v>115</v>
      </c>
      <c r="D232" s="3" t="s">
        <v>105</v>
      </c>
      <c r="E232" s="39">
        <v>44685</v>
      </c>
      <c r="F232" s="3" t="s">
        <v>186</v>
      </c>
      <c r="G232" s="3" t="s">
        <v>107</v>
      </c>
      <c r="H232" s="3">
        <v>2009</v>
      </c>
      <c r="I232" s="40" t="s">
        <v>108</v>
      </c>
      <c r="J232" s="39" t="s">
        <v>109</v>
      </c>
      <c r="K232" s="3">
        <v>165.6</v>
      </c>
      <c r="L232" s="3">
        <v>165.6</v>
      </c>
      <c r="M232" s="3"/>
      <c r="N232" s="3">
        <v>142.5</v>
      </c>
      <c r="O232" s="3">
        <v>142.4</v>
      </c>
      <c r="P232" s="3"/>
      <c r="Q232" s="3">
        <v>47.8</v>
      </c>
      <c r="R232" s="3">
        <v>47.8</v>
      </c>
      <c r="S232" s="3"/>
      <c r="T232" s="42">
        <v>165.6</v>
      </c>
      <c r="U232" s="42">
        <f>AVERAGE(paper3[[#This Row],[Sittende høyde 1]:[Sittende høyde 3]])-56.2</f>
        <v>86.249999999999986</v>
      </c>
      <c r="V232" s="12">
        <f>paper3[[#This Row],[height]]-paper3[[#This Row],[sittingheight]]</f>
        <v>79.350000000000009</v>
      </c>
      <c r="W232" s="73">
        <v>47.8</v>
      </c>
      <c r="X232" s="43" cm="1">
        <f t="array" ref="X232">INDEX([1]!phvny[yphv], MATCH(1, (paper3[[#This Row],[id]]=[1]!phvny[id])*(paper3[[#This Row],[time]]=[1]!phvny[time]), 0))</f>
        <v>1.3715188775785017</v>
      </c>
      <c r="Y232" s="60">
        <v>2.16</v>
      </c>
      <c r="Z232" s="60">
        <v>3.69</v>
      </c>
      <c r="AA232" s="60">
        <v>5.2</v>
      </c>
      <c r="AB232" s="3">
        <v>2.14</v>
      </c>
      <c r="AC232" s="3">
        <v>3.7</v>
      </c>
      <c r="AD232" s="3">
        <v>5.25</v>
      </c>
      <c r="AE232" s="3">
        <v>2.2400000000000002</v>
      </c>
      <c r="AF232" s="3">
        <v>3.81</v>
      </c>
      <c r="AG232" s="60">
        <v>5.32</v>
      </c>
      <c r="AH232" s="44">
        <v>2.14</v>
      </c>
      <c r="AI232" s="44">
        <v>3.69</v>
      </c>
      <c r="AJ232" s="44">
        <v>5.2</v>
      </c>
      <c r="AK232" s="45">
        <v>6.6225165562913899</v>
      </c>
      <c r="AL232" s="60">
        <v>11.49</v>
      </c>
      <c r="AM232" s="60">
        <v>11.52</v>
      </c>
      <c r="AN232" s="60">
        <v>11.81</v>
      </c>
      <c r="AO232" s="60">
        <v>11.69</v>
      </c>
      <c r="AP232" s="3">
        <v>11.49</v>
      </c>
      <c r="AQ232" s="47">
        <v>11.49</v>
      </c>
      <c r="AR232" s="47">
        <v>11.69</v>
      </c>
      <c r="AS232" s="3">
        <v>21.72</v>
      </c>
      <c r="AT232" s="3">
        <v>23.83</v>
      </c>
      <c r="AU232" s="3">
        <v>25.26</v>
      </c>
      <c r="AV232" s="3">
        <v>24.9</v>
      </c>
      <c r="AW232" s="3"/>
      <c r="AX232" s="48">
        <v>25.26</v>
      </c>
      <c r="AY232" s="3"/>
      <c r="AZ232" s="3">
        <v>9</v>
      </c>
      <c r="BA232" s="3">
        <v>210</v>
      </c>
      <c r="BB232" s="3">
        <v>10</v>
      </c>
      <c r="BC232" s="3">
        <v>229</v>
      </c>
      <c r="BD232" s="40">
        <v>870.42525258216904</v>
      </c>
      <c r="BE232" s="40">
        <v>919.16504995461764</v>
      </c>
      <c r="BF232" s="40"/>
      <c r="BG232" s="40">
        <v>306.17779980536511</v>
      </c>
      <c r="BH232" s="40">
        <v>318.8602464443249</v>
      </c>
      <c r="BI232" s="49">
        <v>1789.5903025367866</v>
      </c>
      <c r="BJ232" s="49">
        <v>625.03804624969007</v>
      </c>
      <c r="BK232" s="66">
        <v>-5.3026164751210914E-2</v>
      </c>
      <c r="BL232" s="66">
        <v>-3.9774311098308202E-2</v>
      </c>
      <c r="BM232" s="51">
        <v>37.439127668133615</v>
      </c>
      <c r="BN232" s="51">
        <v>13.076109754177617</v>
      </c>
      <c r="BO232" s="52">
        <v>202</v>
      </c>
      <c r="BP232" s="40">
        <v>184</v>
      </c>
      <c r="BQ232" s="40">
        <v>202</v>
      </c>
      <c r="BR232" s="67">
        <v>-8.9108910891089077E-2</v>
      </c>
      <c r="BS232" s="54">
        <v>4.0376569037656909</v>
      </c>
      <c r="BT232" s="3">
        <v>108</v>
      </c>
      <c r="BU232" s="40">
        <v>112</v>
      </c>
      <c r="BV232" s="3">
        <v>74</v>
      </c>
      <c r="BW232" s="3">
        <v>75</v>
      </c>
      <c r="BX232" s="70">
        <v>-3.5714285714285698E-2</v>
      </c>
      <c r="BY232" s="70">
        <v>-1.3333333333333308E-2</v>
      </c>
      <c r="BZ232" s="59">
        <v>1.4933333333333334</v>
      </c>
      <c r="CA232" s="59">
        <v>1.4594594594594594</v>
      </c>
      <c r="CB232" s="59">
        <v>1.8260460251046029</v>
      </c>
      <c r="CC232" s="59">
        <v>1.2367311715481173</v>
      </c>
      <c r="CD232" s="60">
        <v>70</v>
      </c>
      <c r="CE232" s="60">
        <v>78</v>
      </c>
      <c r="CF232" s="61">
        <v>1.4644351464435148</v>
      </c>
      <c r="CG232" s="61">
        <v>1.6317991631799165</v>
      </c>
      <c r="CH232" s="61">
        <v>1.1142857142857143</v>
      </c>
      <c r="CI232" s="41">
        <v>14.7</v>
      </c>
      <c r="CJ232" s="40">
        <f>VLOOKUP(paper3[[#This Row],[YYIR nivå]],$DB:$DC,2)</f>
        <v>720</v>
      </c>
      <c r="CK232" s="3"/>
      <c r="CL232" s="62"/>
      <c r="CM232" s="63" t="s">
        <v>110</v>
      </c>
      <c r="CN232" s="3">
        <v>112</v>
      </c>
      <c r="CO232" s="3">
        <v>75</v>
      </c>
      <c r="CP232" s="41">
        <v>13.130555555555556</v>
      </c>
      <c r="CQ232" s="3" t="s">
        <v>110</v>
      </c>
      <c r="CR232" s="40">
        <v>110</v>
      </c>
      <c r="CS232" s="40">
        <v>74.5</v>
      </c>
      <c r="CT232" s="40">
        <v>193</v>
      </c>
      <c r="CU232" s="40"/>
      <c r="CV232" s="40"/>
      <c r="CW232" s="40"/>
      <c r="CX232" s="40"/>
      <c r="CY232" s="40">
        <v>0</v>
      </c>
      <c r="CZ232" s="40"/>
      <c r="DA232" s="40"/>
    </row>
    <row r="233" spans="1:105" ht="15.75" customHeight="1">
      <c r="A233" s="3">
        <v>504</v>
      </c>
      <c r="B233" s="38" t="s">
        <v>103</v>
      </c>
      <c r="C233" s="3" t="s">
        <v>115</v>
      </c>
      <c r="D233" s="3" t="s">
        <v>105</v>
      </c>
      <c r="E233" s="39">
        <v>44685</v>
      </c>
      <c r="F233" s="3" t="s">
        <v>186</v>
      </c>
      <c r="G233" s="3" t="s">
        <v>107</v>
      </c>
      <c r="H233" s="3">
        <v>2009</v>
      </c>
      <c r="I233" s="40" t="s">
        <v>108</v>
      </c>
      <c r="J233" s="39" t="s">
        <v>109</v>
      </c>
      <c r="K233" s="3">
        <v>169.8</v>
      </c>
      <c r="L233" s="3">
        <v>169.6</v>
      </c>
      <c r="M233" s="3"/>
      <c r="N233" s="3">
        <v>142.80000000000001</v>
      </c>
      <c r="O233" s="3">
        <v>142.19999999999999</v>
      </c>
      <c r="P233" s="3">
        <v>143</v>
      </c>
      <c r="Q233" s="3">
        <v>51.6</v>
      </c>
      <c r="R233" s="3">
        <v>51.7</v>
      </c>
      <c r="S233" s="3"/>
      <c r="T233" s="42">
        <v>169.7</v>
      </c>
      <c r="U233" s="42">
        <f>AVERAGE(paper3[[#This Row],[Sittende høyde 1]:[Sittende høyde 3]])-56.2</f>
        <v>86.466666666666654</v>
      </c>
      <c r="V233" s="12">
        <f>paper3[[#This Row],[height]]-paper3[[#This Row],[sittingheight]]</f>
        <v>83.233333333333334</v>
      </c>
      <c r="W233" s="73">
        <v>51.650000000000006</v>
      </c>
      <c r="X233" s="43" cm="1">
        <f t="array" ref="X233">INDEX([1]!phvny[yphv], MATCH(1, (paper3[[#This Row],[id]]=[1]!phvny[id])*(paper3[[#This Row],[time]]=[1]!phvny[time]), 0))</f>
        <v>1.4889883654205338</v>
      </c>
      <c r="Y233" s="60">
        <v>2.19</v>
      </c>
      <c r="Z233" s="60">
        <v>3.71</v>
      </c>
      <c r="AA233" s="60">
        <v>5.19</v>
      </c>
      <c r="AB233" s="3">
        <v>2.2400000000000002</v>
      </c>
      <c r="AC233" s="3">
        <v>3.8</v>
      </c>
      <c r="AD233" s="3">
        <v>5.29</v>
      </c>
      <c r="AE233" s="3">
        <v>2.2200000000000002</v>
      </c>
      <c r="AF233" s="3">
        <v>3.78</v>
      </c>
      <c r="AG233" s="60">
        <v>5.26</v>
      </c>
      <c r="AH233" s="44">
        <v>2.19</v>
      </c>
      <c r="AI233" s="44">
        <v>3.71</v>
      </c>
      <c r="AJ233" s="44">
        <v>5.19</v>
      </c>
      <c r="AK233" s="45">
        <v>6.7567567567567552</v>
      </c>
      <c r="AL233" s="60">
        <v>11.82</v>
      </c>
      <c r="AM233" s="60">
        <v>12.07</v>
      </c>
      <c r="AN233" s="60">
        <v>12.05</v>
      </c>
      <c r="AO233" s="60">
        <v>11.71</v>
      </c>
      <c r="AP233" s="3">
        <v>11.71</v>
      </c>
      <c r="AQ233" s="47">
        <v>11.82</v>
      </c>
      <c r="AR233" s="47">
        <v>11.71</v>
      </c>
      <c r="AS233" s="3">
        <v>22.1</v>
      </c>
      <c r="AT233" s="3">
        <v>23.05</v>
      </c>
      <c r="AU233" s="3">
        <v>25.74</v>
      </c>
      <c r="AV233" s="3">
        <v>26.16</v>
      </c>
      <c r="AW233" s="3"/>
      <c r="AX233" s="48">
        <v>26.16</v>
      </c>
      <c r="AY233" s="3"/>
      <c r="AZ233" s="3">
        <v>9</v>
      </c>
      <c r="BA233" s="3">
        <v>210</v>
      </c>
      <c r="BB233" s="3">
        <v>8</v>
      </c>
      <c r="BC233" s="3">
        <v>190</v>
      </c>
      <c r="BD233" s="40">
        <v>717.24431859834863</v>
      </c>
      <c r="BE233" s="40">
        <v>690.00155453062757</v>
      </c>
      <c r="BF233" s="40"/>
      <c r="BG233" s="40">
        <v>335.32376628787142</v>
      </c>
      <c r="BH233" s="40">
        <v>287.28958965246022</v>
      </c>
      <c r="BI233" s="49">
        <v>1407.2458731289762</v>
      </c>
      <c r="BJ233" s="49">
        <v>622.61335594033164</v>
      </c>
      <c r="BK233" s="66">
        <v>3.9482177813719321E-2</v>
      </c>
      <c r="BL233" s="66">
        <v>0.16719776269484421</v>
      </c>
      <c r="BM233" s="51">
        <v>27.272206843584808</v>
      </c>
      <c r="BN233" s="51">
        <v>12.066150308921156</v>
      </c>
      <c r="BO233" s="52">
        <v>190</v>
      </c>
      <c r="BP233" s="40">
        <v>180</v>
      </c>
      <c r="BQ233" s="40">
        <v>190</v>
      </c>
      <c r="BR233" s="67">
        <v>-5.2631578947368474E-2</v>
      </c>
      <c r="BS233" s="54">
        <v>3.5818005808325264</v>
      </c>
      <c r="BT233" s="3">
        <v>121</v>
      </c>
      <c r="BU233" s="40">
        <v>120</v>
      </c>
      <c r="BV233" s="3">
        <v>81</v>
      </c>
      <c r="BW233" s="3">
        <v>91</v>
      </c>
      <c r="BX233" s="70">
        <v>8.3333333333333037E-3</v>
      </c>
      <c r="BY233" s="70">
        <v>-0.10989010989010994</v>
      </c>
      <c r="BZ233" s="59">
        <v>1.3186813186813187</v>
      </c>
      <c r="CA233" s="59">
        <v>1.4938271604938271</v>
      </c>
      <c r="CB233" s="59">
        <v>1.9418425298483379</v>
      </c>
      <c r="CC233" s="59">
        <v>1.3858793159083576</v>
      </c>
      <c r="CD233" s="60">
        <v>112</v>
      </c>
      <c r="CE233" s="60">
        <v>69</v>
      </c>
      <c r="CF233" s="61">
        <v>2.1684414327202322</v>
      </c>
      <c r="CG233" s="61">
        <v>1.3359148112294288</v>
      </c>
      <c r="CH233" s="61">
        <v>0.6160714285714286</v>
      </c>
      <c r="CI233" s="41">
        <v>14.5</v>
      </c>
      <c r="CJ233" s="40">
        <f>VLOOKUP(paper3[[#This Row],[YYIR nivå]],$DB:$DC,2)</f>
        <v>640</v>
      </c>
      <c r="CK233" s="3"/>
      <c r="CL233" s="62"/>
      <c r="CM233" s="63" t="s">
        <v>110</v>
      </c>
      <c r="CN233" s="3">
        <v>121</v>
      </c>
      <c r="CO233" s="3">
        <v>91</v>
      </c>
      <c r="CP233" s="41">
        <v>13.013888888888889</v>
      </c>
      <c r="CQ233" s="3" t="s">
        <v>110</v>
      </c>
      <c r="CR233" s="40">
        <v>120.5</v>
      </c>
      <c r="CS233" s="40">
        <v>86</v>
      </c>
      <c r="CT233" s="40">
        <v>185</v>
      </c>
      <c r="CU233" s="40"/>
      <c r="CV233" s="40"/>
      <c r="CW233" s="40"/>
      <c r="CX233" s="40"/>
      <c r="CY233" s="40">
        <v>0</v>
      </c>
      <c r="CZ233" s="40"/>
      <c r="DA233" s="40"/>
    </row>
    <row r="234" spans="1:105" ht="15.95" customHeight="1">
      <c r="A234" s="3">
        <v>505</v>
      </c>
      <c r="B234" s="38" t="s">
        <v>103</v>
      </c>
      <c r="C234" s="3" t="s">
        <v>115</v>
      </c>
      <c r="D234" s="3" t="s">
        <v>105</v>
      </c>
      <c r="E234" s="39">
        <v>44685</v>
      </c>
      <c r="F234" s="3" t="s">
        <v>186</v>
      </c>
      <c r="G234" s="3" t="s">
        <v>107</v>
      </c>
      <c r="H234" s="3">
        <v>2009</v>
      </c>
      <c r="I234" s="40" t="s">
        <v>108</v>
      </c>
      <c r="J234" s="39" t="s">
        <v>109</v>
      </c>
      <c r="K234" s="3">
        <v>161.5</v>
      </c>
      <c r="L234" s="3">
        <v>161.30000000000001</v>
      </c>
      <c r="M234" s="3"/>
      <c r="N234" s="3">
        <v>139.80000000000001</v>
      </c>
      <c r="O234" s="3">
        <v>139.80000000000001</v>
      </c>
      <c r="P234" s="3"/>
      <c r="Q234" s="3">
        <v>57.3</v>
      </c>
      <c r="R234" s="3">
        <v>57.3</v>
      </c>
      <c r="S234" s="3"/>
      <c r="T234" s="42">
        <v>161.4</v>
      </c>
      <c r="U234" s="42">
        <f>AVERAGE(paper3[[#This Row],[Sittende høyde 1]:[Sittende høyde 3]])-56.2</f>
        <v>83.600000000000009</v>
      </c>
      <c r="V234" s="12">
        <f>paper3[[#This Row],[height]]-paper3[[#This Row],[sittingheight]]</f>
        <v>77.8</v>
      </c>
      <c r="W234" s="73">
        <v>57.3</v>
      </c>
      <c r="X234" s="43" cm="1">
        <f t="array" ref="X234">INDEX([1]!phvny[yphv], MATCH(1, (paper3[[#This Row],[id]]=[1]!phvny[id])*(paper3[[#This Row],[time]]=[1]!phvny[time]), 0))</f>
        <v>1.3259184980095005</v>
      </c>
      <c r="Y234" s="60">
        <v>2.08</v>
      </c>
      <c r="Z234" s="60">
        <v>3.47</v>
      </c>
      <c r="AA234" s="60">
        <v>4.79</v>
      </c>
      <c r="AB234" s="3"/>
      <c r="AC234" s="3"/>
      <c r="AD234" s="3"/>
      <c r="AE234" s="3">
        <v>2.14</v>
      </c>
      <c r="AF234" s="3">
        <v>3.58</v>
      </c>
      <c r="AG234" s="60">
        <v>4.92</v>
      </c>
      <c r="AH234" s="44">
        <v>2.08</v>
      </c>
      <c r="AI234" s="44">
        <v>3.47</v>
      </c>
      <c r="AJ234" s="44">
        <v>4.79</v>
      </c>
      <c r="AK234" s="45">
        <v>7.575757575757577</v>
      </c>
      <c r="AL234" s="60">
        <v>10.86</v>
      </c>
      <c r="AM234" s="60">
        <v>10.53</v>
      </c>
      <c r="AN234" s="60">
        <v>11.12</v>
      </c>
      <c r="AO234" s="60">
        <v>11.35</v>
      </c>
      <c r="AP234" s="3">
        <v>10.53</v>
      </c>
      <c r="AQ234" s="47">
        <v>10.53</v>
      </c>
      <c r="AR234" s="47">
        <v>11.12</v>
      </c>
      <c r="AS234" s="3">
        <v>27.9</v>
      </c>
      <c r="AT234" s="3">
        <v>27.6</v>
      </c>
      <c r="AU234" s="3">
        <v>27.19</v>
      </c>
      <c r="AV234" s="3"/>
      <c r="AW234" s="3"/>
      <c r="AX234" s="48">
        <v>27.9</v>
      </c>
      <c r="AY234" s="3"/>
      <c r="AZ234" s="3">
        <v>9</v>
      </c>
      <c r="BA234" s="3">
        <v>210</v>
      </c>
      <c r="BB234" s="3">
        <v>12</v>
      </c>
      <c r="BC234" s="3">
        <v>267</v>
      </c>
      <c r="BD234" s="40">
        <v>1018.1424813530875</v>
      </c>
      <c r="BE234" s="40">
        <v>1063.4400994444752</v>
      </c>
      <c r="BF234" s="40"/>
      <c r="BG234" s="40">
        <v>187.62814013006982</v>
      </c>
      <c r="BH234" s="40">
        <v>198.36357109174588</v>
      </c>
      <c r="BI234" s="49">
        <v>2081.5825807975625</v>
      </c>
      <c r="BJ234" s="49">
        <v>385.99171122181571</v>
      </c>
      <c r="BK234" s="66">
        <v>-4.2595363965540201E-2</v>
      </c>
      <c r="BL234" s="66">
        <v>-5.4119972243849013E-2</v>
      </c>
      <c r="BM234" s="51">
        <v>36.327793731196557</v>
      </c>
      <c r="BN234" s="51">
        <v>6.7363300387751437</v>
      </c>
      <c r="BO234" s="52">
        <v>235</v>
      </c>
      <c r="BP234" s="40">
        <v>206</v>
      </c>
      <c r="BQ234" s="40">
        <v>235</v>
      </c>
      <c r="BR234" s="67">
        <v>-0.12340425531914889</v>
      </c>
      <c r="BS234" s="54">
        <v>3.848167539267016</v>
      </c>
      <c r="BT234" s="3">
        <v>104</v>
      </c>
      <c r="BU234" s="40">
        <v>97</v>
      </c>
      <c r="BV234" s="3">
        <v>89</v>
      </c>
      <c r="BW234" s="3">
        <v>96</v>
      </c>
      <c r="BX234" s="70">
        <v>7.2164948453608213E-2</v>
      </c>
      <c r="BY234" s="70">
        <v>-7.291666666666663E-2</v>
      </c>
      <c r="BZ234" s="59">
        <v>1.0104166666666667</v>
      </c>
      <c r="CA234" s="59">
        <v>1.1685393258426966</v>
      </c>
      <c r="CB234" s="59">
        <v>1.3645549738219898</v>
      </c>
      <c r="CC234" s="59">
        <v>1.255933682373473</v>
      </c>
      <c r="CD234" s="60">
        <v>66</v>
      </c>
      <c r="CE234" s="60">
        <v>82</v>
      </c>
      <c r="CF234" s="61">
        <v>1.1518324607329844</v>
      </c>
      <c r="CG234" s="61">
        <v>1.4310645724258291</v>
      </c>
      <c r="CH234" s="61">
        <v>1.2424242424242424</v>
      </c>
      <c r="CI234" s="41"/>
      <c r="CJ234" s="40"/>
      <c r="CK234" s="3"/>
      <c r="CL234" s="62"/>
      <c r="CM234" s="63" t="s">
        <v>110</v>
      </c>
      <c r="CN234" s="3">
        <v>104</v>
      </c>
      <c r="CO234" s="3">
        <v>96</v>
      </c>
      <c r="CP234" s="41">
        <v>13.302777777777777</v>
      </c>
      <c r="CQ234" s="3" t="s">
        <v>110</v>
      </c>
      <c r="CR234" s="40">
        <v>100.5</v>
      </c>
      <c r="CS234" s="40">
        <v>92.5</v>
      </c>
      <c r="CT234" s="40">
        <v>220.5</v>
      </c>
      <c r="CU234" s="40"/>
      <c r="CV234" s="40"/>
      <c r="CW234" s="40"/>
      <c r="CX234" s="40"/>
      <c r="CY234" s="40">
        <v>0</v>
      </c>
      <c r="CZ234" s="40"/>
      <c r="DA234" s="40"/>
    </row>
    <row r="235" spans="1:105" ht="15.75" customHeight="1">
      <c r="A235" s="3">
        <v>507</v>
      </c>
      <c r="B235" s="38" t="s">
        <v>103</v>
      </c>
      <c r="C235" s="3" t="s">
        <v>115</v>
      </c>
      <c r="D235" s="3" t="s">
        <v>105</v>
      </c>
      <c r="E235" s="39">
        <v>44685</v>
      </c>
      <c r="F235" s="3" t="s">
        <v>186</v>
      </c>
      <c r="G235" s="3" t="s">
        <v>107</v>
      </c>
      <c r="H235" s="3">
        <v>2009</v>
      </c>
      <c r="I235" s="40" t="s">
        <v>108</v>
      </c>
      <c r="J235" s="39" t="s">
        <v>109</v>
      </c>
      <c r="K235" s="3">
        <v>171.8</v>
      </c>
      <c r="L235" s="3">
        <v>171.5</v>
      </c>
      <c r="M235" s="3">
        <v>171.4</v>
      </c>
      <c r="N235" s="3">
        <v>141.5</v>
      </c>
      <c r="O235" s="3">
        <v>141.80000000000001</v>
      </c>
      <c r="P235" s="3">
        <v>142</v>
      </c>
      <c r="Q235" s="3">
        <v>53.2</v>
      </c>
      <c r="R235" s="3">
        <v>53.2</v>
      </c>
      <c r="S235" s="3"/>
      <c r="T235" s="42">
        <v>171.56666666666669</v>
      </c>
      <c r="U235" s="42">
        <f>AVERAGE(paper3[[#This Row],[Sittende høyde 1]:[Sittende høyde 3]])-56.2</f>
        <v>85.566666666666677</v>
      </c>
      <c r="V235" s="12">
        <f>paper3[[#This Row],[height]]-paper3[[#This Row],[sittingheight]]</f>
        <v>86.000000000000014</v>
      </c>
      <c r="W235" s="73">
        <v>53.2</v>
      </c>
      <c r="X235" s="43" cm="1">
        <f t="array" ref="X235">INDEX([1]!phvny[yphv], MATCH(1, (paper3[[#This Row],[id]]=[1]!phvny[id])*(paper3[[#This Row],[time]]=[1]!phvny[time]), 0))</f>
        <v>1.3700655653229519</v>
      </c>
      <c r="Y235" s="60">
        <v>2.1</v>
      </c>
      <c r="Z235" s="60">
        <v>3.67</v>
      </c>
      <c r="AA235" s="60">
        <v>5.18</v>
      </c>
      <c r="AB235" s="3">
        <v>2.15</v>
      </c>
      <c r="AC235" s="3">
        <v>3.77</v>
      </c>
      <c r="AD235" s="60">
        <v>5.32</v>
      </c>
      <c r="AE235" s="3">
        <v>2.15</v>
      </c>
      <c r="AF235" s="3">
        <v>3.72</v>
      </c>
      <c r="AG235" s="60">
        <v>5.27</v>
      </c>
      <c r="AH235" s="44">
        <v>2.1</v>
      </c>
      <c r="AI235" s="44">
        <v>3.67</v>
      </c>
      <c r="AJ235" s="45">
        <v>5.18</v>
      </c>
      <c r="AK235" s="45">
        <v>6.6225165562913917</v>
      </c>
      <c r="AL235" s="60"/>
      <c r="AM235" s="60">
        <v>11.95</v>
      </c>
      <c r="AN235" s="60">
        <v>11.96</v>
      </c>
      <c r="AO235" s="60">
        <v>11.66</v>
      </c>
      <c r="AP235" s="3">
        <v>11.66</v>
      </c>
      <c r="AQ235" s="47">
        <v>11.95</v>
      </c>
      <c r="AR235" s="47">
        <v>11.66</v>
      </c>
      <c r="AS235" s="3">
        <v>21.4</v>
      </c>
      <c r="AT235" s="3">
        <v>25.46</v>
      </c>
      <c r="AU235" s="3">
        <v>26.17</v>
      </c>
      <c r="AV235" s="3"/>
      <c r="AW235" s="3"/>
      <c r="AX235" s="48">
        <v>26.17</v>
      </c>
      <c r="AY235" s="3"/>
      <c r="AZ235" s="3">
        <v>10</v>
      </c>
      <c r="BA235" s="3">
        <v>210</v>
      </c>
      <c r="BB235" s="3">
        <v>11</v>
      </c>
      <c r="BC235" s="3">
        <v>248</v>
      </c>
      <c r="BD235" s="40">
        <v>946.22346763137057</v>
      </c>
      <c r="BE235" s="40">
        <v>855.96514408150495</v>
      </c>
      <c r="BF235" s="40"/>
      <c r="BG235" s="40">
        <v>212.13310195644567</v>
      </c>
      <c r="BH235" s="40">
        <v>212.56376445357836</v>
      </c>
      <c r="BI235" s="49">
        <v>1802.1886117128756</v>
      </c>
      <c r="BJ235" s="49">
        <v>424.69686641002403</v>
      </c>
      <c r="BK235" s="66">
        <v>0.10544626048612926</v>
      </c>
      <c r="BL235" s="66">
        <v>-2.0260390957967944E-3</v>
      </c>
      <c r="BM235" s="51">
        <v>33.875725784076607</v>
      </c>
      <c r="BN235" s="51">
        <v>7.9830238046996991</v>
      </c>
      <c r="BO235" s="52">
        <v>219</v>
      </c>
      <c r="BP235" s="40">
        <v>199</v>
      </c>
      <c r="BQ235" s="40">
        <v>219</v>
      </c>
      <c r="BR235" s="67">
        <v>-9.1324200913242004E-2</v>
      </c>
      <c r="BS235" s="54">
        <v>3.9285714285714284</v>
      </c>
      <c r="BT235" s="3">
        <v>137</v>
      </c>
      <c r="BU235" s="40">
        <v>103</v>
      </c>
      <c r="BV235" s="3">
        <v>78</v>
      </c>
      <c r="BW235" s="3">
        <v>85</v>
      </c>
      <c r="BX235" s="70">
        <v>0.33009708737864085</v>
      </c>
      <c r="BY235" s="70">
        <v>-8.2352941176470629E-2</v>
      </c>
      <c r="BZ235" s="59">
        <v>1.2117647058823529</v>
      </c>
      <c r="CA235" s="59">
        <v>1.7564102564102564</v>
      </c>
      <c r="CB235" s="59">
        <v>1.9398496240601506</v>
      </c>
      <c r="CC235" s="59">
        <v>1.3174812030075187</v>
      </c>
      <c r="CD235" s="60">
        <v>94</v>
      </c>
      <c r="CE235" s="60">
        <v>83</v>
      </c>
      <c r="CF235" s="61">
        <v>1.7669172932330826</v>
      </c>
      <c r="CG235" s="61">
        <v>1.5601503759398496</v>
      </c>
      <c r="CH235" s="61">
        <v>0.88297872340425543</v>
      </c>
      <c r="CI235" s="41"/>
      <c r="CJ235" s="40"/>
      <c r="CK235" s="3"/>
      <c r="CL235" s="62"/>
      <c r="CM235" s="63" t="s">
        <v>110</v>
      </c>
      <c r="CN235" s="3">
        <v>137</v>
      </c>
      <c r="CO235" s="3">
        <v>85</v>
      </c>
      <c r="CP235" s="41">
        <v>12.738888888888889</v>
      </c>
      <c r="CQ235" s="3" t="s">
        <v>110</v>
      </c>
      <c r="CR235" s="40">
        <v>120</v>
      </c>
      <c r="CS235" s="40">
        <v>81.5</v>
      </c>
      <c r="CT235" s="40">
        <v>209</v>
      </c>
      <c r="CU235" s="40"/>
      <c r="CV235" s="40"/>
      <c r="CW235" s="40"/>
      <c r="CX235" s="40"/>
      <c r="CY235" s="40">
        <v>0</v>
      </c>
      <c r="CZ235" s="40"/>
      <c r="DA235" s="40"/>
    </row>
    <row r="236" spans="1:105" ht="15.95" customHeight="1">
      <c r="A236" s="3">
        <v>508</v>
      </c>
      <c r="B236" s="38" t="s">
        <v>103</v>
      </c>
      <c r="C236" s="3" t="s">
        <v>115</v>
      </c>
      <c r="D236" s="3" t="s">
        <v>105</v>
      </c>
      <c r="E236" s="39">
        <v>44685</v>
      </c>
      <c r="F236" s="3" t="s">
        <v>186</v>
      </c>
      <c r="G236" s="3" t="s">
        <v>107</v>
      </c>
      <c r="H236" s="3">
        <v>2009</v>
      </c>
      <c r="I236" s="40" t="s">
        <v>108</v>
      </c>
      <c r="J236" s="39" t="s">
        <v>109</v>
      </c>
      <c r="K236" s="3">
        <v>157.69999999999999</v>
      </c>
      <c r="L236" s="3">
        <v>154.4</v>
      </c>
      <c r="M236" s="3">
        <v>157.19999999999999</v>
      </c>
      <c r="N236" s="3">
        <v>139.4</v>
      </c>
      <c r="O236" s="3">
        <v>139.4</v>
      </c>
      <c r="P236" s="3"/>
      <c r="Q236" s="3">
        <v>46.1</v>
      </c>
      <c r="R236" s="3">
        <v>46.1</v>
      </c>
      <c r="S236" s="3"/>
      <c r="T236" s="42">
        <v>156.43333333333334</v>
      </c>
      <c r="U236" s="42">
        <f>AVERAGE(paper3[[#This Row],[Sittende høyde 1]:[Sittende høyde 3]])-56.2</f>
        <v>83.2</v>
      </c>
      <c r="V236" s="12">
        <f>paper3[[#This Row],[height]]-paper3[[#This Row],[sittingheight]]</f>
        <v>73.233333333333334</v>
      </c>
      <c r="W236" s="73">
        <v>46.1</v>
      </c>
      <c r="X236" s="43" cm="1">
        <f t="array" ref="X236">INDEX([1]!phvny[yphv], MATCH(1, (paper3[[#This Row],[id]]=[1]!phvny[id])*(paper3[[#This Row],[time]]=[1]!phvny[time]), 0))</f>
        <v>0.84383355065977717</v>
      </c>
      <c r="Y236" s="60">
        <v>2.36</v>
      </c>
      <c r="Z236" s="60">
        <v>4.17</v>
      </c>
      <c r="AA236" s="60">
        <v>6</v>
      </c>
      <c r="AB236" s="3">
        <v>2.38</v>
      </c>
      <c r="AC236" s="3">
        <v>4.16</v>
      </c>
      <c r="AD236" s="60">
        <v>6</v>
      </c>
      <c r="AE236" s="3">
        <v>2.4300000000000002</v>
      </c>
      <c r="AF236" s="3">
        <v>4.46</v>
      </c>
      <c r="AG236" s="60">
        <v>6.59</v>
      </c>
      <c r="AH236" s="44">
        <v>2.36</v>
      </c>
      <c r="AI236" s="44">
        <v>4.16</v>
      </c>
      <c r="AJ236" s="45">
        <v>6</v>
      </c>
      <c r="AK236" s="45">
        <v>5.4347826086956523</v>
      </c>
      <c r="AL236" s="60">
        <v>13.74</v>
      </c>
      <c r="AM236" s="60">
        <v>13.19</v>
      </c>
      <c r="AN236" s="60"/>
      <c r="AO236" s="60"/>
      <c r="AP236" s="3">
        <v>13.19</v>
      </c>
      <c r="AQ236" s="47">
        <v>13.19</v>
      </c>
      <c r="AR236" s="47"/>
      <c r="AS236" s="3">
        <v>27.57</v>
      </c>
      <c r="AT236" s="3">
        <v>31.4</v>
      </c>
      <c r="AU236" s="3">
        <v>22.06</v>
      </c>
      <c r="AV236" s="3"/>
      <c r="AW236" s="3"/>
      <c r="AX236" s="48">
        <v>31.4</v>
      </c>
      <c r="AY236" s="3"/>
      <c r="AZ236" s="3">
        <v>8</v>
      </c>
      <c r="BA236" s="3">
        <v>210</v>
      </c>
      <c r="BB236" s="3">
        <v>8</v>
      </c>
      <c r="BC236" s="3">
        <v>190</v>
      </c>
      <c r="BD236" s="40"/>
      <c r="BE236" s="40"/>
      <c r="BF236" s="40"/>
      <c r="BG236" s="40">
        <v>135.33460827141565</v>
      </c>
      <c r="BH236" s="40">
        <v>110.75594905683799</v>
      </c>
      <c r="BI236" s="49"/>
      <c r="BJ236" s="49">
        <v>246.09055732825362</v>
      </c>
      <c r="BK236" s="66"/>
      <c r="BL236" s="66">
        <v>0.2219172823119806</v>
      </c>
      <c r="BM236" s="51"/>
      <c r="BN236" s="51">
        <v>5.3381899637365207</v>
      </c>
      <c r="BO236" s="52">
        <v>178</v>
      </c>
      <c r="BP236" s="40">
        <v>178</v>
      </c>
      <c r="BQ236" s="40">
        <v>167</v>
      </c>
      <c r="BR236" s="67">
        <v>6.5868263473053856E-2</v>
      </c>
      <c r="BS236" s="54">
        <v>3.741865509761388</v>
      </c>
      <c r="BT236" s="3">
        <v>90</v>
      </c>
      <c r="BU236" s="40">
        <v>84</v>
      </c>
      <c r="BV236" s="3">
        <v>78</v>
      </c>
      <c r="BW236" s="3">
        <v>83</v>
      </c>
      <c r="BX236" s="70">
        <v>7.1428571428571397E-2</v>
      </c>
      <c r="BY236" s="70">
        <v>-6.0240963855421659E-2</v>
      </c>
      <c r="BZ236" s="59">
        <v>1.0120481927710843</v>
      </c>
      <c r="CA236" s="59">
        <v>1.1538461538461537</v>
      </c>
      <c r="CB236" s="59">
        <v>1.382060737527115</v>
      </c>
      <c r="CC236" s="59">
        <v>1.2788033261026754</v>
      </c>
      <c r="CD236" s="60">
        <v>63</v>
      </c>
      <c r="CE236" s="60">
        <v>52</v>
      </c>
      <c r="CF236" s="61">
        <v>1.3665943600867678</v>
      </c>
      <c r="CG236" s="61">
        <v>1.1279826464208242</v>
      </c>
      <c r="CH236" s="61">
        <v>0.82539682539682535</v>
      </c>
      <c r="CI236" s="41">
        <v>12.2</v>
      </c>
      <c r="CJ236" s="40">
        <f>VLOOKUP(paper3[[#This Row],[YYIR nivå]],$DB:$DC,2)</f>
        <v>240</v>
      </c>
      <c r="CK236" s="3"/>
      <c r="CL236" s="62"/>
      <c r="CM236" s="63" t="s">
        <v>110</v>
      </c>
      <c r="CN236" s="3">
        <v>90</v>
      </c>
      <c r="CO236" s="3">
        <v>83</v>
      </c>
      <c r="CP236" s="41">
        <v>12.975</v>
      </c>
      <c r="CQ236" s="3" t="s">
        <v>110</v>
      </c>
      <c r="CR236" s="40">
        <v>87</v>
      </c>
      <c r="CS236" s="40">
        <v>80.5</v>
      </c>
      <c r="CT236" s="40">
        <v>172.5</v>
      </c>
      <c r="CU236" s="40"/>
      <c r="CV236" s="40"/>
      <c r="CW236" s="40"/>
      <c r="CX236" s="40"/>
      <c r="CY236" s="40">
        <v>0</v>
      </c>
      <c r="CZ236" s="40"/>
      <c r="DA236" s="40"/>
    </row>
    <row r="237" spans="1:105" ht="15.95" customHeight="1">
      <c r="A237" s="3">
        <v>509</v>
      </c>
      <c r="B237" s="38" t="s">
        <v>103</v>
      </c>
      <c r="C237" s="3" t="s">
        <v>158</v>
      </c>
      <c r="D237" s="3" t="s">
        <v>105</v>
      </c>
      <c r="E237" s="39">
        <v>44685</v>
      </c>
      <c r="F237" s="3" t="s">
        <v>186</v>
      </c>
      <c r="G237" s="3" t="s">
        <v>107</v>
      </c>
      <c r="H237" s="3">
        <v>2009</v>
      </c>
      <c r="I237" s="40" t="s">
        <v>108</v>
      </c>
      <c r="J237" s="39" t="s">
        <v>109</v>
      </c>
      <c r="K237" s="3">
        <v>168.6</v>
      </c>
      <c r="L237" s="3">
        <v>167.9</v>
      </c>
      <c r="M237" s="3">
        <v>168.1</v>
      </c>
      <c r="N237" s="3">
        <v>142</v>
      </c>
      <c r="O237" s="3">
        <v>141.9</v>
      </c>
      <c r="P237" s="3"/>
      <c r="Q237" s="3">
        <v>46.1</v>
      </c>
      <c r="R237" s="3">
        <v>46</v>
      </c>
      <c r="S237" s="3"/>
      <c r="T237" s="42">
        <v>168.20000000000002</v>
      </c>
      <c r="U237" s="42">
        <f>AVERAGE(paper3[[#This Row],[Sittende høyde 1]:[Sittende høyde 3]])-56.2</f>
        <v>85.749999999999986</v>
      </c>
      <c r="V237" s="12">
        <f>paper3[[#This Row],[height]]-paper3[[#This Row],[sittingheight]]</f>
        <v>82.450000000000031</v>
      </c>
      <c r="W237" s="73">
        <v>46.05</v>
      </c>
      <c r="X237" s="43" cm="1">
        <f t="array" ref="X237">INDEX([1]!phvny[yphv], MATCH(1, (paper3[[#This Row],[id]]=[1]!phvny[id])*(paper3[[#This Row],[time]]=[1]!phvny[time]), 0))</f>
        <v>1.1336222762257242</v>
      </c>
      <c r="Y237" s="60">
        <v>2.25</v>
      </c>
      <c r="Z237" s="60">
        <v>3.95</v>
      </c>
      <c r="AA237" s="60">
        <v>5.61</v>
      </c>
      <c r="AB237" s="3"/>
      <c r="AC237" s="3"/>
      <c r="AD237" s="60"/>
      <c r="AE237" s="3">
        <v>2.38</v>
      </c>
      <c r="AF237" s="3">
        <v>4.13</v>
      </c>
      <c r="AG237" s="60">
        <v>5.83</v>
      </c>
      <c r="AH237" s="44">
        <v>2.25</v>
      </c>
      <c r="AI237" s="44">
        <v>3.95</v>
      </c>
      <c r="AJ237" s="45">
        <v>5.61</v>
      </c>
      <c r="AK237" s="45">
        <v>6.0240963855421681</v>
      </c>
      <c r="AL237" s="60">
        <v>12.82</v>
      </c>
      <c r="AM237" s="60">
        <v>13.26</v>
      </c>
      <c r="AN237" s="60">
        <v>13.18</v>
      </c>
      <c r="AO237" s="60"/>
      <c r="AP237" s="3">
        <v>12.82</v>
      </c>
      <c r="AQ237" s="47">
        <v>12.82</v>
      </c>
      <c r="AR237" s="47">
        <v>13.18</v>
      </c>
      <c r="AS237" s="3">
        <v>20.58</v>
      </c>
      <c r="AT237" s="3">
        <v>19.98</v>
      </c>
      <c r="AU237" s="3">
        <v>20.170000000000002</v>
      </c>
      <c r="AV237" s="3"/>
      <c r="AW237" s="3"/>
      <c r="AX237" s="48">
        <v>20.58</v>
      </c>
      <c r="AY237" s="3"/>
      <c r="AZ237" s="3">
        <v>10</v>
      </c>
      <c r="BA237" s="3">
        <v>190</v>
      </c>
      <c r="BB237" s="3">
        <v>8</v>
      </c>
      <c r="BC237" s="3">
        <v>172</v>
      </c>
      <c r="BD237" s="40">
        <v>715.37672880030505</v>
      </c>
      <c r="BE237" s="40">
        <v>770.63051691894896</v>
      </c>
      <c r="BF237" s="40"/>
      <c r="BG237" s="40">
        <v>192.3541921326707</v>
      </c>
      <c r="BH237" s="40">
        <v>158.81063485095544</v>
      </c>
      <c r="BI237" s="49">
        <v>1486.0072457192541</v>
      </c>
      <c r="BJ237" s="49">
        <v>351.16482698362614</v>
      </c>
      <c r="BK237" s="66">
        <v>-7.1699455063826911E-2</v>
      </c>
      <c r="BL237" s="66">
        <v>0.21121732378436775</v>
      </c>
      <c r="BM237" s="51">
        <v>32.234430492825467</v>
      </c>
      <c r="BN237" s="51">
        <v>7.6174582859788744</v>
      </c>
      <c r="BO237" s="52">
        <v>145</v>
      </c>
      <c r="BP237" s="40">
        <v>145</v>
      </c>
      <c r="BQ237" s="40">
        <v>120</v>
      </c>
      <c r="BR237" s="67">
        <v>0.20833333333333326</v>
      </c>
      <c r="BS237" s="54">
        <v>2.8773072747014119</v>
      </c>
      <c r="BT237" s="3">
        <v>88</v>
      </c>
      <c r="BU237" s="40">
        <v>82</v>
      </c>
      <c r="BV237" s="3">
        <v>87</v>
      </c>
      <c r="BW237" s="3">
        <v>84</v>
      </c>
      <c r="BX237" s="70">
        <v>7.3170731707317138E-2</v>
      </c>
      <c r="BY237" s="70">
        <v>3.5714285714285809E-2</v>
      </c>
      <c r="BZ237" s="59">
        <v>0.97619047619047616</v>
      </c>
      <c r="CA237" s="59">
        <v>1.0114942528735633</v>
      </c>
      <c r="CB237" s="59">
        <v>1.521878393051032</v>
      </c>
      <c r="CC237" s="59">
        <v>1.5308306188925087</v>
      </c>
      <c r="CD237" s="60">
        <v>61</v>
      </c>
      <c r="CE237" s="60">
        <v>59</v>
      </c>
      <c r="CF237" s="61">
        <v>1.3246471226927254</v>
      </c>
      <c r="CG237" s="61">
        <v>1.2812160694896852</v>
      </c>
      <c r="CH237" s="61">
        <v>0.96721311475409832</v>
      </c>
      <c r="CI237" s="41"/>
      <c r="CJ237" s="40"/>
      <c r="CK237" s="3"/>
      <c r="CL237" s="62"/>
      <c r="CM237" s="63" t="s">
        <v>110</v>
      </c>
      <c r="CN237" s="3">
        <v>88</v>
      </c>
      <c r="CO237" s="3">
        <v>87</v>
      </c>
      <c r="CP237" s="41">
        <v>12.633333333333333</v>
      </c>
      <c r="CQ237" s="3" t="s">
        <v>110</v>
      </c>
      <c r="CR237" s="40">
        <v>85</v>
      </c>
      <c r="CS237" s="40">
        <v>85.5</v>
      </c>
      <c r="CT237" s="40">
        <v>132.5</v>
      </c>
      <c r="CU237" s="40"/>
      <c r="CV237" s="40"/>
      <c r="CW237" s="40"/>
      <c r="CX237" s="40"/>
      <c r="CY237" s="40" t="s">
        <v>125</v>
      </c>
      <c r="CZ237" s="40"/>
      <c r="DA237" s="40"/>
    </row>
    <row r="238" spans="1:105" ht="15.95" customHeight="1">
      <c r="A238" s="3">
        <v>510</v>
      </c>
      <c r="B238" s="38" t="s">
        <v>103</v>
      </c>
      <c r="C238" s="3" t="s">
        <v>115</v>
      </c>
      <c r="D238" s="3" t="s">
        <v>105</v>
      </c>
      <c r="E238" s="39">
        <v>44685</v>
      </c>
      <c r="F238" s="3" t="s">
        <v>186</v>
      </c>
      <c r="G238" s="3" t="s">
        <v>107</v>
      </c>
      <c r="H238" s="3">
        <v>2009</v>
      </c>
      <c r="I238" s="40" t="s">
        <v>108</v>
      </c>
      <c r="J238" s="39" t="s">
        <v>109</v>
      </c>
      <c r="K238" s="3">
        <v>159.4</v>
      </c>
      <c r="L238" s="3">
        <v>159.30000000000001</v>
      </c>
      <c r="M238" s="3"/>
      <c r="N238" s="3">
        <v>140.4</v>
      </c>
      <c r="O238" s="3">
        <v>140.80000000000001</v>
      </c>
      <c r="P238" s="3">
        <v>140.5</v>
      </c>
      <c r="Q238" s="3">
        <v>47.1</v>
      </c>
      <c r="R238" s="3">
        <v>47.1</v>
      </c>
      <c r="S238" s="3"/>
      <c r="T238" s="42">
        <v>159.35000000000002</v>
      </c>
      <c r="U238" s="42">
        <f>AVERAGE(paper3[[#This Row],[Sittende høyde 1]:[Sittende høyde 3]])-56.2</f>
        <v>84.366666666666688</v>
      </c>
      <c r="V238" s="12">
        <f>paper3[[#This Row],[height]]-paper3[[#This Row],[sittingheight]]</f>
        <v>74.983333333333334</v>
      </c>
      <c r="W238" s="73">
        <v>47.1</v>
      </c>
      <c r="X238" s="43" cm="1">
        <f t="array" ref="X238">INDEX([1]!phvny[yphv], MATCH(1, (paper3[[#This Row],[id]]=[1]!phvny[id])*(paper3[[#This Row],[time]]=[1]!phvny[time]), 0))</f>
        <v>1.1507359634735335</v>
      </c>
      <c r="Y238" s="60">
        <v>2.15</v>
      </c>
      <c r="Z238" s="60">
        <v>3.73</v>
      </c>
      <c r="AA238" s="60">
        <v>5.3</v>
      </c>
      <c r="AB238" s="3">
        <v>2.16</v>
      </c>
      <c r="AC238" s="3">
        <v>3.77</v>
      </c>
      <c r="AD238" s="60">
        <v>5.36</v>
      </c>
      <c r="AE238" s="3">
        <v>2.19</v>
      </c>
      <c r="AF238" s="3">
        <v>3.81</v>
      </c>
      <c r="AG238" s="60">
        <v>5.41</v>
      </c>
      <c r="AH238" s="44">
        <v>2.15</v>
      </c>
      <c r="AI238" s="44">
        <v>3.73</v>
      </c>
      <c r="AJ238" s="45">
        <v>5.3</v>
      </c>
      <c r="AK238" s="45">
        <v>6.369426751592357</v>
      </c>
      <c r="AL238" s="60">
        <v>12.25</v>
      </c>
      <c r="AM238" s="60">
        <v>12.01</v>
      </c>
      <c r="AN238" s="60">
        <v>12.2</v>
      </c>
      <c r="AO238" s="60">
        <v>12.39</v>
      </c>
      <c r="AP238" s="3">
        <v>12.01</v>
      </c>
      <c r="AQ238" s="47">
        <v>12.01</v>
      </c>
      <c r="AR238" s="47">
        <v>12.2</v>
      </c>
      <c r="AS238" s="3">
        <v>20.72</v>
      </c>
      <c r="AT238" s="3">
        <v>21.08</v>
      </c>
      <c r="AU238" s="3">
        <v>20.12</v>
      </c>
      <c r="AV238" s="3"/>
      <c r="AW238" s="3"/>
      <c r="AX238" s="48">
        <v>21.08</v>
      </c>
      <c r="AY238" s="3"/>
      <c r="AZ238" s="3">
        <v>8</v>
      </c>
      <c r="BA238" s="3">
        <v>200</v>
      </c>
      <c r="BB238" s="3">
        <v>8</v>
      </c>
      <c r="BC238" s="3">
        <v>181</v>
      </c>
      <c r="BD238" s="40">
        <v>822.68633115392015</v>
      </c>
      <c r="BE238" s="40">
        <v>680.20668660178239</v>
      </c>
      <c r="BF238" s="40"/>
      <c r="BG238" s="40">
        <v>166.36158796353794</v>
      </c>
      <c r="BH238" s="40">
        <v>177.03787819712977</v>
      </c>
      <c r="BI238" s="49">
        <v>1502.8930177557027</v>
      </c>
      <c r="BJ238" s="49">
        <v>343.39946616066771</v>
      </c>
      <c r="BK238" s="66">
        <v>0.20946522190769135</v>
      </c>
      <c r="BL238" s="66">
        <v>-6.0305118556063464E-2</v>
      </c>
      <c r="BM238" s="51">
        <v>31.908556640248463</v>
      </c>
      <c r="BN238" s="51">
        <v>7.2908591541543037</v>
      </c>
      <c r="BO238" s="52">
        <v>202</v>
      </c>
      <c r="BP238" s="40">
        <v>202</v>
      </c>
      <c r="BQ238" s="40">
        <v>192</v>
      </c>
      <c r="BR238" s="67">
        <v>5.2083333333333259E-2</v>
      </c>
      <c r="BS238" s="54">
        <v>4.1825902335456471</v>
      </c>
      <c r="BT238" s="3">
        <v>90</v>
      </c>
      <c r="BU238" s="40">
        <v>92</v>
      </c>
      <c r="BV238" s="3">
        <v>75</v>
      </c>
      <c r="BW238" s="3">
        <v>79</v>
      </c>
      <c r="BX238" s="70">
        <v>-2.1739130434782594E-2</v>
      </c>
      <c r="BY238" s="70">
        <v>-5.0632911392405111E-2</v>
      </c>
      <c r="BZ238" s="59">
        <v>1.1645569620253164</v>
      </c>
      <c r="CA238" s="59">
        <v>1.2</v>
      </c>
      <c r="CB238" s="59">
        <v>1.4487225760792641</v>
      </c>
      <c r="CC238" s="59">
        <v>1.2258421797593773</v>
      </c>
      <c r="CD238" s="60">
        <v>64</v>
      </c>
      <c r="CE238" s="60">
        <v>73</v>
      </c>
      <c r="CF238" s="61">
        <v>1.3588110403397027</v>
      </c>
      <c r="CG238" s="61">
        <v>1.5498938428874733</v>
      </c>
      <c r="CH238" s="61">
        <v>1.140625</v>
      </c>
      <c r="CI238" s="41"/>
      <c r="CJ238" s="40"/>
      <c r="CK238" s="3"/>
      <c r="CL238" s="62"/>
      <c r="CM238" s="63" t="s">
        <v>110</v>
      </c>
      <c r="CN238" s="3">
        <v>92</v>
      </c>
      <c r="CO238" s="3">
        <v>79</v>
      </c>
      <c r="CP238" s="41">
        <v>13.261111111111111</v>
      </c>
      <c r="CQ238" s="3" t="s">
        <v>110</v>
      </c>
      <c r="CR238" s="40">
        <v>91</v>
      </c>
      <c r="CS238" s="40">
        <v>77</v>
      </c>
      <c r="CT238" s="40">
        <v>197</v>
      </c>
      <c r="CU238" s="40"/>
      <c r="CV238" s="40"/>
      <c r="CW238" s="40"/>
      <c r="CX238" s="40"/>
      <c r="CY238" s="40">
        <v>0</v>
      </c>
      <c r="CZ238" s="40"/>
      <c r="DA238" s="40"/>
    </row>
    <row r="239" spans="1:105" ht="15.95" customHeight="1">
      <c r="A239" s="3">
        <v>511</v>
      </c>
      <c r="B239" s="38" t="s">
        <v>103</v>
      </c>
      <c r="C239" s="3" t="s">
        <v>115</v>
      </c>
      <c r="D239" s="3" t="s">
        <v>105</v>
      </c>
      <c r="E239" s="39">
        <v>44720</v>
      </c>
      <c r="F239" s="3" t="s">
        <v>186</v>
      </c>
      <c r="G239" s="3" t="s">
        <v>122</v>
      </c>
      <c r="H239" s="3">
        <v>2009</v>
      </c>
      <c r="I239" s="40" t="s">
        <v>108</v>
      </c>
      <c r="J239" s="39" t="s">
        <v>123</v>
      </c>
      <c r="K239" s="3">
        <v>161.4</v>
      </c>
      <c r="L239" s="3">
        <v>161.4</v>
      </c>
      <c r="M239" s="3"/>
      <c r="N239" s="3">
        <v>135.1</v>
      </c>
      <c r="O239" s="3">
        <v>135</v>
      </c>
      <c r="P239" s="3"/>
      <c r="Q239" s="3">
        <v>45.1</v>
      </c>
      <c r="R239" s="3">
        <v>45.1</v>
      </c>
      <c r="S239" s="3"/>
      <c r="T239" s="42">
        <v>161.4</v>
      </c>
      <c r="U239" s="42">
        <f>AVERAGE(paper3[[#This Row],[Sittende høyde 1]:[Sittende høyde 3]])-56.2</f>
        <v>78.850000000000009</v>
      </c>
      <c r="V239" s="12">
        <f>paper3[[#This Row],[height]]-paper3[[#This Row],[sittingheight]]</f>
        <v>82.55</v>
      </c>
      <c r="W239" s="73">
        <v>45.1</v>
      </c>
      <c r="X239" s="43" cm="1">
        <f t="array" ref="X239">INDEX([1]!phvny[yphv], MATCH(1, (paper3[[#This Row],[id]]=[1]!phvny[id])*(paper3[[#This Row],[time]]=[1]!phvny[time]), 0))</f>
        <v>-1.195596083984819</v>
      </c>
      <c r="Y239" s="60">
        <v>1.99</v>
      </c>
      <c r="Z239" s="60">
        <v>3.53</v>
      </c>
      <c r="AA239" s="60">
        <v>5.03</v>
      </c>
      <c r="AB239" s="3">
        <v>1.98</v>
      </c>
      <c r="AC239" s="3">
        <v>3.49</v>
      </c>
      <c r="AD239" s="3">
        <v>5.03</v>
      </c>
      <c r="AE239" s="3">
        <v>2.02</v>
      </c>
      <c r="AF239" s="3">
        <v>2.56</v>
      </c>
      <c r="AG239" s="60">
        <v>5.07</v>
      </c>
      <c r="AH239" s="44">
        <v>1.98</v>
      </c>
      <c r="AI239" s="44">
        <v>2.56</v>
      </c>
      <c r="AJ239" s="44">
        <v>5.03</v>
      </c>
      <c r="AK239" s="45">
        <v>4.048582995951417</v>
      </c>
      <c r="AL239" s="60">
        <v>10.56</v>
      </c>
      <c r="AM239" s="60">
        <v>10.4</v>
      </c>
      <c r="AN239" s="60">
        <v>10.73</v>
      </c>
      <c r="AO239" s="60">
        <v>10.67</v>
      </c>
      <c r="AP239" s="3">
        <v>10.4</v>
      </c>
      <c r="AQ239" s="47">
        <v>10.4</v>
      </c>
      <c r="AR239" s="47">
        <v>10.67</v>
      </c>
      <c r="AS239" s="3">
        <v>26.64</v>
      </c>
      <c r="AT239" s="3">
        <v>24.28</v>
      </c>
      <c r="AU239" s="3">
        <v>24.39</v>
      </c>
      <c r="AV239" s="3"/>
      <c r="AW239" s="3"/>
      <c r="AX239" s="48">
        <v>26.64</v>
      </c>
      <c r="AY239" s="3"/>
      <c r="AZ239" s="3">
        <v>9</v>
      </c>
      <c r="BA239" s="3">
        <v>200</v>
      </c>
      <c r="BB239" s="3">
        <v>11</v>
      </c>
      <c r="BC239" s="3">
        <v>218</v>
      </c>
      <c r="BD239" s="40">
        <v>856.91338449952241</v>
      </c>
      <c r="BE239" s="40">
        <v>867.60609790700278</v>
      </c>
      <c r="BF239" s="40"/>
      <c r="BG239" s="40">
        <v>313.64543775773717</v>
      </c>
      <c r="BH239" s="40">
        <v>306.65764391609184</v>
      </c>
      <c r="BI239" s="49">
        <v>1724.5194824065252</v>
      </c>
      <c r="BJ239" s="49">
        <v>620.30308167382896</v>
      </c>
      <c r="BK239" s="66">
        <v>-1.2324387107554124E-2</v>
      </c>
      <c r="BL239" s="66">
        <v>2.2786954704306472E-2</v>
      </c>
      <c r="BM239" s="51">
        <v>38.237682536730048</v>
      </c>
      <c r="BN239" s="51">
        <v>13.753948595872039</v>
      </c>
      <c r="BO239" s="52">
        <v>228</v>
      </c>
      <c r="BP239" s="40">
        <v>228</v>
      </c>
      <c r="BQ239" s="40">
        <v>179</v>
      </c>
      <c r="BR239" s="67">
        <v>0.27374301675977653</v>
      </c>
      <c r="BS239" s="54">
        <v>4.5121951219512191</v>
      </c>
      <c r="BT239" s="3">
        <v>90</v>
      </c>
      <c r="BU239" s="40">
        <v>91</v>
      </c>
      <c r="BV239" s="3">
        <v>95</v>
      </c>
      <c r="BW239" s="3">
        <v>89</v>
      </c>
      <c r="BX239" s="70">
        <v>-1.098901098901095E-2</v>
      </c>
      <c r="BY239" s="70">
        <v>6.7415730337078594E-2</v>
      </c>
      <c r="BZ239" s="59">
        <v>1.0224719101123596</v>
      </c>
      <c r="CA239" s="59">
        <v>0.94736842105263153</v>
      </c>
      <c r="CB239" s="59">
        <v>1.6564911308203991</v>
      </c>
      <c r="CC239" s="59">
        <v>1.6839467849223946</v>
      </c>
      <c r="CD239" s="60">
        <v>86</v>
      </c>
      <c r="CE239" s="60">
        <v>62</v>
      </c>
      <c r="CF239" s="61">
        <v>1.9068736141906872</v>
      </c>
      <c r="CG239" s="61">
        <v>1.3747228381374723</v>
      </c>
      <c r="CH239" s="61">
        <v>0.72093023255813959</v>
      </c>
      <c r="CI239" s="41">
        <v>15.2</v>
      </c>
      <c r="CJ239" s="40">
        <f>VLOOKUP(paper3[[#This Row],[YYIR nivå]],$DB:$DC,2)</f>
        <v>840</v>
      </c>
      <c r="CK239" s="3" t="s">
        <v>193</v>
      </c>
      <c r="CL239" s="62"/>
      <c r="CM239" s="63" t="s">
        <v>110</v>
      </c>
      <c r="CN239" s="3">
        <v>91</v>
      </c>
      <c r="CO239" s="3">
        <v>95</v>
      </c>
      <c r="CP239" s="41">
        <v>13.058333333333334</v>
      </c>
      <c r="CQ239" s="3" t="s">
        <v>110</v>
      </c>
      <c r="CR239" s="40">
        <v>90.5</v>
      </c>
      <c r="CS239" s="40">
        <v>92</v>
      </c>
      <c r="CT239" s="40">
        <v>203.5</v>
      </c>
      <c r="CU239" s="40"/>
      <c r="CV239" s="40"/>
      <c r="CW239" s="40"/>
      <c r="CX239" s="40"/>
      <c r="CY239" s="40">
        <v>0</v>
      </c>
      <c r="CZ239" s="40"/>
      <c r="DA239" s="40"/>
    </row>
    <row r="240" spans="1:105" ht="15.75" customHeight="1">
      <c r="A240" s="3">
        <v>513</v>
      </c>
      <c r="B240" s="38" t="s">
        <v>103</v>
      </c>
      <c r="C240" s="3" t="s">
        <v>115</v>
      </c>
      <c r="D240" s="3" t="s">
        <v>105</v>
      </c>
      <c r="E240" s="39">
        <v>44720</v>
      </c>
      <c r="F240" s="3" t="s">
        <v>186</v>
      </c>
      <c r="G240" s="3" t="s">
        <v>122</v>
      </c>
      <c r="H240" s="3">
        <v>2009</v>
      </c>
      <c r="I240" s="40" t="s">
        <v>108</v>
      </c>
      <c r="J240" s="39" t="s">
        <v>123</v>
      </c>
      <c r="K240" s="3">
        <v>171.9</v>
      </c>
      <c r="L240" s="3">
        <v>171.9</v>
      </c>
      <c r="M240" s="3"/>
      <c r="N240" s="3">
        <v>138.80000000000001</v>
      </c>
      <c r="O240" s="3">
        <v>138.69999999999999</v>
      </c>
      <c r="P240" s="3"/>
      <c r="Q240" s="3">
        <v>56.6</v>
      </c>
      <c r="R240" s="3">
        <v>56.7</v>
      </c>
      <c r="S240" s="3"/>
      <c r="T240" s="42">
        <v>171.9</v>
      </c>
      <c r="U240" s="42">
        <f>AVERAGE(paper3[[#This Row],[Sittende høyde 1]:[Sittende høyde 3]])-56.2</f>
        <v>82.55</v>
      </c>
      <c r="V240" s="12">
        <f>paper3[[#This Row],[height]]-paper3[[#This Row],[sittingheight]]</f>
        <v>89.350000000000009</v>
      </c>
      <c r="W240" s="73">
        <v>56.650000000000006</v>
      </c>
      <c r="X240" s="43" cm="1">
        <f t="array" ref="X240">INDEX([1]!phvny[yphv], MATCH(1, (paper3[[#This Row],[id]]=[1]!phvny[id])*(paper3[[#This Row],[time]]=[1]!phvny[time]), 0))</f>
        <v>-0.64998310169444495</v>
      </c>
      <c r="Y240" s="60">
        <v>2.14</v>
      </c>
      <c r="Z240" s="60">
        <v>3.71</v>
      </c>
      <c r="AA240" s="60">
        <v>5.27</v>
      </c>
      <c r="AB240" s="3">
        <v>2.08</v>
      </c>
      <c r="AC240" s="3">
        <v>3.67</v>
      </c>
      <c r="AD240" s="3">
        <v>5.25</v>
      </c>
      <c r="AE240" s="3">
        <v>2.08</v>
      </c>
      <c r="AF240" s="3">
        <v>3.62</v>
      </c>
      <c r="AG240" s="60">
        <v>5.2</v>
      </c>
      <c r="AH240" s="44">
        <v>2.08</v>
      </c>
      <c r="AI240" s="44">
        <v>3.62</v>
      </c>
      <c r="AJ240" s="45">
        <v>5.2</v>
      </c>
      <c r="AK240" s="45">
        <v>6.3291139240506329</v>
      </c>
      <c r="AL240" s="3">
        <v>11.26</v>
      </c>
      <c r="AM240" s="3">
        <v>11.17</v>
      </c>
      <c r="AN240" s="60">
        <v>11.7</v>
      </c>
      <c r="AO240" s="60">
        <v>11.22</v>
      </c>
      <c r="AP240" s="3">
        <v>11.17</v>
      </c>
      <c r="AQ240" s="47">
        <v>11.17</v>
      </c>
      <c r="AR240" s="47">
        <v>11.22</v>
      </c>
      <c r="AS240" s="3">
        <v>23.79</v>
      </c>
      <c r="AT240" s="3">
        <v>24.26</v>
      </c>
      <c r="AU240" s="3">
        <v>24.52</v>
      </c>
      <c r="AV240" s="3"/>
      <c r="AW240" s="3"/>
      <c r="AX240" s="48">
        <v>24.52</v>
      </c>
      <c r="AY240" s="3"/>
      <c r="AZ240" s="3">
        <v>10</v>
      </c>
      <c r="BA240" s="3">
        <v>200</v>
      </c>
      <c r="BB240" s="3">
        <v>7</v>
      </c>
      <c r="BC240" s="3">
        <v>163</v>
      </c>
      <c r="BD240" s="40">
        <v>704.36220690157063</v>
      </c>
      <c r="BE240" s="40">
        <v>735.65679997646089</v>
      </c>
      <c r="BF240" s="40"/>
      <c r="BG240" s="40">
        <v>255.93897493973617</v>
      </c>
      <c r="BH240" s="40">
        <v>241.29695392313283</v>
      </c>
      <c r="BI240" s="49">
        <v>1440.0190068780316</v>
      </c>
      <c r="BJ240" s="49">
        <v>497.235928862869</v>
      </c>
      <c r="BK240" s="66">
        <v>-4.2539663979034303E-2</v>
      </c>
      <c r="BL240" s="66">
        <v>6.0680504989995443E-2</v>
      </c>
      <c r="BM240" s="51">
        <v>25.442031923640133</v>
      </c>
      <c r="BN240" s="51">
        <v>8.7850870823828444</v>
      </c>
      <c r="BO240" s="52">
        <v>251</v>
      </c>
      <c r="BP240" s="40">
        <v>251</v>
      </c>
      <c r="BQ240" s="40">
        <v>206</v>
      </c>
      <c r="BR240" s="67">
        <v>0.21844660194174748</v>
      </c>
      <c r="BS240" s="54">
        <v>4.0335392762577227</v>
      </c>
      <c r="BT240" s="3">
        <v>98</v>
      </c>
      <c r="BU240" s="40">
        <v>107</v>
      </c>
      <c r="BV240" s="3">
        <v>105</v>
      </c>
      <c r="BW240" s="3">
        <v>106</v>
      </c>
      <c r="BX240" s="70">
        <v>-8.411214953271029E-2</v>
      </c>
      <c r="BY240" s="70">
        <v>-9.4339622641509413E-3</v>
      </c>
      <c r="BZ240" s="59">
        <v>1.0094339622641511</v>
      </c>
      <c r="CA240" s="59">
        <v>0.93333333333333335</v>
      </c>
      <c r="CB240" s="59">
        <v>1.6166593115622241</v>
      </c>
      <c r="CC240" s="59">
        <v>1.6639761694616062</v>
      </c>
      <c r="CD240" s="60">
        <v>69</v>
      </c>
      <c r="CE240" s="60">
        <v>72</v>
      </c>
      <c r="CF240" s="61">
        <v>1.2180052956751986</v>
      </c>
      <c r="CG240" s="61">
        <v>1.2709620476610766</v>
      </c>
      <c r="CH240" s="61">
        <v>1.043478260869565</v>
      </c>
      <c r="CI240" s="41">
        <v>13.2</v>
      </c>
      <c r="CJ240" s="40">
        <f>VLOOKUP(paper3[[#This Row],[YYIR nivå]],$DB:$DC,2)</f>
        <v>360</v>
      </c>
      <c r="CK240" s="3"/>
      <c r="CL240" s="62"/>
      <c r="CM240" s="63" t="s">
        <v>110</v>
      </c>
      <c r="CN240" s="3">
        <v>107</v>
      </c>
      <c r="CO240" s="3">
        <v>106</v>
      </c>
      <c r="CP240" s="41">
        <v>13.047222222222222</v>
      </c>
      <c r="CQ240" s="3" t="s">
        <v>110</v>
      </c>
      <c r="CR240" s="40">
        <v>102.5</v>
      </c>
      <c r="CS240" s="40">
        <v>105.5</v>
      </c>
      <c r="CT240" s="40">
        <v>228.5</v>
      </c>
      <c r="CU240" s="40"/>
      <c r="CV240" s="40"/>
      <c r="CW240" s="40"/>
      <c r="CX240" s="40"/>
      <c r="CY240" s="40">
        <v>0</v>
      </c>
      <c r="CZ240" s="40"/>
      <c r="DA240" s="40"/>
    </row>
    <row r="241" spans="1:105" ht="15.95" customHeight="1">
      <c r="A241" s="3">
        <v>515</v>
      </c>
      <c r="B241" s="38" t="s">
        <v>103</v>
      </c>
      <c r="C241" s="3" t="s">
        <v>115</v>
      </c>
      <c r="D241" s="3" t="s">
        <v>105</v>
      </c>
      <c r="E241" s="39">
        <v>44720</v>
      </c>
      <c r="F241" s="3" t="s">
        <v>186</v>
      </c>
      <c r="G241" s="3" t="s">
        <v>122</v>
      </c>
      <c r="H241" s="3">
        <v>2009</v>
      </c>
      <c r="I241" s="40" t="s">
        <v>108</v>
      </c>
      <c r="J241" s="39" t="s">
        <v>123</v>
      </c>
      <c r="K241" s="3">
        <v>156.80000000000001</v>
      </c>
      <c r="L241" s="3">
        <v>156.6</v>
      </c>
      <c r="M241" s="3"/>
      <c r="N241" s="3">
        <v>133.5</v>
      </c>
      <c r="O241" s="3">
        <v>133.30000000000001</v>
      </c>
      <c r="P241" s="3"/>
      <c r="Q241" s="3">
        <v>39.700000000000003</v>
      </c>
      <c r="R241" s="3">
        <v>39.700000000000003</v>
      </c>
      <c r="S241" s="3"/>
      <c r="T241" s="42">
        <v>156.69999999999999</v>
      </c>
      <c r="U241" s="42">
        <f>AVERAGE(paper3[[#This Row],[Sittende høyde 1]:[Sittende høyde 3]])-56.2</f>
        <v>77.2</v>
      </c>
      <c r="V241" s="12">
        <f>paper3[[#This Row],[height]]-paper3[[#This Row],[sittingheight]]</f>
        <v>79.499999999999986</v>
      </c>
      <c r="W241" s="73">
        <v>39.700000000000003</v>
      </c>
      <c r="X241" s="43" cm="1">
        <f t="array" ref="X241">INDEX([1]!phvny[yphv], MATCH(1, (paper3[[#This Row],[id]]=[1]!phvny[id])*(paper3[[#This Row],[time]]=[1]!phvny[time]), 0))</f>
        <v>-1.4051357852550885</v>
      </c>
      <c r="Y241" s="60"/>
      <c r="Z241" s="60"/>
      <c r="AA241" s="60"/>
      <c r="AB241" s="3">
        <v>2.17</v>
      </c>
      <c r="AC241" s="3">
        <v>3.75</v>
      </c>
      <c r="AD241" s="3">
        <v>5.28</v>
      </c>
      <c r="AE241" s="3">
        <v>2.2000000000000002</v>
      </c>
      <c r="AF241" s="3">
        <v>3.82</v>
      </c>
      <c r="AG241" s="60">
        <v>5.39</v>
      </c>
      <c r="AH241" s="44">
        <v>2.17</v>
      </c>
      <c r="AI241" s="44">
        <v>3.75</v>
      </c>
      <c r="AJ241" s="45">
        <v>5.28</v>
      </c>
      <c r="AK241" s="45">
        <v>6.5359477124182996</v>
      </c>
      <c r="AL241" s="60">
        <v>11.91</v>
      </c>
      <c r="AM241" s="60">
        <v>11.45</v>
      </c>
      <c r="AN241" s="60">
        <v>12</v>
      </c>
      <c r="AO241" s="60">
        <v>11.66</v>
      </c>
      <c r="AP241" s="3">
        <v>11.45</v>
      </c>
      <c r="AQ241" s="47">
        <v>11.45</v>
      </c>
      <c r="AR241" s="47">
        <v>11.66</v>
      </c>
      <c r="AS241" s="3">
        <v>29.27</v>
      </c>
      <c r="AT241" s="3">
        <v>27.66</v>
      </c>
      <c r="AU241" s="3">
        <v>27.37</v>
      </c>
      <c r="AV241" s="3"/>
      <c r="AW241" s="3"/>
      <c r="AX241" s="48">
        <v>29.27</v>
      </c>
      <c r="AY241" s="3"/>
      <c r="AZ241" s="3">
        <v>8</v>
      </c>
      <c r="BA241" s="3">
        <v>190</v>
      </c>
      <c r="BB241" s="3">
        <v>8</v>
      </c>
      <c r="BC241" s="3">
        <v>172</v>
      </c>
      <c r="BD241" s="40">
        <v>867.99893407277477</v>
      </c>
      <c r="BE241" s="40">
        <v>761.16073207540558</v>
      </c>
      <c r="BF241" s="40"/>
      <c r="BG241" s="40">
        <v>213.20950111901558</v>
      </c>
      <c r="BH241" s="40">
        <v>214.64027798619492</v>
      </c>
      <c r="BI241" s="49">
        <v>1629.1596661481803</v>
      </c>
      <c r="BJ241" s="49">
        <v>427.84977910521047</v>
      </c>
      <c r="BK241" s="66">
        <v>0.14036220931426757</v>
      </c>
      <c r="BL241" s="66">
        <v>-6.6659290632831159E-3</v>
      </c>
      <c r="BM241" s="51">
        <v>41.036767409274063</v>
      </c>
      <c r="BN241" s="51">
        <v>10.777072521541825</v>
      </c>
      <c r="BO241" s="52">
        <v>163</v>
      </c>
      <c r="BP241" s="40">
        <v>163</v>
      </c>
      <c r="BQ241" s="40">
        <v>153</v>
      </c>
      <c r="BR241" s="67">
        <v>6.5359477124182996E-2</v>
      </c>
      <c r="BS241" s="54">
        <v>3.9798488664987404</v>
      </c>
      <c r="BT241" s="3">
        <v>113</v>
      </c>
      <c r="BU241" s="40">
        <v>107</v>
      </c>
      <c r="BV241" s="3">
        <v>88</v>
      </c>
      <c r="BW241" s="3">
        <v>83</v>
      </c>
      <c r="BX241" s="70">
        <v>5.6074766355140193E-2</v>
      </c>
      <c r="BY241" s="70">
        <v>6.024096385542177E-2</v>
      </c>
      <c r="BZ241" s="59">
        <v>1.2891566265060241</v>
      </c>
      <c r="CA241" s="59">
        <v>1.2840909090909092</v>
      </c>
      <c r="CB241" s="59">
        <v>2.2027707808564223</v>
      </c>
      <c r="CC241" s="59">
        <v>1.7121536523929466</v>
      </c>
      <c r="CD241" s="60">
        <v>63</v>
      </c>
      <c r="CE241" s="60">
        <v>54</v>
      </c>
      <c r="CF241" s="61">
        <v>1.5869017632241813</v>
      </c>
      <c r="CG241" s="61">
        <v>1.3602015113350125</v>
      </c>
      <c r="CH241" s="61">
        <v>0.8571428571428571</v>
      </c>
      <c r="CI241" s="41">
        <v>14.2</v>
      </c>
      <c r="CJ241" s="40">
        <f>VLOOKUP(paper3[[#This Row],[YYIR nivå]],$DB:$DC,2)</f>
        <v>520</v>
      </c>
      <c r="CK241" s="3"/>
      <c r="CL241" s="62"/>
      <c r="CM241" s="63" t="s">
        <v>110</v>
      </c>
      <c r="CN241" s="3">
        <v>113</v>
      </c>
      <c r="CO241" s="3">
        <v>88</v>
      </c>
      <c r="CP241" s="41">
        <v>13.152777777777779</v>
      </c>
      <c r="CQ241" s="3" t="s">
        <v>110</v>
      </c>
      <c r="CR241" s="40">
        <v>110</v>
      </c>
      <c r="CS241" s="40">
        <v>85.5</v>
      </c>
      <c r="CT241" s="40">
        <v>158</v>
      </c>
      <c r="CU241" s="40"/>
      <c r="CV241" s="40"/>
      <c r="CW241" s="40"/>
      <c r="CX241" s="40"/>
      <c r="CY241" s="40" t="s">
        <v>125</v>
      </c>
      <c r="CZ241" s="40"/>
      <c r="DA241" s="40"/>
    </row>
    <row r="242" spans="1:105" ht="15.95" customHeight="1">
      <c r="A242" s="3">
        <v>517</v>
      </c>
      <c r="B242" s="38" t="s">
        <v>103</v>
      </c>
      <c r="C242" s="3" t="s">
        <v>158</v>
      </c>
      <c r="D242" s="3" t="s">
        <v>105</v>
      </c>
      <c r="E242" s="39">
        <v>44720</v>
      </c>
      <c r="F242" s="3" t="s">
        <v>186</v>
      </c>
      <c r="G242" s="3" t="s">
        <v>122</v>
      </c>
      <c r="H242" s="3">
        <v>2009</v>
      </c>
      <c r="I242" s="40" t="s">
        <v>108</v>
      </c>
      <c r="J242" s="39" t="s">
        <v>123</v>
      </c>
      <c r="K242" s="3">
        <v>178.1</v>
      </c>
      <c r="L242" s="3">
        <v>177.9</v>
      </c>
      <c r="M242" s="3"/>
      <c r="N242" s="3">
        <v>143.5</v>
      </c>
      <c r="O242" s="3">
        <v>143.9</v>
      </c>
      <c r="P242" s="3">
        <v>144.1</v>
      </c>
      <c r="Q242" s="3">
        <v>65.400000000000006</v>
      </c>
      <c r="R242" s="3">
        <v>65.400000000000006</v>
      </c>
      <c r="S242" s="3"/>
      <c r="T242" s="42">
        <v>178</v>
      </c>
      <c r="U242" s="42">
        <f>AVERAGE(paper3[[#This Row],[Sittende høyde 1]:[Sittende høyde 3]])-56.2</f>
        <v>87.63333333333334</v>
      </c>
      <c r="V242" s="12">
        <f>paper3[[#This Row],[height]]-paper3[[#This Row],[sittingheight]]</f>
        <v>90.36666666666666</v>
      </c>
      <c r="W242" s="73">
        <v>65.400000000000006</v>
      </c>
      <c r="X242" s="43" cm="1">
        <f t="array" ref="X242">INDEX([1]!phvny[yphv], MATCH(1, (paper3[[#This Row],[id]]=[1]!phvny[id])*(paper3[[#This Row],[time]]=[1]!phvny[time]), 0))</f>
        <v>-0.22736991001185791</v>
      </c>
      <c r="Y242" s="60">
        <v>2.12</v>
      </c>
      <c r="Z242" s="60">
        <v>3.63</v>
      </c>
      <c r="AA242" s="60">
        <v>5.07</v>
      </c>
      <c r="AB242" s="3">
        <v>2.14</v>
      </c>
      <c r="AC242" s="3">
        <v>3.66</v>
      </c>
      <c r="AD242" s="3">
        <v>5.16</v>
      </c>
      <c r="AE242" s="3">
        <v>2.09</v>
      </c>
      <c r="AF242" s="3">
        <v>3.64</v>
      </c>
      <c r="AG242" s="60">
        <v>5.14</v>
      </c>
      <c r="AH242" s="44">
        <v>2.09</v>
      </c>
      <c r="AI242" s="44">
        <v>3.63</v>
      </c>
      <c r="AJ242" s="45">
        <v>5.07</v>
      </c>
      <c r="AK242" s="45">
        <v>6.9444444444444429</v>
      </c>
      <c r="AL242" s="60">
        <v>11.77</v>
      </c>
      <c r="AM242" s="60">
        <v>11.68</v>
      </c>
      <c r="AN242" s="60">
        <v>11.92</v>
      </c>
      <c r="AO242" s="60">
        <v>11.77</v>
      </c>
      <c r="AP242" s="3">
        <v>11.68</v>
      </c>
      <c r="AQ242" s="47">
        <v>11.68</v>
      </c>
      <c r="AR242" s="47">
        <v>11.77</v>
      </c>
      <c r="AS242" s="3">
        <v>24.35</v>
      </c>
      <c r="AT242" s="3">
        <v>25.28</v>
      </c>
      <c r="AU242" s="3">
        <v>25.4</v>
      </c>
      <c r="AV242" s="3"/>
      <c r="AW242" s="3"/>
      <c r="AX242" s="48">
        <v>25.4</v>
      </c>
      <c r="AY242" s="3"/>
      <c r="AZ242" s="3">
        <v>11</v>
      </c>
      <c r="BA242" s="3">
        <v>200</v>
      </c>
      <c r="BB242" s="3">
        <v>10</v>
      </c>
      <c r="BC242" s="3">
        <v>218</v>
      </c>
      <c r="BD242" s="40">
        <v>773.3799345059515</v>
      </c>
      <c r="BE242" s="40">
        <v>749.7354903082213</v>
      </c>
      <c r="BF242" s="40"/>
      <c r="BG242" s="40">
        <v>257.32704135886496</v>
      </c>
      <c r="BH242" s="40">
        <v>298.08601555829409</v>
      </c>
      <c r="BI242" s="49">
        <v>1523.1154248141729</v>
      </c>
      <c r="BJ242" s="49">
        <v>555.41305691715911</v>
      </c>
      <c r="BK242" s="66">
        <v>3.1537048070126472E-2</v>
      </c>
      <c r="BL242" s="66">
        <v>-0.13673561345402419</v>
      </c>
      <c r="BM242" s="51">
        <v>23.289226679115792</v>
      </c>
      <c r="BN242" s="51">
        <v>8.4925543871125235</v>
      </c>
      <c r="BO242" s="52">
        <v>243</v>
      </c>
      <c r="BP242" s="40">
        <v>243</v>
      </c>
      <c r="BQ242" s="40">
        <v>208</v>
      </c>
      <c r="BR242" s="67">
        <v>0.16826923076923084</v>
      </c>
      <c r="BS242" s="54">
        <v>3.4480122324159019</v>
      </c>
      <c r="BT242" s="3">
        <v>120</v>
      </c>
      <c r="BU242" s="40">
        <v>125</v>
      </c>
      <c r="BV242" s="3">
        <v>85</v>
      </c>
      <c r="BW242" s="3">
        <v>77</v>
      </c>
      <c r="BX242" s="70">
        <v>-4.0000000000000036E-2</v>
      </c>
      <c r="BY242" s="70">
        <v>0.10389610389610393</v>
      </c>
      <c r="BZ242" s="59">
        <v>1.6233766233766234</v>
      </c>
      <c r="CA242" s="59">
        <v>1.411764705882353</v>
      </c>
      <c r="CB242" s="59">
        <v>1.6926478083588172</v>
      </c>
      <c r="CC242" s="59">
        <v>1.1192201834862385</v>
      </c>
      <c r="CD242" s="60">
        <v>84</v>
      </c>
      <c r="CE242" s="60">
        <v>69</v>
      </c>
      <c r="CF242" s="61">
        <v>1.2844036697247705</v>
      </c>
      <c r="CG242" s="61">
        <v>1.0550458715596329</v>
      </c>
      <c r="CH242" s="61">
        <v>0.8214285714285714</v>
      </c>
      <c r="CI242" s="41">
        <v>13.1</v>
      </c>
      <c r="CJ242" s="40">
        <f>VLOOKUP(paper3[[#This Row],[YYIR nivå]],$DB:$DC,2)</f>
        <v>320</v>
      </c>
      <c r="CK242" s="3"/>
      <c r="CL242" s="62"/>
      <c r="CM242" s="63" t="s">
        <v>110</v>
      </c>
      <c r="CN242" s="3">
        <v>125</v>
      </c>
      <c r="CO242" s="3">
        <v>85</v>
      </c>
      <c r="CP242" s="41">
        <v>12.491666666666667</v>
      </c>
      <c r="CQ242" s="3" t="s">
        <v>110</v>
      </c>
      <c r="CR242" s="40">
        <v>122.5</v>
      </c>
      <c r="CS242" s="40">
        <v>81</v>
      </c>
      <c r="CT242" s="40">
        <v>225.5</v>
      </c>
      <c r="CU242" s="40"/>
      <c r="CV242" s="40"/>
      <c r="CW242" s="40"/>
      <c r="CX242" s="40"/>
      <c r="CY242" s="40">
        <v>0</v>
      </c>
      <c r="CZ242" s="40"/>
      <c r="DA242" s="40"/>
    </row>
    <row r="243" spans="1:105" ht="15.75" customHeight="1">
      <c r="A243" s="3">
        <v>518</v>
      </c>
      <c r="B243" s="38" t="s">
        <v>103</v>
      </c>
      <c r="C243" s="3" t="s">
        <v>115</v>
      </c>
      <c r="D243" s="3" t="s">
        <v>105</v>
      </c>
      <c r="E243" s="39">
        <v>44720</v>
      </c>
      <c r="F243" s="3" t="s">
        <v>186</v>
      </c>
      <c r="G243" s="3" t="s">
        <v>122</v>
      </c>
      <c r="H243" s="3">
        <v>2009</v>
      </c>
      <c r="I243" s="40" t="s">
        <v>108</v>
      </c>
      <c r="J243" s="39" t="s">
        <v>123</v>
      </c>
      <c r="K243" s="3">
        <v>156.69999999999999</v>
      </c>
      <c r="L243" s="3">
        <v>157.5</v>
      </c>
      <c r="M243" s="3">
        <v>157</v>
      </c>
      <c r="N243" s="3">
        <v>135.5</v>
      </c>
      <c r="O243" s="3">
        <v>135.80000000000001</v>
      </c>
      <c r="P243" s="3">
        <v>135.6</v>
      </c>
      <c r="Q243" s="3">
        <v>48.5</v>
      </c>
      <c r="R243" s="3">
        <v>48.5</v>
      </c>
      <c r="S243" s="3"/>
      <c r="T243" s="42">
        <v>157.06666666666666</v>
      </c>
      <c r="U243" s="42">
        <f>AVERAGE(paper3[[#This Row],[Sittende høyde 1]:[Sittende høyde 3]])-56.2</f>
        <v>79.433333333333323</v>
      </c>
      <c r="V243" s="12">
        <f>paper3[[#This Row],[height]]-paper3[[#This Row],[sittingheight]]</f>
        <v>77.63333333333334</v>
      </c>
      <c r="W243" s="73">
        <v>48.5</v>
      </c>
      <c r="X243" s="43" cm="1">
        <f t="array" ref="X243">INDEX([1]!phvny[yphv], MATCH(1, (paper3[[#This Row],[id]]=[1]!phvny[id])*(paper3[[#This Row],[time]]=[1]!phvny[time]), 0))</f>
        <v>-1.2492651336094152</v>
      </c>
      <c r="Y243" s="60">
        <v>2.09</v>
      </c>
      <c r="Z243" s="60">
        <v>3.7</v>
      </c>
      <c r="AA243" s="60">
        <v>5.3</v>
      </c>
      <c r="AB243" s="3">
        <v>2.12</v>
      </c>
      <c r="AC243" s="3">
        <v>3.71</v>
      </c>
      <c r="AD243" s="3">
        <v>5.31</v>
      </c>
      <c r="AE243" s="3">
        <v>2.12</v>
      </c>
      <c r="AF243" s="3">
        <v>3.72</v>
      </c>
      <c r="AG243" s="60">
        <v>5.29</v>
      </c>
      <c r="AH243" s="44">
        <v>2.09</v>
      </c>
      <c r="AI243" s="44">
        <v>3.7</v>
      </c>
      <c r="AJ243" s="45">
        <v>5.29</v>
      </c>
      <c r="AK243" s="45">
        <v>6.2893081761006293</v>
      </c>
      <c r="AL243" s="60">
        <v>11.28</v>
      </c>
      <c r="AM243" s="60">
        <v>11.27</v>
      </c>
      <c r="AN243" s="60">
        <v>11.49</v>
      </c>
      <c r="AO243" s="60">
        <v>11.34</v>
      </c>
      <c r="AP243" s="3">
        <v>11.27</v>
      </c>
      <c r="AQ243" s="47">
        <v>11.27</v>
      </c>
      <c r="AR243" s="47">
        <v>11.34</v>
      </c>
      <c r="AS243" s="3">
        <v>29.35</v>
      </c>
      <c r="AT243" s="3">
        <v>29.28</v>
      </c>
      <c r="AU243" s="3">
        <v>29.68</v>
      </c>
      <c r="AV243" s="3"/>
      <c r="AW243" s="3"/>
      <c r="AX243" s="48">
        <v>29.68</v>
      </c>
      <c r="AY243" s="3"/>
      <c r="AZ243" s="3">
        <v>9</v>
      </c>
      <c r="BA243" s="3">
        <v>180</v>
      </c>
      <c r="BB243" s="3">
        <v>13</v>
      </c>
      <c r="BC243" s="3">
        <v>243</v>
      </c>
      <c r="BD243" s="40">
        <v>956.35781681264064</v>
      </c>
      <c r="BE243" s="40">
        <v>1017.7740954813055</v>
      </c>
      <c r="BF243" s="40"/>
      <c r="BG243" s="40">
        <v>287.43175064142588</v>
      </c>
      <c r="BH243" s="40">
        <v>272.34503810041758</v>
      </c>
      <c r="BI243" s="49">
        <v>1974.1319122939462</v>
      </c>
      <c r="BJ243" s="49">
        <v>559.77678874184346</v>
      </c>
      <c r="BK243" s="66">
        <v>-6.0343723564334817E-2</v>
      </c>
      <c r="BL243" s="66">
        <v>5.5395584388967745E-2</v>
      </c>
      <c r="BM243" s="51">
        <v>40.703750768947344</v>
      </c>
      <c r="BN243" s="51">
        <v>11.54178945859471</v>
      </c>
      <c r="BO243" s="52">
        <v>209</v>
      </c>
      <c r="BP243" s="40">
        <v>209</v>
      </c>
      <c r="BQ243" s="40">
        <v>176</v>
      </c>
      <c r="BR243" s="67">
        <v>0.1875</v>
      </c>
      <c r="BS243" s="54">
        <v>3.9690721649484537</v>
      </c>
      <c r="BT243" s="3">
        <v>100</v>
      </c>
      <c r="BU243" s="40">
        <v>98</v>
      </c>
      <c r="BV243" s="3">
        <v>86</v>
      </c>
      <c r="BW243" s="3">
        <v>88</v>
      </c>
      <c r="BX243" s="70">
        <v>2.0408163265306145E-2</v>
      </c>
      <c r="BY243" s="70">
        <v>-2.2727272727272707E-2</v>
      </c>
      <c r="BZ243" s="59">
        <v>1.1136363636363635</v>
      </c>
      <c r="CA243" s="59">
        <v>1.1627906976744187</v>
      </c>
      <c r="CB243" s="59">
        <v>1.5846804123711342</v>
      </c>
      <c r="CC243" s="59">
        <v>1.3925979381443301</v>
      </c>
      <c r="CD243" s="60">
        <v>81</v>
      </c>
      <c r="CE243" s="60">
        <v>71</v>
      </c>
      <c r="CF243" s="61">
        <v>1.6701030927835052</v>
      </c>
      <c r="CG243" s="61">
        <v>1.4639175257731958</v>
      </c>
      <c r="CH243" s="61">
        <v>0.87654320987654311</v>
      </c>
      <c r="CI243" s="41">
        <v>13.1</v>
      </c>
      <c r="CJ243" s="40">
        <f>VLOOKUP(paper3[[#This Row],[YYIR nivå]],$DB:$DC,2)</f>
        <v>320</v>
      </c>
      <c r="CK243" s="3"/>
      <c r="CL243" s="62"/>
      <c r="CM243" s="63" t="s">
        <v>110</v>
      </c>
      <c r="CN243" s="3">
        <v>100</v>
      </c>
      <c r="CO243" s="3">
        <v>88</v>
      </c>
      <c r="CP243" s="41">
        <v>12.630555555555556</v>
      </c>
      <c r="CQ243" s="3" t="s">
        <v>110</v>
      </c>
      <c r="CR243" s="40">
        <v>99</v>
      </c>
      <c r="CS243" s="40">
        <v>87</v>
      </c>
      <c r="CT243" s="40">
        <v>192.5</v>
      </c>
      <c r="CU243" s="40"/>
      <c r="CV243" s="40"/>
      <c r="CW243" s="40"/>
      <c r="CX243" s="40"/>
      <c r="CY243" s="40">
        <v>0</v>
      </c>
      <c r="CZ243" s="40"/>
      <c r="DA243" s="40"/>
    </row>
    <row r="244" spans="1:105" ht="15.95" customHeight="1">
      <c r="A244" s="3">
        <v>519</v>
      </c>
      <c r="B244" s="38" t="s">
        <v>103</v>
      </c>
      <c r="C244" s="3" t="s">
        <v>104</v>
      </c>
      <c r="D244" s="3" t="s">
        <v>105</v>
      </c>
      <c r="E244" s="39">
        <v>44711</v>
      </c>
      <c r="F244" s="3" t="s">
        <v>186</v>
      </c>
      <c r="G244" s="3" t="s">
        <v>122</v>
      </c>
      <c r="H244" s="3">
        <v>2005</v>
      </c>
      <c r="I244" s="40" t="s">
        <v>121</v>
      </c>
      <c r="J244" s="39" t="s">
        <v>160</v>
      </c>
      <c r="K244" s="3">
        <v>195.5</v>
      </c>
      <c r="L244" s="3">
        <v>195.6</v>
      </c>
      <c r="M244" s="3"/>
      <c r="N244" s="3">
        <v>156.5</v>
      </c>
      <c r="O244" s="3">
        <v>156.6</v>
      </c>
      <c r="P244" s="3"/>
      <c r="Q244" s="3">
        <v>97.3</v>
      </c>
      <c r="R244" s="3"/>
      <c r="S244" s="3"/>
      <c r="T244" s="42">
        <v>195.55</v>
      </c>
      <c r="U244" s="42">
        <f>AVERAGE(paper3[[#This Row],[Sittende høyde 1]:[Sittende høyde 3]])-56.2</f>
        <v>100.35000000000001</v>
      </c>
      <c r="V244" s="12">
        <f>paper3[[#This Row],[height]]-paper3[[#This Row],[sittingheight]]</f>
        <v>95.2</v>
      </c>
      <c r="W244" s="73">
        <v>97.3</v>
      </c>
      <c r="X244" s="43" cm="1">
        <f t="array" ref="X244">INDEX([1]!phvny[yphv], MATCH(1, (paper3[[#This Row],[id]]=[1]!phvny[id])*(paper3[[#This Row],[time]]=[1]!phvny[time]), 0))</f>
        <v>4.01590634859354</v>
      </c>
      <c r="Y244" s="60">
        <v>1.85</v>
      </c>
      <c r="Z244" s="60">
        <v>3.15</v>
      </c>
      <c r="AA244" s="60">
        <v>4.3899999999999997</v>
      </c>
      <c r="AB244" s="3">
        <v>1.89</v>
      </c>
      <c r="AC244" s="3">
        <v>3.2</v>
      </c>
      <c r="AD244" s="3">
        <v>4.41</v>
      </c>
      <c r="AE244" s="3">
        <v>1.93</v>
      </c>
      <c r="AF244" s="3">
        <v>3.23</v>
      </c>
      <c r="AG244" s="60">
        <v>4.47</v>
      </c>
      <c r="AH244" s="44">
        <v>1.85</v>
      </c>
      <c r="AI244" s="44">
        <v>3.15</v>
      </c>
      <c r="AJ244" s="44">
        <v>4.3899999999999997</v>
      </c>
      <c r="AK244" s="45">
        <v>8.0645161290322598</v>
      </c>
      <c r="AL244" s="60">
        <v>10.46</v>
      </c>
      <c r="AM244" s="60">
        <v>10.11</v>
      </c>
      <c r="AN244" s="60">
        <v>10.26</v>
      </c>
      <c r="AO244" s="60">
        <v>10.26</v>
      </c>
      <c r="AP244" s="3">
        <v>10.11</v>
      </c>
      <c r="AQ244" s="47">
        <v>10.11</v>
      </c>
      <c r="AR244" s="47">
        <v>10.26</v>
      </c>
      <c r="AS244" s="3">
        <v>44.33</v>
      </c>
      <c r="AT244" s="3">
        <v>47.33</v>
      </c>
      <c r="AU244" s="3">
        <v>47.9</v>
      </c>
      <c r="AV244" s="3">
        <v>47.98</v>
      </c>
      <c r="AW244" s="3"/>
      <c r="AX244" s="48">
        <v>47.98</v>
      </c>
      <c r="AY244" s="3"/>
      <c r="AZ244" s="3">
        <v>11</v>
      </c>
      <c r="BA244" s="3">
        <v>380</v>
      </c>
      <c r="BB244" s="3">
        <v>11</v>
      </c>
      <c r="BC244" s="3">
        <v>452</v>
      </c>
      <c r="BD244" s="40">
        <v>2043.666205451626</v>
      </c>
      <c r="BE244" s="40">
        <v>2028.9449879802232</v>
      </c>
      <c r="BF244" s="40"/>
      <c r="BG244" s="40">
        <v>1111.3715882168151</v>
      </c>
      <c r="BH244" s="40">
        <v>1066.2947987677132</v>
      </c>
      <c r="BI244" s="49">
        <v>4072.6111934318492</v>
      </c>
      <c r="BJ244" s="49">
        <v>2177.6663869845283</v>
      </c>
      <c r="BK244" s="66">
        <v>7.2556020782295061E-3</v>
      </c>
      <c r="BL244" s="66">
        <v>4.2274228010111159E-2</v>
      </c>
      <c r="BM244" s="51">
        <v>41.85623014832322</v>
      </c>
      <c r="BN244" s="51">
        <v>22.380949506521361</v>
      </c>
      <c r="BO244" s="52">
        <v>443</v>
      </c>
      <c r="BP244" s="40">
        <v>402</v>
      </c>
      <c r="BQ244" s="40">
        <v>443</v>
      </c>
      <c r="BR244" s="67">
        <v>-9.2550790067720046E-2</v>
      </c>
      <c r="BS244" s="54">
        <v>4.3422404933196299</v>
      </c>
      <c r="BT244" s="3">
        <v>148</v>
      </c>
      <c r="BU244" s="40">
        <v>144</v>
      </c>
      <c r="BV244" s="3">
        <v>177</v>
      </c>
      <c r="BW244" s="3">
        <v>189</v>
      </c>
      <c r="BX244" s="70">
        <v>2.7777777777777679E-2</v>
      </c>
      <c r="BY244" s="70">
        <v>-6.3492063492063489E-2</v>
      </c>
      <c r="BZ244" s="59">
        <v>0.76190476190476186</v>
      </c>
      <c r="CA244" s="59">
        <v>0.83615819209039544</v>
      </c>
      <c r="CB244" s="59">
        <v>1.4284892086330938</v>
      </c>
      <c r="CC244" s="59">
        <v>1.7905035971223022</v>
      </c>
      <c r="CD244" s="60">
        <v>151</v>
      </c>
      <c r="CE244" s="60">
        <v>131</v>
      </c>
      <c r="CF244" s="61">
        <v>1.5519013360739979</v>
      </c>
      <c r="CG244" s="61">
        <v>1.3463514902363825</v>
      </c>
      <c r="CH244" s="61">
        <v>0.86754966887417229</v>
      </c>
      <c r="CI244" s="41">
        <v>15.3</v>
      </c>
      <c r="CJ244" s="40">
        <f>VLOOKUP(paper3[[#This Row],[YYIR nivå]],$DB:$DC,2)</f>
        <v>880</v>
      </c>
      <c r="CK244" s="3" t="s">
        <v>193</v>
      </c>
      <c r="CL244" s="62"/>
      <c r="CM244" s="63" t="s">
        <v>110</v>
      </c>
      <c r="CN244" s="3">
        <v>148</v>
      </c>
      <c r="CO244" s="3">
        <v>189</v>
      </c>
      <c r="CP244" s="41">
        <v>16.833333333333332</v>
      </c>
      <c r="CQ244" s="3" t="s">
        <v>110</v>
      </c>
      <c r="CR244" s="40">
        <v>146</v>
      </c>
      <c r="CS244" s="40">
        <v>183</v>
      </c>
      <c r="CT244" s="40">
        <v>422.5</v>
      </c>
      <c r="CU244" s="40"/>
      <c r="CV244" s="40"/>
      <c r="CW244" s="40"/>
      <c r="CX244" s="40"/>
      <c r="CY244" s="40" t="s">
        <v>125</v>
      </c>
      <c r="CZ244" s="40"/>
      <c r="DA244" s="40"/>
    </row>
    <row r="245" spans="1:105" ht="15.95" customHeight="1">
      <c r="A245" s="3">
        <v>520</v>
      </c>
      <c r="B245" s="38" t="s">
        <v>103</v>
      </c>
      <c r="C245" s="3" t="s">
        <v>104</v>
      </c>
      <c r="D245" s="3" t="s">
        <v>105</v>
      </c>
      <c r="E245" s="39">
        <v>44711</v>
      </c>
      <c r="F245" s="3" t="s">
        <v>186</v>
      </c>
      <c r="G245" s="3" t="s">
        <v>122</v>
      </c>
      <c r="H245" s="3">
        <v>2005</v>
      </c>
      <c r="I245" s="40" t="s">
        <v>121</v>
      </c>
      <c r="J245" s="39" t="s">
        <v>160</v>
      </c>
      <c r="K245" s="3">
        <v>179</v>
      </c>
      <c r="L245" s="3">
        <v>179.3</v>
      </c>
      <c r="M245" s="3">
        <v>179.1</v>
      </c>
      <c r="N245" s="3">
        <v>147</v>
      </c>
      <c r="O245" s="3">
        <v>147.1</v>
      </c>
      <c r="P245" s="3"/>
      <c r="Q245" s="3">
        <v>74.099999999999994</v>
      </c>
      <c r="R245" s="3"/>
      <c r="S245" s="3"/>
      <c r="T245" s="42">
        <v>179.13333333333333</v>
      </c>
      <c r="U245" s="42">
        <f>AVERAGE(paper3[[#This Row],[Sittende høyde 1]:[Sittende høyde 3]])-56.2</f>
        <v>90.850000000000009</v>
      </c>
      <c r="V245" s="12">
        <f>paper3[[#This Row],[height]]-paper3[[#This Row],[sittingheight]]</f>
        <v>88.283333333333317</v>
      </c>
      <c r="W245" s="73">
        <v>74.099999999999994</v>
      </c>
      <c r="X245" s="43" cm="1">
        <f t="array" ref="X245">INDEX([1]!phvny[yphv], MATCH(1, (paper3[[#This Row],[id]]=[1]!phvny[id])*(paper3[[#This Row],[time]]=[1]!phvny[time]), 0))</f>
        <v>2.3831594014062434</v>
      </c>
      <c r="Y245" s="60">
        <v>1.82</v>
      </c>
      <c r="Z245" s="60">
        <v>3.09</v>
      </c>
      <c r="AA245" s="60">
        <v>4.2699999999999996</v>
      </c>
      <c r="AB245" s="3">
        <v>1.82</v>
      </c>
      <c r="AC245" s="3">
        <v>3.08</v>
      </c>
      <c r="AD245" s="3">
        <v>4.25</v>
      </c>
      <c r="AE245" s="3">
        <v>1.79</v>
      </c>
      <c r="AF245" s="3">
        <v>3.04</v>
      </c>
      <c r="AG245" s="60">
        <v>4.2</v>
      </c>
      <c r="AH245" s="44">
        <v>1.79</v>
      </c>
      <c r="AI245" s="44">
        <v>3.04</v>
      </c>
      <c r="AJ245" s="44">
        <v>4.2</v>
      </c>
      <c r="AK245" s="45">
        <v>8.6206896551724128</v>
      </c>
      <c r="AL245" s="60">
        <v>9.6</v>
      </c>
      <c r="AM245" s="60">
        <v>9.3800000000000008</v>
      </c>
      <c r="AN245" s="60">
        <v>9.2100000000000009</v>
      </c>
      <c r="AO245" s="60">
        <v>9.1300000000000008</v>
      </c>
      <c r="AP245" s="3">
        <v>9.1300000000000008</v>
      </c>
      <c r="AQ245" s="47">
        <v>9.3800000000000008</v>
      </c>
      <c r="AR245" s="47">
        <v>9.1300000000000008</v>
      </c>
      <c r="AS245" s="3">
        <v>40.380000000000003</v>
      </c>
      <c r="AT245" s="3">
        <v>40.119999999999997</v>
      </c>
      <c r="AU245" s="3">
        <v>42.41</v>
      </c>
      <c r="AV245" s="3">
        <v>41.93</v>
      </c>
      <c r="AW245" s="3"/>
      <c r="AX245" s="48">
        <v>42.41</v>
      </c>
      <c r="AY245" s="3"/>
      <c r="AZ245" s="3">
        <v>10</v>
      </c>
      <c r="BA245" s="3">
        <v>360</v>
      </c>
      <c r="BB245" s="3">
        <v>10</v>
      </c>
      <c r="BC245" s="3">
        <v>394</v>
      </c>
      <c r="BD245" s="40">
        <v>1740.719058042152</v>
      </c>
      <c r="BE245" s="40">
        <v>1700.6867944227058</v>
      </c>
      <c r="BF245" s="40"/>
      <c r="BG245" s="40">
        <v>833.81016081339737</v>
      </c>
      <c r="BH245" s="40">
        <v>789.57563912169599</v>
      </c>
      <c r="BI245" s="49">
        <v>3441.4058524648581</v>
      </c>
      <c r="BJ245" s="49">
        <v>1623.3857999350935</v>
      </c>
      <c r="BK245" s="66">
        <v>2.3538880733789069E-2</v>
      </c>
      <c r="BL245" s="66">
        <v>5.602315915028333E-2</v>
      </c>
      <c r="BM245" s="51">
        <v>46.442724054856384</v>
      </c>
      <c r="BN245" s="51">
        <v>21.908040484954029</v>
      </c>
      <c r="BO245" s="52">
        <v>293</v>
      </c>
      <c r="BP245" s="40">
        <v>291</v>
      </c>
      <c r="BQ245" s="40">
        <v>293</v>
      </c>
      <c r="BR245" s="67">
        <v>-6.8259385665528916E-3</v>
      </c>
      <c r="BS245" s="54">
        <v>3.9406207827260462</v>
      </c>
      <c r="BT245" s="3">
        <v>158</v>
      </c>
      <c r="BU245" s="40">
        <v>159</v>
      </c>
      <c r="BV245" s="3">
        <v>162</v>
      </c>
      <c r="BW245" s="3">
        <v>160</v>
      </c>
      <c r="BX245" s="70">
        <v>-6.2893081761006275E-3</v>
      </c>
      <c r="BY245" s="70">
        <v>1.2499999999999956E-2</v>
      </c>
      <c r="BZ245" s="59">
        <v>0.99375000000000002</v>
      </c>
      <c r="CA245" s="59">
        <v>0.97530864197530864</v>
      </c>
      <c r="CB245" s="59">
        <v>1.8883816914080069</v>
      </c>
      <c r="CC245" s="59">
        <v>1.918166891587944</v>
      </c>
      <c r="CD245" s="60">
        <v>159</v>
      </c>
      <c r="CE245" s="60">
        <v>150</v>
      </c>
      <c r="CF245" s="61">
        <v>2.1457489878542511</v>
      </c>
      <c r="CG245" s="61">
        <v>2.0242914979757085</v>
      </c>
      <c r="CH245" s="61">
        <v>0.94339622641509435</v>
      </c>
      <c r="CI245" s="41">
        <v>18.100000000000001</v>
      </c>
      <c r="CJ245" s="40">
        <f>VLOOKUP(paper3[[#This Row],[YYIR nivå]],$DB:$DC,2)</f>
        <v>1760</v>
      </c>
      <c r="CK245" s="3"/>
      <c r="CL245" s="62"/>
      <c r="CM245" s="63" t="s">
        <v>110</v>
      </c>
      <c r="CN245" s="3">
        <v>159</v>
      </c>
      <c r="CO245" s="3">
        <v>162</v>
      </c>
      <c r="CP245" s="41">
        <v>16.705555555555556</v>
      </c>
      <c r="CQ245" s="3" t="s">
        <v>110</v>
      </c>
      <c r="CR245" s="40">
        <v>158.5</v>
      </c>
      <c r="CS245" s="40">
        <v>161</v>
      </c>
      <c r="CT245" s="40">
        <v>292</v>
      </c>
      <c r="CU245" s="40"/>
      <c r="CV245" s="40"/>
      <c r="CW245" s="40"/>
      <c r="CX245" s="40"/>
      <c r="CY245" s="40">
        <v>0</v>
      </c>
      <c r="CZ245" s="40"/>
      <c r="DA245" s="40"/>
    </row>
    <row r="246" spans="1:105" ht="15.95" customHeight="1">
      <c r="A246" s="3">
        <v>521</v>
      </c>
      <c r="B246" s="38" t="s">
        <v>103</v>
      </c>
      <c r="C246" s="3" t="s">
        <v>104</v>
      </c>
      <c r="D246" s="3" t="s">
        <v>105</v>
      </c>
      <c r="E246" s="39">
        <v>44711</v>
      </c>
      <c r="F246" s="3" t="s">
        <v>186</v>
      </c>
      <c r="G246" s="3" t="s">
        <v>122</v>
      </c>
      <c r="H246" s="3">
        <v>2005</v>
      </c>
      <c r="I246" s="40" t="s">
        <v>121</v>
      </c>
      <c r="J246" s="39" t="s">
        <v>160</v>
      </c>
      <c r="K246" s="3">
        <v>174.1</v>
      </c>
      <c r="L246" s="3">
        <v>174</v>
      </c>
      <c r="M246" s="3"/>
      <c r="N246" s="3">
        <v>144.80000000000001</v>
      </c>
      <c r="O246" s="3">
        <v>144.9</v>
      </c>
      <c r="P246" s="3"/>
      <c r="Q246" s="3">
        <v>63.9</v>
      </c>
      <c r="R246" s="3"/>
      <c r="S246" s="3"/>
      <c r="T246" s="42">
        <v>174.05</v>
      </c>
      <c r="U246" s="42">
        <f>AVERAGE(paper3[[#This Row],[Sittende høyde 1]:[Sittende høyde 3]])-56.2</f>
        <v>88.65000000000002</v>
      </c>
      <c r="V246" s="12">
        <f>paper3[[#This Row],[height]]-paper3[[#This Row],[sittingheight]]</f>
        <v>85.399999999999991</v>
      </c>
      <c r="W246" s="73">
        <v>63.9</v>
      </c>
      <c r="X246" s="43" cm="1">
        <f t="array" ref="X246">INDEX([1]!phvny[yphv], MATCH(1, (paper3[[#This Row],[id]]=[1]!phvny[id])*(paper3[[#This Row],[time]]=[1]!phvny[time]), 0))</f>
        <v>2.1479492133147264</v>
      </c>
      <c r="Y246" s="60">
        <v>1.83</v>
      </c>
      <c r="Z246" s="60">
        <v>3.09</v>
      </c>
      <c r="AA246" s="60">
        <v>4.26</v>
      </c>
      <c r="AB246" s="3">
        <v>1.87</v>
      </c>
      <c r="AC246" s="3">
        <v>3.15</v>
      </c>
      <c r="AD246" s="3">
        <v>4.33</v>
      </c>
      <c r="AE246" s="3">
        <v>1.86</v>
      </c>
      <c r="AF246" s="3">
        <v>3.14</v>
      </c>
      <c r="AG246" s="60">
        <v>4.32</v>
      </c>
      <c r="AH246" s="44">
        <v>1.83</v>
      </c>
      <c r="AI246" s="44">
        <v>3.09</v>
      </c>
      <c r="AJ246" s="44">
        <v>4.26</v>
      </c>
      <c r="AK246" s="45">
        <v>8.5470085470085468</v>
      </c>
      <c r="AL246" s="60">
        <v>10.02</v>
      </c>
      <c r="AM246" s="60">
        <v>9.57</v>
      </c>
      <c r="AN246" s="60">
        <v>10.6</v>
      </c>
      <c r="AO246" s="60">
        <v>10.07</v>
      </c>
      <c r="AP246" s="3">
        <v>9.57</v>
      </c>
      <c r="AQ246" s="47">
        <v>9.57</v>
      </c>
      <c r="AR246" s="47">
        <v>10.07</v>
      </c>
      <c r="AS246" s="3">
        <v>36.58</v>
      </c>
      <c r="AT246" s="3">
        <v>39.79</v>
      </c>
      <c r="AU246" s="3">
        <v>38.21</v>
      </c>
      <c r="AV246" s="3"/>
      <c r="AW246" s="3"/>
      <c r="AX246" s="48">
        <v>39.79</v>
      </c>
      <c r="AY246" s="3"/>
      <c r="AZ246" s="3">
        <v>9</v>
      </c>
      <c r="BA246" s="3">
        <v>360</v>
      </c>
      <c r="BB246" s="3">
        <v>10</v>
      </c>
      <c r="BC246" s="3">
        <v>372</v>
      </c>
      <c r="BD246" s="40">
        <v>1348.9615955491413</v>
      </c>
      <c r="BE246" s="40">
        <v>1280.5605025340874</v>
      </c>
      <c r="BF246" s="40"/>
      <c r="BG246" s="40">
        <v>619.27517816587931</v>
      </c>
      <c r="BH246" s="40">
        <v>560.98492084706527</v>
      </c>
      <c r="BI246" s="49">
        <v>2629.5220980832287</v>
      </c>
      <c r="BJ246" s="49">
        <v>1180.2600990129445</v>
      </c>
      <c r="BK246" s="66">
        <v>5.3414963900335621E-2</v>
      </c>
      <c r="BL246" s="66">
        <v>0.10390699491672262</v>
      </c>
      <c r="BM246" s="51">
        <v>41.150580564682762</v>
      </c>
      <c r="BN246" s="51">
        <v>18.470424084709617</v>
      </c>
      <c r="BO246" s="52">
        <v>393</v>
      </c>
      <c r="BP246" s="40">
        <v>388</v>
      </c>
      <c r="BQ246" s="40">
        <v>393</v>
      </c>
      <c r="BR246" s="67">
        <v>-1.2722646310432517E-2</v>
      </c>
      <c r="BS246" s="54">
        <v>6.1111111111111116</v>
      </c>
      <c r="BT246" s="3">
        <v>215</v>
      </c>
      <c r="BU246" s="40">
        <v>226</v>
      </c>
      <c r="BV246" s="3">
        <v>152</v>
      </c>
      <c r="BW246" s="3">
        <v>167</v>
      </c>
      <c r="BX246" s="70">
        <v>-4.8672566371681381E-2</v>
      </c>
      <c r="BY246" s="70">
        <v>-8.9820359281437168E-2</v>
      </c>
      <c r="BZ246" s="59">
        <v>1.3532934131736527</v>
      </c>
      <c r="CA246" s="59">
        <v>1.4144736842105263</v>
      </c>
      <c r="CB246" s="59">
        <v>2.9469014084507035</v>
      </c>
      <c r="CC246" s="59">
        <v>2.1316588419405318</v>
      </c>
      <c r="CD246" s="60">
        <v>176</v>
      </c>
      <c r="CE246" s="60">
        <v>154</v>
      </c>
      <c r="CF246" s="61">
        <v>2.7543035993740221</v>
      </c>
      <c r="CG246" s="61">
        <v>2.4100156494522693</v>
      </c>
      <c r="CH246" s="61">
        <v>0.875</v>
      </c>
      <c r="CI246" s="41">
        <v>14.7</v>
      </c>
      <c r="CJ246" s="40">
        <f>VLOOKUP(paper3[[#This Row],[YYIR nivå]],$DB:$DC,2)</f>
        <v>720</v>
      </c>
      <c r="CK246" s="3"/>
      <c r="CL246" s="62"/>
      <c r="CM246" s="63" t="s">
        <v>110</v>
      </c>
      <c r="CN246" s="3">
        <v>226</v>
      </c>
      <c r="CO246" s="3">
        <v>167</v>
      </c>
      <c r="CP246" s="41">
        <v>17.06388888888889</v>
      </c>
      <c r="CQ246" s="3" t="s">
        <v>110</v>
      </c>
      <c r="CR246" s="40">
        <v>220.5</v>
      </c>
      <c r="CS246" s="40">
        <v>159.5</v>
      </c>
      <c r="CT246" s="40">
        <v>390.5</v>
      </c>
      <c r="CU246" s="40"/>
      <c r="CV246" s="40"/>
      <c r="CW246" s="40"/>
      <c r="CX246" s="40"/>
      <c r="CY246" s="40">
        <v>0</v>
      </c>
      <c r="CZ246" s="40"/>
      <c r="DA246" s="40"/>
    </row>
    <row r="247" spans="1:105" ht="15.95" customHeight="1">
      <c r="A247" s="3">
        <v>522</v>
      </c>
      <c r="B247" s="38" t="s">
        <v>103</v>
      </c>
      <c r="C247" s="3" t="s">
        <v>104</v>
      </c>
      <c r="D247" s="3" t="s">
        <v>105</v>
      </c>
      <c r="E247" s="39">
        <v>44711</v>
      </c>
      <c r="F247" s="3" t="s">
        <v>186</v>
      </c>
      <c r="G247" s="3" t="s">
        <v>122</v>
      </c>
      <c r="H247" s="3">
        <v>2005</v>
      </c>
      <c r="I247" s="40" t="s">
        <v>121</v>
      </c>
      <c r="J247" s="39" t="s">
        <v>160</v>
      </c>
      <c r="K247" s="3">
        <v>180.4</v>
      </c>
      <c r="L247" s="3">
        <v>180.5</v>
      </c>
      <c r="M247" s="3"/>
      <c r="N247" s="3">
        <v>147.80000000000001</v>
      </c>
      <c r="O247" s="3">
        <v>148</v>
      </c>
      <c r="P247" s="3"/>
      <c r="Q247" s="3">
        <v>68.8</v>
      </c>
      <c r="R247" s="3"/>
      <c r="S247" s="3"/>
      <c r="T247" s="42">
        <v>180.45</v>
      </c>
      <c r="U247" s="42">
        <f>AVERAGE(paper3[[#This Row],[Sittende høyde 1]:[Sittende høyde 3]])-56.2</f>
        <v>91.7</v>
      </c>
      <c r="V247" s="12">
        <f>paper3[[#This Row],[height]]-paper3[[#This Row],[sittingheight]]</f>
        <v>88.749999999999986</v>
      </c>
      <c r="W247" s="73">
        <v>68.8</v>
      </c>
      <c r="X247" s="43" cm="1">
        <f t="array" ref="X247">INDEX([1]!phvny[yphv], MATCH(1, (paper3[[#This Row],[id]]=[1]!phvny[id])*(paper3[[#This Row],[time]]=[1]!phvny[time]), 0))</f>
        <v>2.3489314843180251</v>
      </c>
      <c r="Y247" s="60">
        <v>1.94</v>
      </c>
      <c r="Z247" s="60">
        <v>3.23</v>
      </c>
      <c r="AA247" s="60">
        <v>4.45</v>
      </c>
      <c r="AB247" s="3">
        <v>1.9</v>
      </c>
      <c r="AC247" s="3">
        <v>3.2</v>
      </c>
      <c r="AD247" s="3">
        <v>4.4400000000000004</v>
      </c>
      <c r="AE247" s="3">
        <v>1.88</v>
      </c>
      <c r="AF247" s="3">
        <v>3.19</v>
      </c>
      <c r="AG247" s="60">
        <v>4.43</v>
      </c>
      <c r="AH247" s="44">
        <v>1.88</v>
      </c>
      <c r="AI247" s="44">
        <v>3.19</v>
      </c>
      <c r="AJ247" s="44">
        <v>4.43</v>
      </c>
      <c r="AK247" s="45">
        <v>8.0645161290322598</v>
      </c>
      <c r="AL247" s="60">
        <v>9.26</v>
      </c>
      <c r="AM247" s="60">
        <v>9.4499999999999993</v>
      </c>
      <c r="AN247" s="60"/>
      <c r="AO247" s="60">
        <v>9.6199999999999992</v>
      </c>
      <c r="AP247" s="3">
        <v>9.26</v>
      </c>
      <c r="AQ247" s="47">
        <v>9.26</v>
      </c>
      <c r="AR247" s="47">
        <v>9.6199999999999992</v>
      </c>
      <c r="AS247" s="3">
        <v>43.1</v>
      </c>
      <c r="AT247" s="3">
        <v>41.13</v>
      </c>
      <c r="AU247" s="3">
        <v>44.3</v>
      </c>
      <c r="AV247" s="3">
        <v>46.66</v>
      </c>
      <c r="AW247" s="3">
        <v>46.56</v>
      </c>
      <c r="AX247" s="48">
        <v>46.66</v>
      </c>
      <c r="AY247" s="3"/>
      <c r="AZ247" s="3">
        <v>10</v>
      </c>
      <c r="BA247" s="3">
        <v>320</v>
      </c>
      <c r="BB247" s="3">
        <v>11</v>
      </c>
      <c r="BC247" s="3">
        <v>452</v>
      </c>
      <c r="BD247" s="40">
        <v>1604.4004121509934</v>
      </c>
      <c r="BE247" s="40">
        <v>1670.7260379875775</v>
      </c>
      <c r="BF247" s="40"/>
      <c r="BG247" s="40">
        <v>737.30746881597213</v>
      </c>
      <c r="BH247" s="40">
        <v>743.63094927728434</v>
      </c>
      <c r="BI247" s="49">
        <v>3275.1264501385708</v>
      </c>
      <c r="BJ247" s="49">
        <v>1480.9384180932566</v>
      </c>
      <c r="BK247" s="66">
        <v>-3.9698684481193958E-2</v>
      </c>
      <c r="BL247" s="66">
        <v>-8.5035197465326284E-3</v>
      </c>
      <c r="BM247" s="51">
        <v>47.603582124107135</v>
      </c>
      <c r="BN247" s="51">
        <v>21.525267704843845</v>
      </c>
      <c r="BO247" s="52">
        <v>292</v>
      </c>
      <c r="BP247" s="40">
        <v>259</v>
      </c>
      <c r="BQ247" s="40">
        <v>292</v>
      </c>
      <c r="BR247" s="67">
        <v>-0.11301369863013699</v>
      </c>
      <c r="BS247" s="54">
        <v>4.004360465116279</v>
      </c>
      <c r="BT247" s="3">
        <v>181</v>
      </c>
      <c r="BU247" s="40">
        <v>200</v>
      </c>
      <c r="BV247" s="3">
        <v>138</v>
      </c>
      <c r="BW247" s="3">
        <v>145</v>
      </c>
      <c r="BX247" s="70">
        <v>-9.4999999999999973E-2</v>
      </c>
      <c r="BY247" s="70">
        <v>-4.8275862068965503E-2</v>
      </c>
      <c r="BZ247" s="59">
        <v>1.3793103448275863</v>
      </c>
      <c r="CA247" s="59">
        <v>1.3115942028985508</v>
      </c>
      <c r="CB247" s="59">
        <v>2.4573946220930227</v>
      </c>
      <c r="CC247" s="59">
        <v>1.8253088662790695</v>
      </c>
      <c r="CD247" s="60">
        <v>127</v>
      </c>
      <c r="CE247" s="60">
        <v>129</v>
      </c>
      <c r="CF247" s="61">
        <v>1.8459302325581397</v>
      </c>
      <c r="CG247" s="61">
        <v>1.875</v>
      </c>
      <c r="CH247" s="61">
        <v>1.015748031496063</v>
      </c>
      <c r="CI247" s="41">
        <v>16.399999999999999</v>
      </c>
      <c r="CJ247" s="40">
        <f>VLOOKUP(paper3[[#This Row],[YYIR nivå]],$DB:$DC,2)</f>
        <v>1240</v>
      </c>
      <c r="CK247" s="3"/>
      <c r="CL247" s="62"/>
      <c r="CM247" s="63" t="s">
        <v>110</v>
      </c>
      <c r="CN247" s="3">
        <v>200</v>
      </c>
      <c r="CO247" s="3">
        <v>145</v>
      </c>
      <c r="CP247" s="41">
        <v>16.547222222222221</v>
      </c>
      <c r="CQ247" s="3" t="s">
        <v>110</v>
      </c>
      <c r="CR247" s="40">
        <v>190.5</v>
      </c>
      <c r="CS247" s="40">
        <v>141.5</v>
      </c>
      <c r="CT247" s="40">
        <v>275.5</v>
      </c>
      <c r="CU247" s="40"/>
      <c r="CV247" s="40"/>
      <c r="CW247" s="40"/>
      <c r="CX247" s="40"/>
      <c r="CY247" s="40">
        <v>0</v>
      </c>
      <c r="CZ247" s="40"/>
      <c r="DA247" s="40"/>
    </row>
    <row r="248" spans="1:105" ht="15.75" customHeight="1">
      <c r="A248" s="3">
        <v>523</v>
      </c>
      <c r="B248" s="38" t="s">
        <v>103</v>
      </c>
      <c r="C248" s="3" t="s">
        <v>104</v>
      </c>
      <c r="D248" s="3" t="s">
        <v>105</v>
      </c>
      <c r="E248" s="39">
        <v>44711</v>
      </c>
      <c r="F248" s="3" t="s">
        <v>186</v>
      </c>
      <c r="G248" s="3" t="s">
        <v>122</v>
      </c>
      <c r="H248" s="3">
        <v>2005</v>
      </c>
      <c r="I248" s="40" t="s">
        <v>121</v>
      </c>
      <c r="J248" s="39" t="s">
        <v>160</v>
      </c>
      <c r="K248" s="3">
        <v>190.2</v>
      </c>
      <c r="L248" s="3">
        <v>190.2</v>
      </c>
      <c r="M248" s="3"/>
      <c r="N248" s="3">
        <v>153.1</v>
      </c>
      <c r="O248" s="3">
        <v>152.9</v>
      </c>
      <c r="P248" s="3"/>
      <c r="Q248" s="3">
        <v>88.4</v>
      </c>
      <c r="R248" s="3"/>
      <c r="S248" s="3"/>
      <c r="T248" s="42">
        <v>190.2</v>
      </c>
      <c r="U248" s="42">
        <f>AVERAGE(paper3[[#This Row],[Sittende høyde 1]:[Sittende høyde 3]])-56.2</f>
        <v>96.8</v>
      </c>
      <c r="V248" s="12">
        <f>paper3[[#This Row],[height]]-paper3[[#This Row],[sittingheight]]</f>
        <v>93.399999999999991</v>
      </c>
      <c r="W248" s="73">
        <v>88.4</v>
      </c>
      <c r="X248" s="43" cm="1">
        <f t="array" ref="X248">INDEX([1]!phvny[yphv], MATCH(1, (paper3[[#This Row],[id]]=[1]!phvny[id])*(paper3[[#This Row],[time]]=[1]!phvny[time]), 0))</f>
        <v>3.6067926306529952</v>
      </c>
      <c r="Y248" s="60">
        <v>1.97</v>
      </c>
      <c r="Z248" s="60">
        <v>3.27</v>
      </c>
      <c r="AA248" s="60">
        <v>4.5</v>
      </c>
      <c r="AB248" s="3">
        <v>1.89</v>
      </c>
      <c r="AC248" s="3">
        <v>3.21</v>
      </c>
      <c r="AD248" s="3">
        <v>4.4400000000000004</v>
      </c>
      <c r="AE248" s="3">
        <v>1.87</v>
      </c>
      <c r="AF248" s="3">
        <v>3.2</v>
      </c>
      <c r="AG248" s="60">
        <v>4.4400000000000004</v>
      </c>
      <c r="AH248" s="44">
        <v>1.87</v>
      </c>
      <c r="AI248" s="44">
        <v>3.2</v>
      </c>
      <c r="AJ248" s="44">
        <v>4.4400000000000004</v>
      </c>
      <c r="AK248" s="45">
        <v>8.0645161290322562</v>
      </c>
      <c r="AL248" s="60">
        <v>9.9499999999999993</v>
      </c>
      <c r="AM248" s="60">
        <v>9.8800000000000008</v>
      </c>
      <c r="AN248" s="60">
        <v>10.15</v>
      </c>
      <c r="AO248" s="60">
        <v>10.09</v>
      </c>
      <c r="AP248" s="3">
        <v>9.8800000000000008</v>
      </c>
      <c r="AQ248" s="47">
        <v>9.8800000000000008</v>
      </c>
      <c r="AR248" s="47">
        <v>10.09</v>
      </c>
      <c r="AS248" s="3">
        <v>31.73</v>
      </c>
      <c r="AT248" s="3">
        <v>33.64</v>
      </c>
      <c r="AU248" s="3">
        <v>30.39</v>
      </c>
      <c r="AV248" s="3"/>
      <c r="AW248" s="3"/>
      <c r="AX248" s="48">
        <v>33.64</v>
      </c>
      <c r="AY248" s="3"/>
      <c r="AZ248" s="3">
        <v>11</v>
      </c>
      <c r="BA248" s="3">
        <v>400</v>
      </c>
      <c r="BB248" s="3">
        <v>6</v>
      </c>
      <c r="BC248" s="3">
        <v>285</v>
      </c>
      <c r="BD248" s="84">
        <v>1140.4638124071494</v>
      </c>
      <c r="BE248" s="84">
        <v>1142.8464602885542</v>
      </c>
      <c r="BF248" s="40"/>
      <c r="BG248" s="40">
        <v>699.66136752277635</v>
      </c>
      <c r="BH248" s="40">
        <v>756.64777331659388</v>
      </c>
      <c r="BI248" s="49">
        <v>2283.3102726957036</v>
      </c>
      <c r="BJ248" s="49">
        <v>1456.3091408393702</v>
      </c>
      <c r="BK248" s="66">
        <v>-2.0848363837109307E-3</v>
      </c>
      <c r="BL248" s="66">
        <v>-7.5314311101492559E-2</v>
      </c>
      <c r="BM248" s="107">
        <v>25.829301727326961</v>
      </c>
      <c r="BN248" s="51">
        <v>16.474085303612785</v>
      </c>
      <c r="BO248" s="52">
        <v>309</v>
      </c>
      <c r="BP248" s="40">
        <v>293</v>
      </c>
      <c r="BQ248" s="40">
        <v>309</v>
      </c>
      <c r="BR248" s="67">
        <v>-5.1779935275080957E-2</v>
      </c>
      <c r="BS248" s="54">
        <v>3.4049773755656108</v>
      </c>
      <c r="BT248" s="3">
        <v>180</v>
      </c>
      <c r="BU248" s="40">
        <v>142</v>
      </c>
      <c r="BV248" s="3">
        <v>148</v>
      </c>
      <c r="BW248" s="3">
        <v>156</v>
      </c>
      <c r="BX248" s="70">
        <v>0.26760563380281699</v>
      </c>
      <c r="BY248" s="70">
        <v>-5.1282051282051322E-2</v>
      </c>
      <c r="BZ248" s="59">
        <v>0.91025641025641024</v>
      </c>
      <c r="CA248" s="59">
        <v>1.2162162162162162</v>
      </c>
      <c r="CB248" s="59">
        <v>1.7010633484162894</v>
      </c>
      <c r="CC248" s="59">
        <v>1.6059728506787327</v>
      </c>
      <c r="CD248" s="60">
        <v>135</v>
      </c>
      <c r="CE248" s="60">
        <v>143</v>
      </c>
      <c r="CF248" s="61">
        <v>1.5271493212669682</v>
      </c>
      <c r="CG248" s="61">
        <v>1.6176470588235292</v>
      </c>
      <c r="CH248" s="61">
        <v>1.0592592592592591</v>
      </c>
      <c r="CI248" s="41">
        <v>15.1</v>
      </c>
      <c r="CJ248" s="40">
        <f>VLOOKUP(paper3[[#This Row],[YYIR nivå]],$DB:$DC,2)</f>
        <v>800</v>
      </c>
      <c r="CK248" s="3"/>
      <c r="CL248" s="62"/>
      <c r="CM248" s="63" t="s">
        <v>110</v>
      </c>
      <c r="CN248" s="3">
        <v>180</v>
      </c>
      <c r="CO248" s="3">
        <v>156</v>
      </c>
      <c r="CP248" s="41">
        <v>17.175000000000001</v>
      </c>
      <c r="CQ248" s="3" t="s">
        <v>110</v>
      </c>
      <c r="CR248" s="40">
        <v>161</v>
      </c>
      <c r="CS248" s="40">
        <v>152</v>
      </c>
      <c r="CT248" s="40">
        <v>301</v>
      </c>
      <c r="CU248" s="40"/>
      <c r="CV248" s="40"/>
      <c r="CW248" s="40"/>
      <c r="CX248" s="40"/>
      <c r="CY248" s="40">
        <v>0</v>
      </c>
      <c r="CZ248" s="40"/>
      <c r="DA248" s="40"/>
    </row>
    <row r="249" spans="1:105" ht="15.95" customHeight="1">
      <c r="A249" s="3">
        <v>524</v>
      </c>
      <c r="B249" s="38" t="s">
        <v>103</v>
      </c>
      <c r="C249" s="3" t="s">
        <v>104</v>
      </c>
      <c r="D249" s="3" t="s">
        <v>105</v>
      </c>
      <c r="E249" s="39">
        <v>44711</v>
      </c>
      <c r="F249" s="3" t="s">
        <v>186</v>
      </c>
      <c r="G249" s="3" t="s">
        <v>122</v>
      </c>
      <c r="H249" s="3">
        <v>2005</v>
      </c>
      <c r="I249" s="40" t="s">
        <v>121</v>
      </c>
      <c r="J249" s="39" t="s">
        <v>160</v>
      </c>
      <c r="K249" s="3">
        <v>166.8</v>
      </c>
      <c r="L249" s="3">
        <v>166.7</v>
      </c>
      <c r="M249" s="3"/>
      <c r="N249" s="3">
        <v>145.9</v>
      </c>
      <c r="O249" s="3">
        <v>145.80000000000001</v>
      </c>
      <c r="P249" s="3"/>
      <c r="Q249" s="3">
        <v>80</v>
      </c>
      <c r="R249" s="3"/>
      <c r="S249" s="3"/>
      <c r="T249" s="42">
        <v>166.75</v>
      </c>
      <c r="U249" s="42">
        <f>AVERAGE(paper3[[#This Row],[Sittende høyde 1]:[Sittende høyde 3]])-56.2</f>
        <v>89.65000000000002</v>
      </c>
      <c r="V249" s="12">
        <f>paper3[[#This Row],[height]]-paper3[[#This Row],[sittingheight]]</f>
        <v>77.09999999999998</v>
      </c>
      <c r="W249" s="73">
        <v>80</v>
      </c>
      <c r="X249" s="43" cm="1">
        <f t="array" ref="X249">INDEX([1]!phvny[yphv], MATCH(1, (paper3[[#This Row],[id]]=[1]!phvny[id])*(paper3[[#This Row],[time]]=[1]!phvny[time]), 0))</f>
        <v>2.2737144530136648</v>
      </c>
      <c r="Y249" s="60">
        <v>1.95</v>
      </c>
      <c r="Z249" s="60">
        <v>3.27</v>
      </c>
      <c r="AA249" s="60">
        <v>4.51</v>
      </c>
      <c r="AB249" s="3">
        <v>1.92</v>
      </c>
      <c r="AC249" s="3">
        <v>3.24</v>
      </c>
      <c r="AD249" s="3">
        <v>4.4800000000000004</v>
      </c>
      <c r="AE249" s="3">
        <v>1.95</v>
      </c>
      <c r="AF249" s="3">
        <v>3.28</v>
      </c>
      <c r="AG249" s="60">
        <v>4.53</v>
      </c>
      <c r="AH249" s="44">
        <v>1.92</v>
      </c>
      <c r="AI249" s="44">
        <v>3.24</v>
      </c>
      <c r="AJ249" s="44">
        <v>4.4800000000000004</v>
      </c>
      <c r="AK249" s="45">
        <v>8.0645161290322562</v>
      </c>
      <c r="AL249" s="60">
        <v>9.8800000000000008</v>
      </c>
      <c r="AM249" s="60">
        <v>9.83</v>
      </c>
      <c r="AN249" s="60">
        <v>10.06</v>
      </c>
      <c r="AO249" s="60">
        <v>9.9</v>
      </c>
      <c r="AP249" s="3">
        <v>9.83</v>
      </c>
      <c r="AQ249" s="47">
        <v>9.83</v>
      </c>
      <c r="AR249" s="47">
        <v>9.9</v>
      </c>
      <c r="AS249" s="3">
        <v>31.98</v>
      </c>
      <c r="AT249" s="3">
        <v>33.89</v>
      </c>
      <c r="AU249" s="3">
        <v>33.85</v>
      </c>
      <c r="AV249" s="3"/>
      <c r="AW249" s="3"/>
      <c r="AX249" s="48">
        <v>33.89</v>
      </c>
      <c r="AY249" s="3"/>
      <c r="AZ249" s="3">
        <v>8</v>
      </c>
      <c r="BA249" s="3">
        <v>380</v>
      </c>
      <c r="BB249" s="3">
        <v>11</v>
      </c>
      <c r="BC249" s="3">
        <v>380</v>
      </c>
      <c r="BD249" s="40">
        <v>1629.4334597508387</v>
      </c>
      <c r="BE249" s="40">
        <v>1698.2122736096578</v>
      </c>
      <c r="BF249" s="40"/>
      <c r="BG249" s="40">
        <v>599.25938486665473</v>
      </c>
      <c r="BH249" s="40">
        <v>692.78089782084112</v>
      </c>
      <c r="BI249" s="49">
        <v>3327.6457333604967</v>
      </c>
      <c r="BJ249" s="49">
        <v>1292.0402826874958</v>
      </c>
      <c r="BK249" s="66">
        <v>-4.0500716505025292E-2</v>
      </c>
      <c r="BL249" s="66">
        <v>-0.13499435860365172</v>
      </c>
      <c r="BM249" s="51">
        <v>41.595571667006212</v>
      </c>
      <c r="BN249" s="51">
        <v>16.1505035335937</v>
      </c>
      <c r="BO249" s="52">
        <v>488</v>
      </c>
      <c r="BP249" s="40">
        <v>488</v>
      </c>
      <c r="BQ249" s="40">
        <v>433</v>
      </c>
      <c r="BR249" s="67">
        <v>0.12702078521939963</v>
      </c>
      <c r="BS249" s="54">
        <v>5.7562499999999996</v>
      </c>
      <c r="BT249" s="3">
        <v>183</v>
      </c>
      <c r="BU249" s="40">
        <v>177</v>
      </c>
      <c r="BV249" s="3">
        <v>200</v>
      </c>
      <c r="BW249" s="3">
        <v>199</v>
      </c>
      <c r="BX249" s="70">
        <v>3.3898305084745672E-2</v>
      </c>
      <c r="BY249" s="70">
        <v>5.0251256281406143E-3</v>
      </c>
      <c r="BZ249" s="59">
        <v>0.88944723618090449</v>
      </c>
      <c r="CA249" s="59">
        <v>0.91500000000000004</v>
      </c>
      <c r="CB249" s="59">
        <v>1.7347499999999996</v>
      </c>
      <c r="CC249" s="59">
        <v>1.9226812499999995</v>
      </c>
      <c r="CD249" s="60">
        <v>155</v>
      </c>
      <c r="CE249" s="60">
        <v>171</v>
      </c>
      <c r="CF249" s="61">
        <v>1.9375</v>
      </c>
      <c r="CG249" s="61">
        <v>2.1375000000000002</v>
      </c>
      <c r="CH249" s="61">
        <v>1.1032258064516129</v>
      </c>
      <c r="CI249" s="41"/>
      <c r="CJ249" s="40"/>
      <c r="CK249" s="3"/>
      <c r="CL249" s="62"/>
      <c r="CM249" s="63" t="s">
        <v>110</v>
      </c>
      <c r="CN249" s="3">
        <v>183</v>
      </c>
      <c r="CO249" s="3">
        <v>200</v>
      </c>
      <c r="CP249" s="41">
        <v>16.461111111111112</v>
      </c>
      <c r="CQ249" s="3" t="s">
        <v>110</v>
      </c>
      <c r="CR249" s="40">
        <v>180</v>
      </c>
      <c r="CS249" s="40">
        <v>199.5</v>
      </c>
      <c r="CT249" s="40">
        <v>460.5</v>
      </c>
      <c r="CU249" s="40"/>
      <c r="CV249" s="40"/>
      <c r="CW249" s="40"/>
      <c r="CX249" s="40"/>
      <c r="CY249" s="40">
        <v>0</v>
      </c>
      <c r="CZ249" s="40"/>
      <c r="DA249" s="40"/>
    </row>
    <row r="250" spans="1:105" ht="15.95" customHeight="1">
      <c r="A250" s="3">
        <v>525</v>
      </c>
      <c r="B250" s="38" t="s">
        <v>103</v>
      </c>
      <c r="C250" s="3" t="s">
        <v>104</v>
      </c>
      <c r="D250" s="3" t="s">
        <v>105</v>
      </c>
      <c r="E250" s="39">
        <v>44711</v>
      </c>
      <c r="F250" s="3" t="s">
        <v>186</v>
      </c>
      <c r="G250" s="3" t="s">
        <v>122</v>
      </c>
      <c r="H250" s="3">
        <v>2005</v>
      </c>
      <c r="I250" s="40" t="s">
        <v>121</v>
      </c>
      <c r="J250" s="39" t="s">
        <v>160</v>
      </c>
      <c r="K250" s="3">
        <v>175.4</v>
      </c>
      <c r="L250" s="3">
        <v>175.6</v>
      </c>
      <c r="M250" s="3"/>
      <c r="N250" s="3">
        <v>147.69999999999999</v>
      </c>
      <c r="O250" s="3">
        <v>147</v>
      </c>
      <c r="P250" s="3">
        <v>147</v>
      </c>
      <c r="Q250" s="3">
        <v>63.4</v>
      </c>
      <c r="R250" s="3"/>
      <c r="S250" s="3"/>
      <c r="T250" s="42">
        <v>175.5</v>
      </c>
      <c r="U250" s="42">
        <f>AVERAGE(paper3[[#This Row],[Sittende høyde 1]:[Sittende høyde 3]])-56.2</f>
        <v>91.033333333333317</v>
      </c>
      <c r="V250" s="12">
        <f>paper3[[#This Row],[height]]-paper3[[#This Row],[sittingheight]]</f>
        <v>84.466666666666683</v>
      </c>
      <c r="W250" s="73">
        <v>63.4</v>
      </c>
      <c r="X250" s="43" cm="1">
        <f t="array" ref="X250">INDEX([1]!phvny[yphv], MATCH(1, (paper3[[#This Row],[id]]=[1]!phvny[id])*(paper3[[#This Row],[time]]=[1]!phvny[time]), 0))</f>
        <v>2.6529334905783459</v>
      </c>
      <c r="Y250" s="60">
        <v>1.86</v>
      </c>
      <c r="Z250" s="60">
        <v>3.14</v>
      </c>
      <c r="AA250" s="60">
        <v>4.3499999999999996</v>
      </c>
      <c r="AB250" s="3">
        <v>1.86</v>
      </c>
      <c r="AC250" s="3">
        <v>3.18</v>
      </c>
      <c r="AD250" s="3">
        <v>4.42</v>
      </c>
      <c r="AE250" s="3">
        <v>1.9</v>
      </c>
      <c r="AF250" s="3">
        <v>3.21</v>
      </c>
      <c r="AG250" s="60">
        <v>4.4400000000000004</v>
      </c>
      <c r="AH250" s="44">
        <v>1.86</v>
      </c>
      <c r="AI250" s="44">
        <v>3.14</v>
      </c>
      <c r="AJ250" s="44">
        <v>4.3499999999999996</v>
      </c>
      <c r="AK250" s="45">
        <v>8.264462809917358</v>
      </c>
      <c r="AL250" s="60">
        <v>9.4700000000000006</v>
      </c>
      <c r="AM250" s="60">
        <v>9.33</v>
      </c>
      <c r="AN250" s="60">
        <v>9.57</v>
      </c>
      <c r="AO250" s="60">
        <v>9.16</v>
      </c>
      <c r="AP250" s="3">
        <v>9.16</v>
      </c>
      <c r="AQ250" s="47">
        <v>9.33</v>
      </c>
      <c r="AR250" s="47">
        <v>9.16</v>
      </c>
      <c r="AS250" s="3">
        <v>40.28</v>
      </c>
      <c r="AT250" s="3">
        <v>42.43</v>
      </c>
      <c r="AU250" s="3">
        <v>36.24</v>
      </c>
      <c r="AV250" s="3"/>
      <c r="AW250" s="3"/>
      <c r="AX250" s="48">
        <v>42.43</v>
      </c>
      <c r="AY250" s="3"/>
      <c r="AZ250" s="3">
        <v>8</v>
      </c>
      <c r="BA250" s="3">
        <v>340</v>
      </c>
      <c r="BB250" s="3">
        <v>8</v>
      </c>
      <c r="BC250" s="3">
        <v>325</v>
      </c>
      <c r="BD250" s="40">
        <v>1529.6881068741222</v>
      </c>
      <c r="BE250" s="40">
        <v>1501.0281321202251</v>
      </c>
      <c r="BF250" s="40"/>
      <c r="BG250" s="40">
        <v>692.2562396660926</v>
      </c>
      <c r="BH250" s="40">
        <v>722.02895763512902</v>
      </c>
      <c r="BI250" s="49">
        <v>3030.7162389943473</v>
      </c>
      <c r="BJ250" s="49">
        <v>1414.2851973012216</v>
      </c>
      <c r="BK250" s="66">
        <v>1.9093562699197708E-2</v>
      </c>
      <c r="BL250" s="66">
        <v>-4.1234797654863264E-2</v>
      </c>
      <c r="BM250" s="51">
        <v>47.803095252276776</v>
      </c>
      <c r="BN250" s="51">
        <v>22.307337496864694</v>
      </c>
      <c r="BO250" s="52">
        <v>335</v>
      </c>
      <c r="BP250" s="40">
        <v>335</v>
      </c>
      <c r="BQ250" s="40">
        <v>294</v>
      </c>
      <c r="BR250" s="67">
        <v>0.13945578231292521</v>
      </c>
      <c r="BS250" s="54">
        <v>4.9605678233438484</v>
      </c>
      <c r="BT250" s="3">
        <v>165</v>
      </c>
      <c r="BU250" s="40">
        <v>167</v>
      </c>
      <c r="BV250" s="3">
        <v>153</v>
      </c>
      <c r="BW250" s="3">
        <v>159</v>
      </c>
      <c r="BX250" s="70">
        <v>-1.19760479041916E-2</v>
      </c>
      <c r="BY250" s="70">
        <v>-3.7735849056603765E-2</v>
      </c>
      <c r="BZ250" s="59">
        <v>1.050314465408805</v>
      </c>
      <c r="CA250" s="59">
        <v>1.0784313725490196</v>
      </c>
      <c r="CB250" s="59">
        <v>2.2115878023133546</v>
      </c>
      <c r="CC250" s="59">
        <v>2.0783596214511046</v>
      </c>
      <c r="CD250" s="60">
        <v>143</v>
      </c>
      <c r="CE250" s="60">
        <v>101</v>
      </c>
      <c r="CF250" s="61">
        <v>2.2555205047318614</v>
      </c>
      <c r="CG250" s="61">
        <v>1.5930599369085174</v>
      </c>
      <c r="CH250" s="61">
        <v>0.70629370629370625</v>
      </c>
      <c r="CI250" s="41">
        <v>18.2</v>
      </c>
      <c r="CJ250" s="40">
        <f>VLOOKUP(paper3[[#This Row],[YYIR nivå]],$DB:$DC,2)</f>
        <v>1800</v>
      </c>
      <c r="CK250" s="3"/>
      <c r="CL250" s="62"/>
      <c r="CM250" s="63" t="s">
        <v>110</v>
      </c>
      <c r="CN250" s="3">
        <v>167</v>
      </c>
      <c r="CO250" s="3">
        <v>159</v>
      </c>
      <c r="CP250" s="41">
        <v>17.386111111111113</v>
      </c>
      <c r="CQ250" s="3" t="s">
        <v>110</v>
      </c>
      <c r="CR250" s="40">
        <v>166</v>
      </c>
      <c r="CS250" s="40">
        <v>156</v>
      </c>
      <c r="CT250" s="40">
        <v>314.5</v>
      </c>
      <c r="CU250" s="40"/>
      <c r="CV250" s="40"/>
      <c r="CW250" s="40"/>
      <c r="CX250" s="40"/>
      <c r="CY250" s="40">
        <v>0</v>
      </c>
      <c r="CZ250" s="40"/>
      <c r="DA250" s="40"/>
    </row>
    <row r="251" spans="1:105" ht="15.75" customHeight="1">
      <c r="A251" s="3">
        <v>526</v>
      </c>
      <c r="B251" s="38" t="s">
        <v>103</v>
      </c>
      <c r="C251" s="3" t="s">
        <v>104</v>
      </c>
      <c r="D251" s="3" t="s">
        <v>105</v>
      </c>
      <c r="E251" s="39">
        <v>44711</v>
      </c>
      <c r="F251" s="3" t="s">
        <v>186</v>
      </c>
      <c r="G251" s="3" t="s">
        <v>122</v>
      </c>
      <c r="H251" s="3">
        <v>2005</v>
      </c>
      <c r="I251" s="40" t="s">
        <v>121</v>
      </c>
      <c r="J251" s="39" t="s">
        <v>160</v>
      </c>
      <c r="K251" s="3">
        <v>184</v>
      </c>
      <c r="L251" s="3">
        <v>184</v>
      </c>
      <c r="M251" s="3"/>
      <c r="N251" s="3">
        <v>148.9</v>
      </c>
      <c r="O251" s="3">
        <v>148.69999999999999</v>
      </c>
      <c r="P251" s="3"/>
      <c r="Q251" s="3">
        <v>76</v>
      </c>
      <c r="R251" s="3"/>
      <c r="S251" s="3"/>
      <c r="T251" s="42">
        <v>184</v>
      </c>
      <c r="U251" s="42">
        <f>AVERAGE(paper3[[#This Row],[Sittende høyde 1]:[Sittende høyde 3]])-56.2</f>
        <v>92.600000000000009</v>
      </c>
      <c r="V251" s="12">
        <f>paper3[[#This Row],[height]]-paper3[[#This Row],[sittingheight]]</f>
        <v>91.399999999999991</v>
      </c>
      <c r="W251" s="73">
        <v>76</v>
      </c>
      <c r="X251" s="43" cm="1">
        <f t="array" ref="X251">INDEX([1]!phvny[yphv], MATCH(1, (paper3[[#This Row],[id]]=[1]!phvny[id])*(paper3[[#This Row],[time]]=[1]!phvny[time]), 0))</f>
        <v>2.531476650840581</v>
      </c>
      <c r="Y251" s="60">
        <v>1.94</v>
      </c>
      <c r="Z251" s="60">
        <v>3.23</v>
      </c>
      <c r="AA251" s="60">
        <v>4.47</v>
      </c>
      <c r="AB251" s="3">
        <v>1.91</v>
      </c>
      <c r="AC251" s="3">
        <v>3.23</v>
      </c>
      <c r="AD251" s="3">
        <v>4.5</v>
      </c>
      <c r="AE251" s="3">
        <v>1.87</v>
      </c>
      <c r="AF251" s="3">
        <v>3.21</v>
      </c>
      <c r="AG251" s="60">
        <v>4.47</v>
      </c>
      <c r="AH251" s="44">
        <v>1.87</v>
      </c>
      <c r="AI251" s="44">
        <v>3.21</v>
      </c>
      <c r="AJ251" s="44">
        <v>4.47</v>
      </c>
      <c r="AK251" s="45">
        <v>7.9365079365079376</v>
      </c>
      <c r="AL251" s="60">
        <v>9.09</v>
      </c>
      <c r="AM251" s="60">
        <v>9.1</v>
      </c>
      <c r="AN251" s="60">
        <v>9.35</v>
      </c>
      <c r="AO251" s="60">
        <v>9.42</v>
      </c>
      <c r="AP251" s="3">
        <v>9.09</v>
      </c>
      <c r="AQ251" s="47">
        <v>9.09</v>
      </c>
      <c r="AR251" s="47">
        <v>9.35</v>
      </c>
      <c r="AS251" s="3">
        <v>34.619999999999997</v>
      </c>
      <c r="AT251" s="3">
        <v>36.840000000000003</v>
      </c>
      <c r="AU251" s="3">
        <v>36.99</v>
      </c>
      <c r="AV251" s="3"/>
      <c r="AW251" s="3"/>
      <c r="AX251" s="48">
        <v>36.99</v>
      </c>
      <c r="AY251" s="3"/>
      <c r="AZ251" s="3">
        <v>10</v>
      </c>
      <c r="BA251" s="3">
        <v>360</v>
      </c>
      <c r="BB251" s="3">
        <v>11</v>
      </c>
      <c r="BC251" s="3">
        <v>428</v>
      </c>
      <c r="BD251" s="40">
        <v>1450.1625594016127</v>
      </c>
      <c r="BE251" s="40">
        <v>1387.7465135420771</v>
      </c>
      <c r="BF251" s="40"/>
      <c r="BG251" s="40">
        <v>632.7373298611401</v>
      </c>
      <c r="BH251" s="40">
        <v>507.90967625869547</v>
      </c>
      <c r="BI251" s="49">
        <v>2837.9090729436898</v>
      </c>
      <c r="BJ251" s="49">
        <v>1140.6470061198356</v>
      </c>
      <c r="BK251" s="66">
        <v>4.4976546689514008E-2</v>
      </c>
      <c r="BL251" s="66">
        <v>0.24576742566106513</v>
      </c>
      <c r="BM251" s="51">
        <v>37.340908854522233</v>
      </c>
      <c r="BN251" s="51">
        <v>15.008513238418891</v>
      </c>
      <c r="BO251" s="52">
        <v>386</v>
      </c>
      <c r="BP251" s="40">
        <v>349</v>
      </c>
      <c r="BQ251" s="40">
        <v>386</v>
      </c>
      <c r="BR251" s="67">
        <v>-9.5854922279792754E-2</v>
      </c>
      <c r="BS251" s="54">
        <v>4.8355263157894735</v>
      </c>
      <c r="BT251" s="3">
        <v>215</v>
      </c>
      <c r="BU251" s="40">
        <v>214</v>
      </c>
      <c r="BV251" s="3">
        <v>172</v>
      </c>
      <c r="BW251" s="3">
        <v>184</v>
      </c>
      <c r="BX251" s="70">
        <v>4.6728971962617383E-3</v>
      </c>
      <c r="BY251" s="70">
        <v>-6.5217391304347783E-2</v>
      </c>
      <c r="BZ251" s="59">
        <v>1.1630434782608696</v>
      </c>
      <c r="CA251" s="59">
        <v>1.25</v>
      </c>
      <c r="CB251" s="59">
        <v>2.5796447368421052</v>
      </c>
      <c r="CC251" s="59">
        <v>2.1406842105263153</v>
      </c>
      <c r="CD251" s="60">
        <v>125</v>
      </c>
      <c r="CE251" s="60">
        <v>122</v>
      </c>
      <c r="CF251" s="61">
        <v>1.6447368421052631</v>
      </c>
      <c r="CG251" s="61">
        <v>1.6052631578947369</v>
      </c>
      <c r="CH251" s="61">
        <v>0.97600000000000009</v>
      </c>
      <c r="CI251" s="41">
        <v>16.3</v>
      </c>
      <c r="CJ251" s="40">
        <f>VLOOKUP(paper3[[#This Row],[YYIR nivå]],$DB:$DC,2)</f>
        <v>1200</v>
      </c>
      <c r="CK251" s="3"/>
      <c r="CL251" s="62"/>
      <c r="CM251" s="63" t="s">
        <v>110</v>
      </c>
      <c r="CN251" s="3">
        <v>215</v>
      </c>
      <c r="CO251" s="3">
        <v>184</v>
      </c>
      <c r="CP251" s="41">
        <v>16.522222222222222</v>
      </c>
      <c r="CQ251" s="3" t="s">
        <v>110</v>
      </c>
      <c r="CR251" s="40">
        <v>214.5</v>
      </c>
      <c r="CS251" s="40">
        <v>178</v>
      </c>
      <c r="CT251" s="40">
        <v>367.5</v>
      </c>
      <c r="CU251" s="40"/>
      <c r="CV251" s="40"/>
      <c r="CW251" s="40"/>
      <c r="CX251" s="40"/>
      <c r="CY251" s="40" t="s">
        <v>125</v>
      </c>
      <c r="CZ251" s="40"/>
      <c r="DA251" s="40"/>
    </row>
    <row r="252" spans="1:105" ht="15.95" customHeight="1">
      <c r="A252" s="3">
        <v>527</v>
      </c>
      <c r="B252" s="38" t="s">
        <v>103</v>
      </c>
      <c r="C252" s="3" t="s">
        <v>115</v>
      </c>
      <c r="D252" s="3" t="s">
        <v>105</v>
      </c>
      <c r="E252" s="39">
        <v>44720</v>
      </c>
      <c r="F252" s="3" t="s">
        <v>186</v>
      </c>
      <c r="G252" s="3" t="s">
        <v>122</v>
      </c>
      <c r="H252" s="3">
        <v>2009</v>
      </c>
      <c r="I252" s="40" t="s">
        <v>108</v>
      </c>
      <c r="J252" s="39" t="s">
        <v>123</v>
      </c>
      <c r="K252" s="3">
        <v>175.6</v>
      </c>
      <c r="L252" s="3">
        <v>175.3</v>
      </c>
      <c r="M252" s="3">
        <v>175.6</v>
      </c>
      <c r="N252" s="3">
        <v>141.5</v>
      </c>
      <c r="O252" s="3">
        <v>141.5</v>
      </c>
      <c r="P252" s="3"/>
      <c r="Q252" s="3">
        <v>52</v>
      </c>
      <c r="R252" s="3">
        <v>52</v>
      </c>
      <c r="S252" s="3"/>
      <c r="T252" s="42">
        <v>175.5</v>
      </c>
      <c r="U252" s="42">
        <f>AVERAGE(paper3[[#This Row],[Sittende høyde 1]:[Sittende høyde 3]])-56.2</f>
        <v>85.3</v>
      </c>
      <c r="V252" s="12">
        <f>paper3[[#This Row],[height]]-paper3[[#This Row],[sittingheight]]</f>
        <v>90.2</v>
      </c>
      <c r="W252" s="73">
        <v>52</v>
      </c>
      <c r="X252" s="43" cm="1">
        <f t="array" ref="X252">INDEX([1]!phvny[yphv], MATCH(1, (paper3[[#This Row],[id]]=[1]!phvny[id])*(paper3[[#This Row],[time]]=[1]!phvny[time]), 0))</f>
        <v>-0.33749622144444591</v>
      </c>
      <c r="Y252" s="60">
        <v>2.13</v>
      </c>
      <c r="Z252" s="60">
        <v>3.73</v>
      </c>
      <c r="AA252" s="60">
        <v>5.32</v>
      </c>
      <c r="AB252" s="3">
        <v>2.13</v>
      </c>
      <c r="AC252" s="3">
        <v>3.78</v>
      </c>
      <c r="AD252" s="3">
        <v>5.39</v>
      </c>
      <c r="AE252" s="3">
        <v>2.11</v>
      </c>
      <c r="AF252" s="3">
        <v>3.72</v>
      </c>
      <c r="AG252" s="60">
        <v>5.3</v>
      </c>
      <c r="AH252" s="44">
        <v>2.11</v>
      </c>
      <c r="AI252" s="44">
        <v>3.72</v>
      </c>
      <c r="AJ252" s="45">
        <v>5.3</v>
      </c>
      <c r="AK252" s="45">
        <v>6.3291139240506347</v>
      </c>
      <c r="AL252" s="60">
        <v>11.03</v>
      </c>
      <c r="AM252" s="60">
        <v>11.29</v>
      </c>
      <c r="AN252" s="60">
        <v>11.45</v>
      </c>
      <c r="AO252" s="60">
        <v>11.26</v>
      </c>
      <c r="AP252" s="3">
        <v>11.03</v>
      </c>
      <c r="AQ252" s="47">
        <v>11.03</v>
      </c>
      <c r="AR252" s="47">
        <v>11.26</v>
      </c>
      <c r="AS252" s="3">
        <v>23.27</v>
      </c>
      <c r="AT252" s="3">
        <v>24.56</v>
      </c>
      <c r="AU252" s="3">
        <v>25.63</v>
      </c>
      <c r="AV252" s="3"/>
      <c r="AW252" s="3"/>
      <c r="AX252" s="48">
        <v>25.63</v>
      </c>
      <c r="AY252" s="3"/>
      <c r="AZ252" s="3">
        <v>11</v>
      </c>
      <c r="BA252" s="3">
        <v>200</v>
      </c>
      <c r="BB252" s="3">
        <v>8</v>
      </c>
      <c r="BC252" s="3">
        <v>181</v>
      </c>
      <c r="BD252" s="40">
        <v>768.96245007857806</v>
      </c>
      <c r="BE252" s="40">
        <v>789.95301083848153</v>
      </c>
      <c r="BF252" s="40"/>
      <c r="BG252" s="40">
        <v>246.0050332675545</v>
      </c>
      <c r="BH252" s="40">
        <v>241.20736293262703</v>
      </c>
      <c r="BI252" s="49">
        <v>1558.9154609170596</v>
      </c>
      <c r="BJ252" s="49">
        <v>487.2123962001815</v>
      </c>
      <c r="BK252" s="66">
        <v>-2.657191057177366E-2</v>
      </c>
      <c r="BL252" s="66">
        <v>1.9890231693580285E-2</v>
      </c>
      <c r="BM252" s="51">
        <v>29.979143479174223</v>
      </c>
      <c r="BN252" s="51">
        <v>9.3694691576957982</v>
      </c>
      <c r="BO252" s="52">
        <v>240</v>
      </c>
      <c r="BP252" s="40">
        <v>240</v>
      </c>
      <c r="BQ252" s="40">
        <v>208</v>
      </c>
      <c r="BR252" s="67">
        <v>0.15384615384615374</v>
      </c>
      <c r="BS252" s="54">
        <v>4.3076923076923075</v>
      </c>
      <c r="BT252" s="3">
        <v>101</v>
      </c>
      <c r="BU252" s="40">
        <v>103</v>
      </c>
      <c r="BV252" s="3">
        <v>88</v>
      </c>
      <c r="BW252" s="3">
        <v>83</v>
      </c>
      <c r="BX252" s="70">
        <v>-1.9417475728155331E-2</v>
      </c>
      <c r="BY252" s="70">
        <v>6.024096385542177E-2</v>
      </c>
      <c r="BZ252" s="59">
        <v>1.2409638554216869</v>
      </c>
      <c r="CA252" s="59">
        <v>1.1477272727272727</v>
      </c>
      <c r="CB252" s="59">
        <v>1.7693076923076925</v>
      </c>
      <c r="CC252" s="59">
        <v>1.4830961538461538</v>
      </c>
      <c r="CD252" s="60">
        <v>67</v>
      </c>
      <c r="CE252" s="60">
        <v>46</v>
      </c>
      <c r="CF252" s="61">
        <v>1.2884615384615385</v>
      </c>
      <c r="CG252" s="61">
        <v>0.88461538461538458</v>
      </c>
      <c r="CH252" s="61">
        <v>0.68656716417910446</v>
      </c>
      <c r="CI252" s="41">
        <v>14.2</v>
      </c>
      <c r="CJ252" s="40">
        <f>VLOOKUP(paper3[[#This Row],[YYIR nivå]],$DB:$DC,2)</f>
        <v>520</v>
      </c>
      <c r="CK252" s="3"/>
      <c r="CL252" s="62"/>
      <c r="CM252" s="63" t="s">
        <v>110</v>
      </c>
      <c r="CN252" s="3">
        <v>103</v>
      </c>
      <c r="CO252" s="3">
        <v>88</v>
      </c>
      <c r="CP252" s="41">
        <v>13.180555555555555</v>
      </c>
      <c r="CQ252" s="3" t="s">
        <v>110</v>
      </c>
      <c r="CR252" s="40">
        <v>102</v>
      </c>
      <c r="CS252" s="40">
        <v>85.5</v>
      </c>
      <c r="CT252" s="40">
        <v>224</v>
      </c>
      <c r="CU252" s="40"/>
      <c r="CV252" s="40"/>
      <c r="CW252" s="40"/>
      <c r="CX252" s="40"/>
      <c r="CY252" s="40">
        <v>0</v>
      </c>
      <c r="CZ252" s="40"/>
      <c r="DA252" s="40"/>
    </row>
    <row r="253" spans="1:105" ht="15.75" customHeight="1">
      <c r="A253" s="3">
        <v>530</v>
      </c>
      <c r="B253" s="38" t="s">
        <v>103</v>
      </c>
      <c r="C253" s="3">
        <v>0</v>
      </c>
      <c r="D253" s="3" t="s">
        <v>105</v>
      </c>
      <c r="E253" s="39">
        <v>45015</v>
      </c>
      <c r="F253" s="3" t="s">
        <v>186</v>
      </c>
      <c r="G253" s="3" t="s">
        <v>107</v>
      </c>
      <c r="H253" s="3">
        <v>2006</v>
      </c>
      <c r="I253" s="40" t="s">
        <v>121</v>
      </c>
      <c r="J253" s="39" t="s">
        <v>120</v>
      </c>
      <c r="K253" s="46">
        <v>179.5</v>
      </c>
      <c r="L253" s="46">
        <v>179.7</v>
      </c>
      <c r="M253" s="46">
        <v>179.6</v>
      </c>
      <c r="N253" s="46">
        <v>150.4</v>
      </c>
      <c r="O253" s="46">
        <v>150.4</v>
      </c>
      <c r="P253" s="46">
        <v>150.4</v>
      </c>
      <c r="Q253" s="46">
        <v>62.1</v>
      </c>
      <c r="R253" s="46">
        <v>62.1</v>
      </c>
      <c r="S253" s="46">
        <v>62.1</v>
      </c>
      <c r="T253" s="42">
        <v>179.6</v>
      </c>
      <c r="U253" s="42">
        <f>AVERAGE(paper3[[#This Row],[Sittende høyde 1]:[Sittende høyde 3]])-56.2</f>
        <v>94.2</v>
      </c>
      <c r="V253" s="12">
        <f>paper3[[#This Row],[height]]-paper3[[#This Row],[sittingheight]]</f>
        <v>85.399999999999991</v>
      </c>
      <c r="W253" s="73">
        <v>62.1</v>
      </c>
      <c r="X253" s="43" cm="1">
        <f t="array" ref="X253">INDEX([1]!phvny[yphv], MATCH(1, (paper3[[#This Row],[id]]=[1]!phvny[id])*(paper3[[#This Row],[time]]=[1]!phvny[time]), 0))</f>
        <v>4.2722728251165574</v>
      </c>
      <c r="Y253" s="3">
        <v>2.06</v>
      </c>
      <c r="Z253" s="3">
        <v>3.43</v>
      </c>
      <c r="AA253" s="3">
        <v>4.82</v>
      </c>
      <c r="AB253" s="3">
        <v>2</v>
      </c>
      <c r="AC253" s="3">
        <v>3.38</v>
      </c>
      <c r="AD253" s="3">
        <v>4.7300000000000004</v>
      </c>
      <c r="AE253" s="3">
        <v>1.96</v>
      </c>
      <c r="AF253" s="3">
        <v>3.34</v>
      </c>
      <c r="AG253" s="3">
        <v>4.71</v>
      </c>
      <c r="AH253" s="44">
        <v>1.96</v>
      </c>
      <c r="AI253" s="44">
        <v>3.34</v>
      </c>
      <c r="AJ253" s="44">
        <v>4.71</v>
      </c>
      <c r="AK253" s="45">
        <v>7.2992700729926998</v>
      </c>
      <c r="AL253" s="3">
        <v>10.24</v>
      </c>
      <c r="AM253" s="3">
        <v>10.039999999999999</v>
      </c>
      <c r="AN253" s="3">
        <v>10.17</v>
      </c>
      <c r="AO253" s="3">
        <v>10.14</v>
      </c>
      <c r="AP253" s="3">
        <v>10.039999999999999</v>
      </c>
      <c r="AQ253" s="47"/>
      <c r="AR253" s="47"/>
      <c r="AS253" s="3">
        <v>34.799999999999997</v>
      </c>
      <c r="AT253" s="3">
        <v>35.64</v>
      </c>
      <c r="AU253" s="3">
        <v>36.380000000000003</v>
      </c>
      <c r="AV253" s="3">
        <v>34.409999999999997</v>
      </c>
      <c r="AW253" s="3"/>
      <c r="AX253" s="48">
        <v>36.380000000000003</v>
      </c>
      <c r="AY253" s="71"/>
      <c r="AZ253" s="3">
        <v>0</v>
      </c>
      <c r="BA253" s="3">
        <v>220</v>
      </c>
      <c r="BB253" s="3">
        <v>15</v>
      </c>
      <c r="BC253" s="3">
        <v>305</v>
      </c>
      <c r="BD253" s="40">
        <v>1388.9476799152703</v>
      </c>
      <c r="BE253" s="40">
        <v>1359.5351336387425</v>
      </c>
      <c r="BF253" s="40"/>
      <c r="BG253" s="40">
        <v>517.5880579692689</v>
      </c>
      <c r="BH253" s="40">
        <v>515.60771507476784</v>
      </c>
      <c r="BI253" s="49">
        <v>2748.4828135540129</v>
      </c>
      <c r="BJ253" s="49">
        <v>1033.1957730440367</v>
      </c>
      <c r="BK253" s="66">
        <v>2.1634267146746211E-2</v>
      </c>
      <c r="BL253" s="66">
        <v>3.8407937596780517E-3</v>
      </c>
      <c r="BM253" s="51">
        <v>44.258982504895535</v>
      </c>
      <c r="BN253" s="51">
        <v>16.637613092496565</v>
      </c>
      <c r="BO253" s="52">
        <v>302</v>
      </c>
      <c r="BP253" s="40">
        <v>302</v>
      </c>
      <c r="BQ253" s="40">
        <v>260</v>
      </c>
      <c r="BR253" s="109">
        <v>0.16153846153846163</v>
      </c>
      <c r="BS253" s="54">
        <v>4.5249597423510464</v>
      </c>
      <c r="BT253" s="3">
        <v>104</v>
      </c>
      <c r="BU253" s="40">
        <v>117</v>
      </c>
      <c r="BV253" s="3">
        <v>83</v>
      </c>
      <c r="BW253" s="3">
        <v>130</v>
      </c>
      <c r="BX253" s="70">
        <v>-0.11111111111111116</v>
      </c>
      <c r="BY253" s="70">
        <v>-0.36153846153846159</v>
      </c>
      <c r="BZ253" s="59">
        <v>0.9</v>
      </c>
      <c r="CA253" s="59">
        <v>1.2530120481927711</v>
      </c>
      <c r="CB253" s="59">
        <v>1.5195974235104668</v>
      </c>
      <c r="CC253" s="59">
        <v>1.464589371980676</v>
      </c>
      <c r="CD253" s="60">
        <v>82</v>
      </c>
      <c r="CE253" s="60">
        <v>53</v>
      </c>
      <c r="CF253" s="61">
        <v>1.3204508856682768</v>
      </c>
      <c r="CG253" s="61">
        <v>0.85346215780998391</v>
      </c>
      <c r="CH253" s="61">
        <v>0.64634146341463428</v>
      </c>
      <c r="CI253" s="41">
        <v>14.5</v>
      </c>
      <c r="CJ253" s="40">
        <f>VLOOKUP(paper3[[#This Row],[YYIR nivå]],$DB:$DC,2)</f>
        <v>640</v>
      </c>
      <c r="CK253" s="3" t="s">
        <v>188</v>
      </c>
      <c r="CL253" s="62"/>
      <c r="CM253" s="63" t="s">
        <v>110</v>
      </c>
      <c r="CN253" s="3">
        <v>117</v>
      </c>
      <c r="CO253" s="3">
        <v>130</v>
      </c>
      <c r="CP253" s="41">
        <v>16.533333333333335</v>
      </c>
      <c r="CQ253" s="3" t="s">
        <v>110</v>
      </c>
      <c r="CR253" s="40">
        <v>110.5</v>
      </c>
      <c r="CS253" s="40">
        <v>106.5</v>
      </c>
      <c r="CT253" s="40">
        <v>281</v>
      </c>
      <c r="CU253" s="40"/>
      <c r="CV253" s="40"/>
      <c r="CW253" s="40"/>
      <c r="CX253" s="40"/>
      <c r="CY253" s="40">
        <v>0</v>
      </c>
      <c r="CZ253" s="40"/>
      <c r="DA253" s="40"/>
    </row>
    <row r="254" spans="1:105" ht="15.95" customHeight="1">
      <c r="A254" s="3">
        <v>531</v>
      </c>
      <c r="B254" s="38" t="s">
        <v>103</v>
      </c>
      <c r="C254" s="3">
        <v>0</v>
      </c>
      <c r="D254" s="3" t="s">
        <v>105</v>
      </c>
      <c r="E254" s="39">
        <v>45015</v>
      </c>
      <c r="F254" s="3" t="s">
        <v>186</v>
      </c>
      <c r="G254" s="3" t="s">
        <v>107</v>
      </c>
      <c r="H254" s="3">
        <v>2006</v>
      </c>
      <c r="I254" s="40" t="s">
        <v>121</v>
      </c>
      <c r="J254" s="39" t="s">
        <v>120</v>
      </c>
      <c r="K254" s="46">
        <v>156.9</v>
      </c>
      <c r="L254" s="46">
        <v>157.30000000000001</v>
      </c>
      <c r="M254" s="46">
        <v>157.4</v>
      </c>
      <c r="N254" s="46">
        <v>140.4</v>
      </c>
      <c r="O254" s="46">
        <v>139.9</v>
      </c>
      <c r="P254" s="46">
        <v>140.4</v>
      </c>
      <c r="Q254" s="46">
        <v>67</v>
      </c>
      <c r="R254" s="46">
        <v>67</v>
      </c>
      <c r="S254" s="46">
        <v>67</v>
      </c>
      <c r="T254" s="42">
        <v>157.20000000000002</v>
      </c>
      <c r="U254" s="42">
        <f>AVERAGE(paper3[[#This Row],[Sittende høyde 1]:[Sittende høyde 3]])-56.2</f>
        <v>84.033333333333346</v>
      </c>
      <c r="V254" s="12">
        <f>paper3[[#This Row],[height]]-paper3[[#This Row],[sittingheight]]</f>
        <v>73.166666666666671</v>
      </c>
      <c r="W254" s="73">
        <v>67</v>
      </c>
      <c r="X254" s="43" cm="1">
        <f t="array" ref="X254">INDEX([1]!phvny[yphv], MATCH(1, (paper3[[#This Row],[id]]=[1]!phvny[id])*(paper3[[#This Row],[time]]=[1]!phvny[time]), 0))</f>
        <v>3.0881867319755454</v>
      </c>
      <c r="Y254" s="3">
        <v>2.08</v>
      </c>
      <c r="Z254" s="3">
        <v>3.53</v>
      </c>
      <c r="AA254" s="3">
        <v>4.97</v>
      </c>
      <c r="AB254" s="3">
        <v>2.06</v>
      </c>
      <c r="AC254" s="3">
        <v>3.54</v>
      </c>
      <c r="AD254" s="3">
        <v>4.97</v>
      </c>
      <c r="AE254" s="3">
        <v>2.0699999999999998</v>
      </c>
      <c r="AF254" s="3">
        <v>3.55</v>
      </c>
      <c r="AG254" s="3">
        <v>5</v>
      </c>
      <c r="AH254" s="44">
        <v>2.06</v>
      </c>
      <c r="AI254" s="44">
        <v>3.53</v>
      </c>
      <c r="AJ254" s="44">
        <v>4.97</v>
      </c>
      <c r="AK254" s="45">
        <v>6.9444444444444446</v>
      </c>
      <c r="AL254" s="3"/>
      <c r="AM254" s="3"/>
      <c r="AN254" s="3"/>
      <c r="AO254" s="3"/>
      <c r="AP254" s="3"/>
      <c r="AQ254" s="47"/>
      <c r="AR254" s="47"/>
      <c r="AS254" s="3">
        <v>29.73</v>
      </c>
      <c r="AT254" s="3">
        <v>35.53</v>
      </c>
      <c r="AU254" s="3">
        <v>34.32</v>
      </c>
      <c r="AV254" s="3"/>
      <c r="AW254" s="3"/>
      <c r="AX254" s="48">
        <v>35.53</v>
      </c>
      <c r="AY254" s="124" t="s">
        <v>196</v>
      </c>
      <c r="AZ254" s="3">
        <v>8</v>
      </c>
      <c r="BA254" s="3">
        <v>250</v>
      </c>
      <c r="BB254" s="3"/>
      <c r="BC254" s="3">
        <v>450</v>
      </c>
      <c r="BD254" s="40"/>
      <c r="BE254" s="40"/>
      <c r="BF254" s="40"/>
      <c r="BG254" s="40"/>
      <c r="BH254" s="40"/>
      <c r="BI254" s="49"/>
      <c r="BJ254" s="49"/>
      <c r="BK254" s="66"/>
      <c r="BL254" s="66"/>
      <c r="BM254" s="51"/>
      <c r="BN254" s="51"/>
      <c r="BO254" s="52">
        <v>303</v>
      </c>
      <c r="BP254" s="40">
        <v>303</v>
      </c>
      <c r="BQ254" s="40">
        <v>239</v>
      </c>
      <c r="BR254" s="109">
        <v>0.26778242677824271</v>
      </c>
      <c r="BS254" s="54">
        <v>4.044776119402985</v>
      </c>
      <c r="BT254" s="3">
        <v>126</v>
      </c>
      <c r="BU254" s="40">
        <v>149</v>
      </c>
      <c r="BV254" s="3">
        <v>141</v>
      </c>
      <c r="BW254" s="3">
        <v>164</v>
      </c>
      <c r="BX254" s="70">
        <v>-0.15436241610738255</v>
      </c>
      <c r="BY254" s="70">
        <v>-0.1402439024390244</v>
      </c>
      <c r="BZ254" s="59">
        <v>0.90853658536585369</v>
      </c>
      <c r="CA254" s="59">
        <v>0.8936170212765957</v>
      </c>
      <c r="CB254" s="59">
        <v>1.5015547263681592</v>
      </c>
      <c r="CC254" s="59">
        <v>1.665360696517413</v>
      </c>
      <c r="CD254" s="60">
        <v>118</v>
      </c>
      <c r="CE254" s="60">
        <v>81</v>
      </c>
      <c r="CF254" s="61">
        <v>1.7611940298507462</v>
      </c>
      <c r="CG254" s="61">
        <v>1.208955223880597</v>
      </c>
      <c r="CH254" s="61">
        <v>0.68644067796610164</v>
      </c>
      <c r="CI254" s="41"/>
      <c r="CJ254" s="40"/>
      <c r="CK254" s="3"/>
      <c r="CL254" s="62"/>
      <c r="CM254" s="63" t="s">
        <v>110</v>
      </c>
      <c r="CN254" s="3">
        <v>149</v>
      </c>
      <c r="CO254" s="3">
        <v>164</v>
      </c>
      <c r="CP254" s="41">
        <v>16.947222222222223</v>
      </c>
      <c r="CQ254" s="3" t="s">
        <v>110</v>
      </c>
      <c r="CR254" s="40">
        <v>137.5</v>
      </c>
      <c r="CS254" s="40">
        <v>152.5</v>
      </c>
      <c r="CT254" s="40">
        <v>271</v>
      </c>
      <c r="CU254" s="40"/>
      <c r="CV254" s="40"/>
      <c r="CW254" s="40"/>
      <c r="CX254" s="40"/>
      <c r="CY254" s="40">
        <v>0</v>
      </c>
      <c r="CZ254" s="40"/>
      <c r="DA254" s="40"/>
    </row>
    <row r="255" spans="1:105" ht="15.75" customHeight="1">
      <c r="A255" s="3">
        <v>532</v>
      </c>
      <c r="B255" s="38" t="s">
        <v>103</v>
      </c>
      <c r="C255" s="3">
        <v>0</v>
      </c>
      <c r="D255" s="3" t="s">
        <v>105</v>
      </c>
      <c r="E255" s="39">
        <v>45015</v>
      </c>
      <c r="F255" s="3" t="s">
        <v>186</v>
      </c>
      <c r="G255" s="3" t="s">
        <v>107</v>
      </c>
      <c r="H255" s="3">
        <v>2006</v>
      </c>
      <c r="I255" s="40" t="s">
        <v>121</v>
      </c>
      <c r="J255" s="39" t="s">
        <v>120</v>
      </c>
      <c r="K255" s="46">
        <v>168.3</v>
      </c>
      <c r="L255" s="46">
        <v>168</v>
      </c>
      <c r="M255" s="46">
        <v>168.2</v>
      </c>
      <c r="N255" s="46">
        <v>146</v>
      </c>
      <c r="O255" s="46">
        <v>146</v>
      </c>
      <c r="P255" s="46">
        <v>146.1</v>
      </c>
      <c r="Q255" s="46">
        <v>74.2</v>
      </c>
      <c r="R255" s="46">
        <v>74.2</v>
      </c>
      <c r="S255" s="46">
        <v>74.2</v>
      </c>
      <c r="T255" s="42">
        <v>168.16666666666666</v>
      </c>
      <c r="U255" s="42">
        <f>AVERAGE(paper3[[#This Row],[Sittende høyde 1]:[Sittende høyde 3]])-56.2</f>
        <v>89.833333333333329</v>
      </c>
      <c r="V255" s="12">
        <f>paper3[[#This Row],[height]]-paper3[[#This Row],[sittingheight]]</f>
        <v>78.333333333333329</v>
      </c>
      <c r="W255" s="73">
        <v>74.2</v>
      </c>
      <c r="X255" s="43" cm="1">
        <f t="array" ref="X255">INDEX([1]!phvny[yphv], MATCH(1, (paper3[[#This Row],[id]]=[1]!phvny[id])*(paper3[[#This Row],[time]]=[1]!phvny[time]), 0))</f>
        <v>3.803674581727599</v>
      </c>
      <c r="Y255" s="3">
        <v>2.29</v>
      </c>
      <c r="Z255" s="3">
        <v>3.82</v>
      </c>
      <c r="AA255" s="3">
        <v>5.32</v>
      </c>
      <c r="AB255" s="3">
        <v>2.36</v>
      </c>
      <c r="AC255" s="3">
        <v>3.88</v>
      </c>
      <c r="AD255" s="3">
        <v>5.39</v>
      </c>
      <c r="AE255" s="3">
        <v>2.2200000000000002</v>
      </c>
      <c r="AF255" s="3">
        <v>3.75</v>
      </c>
      <c r="AG255" s="3">
        <v>5.27</v>
      </c>
      <c r="AH255" s="44">
        <v>2.2200000000000002</v>
      </c>
      <c r="AI255" s="44">
        <v>3.75</v>
      </c>
      <c r="AJ255" s="44">
        <v>5.27</v>
      </c>
      <c r="AK255" s="45">
        <v>6.5789473684210549</v>
      </c>
      <c r="AL255" s="3">
        <v>11.12</v>
      </c>
      <c r="AM255" s="3">
        <v>11.09</v>
      </c>
      <c r="AN255" s="3">
        <v>11.08</v>
      </c>
      <c r="AO255" s="3">
        <v>10.82</v>
      </c>
      <c r="AP255" s="3">
        <v>10.82</v>
      </c>
      <c r="AQ255" s="47"/>
      <c r="AR255" s="47"/>
      <c r="AS255" s="3">
        <v>30.74</v>
      </c>
      <c r="AT255" s="3">
        <v>30.43</v>
      </c>
      <c r="AU255" s="3">
        <v>32.36</v>
      </c>
      <c r="AV255" s="3">
        <v>30.07</v>
      </c>
      <c r="AW255" s="3"/>
      <c r="AX255" s="48">
        <v>32.36</v>
      </c>
      <c r="AY255" s="71"/>
      <c r="AZ255" s="3">
        <v>9</v>
      </c>
      <c r="BA255" s="3">
        <v>270</v>
      </c>
      <c r="BB255" s="3">
        <v>11</v>
      </c>
      <c r="BC255" s="3">
        <v>329</v>
      </c>
      <c r="BD255" s="40">
        <v>1421.6158599068126</v>
      </c>
      <c r="BE255" s="40">
        <v>1391.9219574136657</v>
      </c>
      <c r="BF255" s="40"/>
      <c r="BG255" s="40">
        <v>487.12781766316084</v>
      </c>
      <c r="BH255" s="40">
        <v>493.19647049331547</v>
      </c>
      <c r="BI255" s="49">
        <v>2813.5378173204781</v>
      </c>
      <c r="BJ255" s="49">
        <v>980.32428815647631</v>
      </c>
      <c r="BK255" s="66">
        <v>2.1333022541235813E-2</v>
      </c>
      <c r="BL255" s="66">
        <v>-1.2304736942023387E-2</v>
      </c>
      <c r="BM255" s="51">
        <v>37.918299424804289</v>
      </c>
      <c r="BN255" s="51">
        <v>13.21191763014119</v>
      </c>
      <c r="BO255" s="52">
        <v>200</v>
      </c>
      <c r="BP255" s="40">
        <v>200</v>
      </c>
      <c r="BQ255" s="40">
        <v>129</v>
      </c>
      <c r="BR255" s="109">
        <v>0.5503875968992249</v>
      </c>
      <c r="BS255" s="54">
        <v>2.2169811320754715</v>
      </c>
      <c r="BT255" s="3">
        <v>97</v>
      </c>
      <c r="BU255" s="40">
        <v>95</v>
      </c>
      <c r="BV255" s="3">
        <v>122</v>
      </c>
      <c r="BW255" s="3">
        <v>132</v>
      </c>
      <c r="BX255" s="70">
        <v>2.1052631578947434E-2</v>
      </c>
      <c r="BY255" s="70">
        <v>-7.5757575757575801E-2</v>
      </c>
      <c r="BZ255" s="59">
        <v>0.71969696969696972</v>
      </c>
      <c r="CA255" s="59">
        <v>0.79508196721311475</v>
      </c>
      <c r="CB255" s="59">
        <v>1.013477088948787</v>
      </c>
      <c r="CC255" s="59">
        <v>1.3407457322551661</v>
      </c>
      <c r="CD255" s="60">
        <v>98</v>
      </c>
      <c r="CE255" s="60">
        <v>109</v>
      </c>
      <c r="CF255" s="61">
        <v>1.320754716981132</v>
      </c>
      <c r="CG255" s="61">
        <v>1.4690026954177897</v>
      </c>
      <c r="CH255" s="61">
        <v>1.1122448979591837</v>
      </c>
      <c r="CI255" s="41">
        <v>14.1</v>
      </c>
      <c r="CJ255" s="40">
        <f>VLOOKUP(paper3[[#This Row],[YYIR nivå]],$DB:$DC,2)</f>
        <v>480</v>
      </c>
      <c r="CK255" s="3"/>
      <c r="CL255" s="62"/>
      <c r="CM255" s="63" t="s">
        <v>110</v>
      </c>
      <c r="CN255" s="3">
        <v>97</v>
      </c>
      <c r="CO255" s="3">
        <v>132</v>
      </c>
      <c r="CP255" s="41">
        <v>16.927777777777777</v>
      </c>
      <c r="CQ255" s="3" t="s">
        <v>110</v>
      </c>
      <c r="CR255" s="40">
        <v>96</v>
      </c>
      <c r="CS255" s="40">
        <v>127</v>
      </c>
      <c r="CT255" s="40">
        <v>164.5</v>
      </c>
      <c r="CU255" s="40"/>
      <c r="CV255" s="40"/>
      <c r="CW255" s="40"/>
      <c r="CX255" s="40"/>
      <c r="CY255" s="40">
        <v>0</v>
      </c>
      <c r="CZ255" s="40"/>
      <c r="DA255" s="40"/>
    </row>
    <row r="256" spans="1:105" ht="15.75" customHeight="1">
      <c r="A256" s="2">
        <v>533</v>
      </c>
      <c r="B256" s="38" t="s">
        <v>103</v>
      </c>
      <c r="C256" s="3">
        <v>0</v>
      </c>
      <c r="D256" s="3" t="s">
        <v>105</v>
      </c>
      <c r="E256" s="39">
        <v>45028</v>
      </c>
      <c r="F256" s="3" t="s">
        <v>186</v>
      </c>
      <c r="G256" s="3" t="s">
        <v>107</v>
      </c>
      <c r="H256" s="3">
        <v>2006</v>
      </c>
      <c r="I256" s="40" t="s">
        <v>121</v>
      </c>
      <c r="J256" s="39" t="s">
        <v>120</v>
      </c>
      <c r="K256" s="3">
        <v>171.6</v>
      </c>
      <c r="L256" s="3">
        <v>171.5</v>
      </c>
      <c r="M256" s="3"/>
      <c r="N256" s="3">
        <v>146.5</v>
      </c>
      <c r="O256" s="3">
        <v>146.5</v>
      </c>
      <c r="P256" s="3"/>
      <c r="Q256" s="3">
        <v>71.2</v>
      </c>
      <c r="R256" s="3"/>
      <c r="S256" s="3"/>
      <c r="T256" s="42">
        <v>171.55</v>
      </c>
      <c r="U256" s="42">
        <f>AVERAGE(paper3[[#This Row],[Sittende høyde 1]:[Sittende høyde 3]])-56.2</f>
        <v>90.3</v>
      </c>
      <c r="V256" s="12">
        <f>paper3[[#This Row],[height]]-paper3[[#This Row],[sittingheight]]</f>
        <v>81.250000000000014</v>
      </c>
      <c r="W256" s="73">
        <v>71.2</v>
      </c>
      <c r="X256" s="43" cm="1">
        <f t="array" ref="X256">INDEX([1]!phvny[yphv], MATCH(1, (paper3[[#This Row],[id]]=[1]!phvny[id])*(paper3[[#This Row],[time]]=[1]!phvny[time]), 0))</f>
        <v>3.8708473169087414</v>
      </c>
      <c r="Y256" s="3">
        <v>1.98</v>
      </c>
      <c r="Z256" s="3">
        <v>3.38</v>
      </c>
      <c r="AA256" s="3">
        <v>4.72</v>
      </c>
      <c r="AB256" s="3">
        <v>1.95</v>
      </c>
      <c r="AC256" s="3">
        <v>3.34</v>
      </c>
      <c r="AD256" s="3">
        <v>4.6900000000000004</v>
      </c>
      <c r="AE256" s="3">
        <v>1.97</v>
      </c>
      <c r="AF256" s="3">
        <v>3.36</v>
      </c>
      <c r="AG256" s="3">
        <v>4.71</v>
      </c>
      <c r="AH256" s="44">
        <v>1.95</v>
      </c>
      <c r="AI256" s="44">
        <v>3.34</v>
      </c>
      <c r="AJ256" s="44">
        <v>4.6900000000000004</v>
      </c>
      <c r="AK256" s="45">
        <v>7.4074074074074048</v>
      </c>
      <c r="AL256" s="3">
        <v>10.23</v>
      </c>
      <c r="AM256" s="3">
        <v>9.66</v>
      </c>
      <c r="AN256" s="3">
        <v>10.199999999999999</v>
      </c>
      <c r="AO256" s="3">
        <v>10.01</v>
      </c>
      <c r="AP256" s="3">
        <v>9.66</v>
      </c>
      <c r="AQ256" s="47">
        <v>9.66</v>
      </c>
      <c r="AR256" s="47">
        <v>10.01</v>
      </c>
      <c r="AS256" s="3">
        <v>31.33</v>
      </c>
      <c r="AT256" s="3">
        <v>31.94</v>
      </c>
      <c r="AU256" s="3">
        <v>33.93</v>
      </c>
      <c r="AV256" s="3">
        <v>33.479999999999997</v>
      </c>
      <c r="AW256" s="3"/>
      <c r="AX256" s="48">
        <v>33.93</v>
      </c>
      <c r="AY256" s="71" t="s">
        <v>197</v>
      </c>
      <c r="AZ256" s="3">
        <v>10</v>
      </c>
      <c r="BA256" s="3"/>
      <c r="BB256" s="3"/>
      <c r="BC256" s="3"/>
      <c r="BD256" s="40">
        <v>1375.9817884971378</v>
      </c>
      <c r="BE256" s="40">
        <v>1305.2615053657742</v>
      </c>
      <c r="BF256" s="40"/>
      <c r="BG256" s="40">
        <v>540.85931706687222</v>
      </c>
      <c r="BH256" s="40">
        <v>526.89100007893649</v>
      </c>
      <c r="BI256" s="49">
        <v>2681.2432938629117</v>
      </c>
      <c r="BJ256" s="49">
        <v>1067.7503171458088</v>
      </c>
      <c r="BK256" s="66">
        <v>5.4180930672237615E-2</v>
      </c>
      <c r="BL256" s="66">
        <v>2.6510828588537372E-2</v>
      </c>
      <c r="BM256" s="51">
        <v>37.657911430658871</v>
      </c>
      <c r="BN256" s="51">
        <v>14.99649321834001</v>
      </c>
      <c r="BO256" s="52">
        <v>312</v>
      </c>
      <c r="BP256" s="40">
        <v>312</v>
      </c>
      <c r="BQ256" s="40">
        <v>311</v>
      </c>
      <c r="BR256" s="67">
        <v>3.215434083601254E-3</v>
      </c>
      <c r="BS256" s="54">
        <v>4.375</v>
      </c>
      <c r="BT256" s="3">
        <v>154</v>
      </c>
      <c r="BU256" s="40">
        <v>146</v>
      </c>
      <c r="BV256" s="3">
        <v>195</v>
      </c>
      <c r="BW256" s="3">
        <v>193</v>
      </c>
      <c r="BX256" s="70">
        <v>5.4794520547945202E-2</v>
      </c>
      <c r="BY256" s="70">
        <v>1.0362694300518172E-2</v>
      </c>
      <c r="BZ256" s="59">
        <v>0.75647668393782386</v>
      </c>
      <c r="CA256" s="59">
        <v>0.78974358974358971</v>
      </c>
      <c r="CB256" s="59">
        <v>1.7117275280898878</v>
      </c>
      <c r="CC256" s="59">
        <v>2.2138342696629216</v>
      </c>
      <c r="CD256" s="60">
        <v>97</v>
      </c>
      <c r="CE256" s="60">
        <v>112</v>
      </c>
      <c r="CF256" s="61">
        <v>1.3623595505617978</v>
      </c>
      <c r="CG256" s="61">
        <v>1.5730337078651684</v>
      </c>
      <c r="CH256" s="61">
        <v>1.1546391752577319</v>
      </c>
      <c r="CI256" s="41"/>
      <c r="CJ256" s="40"/>
      <c r="CK256" s="3"/>
      <c r="CL256" s="62"/>
      <c r="CM256" s="63" t="s">
        <v>110</v>
      </c>
      <c r="CN256" s="3">
        <v>154</v>
      </c>
      <c r="CO256" s="3">
        <v>195</v>
      </c>
      <c r="CP256" s="41">
        <v>16.777777777777779</v>
      </c>
      <c r="CQ256" s="3" t="s">
        <v>110</v>
      </c>
      <c r="CR256" s="40">
        <v>150</v>
      </c>
      <c r="CS256" s="40">
        <v>194</v>
      </c>
      <c r="CT256" s="40">
        <v>311.5</v>
      </c>
      <c r="CU256" s="40"/>
      <c r="CV256" s="40"/>
      <c r="CW256" s="40"/>
      <c r="CX256" s="40"/>
      <c r="CY256" s="40">
        <v>0</v>
      </c>
      <c r="CZ256" s="40"/>
      <c r="DA256" s="40"/>
    </row>
    <row r="257" spans="1:105" ht="15.75" customHeight="1">
      <c r="A257" s="2">
        <v>534</v>
      </c>
      <c r="B257" s="38" t="s">
        <v>103</v>
      </c>
      <c r="C257" s="3">
        <v>0</v>
      </c>
      <c r="D257" s="3" t="s">
        <v>105</v>
      </c>
      <c r="E257" s="39">
        <v>45028</v>
      </c>
      <c r="F257" s="3" t="s">
        <v>186</v>
      </c>
      <c r="G257" s="3" t="s">
        <v>107</v>
      </c>
      <c r="H257" s="3">
        <v>2006</v>
      </c>
      <c r="I257" s="40" t="s">
        <v>121</v>
      </c>
      <c r="J257" s="39" t="s">
        <v>120</v>
      </c>
      <c r="K257" s="3">
        <v>167.8</v>
      </c>
      <c r="L257" s="3">
        <v>168.2</v>
      </c>
      <c r="M257" s="3">
        <v>167.7</v>
      </c>
      <c r="N257" s="3">
        <v>143.4</v>
      </c>
      <c r="O257" s="3">
        <v>143</v>
      </c>
      <c r="P257" s="3">
        <v>143</v>
      </c>
      <c r="Q257" s="3">
        <v>67.099999999999994</v>
      </c>
      <c r="R257" s="3"/>
      <c r="S257" s="3"/>
      <c r="T257" s="42">
        <v>167.9</v>
      </c>
      <c r="U257" s="42">
        <f>AVERAGE(paper3[[#This Row],[Sittende høyde 1]:[Sittende høyde 3]])-56.2</f>
        <v>86.933333333333323</v>
      </c>
      <c r="V257" s="12">
        <f>paper3[[#This Row],[height]]-paper3[[#This Row],[sittingheight]]</f>
        <v>80.966666666666683</v>
      </c>
      <c r="W257" s="73">
        <v>67.099999999999994</v>
      </c>
      <c r="X257" s="43" cm="1">
        <f t="array" ref="X257">INDEX([1]!phvny[yphv], MATCH(1, (paper3[[#This Row],[id]]=[1]!phvny[id])*(paper3[[#This Row],[time]]=[1]!phvny[time]), 0))</f>
        <v>3.7896936155352172</v>
      </c>
      <c r="Y257" s="3">
        <v>1.98</v>
      </c>
      <c r="Z257" s="3">
        <v>3.41</v>
      </c>
      <c r="AA257" s="3">
        <v>4.78</v>
      </c>
      <c r="AB257" s="3">
        <v>1.98</v>
      </c>
      <c r="AC257" s="3">
        <v>3.39</v>
      </c>
      <c r="AD257" s="3">
        <v>4.74</v>
      </c>
      <c r="AE257" s="3">
        <v>1.95</v>
      </c>
      <c r="AF257" s="3">
        <v>3.37</v>
      </c>
      <c r="AG257" s="3">
        <v>4.75</v>
      </c>
      <c r="AH257" s="44">
        <v>1.95</v>
      </c>
      <c r="AI257" s="44">
        <v>3.37</v>
      </c>
      <c r="AJ257" s="44">
        <v>4.74</v>
      </c>
      <c r="AK257" s="45">
        <v>7.2992700729926998</v>
      </c>
      <c r="AL257" s="3">
        <v>10.95</v>
      </c>
      <c r="AM257" s="3">
        <v>10.63</v>
      </c>
      <c r="AN257" s="3">
        <v>11.1</v>
      </c>
      <c r="AO257" s="3">
        <v>10.68</v>
      </c>
      <c r="AP257" s="3">
        <v>10.63</v>
      </c>
      <c r="AQ257" s="47">
        <v>10.63</v>
      </c>
      <c r="AR257" s="47">
        <v>10.68</v>
      </c>
      <c r="AS257" s="3">
        <v>28.11</v>
      </c>
      <c r="AT257" s="3">
        <v>28.65</v>
      </c>
      <c r="AU257" s="3">
        <v>27.91</v>
      </c>
      <c r="AV257" s="3">
        <v>31.13</v>
      </c>
      <c r="AW257" s="3">
        <v>27.53</v>
      </c>
      <c r="AX257" s="48">
        <v>31.13</v>
      </c>
      <c r="AY257" s="71" t="s">
        <v>197</v>
      </c>
      <c r="AZ257" s="3">
        <v>10</v>
      </c>
      <c r="BA257" s="3"/>
      <c r="BB257" s="3"/>
      <c r="BC257" s="3"/>
      <c r="BD257" s="40">
        <v>1072.6710053651284</v>
      </c>
      <c r="BE257" s="40">
        <v>1102.5195019259847</v>
      </c>
      <c r="BF257" s="40"/>
      <c r="BG257" s="40">
        <v>523.56008218409431</v>
      </c>
      <c r="BH257" s="40">
        <v>475.96337124190546</v>
      </c>
      <c r="BI257" s="49">
        <v>2175.1905072911131</v>
      </c>
      <c r="BJ257" s="49">
        <v>999.52345342599983</v>
      </c>
      <c r="BK257" s="66">
        <v>-2.7072987379102353E-2</v>
      </c>
      <c r="BL257" s="66">
        <v>0.10000078539236612</v>
      </c>
      <c r="BM257" s="51">
        <v>32.417146159331047</v>
      </c>
      <c r="BN257" s="51">
        <v>14.896027621847987</v>
      </c>
      <c r="BO257" s="52">
        <v>301</v>
      </c>
      <c r="BP257" s="40">
        <v>301</v>
      </c>
      <c r="BQ257" s="40">
        <v>299</v>
      </c>
      <c r="BR257" s="67">
        <v>6.6889632107023367E-3</v>
      </c>
      <c r="BS257" s="54">
        <v>4.4709388971684056</v>
      </c>
      <c r="BT257" s="3">
        <v>132</v>
      </c>
      <c r="BU257" s="40">
        <v>134</v>
      </c>
      <c r="BV257" s="3">
        <v>124</v>
      </c>
      <c r="BW257" s="3">
        <v>134</v>
      </c>
      <c r="BX257" s="70">
        <v>-1.4925373134328401E-2</v>
      </c>
      <c r="BY257" s="70">
        <v>-7.4626865671641784E-2</v>
      </c>
      <c r="BZ257" s="59">
        <v>1</v>
      </c>
      <c r="CA257" s="59">
        <v>1.064516129032258</v>
      </c>
      <c r="CB257" s="59">
        <v>1.6048534525583711</v>
      </c>
      <c r="CC257" s="59">
        <v>1.5565871833084954</v>
      </c>
      <c r="CD257" s="60">
        <v>110</v>
      </c>
      <c r="CE257" s="60">
        <v>108</v>
      </c>
      <c r="CF257" s="61">
        <v>1.639344262295082</v>
      </c>
      <c r="CG257" s="61">
        <v>1.6095380029806261</v>
      </c>
      <c r="CH257" s="61">
        <v>0.98181818181818192</v>
      </c>
      <c r="CI257" s="41"/>
      <c r="CJ257" s="40"/>
      <c r="CK257" s="3"/>
      <c r="CL257" s="62"/>
      <c r="CM257" s="63" t="s">
        <v>110</v>
      </c>
      <c r="CN257" s="3">
        <v>134</v>
      </c>
      <c r="CO257" s="3">
        <v>134</v>
      </c>
      <c r="CP257" s="41">
        <v>17.272222222222222</v>
      </c>
      <c r="CQ257" s="3" t="s">
        <v>110</v>
      </c>
      <c r="CR257" s="40">
        <v>133</v>
      </c>
      <c r="CS257" s="40">
        <v>129</v>
      </c>
      <c r="CT257" s="40">
        <v>300</v>
      </c>
      <c r="CU257" s="40"/>
      <c r="CV257" s="40"/>
      <c r="CW257" s="40"/>
      <c r="CX257" s="40"/>
      <c r="CY257" s="40">
        <v>0</v>
      </c>
      <c r="CZ257" s="40"/>
      <c r="DA257" s="40"/>
    </row>
    <row r="258" spans="1:105" ht="15.95" customHeight="1">
      <c r="A258" s="3">
        <v>535</v>
      </c>
      <c r="B258" s="38" t="s">
        <v>103</v>
      </c>
      <c r="C258" s="3">
        <v>0</v>
      </c>
      <c r="D258" s="3" t="s">
        <v>105</v>
      </c>
      <c r="E258" s="39">
        <v>45029</v>
      </c>
      <c r="F258" s="3" t="s">
        <v>186</v>
      </c>
      <c r="G258" s="3" t="s">
        <v>122</v>
      </c>
      <c r="H258" s="3">
        <v>2006</v>
      </c>
      <c r="I258" s="40" t="s">
        <v>121</v>
      </c>
      <c r="J258" s="39" t="s">
        <v>157</v>
      </c>
      <c r="K258" s="3">
        <v>188.1</v>
      </c>
      <c r="L258" s="3">
        <v>188.1</v>
      </c>
      <c r="M258" s="3"/>
      <c r="N258" s="3">
        <v>152</v>
      </c>
      <c r="O258" s="3">
        <v>151.80000000000001</v>
      </c>
      <c r="P258" s="3"/>
      <c r="Q258" s="3">
        <v>78.099999999999994</v>
      </c>
      <c r="R258" s="3"/>
      <c r="S258" s="3"/>
      <c r="T258" s="42">
        <v>188.1</v>
      </c>
      <c r="U258" s="42">
        <f>AVERAGE(paper3[[#This Row],[Sittende høyde 1]:[Sittende høyde 3]])-56.2</f>
        <v>95.7</v>
      </c>
      <c r="V258" s="12">
        <f>paper3[[#This Row],[height]]-paper3[[#This Row],[sittingheight]]</f>
        <v>92.399999999999991</v>
      </c>
      <c r="W258" s="73">
        <v>78.099999999999994</v>
      </c>
      <c r="X258" s="43" cm="1">
        <f t="array" ref="X258">INDEX([1]!phvny[yphv], MATCH(1, (paper3[[#This Row],[id]]=[1]!phvny[id])*(paper3[[#This Row],[time]]=[1]!phvny[time]), 0))</f>
        <v>3.0378670334736846</v>
      </c>
      <c r="Y258" s="3">
        <v>1.81</v>
      </c>
      <c r="Z258" s="3">
        <v>3.14</v>
      </c>
      <c r="AA258" s="60">
        <v>4.4000000000000004</v>
      </c>
      <c r="AB258" s="3">
        <v>1.8</v>
      </c>
      <c r="AC258" s="3">
        <v>3.09</v>
      </c>
      <c r="AD258" s="3">
        <v>4.37</v>
      </c>
      <c r="AE258" s="3">
        <v>1.79</v>
      </c>
      <c r="AF258" s="3">
        <v>3.1</v>
      </c>
      <c r="AG258" s="3">
        <v>4.3600000000000003</v>
      </c>
      <c r="AH258" s="44">
        <v>1.79</v>
      </c>
      <c r="AI258" s="44">
        <v>3.09</v>
      </c>
      <c r="AJ258" s="44">
        <v>4.3600000000000003</v>
      </c>
      <c r="AK258" s="45">
        <v>7.8740157480314936</v>
      </c>
      <c r="AL258" s="3">
        <v>10.029999999999999</v>
      </c>
      <c r="AM258" s="3">
        <v>9.6300000000000008</v>
      </c>
      <c r="AN258" s="3">
        <v>9.9</v>
      </c>
      <c r="AO258" s="3">
        <v>9.84</v>
      </c>
      <c r="AP258" s="3">
        <v>9.6300000000000008</v>
      </c>
      <c r="AQ258" s="47">
        <v>9.6300000000000008</v>
      </c>
      <c r="AR258" s="47">
        <v>9.84</v>
      </c>
      <c r="AS258" s="3">
        <v>37.36</v>
      </c>
      <c r="AT258" s="3">
        <v>36.49</v>
      </c>
      <c r="AU258" s="3">
        <v>36.32</v>
      </c>
      <c r="AV258" s="3"/>
      <c r="AW258" s="3"/>
      <c r="AX258" s="48">
        <v>37.36</v>
      </c>
      <c r="AY258" s="71" t="s">
        <v>198</v>
      </c>
      <c r="AZ258" s="3">
        <v>11</v>
      </c>
      <c r="BA258" s="3">
        <v>380</v>
      </c>
      <c r="BB258" s="3">
        <v>7</v>
      </c>
      <c r="BC258" s="3"/>
      <c r="BD258" s="40">
        <v>1123.3804236590572</v>
      </c>
      <c r="BE258" s="40">
        <v>1227.3130535343766</v>
      </c>
      <c r="BF258" s="40"/>
      <c r="BG258" s="40">
        <v>647.03580175007517</v>
      </c>
      <c r="BH258" s="40">
        <v>704.77420007759986</v>
      </c>
      <c r="BI258" s="49">
        <v>2350.6934771934339</v>
      </c>
      <c r="BJ258" s="49">
        <v>1351.810001827675</v>
      </c>
      <c r="BK258" s="66">
        <v>-8.4683064012085252E-2</v>
      </c>
      <c r="BL258" s="66">
        <v>-8.1924676472503344E-2</v>
      </c>
      <c r="BM258" s="51">
        <v>30.098508030645764</v>
      </c>
      <c r="BN258" s="51">
        <v>17.308706809573305</v>
      </c>
      <c r="BO258" s="52">
        <v>379</v>
      </c>
      <c r="BP258" s="40">
        <v>316</v>
      </c>
      <c r="BQ258" s="40">
        <v>379</v>
      </c>
      <c r="BR258" s="67">
        <v>-0.16622691292875991</v>
      </c>
      <c r="BS258" s="54">
        <v>4.4494238156209986</v>
      </c>
      <c r="BT258" s="3">
        <v>170</v>
      </c>
      <c r="BU258" s="40">
        <v>187</v>
      </c>
      <c r="BV258" s="3">
        <v>176</v>
      </c>
      <c r="BW258" s="3">
        <v>195</v>
      </c>
      <c r="BX258" s="70">
        <v>-9.0909090909090939E-2</v>
      </c>
      <c r="BY258" s="70">
        <v>-9.7435897435897423E-2</v>
      </c>
      <c r="BZ258" s="59">
        <v>0.95897435897435901</v>
      </c>
      <c r="CA258" s="59">
        <v>0.96590909090909094</v>
      </c>
      <c r="CB258" s="59">
        <v>2.1118309859154931</v>
      </c>
      <c r="CC258" s="59">
        <v>2.1946478873239434</v>
      </c>
      <c r="CD258" s="60">
        <v>160</v>
      </c>
      <c r="CE258" s="60">
        <v>119</v>
      </c>
      <c r="CF258" s="61">
        <v>2.0486555697823303</v>
      </c>
      <c r="CG258" s="61">
        <v>1.5236875800256082</v>
      </c>
      <c r="CH258" s="61">
        <v>0.74375000000000002</v>
      </c>
      <c r="CI258" s="41">
        <v>17.8</v>
      </c>
      <c r="CJ258" s="40">
        <f>VLOOKUP(paper3[[#This Row],[YYIR nivå]],$DB:$DC,2)</f>
        <v>1720</v>
      </c>
      <c r="CK258" s="3" t="s">
        <v>188</v>
      </c>
      <c r="CL258" s="62"/>
      <c r="CM258" s="63" t="s">
        <v>110</v>
      </c>
      <c r="CN258" s="3">
        <v>187</v>
      </c>
      <c r="CO258" s="3">
        <v>195</v>
      </c>
      <c r="CP258" s="41">
        <v>16.627777777777776</v>
      </c>
      <c r="CQ258" s="3" t="s">
        <v>110</v>
      </c>
      <c r="CR258" s="40">
        <v>178.5</v>
      </c>
      <c r="CS258" s="40">
        <v>185.5</v>
      </c>
      <c r="CT258" s="40">
        <v>347.5</v>
      </c>
      <c r="CU258" s="40"/>
      <c r="CV258" s="40"/>
      <c r="CW258" s="40"/>
      <c r="CX258" s="40"/>
      <c r="CY258" s="40">
        <v>0</v>
      </c>
      <c r="CZ258" s="40"/>
      <c r="DA258" s="40"/>
    </row>
    <row r="259" spans="1:105" ht="15.95" customHeight="1">
      <c r="A259" s="3">
        <v>536</v>
      </c>
      <c r="B259" s="38" t="s">
        <v>103</v>
      </c>
      <c r="C259" s="3">
        <v>0</v>
      </c>
      <c r="D259" s="3" t="s">
        <v>105</v>
      </c>
      <c r="E259" s="39">
        <v>45029</v>
      </c>
      <c r="F259" s="3" t="s">
        <v>186</v>
      </c>
      <c r="G259" s="3" t="s">
        <v>122</v>
      </c>
      <c r="H259" s="3">
        <v>2006</v>
      </c>
      <c r="I259" s="40" t="s">
        <v>121</v>
      </c>
      <c r="J259" s="39" t="s">
        <v>157</v>
      </c>
      <c r="K259" s="3">
        <v>187.7</v>
      </c>
      <c r="L259" s="3">
        <v>187.8</v>
      </c>
      <c r="M259" s="3"/>
      <c r="N259" s="3">
        <v>152</v>
      </c>
      <c r="O259" s="3">
        <v>152</v>
      </c>
      <c r="P259" s="3"/>
      <c r="Q259" s="3">
        <v>74</v>
      </c>
      <c r="R259" s="3"/>
      <c r="S259" s="3"/>
      <c r="T259" s="42">
        <v>187.75</v>
      </c>
      <c r="U259" s="42">
        <f>AVERAGE(paper3[[#This Row],[Sittende høyde 1]:[Sittende høyde 3]])-56.2</f>
        <v>95.8</v>
      </c>
      <c r="V259" s="12">
        <f>paper3[[#This Row],[height]]-paper3[[#This Row],[sittingheight]]</f>
        <v>91.95</v>
      </c>
      <c r="W259" s="73">
        <v>74</v>
      </c>
      <c r="X259" s="43" cm="1">
        <f t="array" ref="X259">INDEX([1]!phvny[yphv], MATCH(1, (paper3[[#This Row],[id]]=[1]!phvny[id])*(paper3[[#This Row],[time]]=[1]!phvny[time]), 0))</f>
        <v>3.2501213984937847</v>
      </c>
      <c r="Y259" s="3">
        <v>1.81</v>
      </c>
      <c r="Z259" s="3">
        <v>3.09</v>
      </c>
      <c r="AA259" s="3">
        <v>4.3099999999999996</v>
      </c>
      <c r="AB259" s="3">
        <v>1.81</v>
      </c>
      <c r="AC259" s="3">
        <v>3.07</v>
      </c>
      <c r="AD259" s="3">
        <v>4.2300000000000004</v>
      </c>
      <c r="AE259" s="3">
        <v>1.78</v>
      </c>
      <c r="AF259" s="3">
        <v>3.04</v>
      </c>
      <c r="AG259" s="3">
        <v>4.24</v>
      </c>
      <c r="AH259" s="44">
        <v>1.78</v>
      </c>
      <c r="AI259" s="44">
        <v>3.04</v>
      </c>
      <c r="AJ259" s="44">
        <v>4.2300000000000004</v>
      </c>
      <c r="AK259" s="45">
        <v>8.4033613445378119</v>
      </c>
      <c r="AL259" s="3">
        <v>8.83</v>
      </c>
      <c r="AM259" s="3">
        <v>8.44</v>
      </c>
      <c r="AN259" s="3">
        <v>9.0299999999999994</v>
      </c>
      <c r="AO259" s="46">
        <v>8.57</v>
      </c>
      <c r="AP259" s="3">
        <v>8.44</v>
      </c>
      <c r="AQ259" s="47">
        <v>8.44</v>
      </c>
      <c r="AR259" s="47">
        <v>8.57</v>
      </c>
      <c r="AS259" s="3">
        <v>47.05</v>
      </c>
      <c r="AT259" s="3">
        <v>46.86</v>
      </c>
      <c r="AU259" s="3">
        <v>47.13</v>
      </c>
      <c r="AV259" s="3">
        <v>49.19</v>
      </c>
      <c r="AW259" s="3">
        <v>45.43</v>
      </c>
      <c r="AX259" s="48">
        <v>49.19</v>
      </c>
      <c r="AY259" s="71"/>
      <c r="AZ259" s="3">
        <v>9</v>
      </c>
      <c r="BA259" s="3">
        <v>380</v>
      </c>
      <c r="BB259" s="3">
        <v>9</v>
      </c>
      <c r="BC259" s="3"/>
      <c r="BD259" s="40">
        <v>1659.7436901406018</v>
      </c>
      <c r="BE259" s="40">
        <v>1542.2347580938872</v>
      </c>
      <c r="BF259" s="40"/>
      <c r="BG259" s="40">
        <v>892.30195861031757</v>
      </c>
      <c r="BH259" s="40">
        <v>772.33011148691833</v>
      </c>
      <c r="BI259" s="49">
        <v>3201.978448234489</v>
      </c>
      <c r="BJ259" s="49">
        <v>1664.632070097236</v>
      </c>
      <c r="BK259" s="66">
        <v>7.6193933141507353E-2</v>
      </c>
      <c r="BL259" s="66">
        <v>0.15533752386324173</v>
      </c>
      <c r="BM259" s="51">
        <v>43.269979030195799</v>
      </c>
      <c r="BN259" s="51">
        <v>22.495027974286973</v>
      </c>
      <c r="BO259" s="52">
        <v>371</v>
      </c>
      <c r="BP259" s="40">
        <v>354</v>
      </c>
      <c r="BQ259" s="40">
        <v>371</v>
      </c>
      <c r="BR259" s="67">
        <v>-4.5822102425876032E-2</v>
      </c>
      <c r="BS259" s="54">
        <v>4.8986486486486482</v>
      </c>
      <c r="BT259" s="3">
        <v>220</v>
      </c>
      <c r="BU259" s="40">
        <v>139</v>
      </c>
      <c r="BV259" s="3">
        <v>219</v>
      </c>
      <c r="BW259" s="3">
        <v>172</v>
      </c>
      <c r="BX259" s="70">
        <v>0.58273381294964022</v>
      </c>
      <c r="BY259" s="70">
        <v>0.27325581395348841</v>
      </c>
      <c r="BZ259" s="59">
        <v>0.80813953488372092</v>
      </c>
      <c r="CA259" s="59">
        <v>1.004566210045662</v>
      </c>
      <c r="CB259" s="59">
        <v>2.2304087837837838</v>
      </c>
      <c r="CC259" s="59">
        <v>2.4292195945945947</v>
      </c>
      <c r="CD259" s="60">
        <v>112</v>
      </c>
      <c r="CE259" s="60">
        <v>88</v>
      </c>
      <c r="CF259" s="61">
        <v>1.5135135135135136</v>
      </c>
      <c r="CG259" s="61">
        <v>1.1891891891891893</v>
      </c>
      <c r="CH259" s="61">
        <v>0.7857142857142857</v>
      </c>
      <c r="CI259" s="41">
        <v>17.100000000000001</v>
      </c>
      <c r="CJ259" s="40">
        <f>VLOOKUP(paper3[[#This Row],[YYIR nivå]],$DB:$DC,2)</f>
        <v>1440</v>
      </c>
      <c r="CK259" s="3"/>
      <c r="CL259" s="62"/>
      <c r="CM259" s="63" t="s">
        <v>110</v>
      </c>
      <c r="CN259" s="3">
        <v>220</v>
      </c>
      <c r="CO259" s="3">
        <v>219</v>
      </c>
      <c r="CP259" s="41">
        <v>17.083333333333332</v>
      </c>
      <c r="CQ259" s="3" t="s">
        <v>110</v>
      </c>
      <c r="CR259" s="40">
        <v>179.5</v>
      </c>
      <c r="CS259" s="40">
        <v>195.5</v>
      </c>
      <c r="CT259" s="40">
        <v>362.5</v>
      </c>
      <c r="CU259" s="40"/>
      <c r="CV259" s="40"/>
      <c r="CW259" s="40"/>
      <c r="CX259" s="40"/>
      <c r="CY259" s="40">
        <v>0</v>
      </c>
      <c r="CZ259" s="40"/>
      <c r="DA259" s="40"/>
    </row>
    <row r="260" spans="1:105" ht="15.95" customHeight="1">
      <c r="A260" s="3">
        <v>537</v>
      </c>
      <c r="B260" s="38" t="s">
        <v>103</v>
      </c>
      <c r="C260" s="3">
        <v>0</v>
      </c>
      <c r="D260" s="3" t="s">
        <v>105</v>
      </c>
      <c r="E260" s="39">
        <v>45029</v>
      </c>
      <c r="F260" s="3" t="s">
        <v>186</v>
      </c>
      <c r="G260" s="3" t="s">
        <v>122</v>
      </c>
      <c r="H260" s="3">
        <v>2006</v>
      </c>
      <c r="I260" s="40" t="s">
        <v>121</v>
      </c>
      <c r="J260" s="39" t="s">
        <v>157</v>
      </c>
      <c r="K260" s="3">
        <v>182</v>
      </c>
      <c r="L260" s="3">
        <v>182.1</v>
      </c>
      <c r="M260" s="3"/>
      <c r="N260" s="3">
        <v>149.5</v>
      </c>
      <c r="O260" s="3">
        <v>150.30000000000001</v>
      </c>
      <c r="P260" s="3">
        <v>150.1</v>
      </c>
      <c r="Q260" s="3">
        <v>88.2</v>
      </c>
      <c r="R260" s="3"/>
      <c r="S260" s="3"/>
      <c r="T260" s="42">
        <v>182.05</v>
      </c>
      <c r="U260" s="42">
        <f>AVERAGE(paper3[[#This Row],[Sittende høyde 1]:[Sittende høyde 3]])-56.2</f>
        <v>93.766666666666666</v>
      </c>
      <c r="V260" s="12">
        <f>paper3[[#This Row],[height]]-paper3[[#This Row],[sittingheight]]</f>
        <v>88.283333333333346</v>
      </c>
      <c r="W260" s="73">
        <v>88.2</v>
      </c>
      <c r="X260" s="43" cm="1">
        <f t="array" ref="X260">INDEX([1]!phvny[yphv], MATCH(1, (paper3[[#This Row],[id]]=[1]!phvny[id])*(paper3[[#This Row],[time]]=[1]!phvny[time]), 0))</f>
        <v>2.7990416180479221</v>
      </c>
      <c r="Y260" s="3">
        <v>1.86</v>
      </c>
      <c r="Z260" s="3">
        <v>3.12</v>
      </c>
      <c r="AA260" s="3">
        <v>4.32</v>
      </c>
      <c r="AB260" s="3">
        <v>1.85</v>
      </c>
      <c r="AC260" s="3">
        <v>3.12</v>
      </c>
      <c r="AD260" s="3">
        <v>4.32</v>
      </c>
      <c r="AE260" s="3">
        <v>1.89</v>
      </c>
      <c r="AF260" s="3">
        <v>3.19</v>
      </c>
      <c r="AG260" s="3">
        <v>4.4400000000000004</v>
      </c>
      <c r="AH260" s="44">
        <v>1.85</v>
      </c>
      <c r="AI260" s="44">
        <v>3.12</v>
      </c>
      <c r="AJ260" s="44">
        <v>4.32</v>
      </c>
      <c r="AK260" s="45">
        <v>8.3333333333333321</v>
      </c>
      <c r="AL260" s="3">
        <v>9.65</v>
      </c>
      <c r="AM260" s="3">
        <v>9.56</v>
      </c>
      <c r="AN260" s="3"/>
      <c r="AO260" s="3">
        <v>9.93</v>
      </c>
      <c r="AP260" s="3">
        <v>9.56</v>
      </c>
      <c r="AQ260" s="47">
        <v>9.56</v>
      </c>
      <c r="AR260" s="47">
        <v>9.93</v>
      </c>
      <c r="AS260" s="3">
        <v>39.299999999999997</v>
      </c>
      <c r="AT260" s="3">
        <v>39.21</v>
      </c>
      <c r="AU260" s="3">
        <v>36.76</v>
      </c>
      <c r="AV260" s="3"/>
      <c r="AW260" s="3"/>
      <c r="AX260" s="48">
        <v>39.299999999999997</v>
      </c>
      <c r="AY260" s="71"/>
      <c r="AZ260" s="3">
        <v>11</v>
      </c>
      <c r="BA260" s="3">
        <v>380</v>
      </c>
      <c r="BB260" s="3"/>
      <c r="BC260" s="3"/>
      <c r="BD260" s="40">
        <v>1820.042580603546</v>
      </c>
      <c r="BE260" s="40">
        <v>1882.4214386175438</v>
      </c>
      <c r="BF260" s="40"/>
      <c r="BG260" s="40">
        <v>800.66838208038848</v>
      </c>
      <c r="BH260" s="40">
        <v>866.99030456080004</v>
      </c>
      <c r="BI260" s="49">
        <v>3702.46401922109</v>
      </c>
      <c r="BJ260" s="49">
        <v>1667.6586866411885</v>
      </c>
      <c r="BK260" s="66">
        <v>-3.3137562468375292E-2</v>
      </c>
      <c r="BL260" s="66">
        <v>-7.649672912318084E-2</v>
      </c>
      <c r="BM260" s="51">
        <v>41.978050104547506</v>
      </c>
      <c r="BN260" s="51">
        <v>18.90769485987742</v>
      </c>
      <c r="BO260" s="52">
        <v>446</v>
      </c>
      <c r="BP260" s="40">
        <v>446</v>
      </c>
      <c r="BQ260" s="40">
        <v>426</v>
      </c>
      <c r="BR260" s="67">
        <v>4.6948356807511749E-2</v>
      </c>
      <c r="BS260" s="54">
        <v>4.9433106575963714</v>
      </c>
      <c r="BT260" s="3">
        <v>256</v>
      </c>
      <c r="BU260" s="40">
        <v>195</v>
      </c>
      <c r="BV260" s="3">
        <v>261</v>
      </c>
      <c r="BW260" s="3">
        <v>195</v>
      </c>
      <c r="BX260" s="70">
        <v>0.31282051282051282</v>
      </c>
      <c r="BY260" s="70">
        <v>0.33846153846153837</v>
      </c>
      <c r="BZ260" s="59">
        <v>1</v>
      </c>
      <c r="CA260" s="59">
        <v>0.98084291187739459</v>
      </c>
      <c r="CB260" s="59">
        <v>2.2571305744520034</v>
      </c>
      <c r="CC260" s="59">
        <v>2.282154195011338</v>
      </c>
      <c r="CD260" s="60">
        <v>102</v>
      </c>
      <c r="CE260" s="60">
        <v>105</v>
      </c>
      <c r="CF260" s="61">
        <v>1.1564625850340136</v>
      </c>
      <c r="CG260" s="61">
        <v>1.1904761904761905</v>
      </c>
      <c r="CH260" s="61">
        <v>1.0294117647058825</v>
      </c>
      <c r="CI260" s="41">
        <v>15.3</v>
      </c>
      <c r="CJ260" s="40">
        <f>VLOOKUP(paper3[[#This Row],[YYIR nivå]],$DB:$DC,2)</f>
        <v>880</v>
      </c>
      <c r="CK260" s="3"/>
      <c r="CL260" s="62"/>
      <c r="CM260" s="63" t="s">
        <v>110</v>
      </c>
      <c r="CN260" s="3">
        <v>256</v>
      </c>
      <c r="CO260" s="3">
        <v>261</v>
      </c>
      <c r="CP260" s="41">
        <v>16.388888888888889</v>
      </c>
      <c r="CQ260" s="3" t="s">
        <v>110</v>
      </c>
      <c r="CR260" s="40">
        <v>225.5</v>
      </c>
      <c r="CS260" s="40">
        <v>228</v>
      </c>
      <c r="CT260" s="40">
        <v>436</v>
      </c>
      <c r="CU260" s="40"/>
      <c r="CV260" s="40"/>
      <c r="CW260" s="40"/>
      <c r="CX260" s="40"/>
      <c r="CY260" s="40">
        <v>0</v>
      </c>
      <c r="CZ260" s="40"/>
      <c r="DA260" s="40"/>
    </row>
    <row r="261" spans="1:105" ht="15.95" customHeight="1">
      <c r="A261" s="3">
        <v>538</v>
      </c>
      <c r="B261" s="38" t="s">
        <v>103</v>
      </c>
      <c r="C261" s="3">
        <v>0</v>
      </c>
      <c r="D261" s="3" t="s">
        <v>105</v>
      </c>
      <c r="E261" s="39">
        <v>45029</v>
      </c>
      <c r="F261" s="3" t="s">
        <v>186</v>
      </c>
      <c r="G261" s="3" t="s">
        <v>122</v>
      </c>
      <c r="H261" s="3">
        <v>2006</v>
      </c>
      <c r="I261" s="40" t="s">
        <v>121</v>
      </c>
      <c r="J261" s="39" t="s">
        <v>157</v>
      </c>
      <c r="K261" s="3">
        <v>186.6</v>
      </c>
      <c r="L261" s="3">
        <v>186.6</v>
      </c>
      <c r="M261" s="3"/>
      <c r="N261" s="3">
        <v>155</v>
      </c>
      <c r="O261" s="3">
        <v>154.69999999999999</v>
      </c>
      <c r="P261" s="3">
        <v>154.5</v>
      </c>
      <c r="Q261" s="3">
        <v>78.8</v>
      </c>
      <c r="R261" s="3"/>
      <c r="S261" s="3"/>
      <c r="T261" s="42">
        <v>186.6</v>
      </c>
      <c r="U261" s="42">
        <f>AVERAGE(paper3[[#This Row],[Sittende høyde 1]:[Sittende høyde 3]])-56.2</f>
        <v>98.533333333333317</v>
      </c>
      <c r="V261" s="12">
        <f>paper3[[#This Row],[height]]-paper3[[#This Row],[sittingheight]]</f>
        <v>88.066666666666677</v>
      </c>
      <c r="W261" s="73">
        <v>78.8</v>
      </c>
      <c r="X261" s="43" cm="1">
        <f t="array" ref="X261">INDEX([1]!phvny[yphv], MATCH(1, (paper3[[#This Row],[id]]=[1]!phvny[id])*(paper3[[#This Row],[time]]=[1]!phvny[time]), 0))</f>
        <v>3.4644659625167282</v>
      </c>
      <c r="Y261" s="3">
        <v>1.85</v>
      </c>
      <c r="Z261" s="3">
        <v>3.13</v>
      </c>
      <c r="AA261" s="3">
        <v>4.3600000000000003</v>
      </c>
      <c r="AB261" s="3">
        <v>1.84</v>
      </c>
      <c r="AC261" s="3">
        <v>3.14</v>
      </c>
      <c r="AD261" s="3">
        <v>4.3499999999999996</v>
      </c>
      <c r="AE261" s="3">
        <v>1.88</v>
      </c>
      <c r="AF261" s="3">
        <v>3.19</v>
      </c>
      <c r="AG261" s="3">
        <v>4.41</v>
      </c>
      <c r="AH261" s="44">
        <v>1.84</v>
      </c>
      <c r="AI261" s="44">
        <v>3.13</v>
      </c>
      <c r="AJ261" s="44">
        <v>4.3499999999999996</v>
      </c>
      <c r="AK261" s="45">
        <v>8.1967213114754109</v>
      </c>
      <c r="AL261" s="3">
        <v>9.52</v>
      </c>
      <c r="AM261" s="3">
        <v>9.2899999999999991</v>
      </c>
      <c r="AN261" s="3">
        <v>10.130000000000001</v>
      </c>
      <c r="AO261" s="3">
        <v>9.84</v>
      </c>
      <c r="AP261" s="3">
        <v>9.2899999999999991</v>
      </c>
      <c r="AQ261" s="47">
        <v>9.2899999999999991</v>
      </c>
      <c r="AR261" s="47">
        <v>9.84</v>
      </c>
      <c r="AS261" s="3">
        <v>33.659999999999997</v>
      </c>
      <c r="AT261" s="3">
        <v>36.03</v>
      </c>
      <c r="AU261" s="3">
        <v>33.81</v>
      </c>
      <c r="AV261" s="3"/>
      <c r="AW261" s="3"/>
      <c r="AX261" s="48">
        <v>36.03</v>
      </c>
      <c r="AY261" s="71"/>
      <c r="AZ261" s="3">
        <v>10</v>
      </c>
      <c r="BA261" s="3">
        <v>380</v>
      </c>
      <c r="BB261" s="3">
        <v>8</v>
      </c>
      <c r="BC261" s="3"/>
      <c r="BD261" s="40">
        <v>1433.7289072426954</v>
      </c>
      <c r="BE261" s="40">
        <v>1404.0045833637314</v>
      </c>
      <c r="BF261" s="40"/>
      <c r="BG261" s="40">
        <v>708.68255889260058</v>
      </c>
      <c r="BH261" s="40">
        <v>697.96325545838545</v>
      </c>
      <c r="BI261" s="49">
        <v>2837.733490606427</v>
      </c>
      <c r="BJ261" s="49">
        <v>1406.645814350986</v>
      </c>
      <c r="BK261" s="66">
        <v>2.1171101740814935E-2</v>
      </c>
      <c r="BL261" s="66">
        <v>1.5357976727836897E-2</v>
      </c>
      <c r="BM261" s="51">
        <v>36.011846327492734</v>
      </c>
      <c r="BN261" s="51">
        <v>17.850835207499824</v>
      </c>
      <c r="BO261" s="52">
        <v>421</v>
      </c>
      <c r="BP261" s="40">
        <v>421</v>
      </c>
      <c r="BQ261" s="40">
        <v>386</v>
      </c>
      <c r="BR261" s="67">
        <v>9.0673575129533779E-2</v>
      </c>
      <c r="BS261" s="54">
        <v>5.1205583756345181</v>
      </c>
      <c r="BT261" s="3">
        <v>182</v>
      </c>
      <c r="BU261" s="40">
        <v>172</v>
      </c>
      <c r="BV261" s="3">
        <v>194</v>
      </c>
      <c r="BW261" s="3">
        <v>181</v>
      </c>
      <c r="BX261" s="70">
        <v>5.8139534883721034E-2</v>
      </c>
      <c r="BY261" s="70">
        <v>7.182320441988943E-2</v>
      </c>
      <c r="BZ261" s="59">
        <v>0.95027624309392267</v>
      </c>
      <c r="CA261" s="59">
        <v>0.93814432989690721</v>
      </c>
      <c r="CB261" s="59">
        <v>1.9781472081218276</v>
      </c>
      <c r="CC261" s="59">
        <v>2.0954949238578684</v>
      </c>
      <c r="CD261" s="60">
        <v>129</v>
      </c>
      <c r="CE261" s="60">
        <v>143</v>
      </c>
      <c r="CF261" s="61">
        <v>1.6370558375634519</v>
      </c>
      <c r="CG261" s="61">
        <v>1.8147208121827412</v>
      </c>
      <c r="CH261" s="61">
        <v>1.1085271317829457</v>
      </c>
      <c r="CI261" s="41">
        <v>15.2</v>
      </c>
      <c r="CJ261" s="40">
        <f>VLOOKUP(paper3[[#This Row],[YYIR nivå]],$DB:$DC,2)</f>
        <v>840</v>
      </c>
      <c r="CK261" s="3"/>
      <c r="CL261" s="62"/>
      <c r="CM261" s="63" t="s">
        <v>110</v>
      </c>
      <c r="CN261" s="3">
        <v>182</v>
      </c>
      <c r="CO261" s="3">
        <v>194</v>
      </c>
      <c r="CP261" s="41">
        <v>16.619444444444444</v>
      </c>
      <c r="CQ261" s="3" t="s">
        <v>110</v>
      </c>
      <c r="CR261" s="40">
        <v>177</v>
      </c>
      <c r="CS261" s="40">
        <v>187.5</v>
      </c>
      <c r="CT261" s="40">
        <v>403.5</v>
      </c>
      <c r="CU261" s="40"/>
      <c r="CV261" s="40"/>
      <c r="CW261" s="40"/>
      <c r="CX261" s="40"/>
      <c r="CY261" s="40">
        <v>0</v>
      </c>
      <c r="CZ261" s="40"/>
      <c r="DA261" s="40"/>
    </row>
    <row r="262" spans="1:105" ht="15.95" customHeight="1">
      <c r="A262" s="3">
        <v>539</v>
      </c>
      <c r="B262" s="38" t="s">
        <v>103</v>
      </c>
      <c r="C262" s="3">
        <v>0</v>
      </c>
      <c r="D262" s="3" t="s">
        <v>105</v>
      </c>
      <c r="E262" s="39">
        <v>45029</v>
      </c>
      <c r="F262" s="3" t="s">
        <v>186</v>
      </c>
      <c r="G262" s="3" t="s">
        <v>122</v>
      </c>
      <c r="H262" s="3">
        <v>2006</v>
      </c>
      <c r="I262" s="40" t="s">
        <v>121</v>
      </c>
      <c r="J262" s="39" t="s">
        <v>157</v>
      </c>
      <c r="K262" s="3">
        <v>195</v>
      </c>
      <c r="L262" s="3">
        <v>195</v>
      </c>
      <c r="M262" s="3"/>
      <c r="N262" s="3">
        <v>152.4</v>
      </c>
      <c r="O262" s="3">
        <v>152.5</v>
      </c>
      <c r="P262" s="3"/>
      <c r="Q262" s="3">
        <v>83.5</v>
      </c>
      <c r="R262" s="3"/>
      <c r="S262" s="3"/>
      <c r="T262" s="42">
        <v>195</v>
      </c>
      <c r="U262" s="42">
        <f>AVERAGE(paper3[[#This Row],[Sittende høyde 1]:[Sittende høyde 3]])-56.2</f>
        <v>96.249999999999986</v>
      </c>
      <c r="V262" s="12">
        <f>paper3[[#This Row],[height]]-paper3[[#This Row],[sittingheight]]</f>
        <v>98.750000000000014</v>
      </c>
      <c r="W262" s="73">
        <v>83.5</v>
      </c>
      <c r="X262" s="43" cm="1">
        <f t="array" ref="X262">INDEX([1]!phvny[yphv], MATCH(1, (paper3[[#This Row],[id]]=[1]!phvny[id])*(paper3[[#This Row],[time]]=[1]!phvny[time]), 0))</f>
        <v>3.0327472128739288</v>
      </c>
      <c r="Y262" s="3">
        <v>1.93</v>
      </c>
      <c r="Z262" s="3">
        <v>3.31</v>
      </c>
      <c r="AA262" s="3">
        <v>4.6500000000000004</v>
      </c>
      <c r="AB262" s="3">
        <v>1.97</v>
      </c>
      <c r="AC262" s="3">
        <v>3.37</v>
      </c>
      <c r="AD262" s="3">
        <v>4.7300000000000004</v>
      </c>
      <c r="AE262" s="3">
        <v>1.99</v>
      </c>
      <c r="AF262" s="3">
        <v>3.4</v>
      </c>
      <c r="AG262" s="3">
        <v>4.76</v>
      </c>
      <c r="AH262" s="44">
        <v>1.93</v>
      </c>
      <c r="AI262" s="44">
        <v>3.31</v>
      </c>
      <c r="AJ262" s="44">
        <v>4.6500000000000004</v>
      </c>
      <c r="AK262" s="45">
        <v>7.4626865671641776</v>
      </c>
      <c r="AL262" s="3">
        <v>10.16</v>
      </c>
      <c r="AM262" s="3">
        <v>10.36</v>
      </c>
      <c r="AN262" s="3">
        <v>10.41</v>
      </c>
      <c r="AO262" s="3">
        <v>10.14</v>
      </c>
      <c r="AP262" s="3">
        <v>10.14</v>
      </c>
      <c r="AQ262" s="47">
        <v>10.16</v>
      </c>
      <c r="AR262" s="47">
        <v>10.14</v>
      </c>
      <c r="AS262" s="3">
        <v>27.89</v>
      </c>
      <c r="AT262" s="3">
        <v>28.69</v>
      </c>
      <c r="AU262" s="3">
        <v>31.87</v>
      </c>
      <c r="AV262" s="3">
        <v>30.91</v>
      </c>
      <c r="AW262" s="3"/>
      <c r="AX262" s="48">
        <v>31.87</v>
      </c>
      <c r="AY262" s="71"/>
      <c r="AZ262" s="3">
        <v>13</v>
      </c>
      <c r="BA262" s="3">
        <v>380</v>
      </c>
      <c r="BB262" s="3">
        <v>8</v>
      </c>
      <c r="BC262" s="3"/>
      <c r="BD262" s="40">
        <v>1425.8720876292064</v>
      </c>
      <c r="BE262" s="40">
        <v>1401.2183369901798</v>
      </c>
      <c r="BF262" s="40"/>
      <c r="BG262" s="40">
        <v>596.84520496751725</v>
      </c>
      <c r="BH262" s="40">
        <v>685.2239994257767</v>
      </c>
      <c r="BI262" s="49">
        <v>2827.0904246193859</v>
      </c>
      <c r="BJ262" s="49">
        <v>1282.0692043932941</v>
      </c>
      <c r="BK262" s="66">
        <v>1.7594510425821941E-2</v>
      </c>
      <c r="BL262" s="66">
        <v>-0.12897796126860939</v>
      </c>
      <c r="BM262" s="51">
        <v>33.857370354723187</v>
      </c>
      <c r="BN262" s="51">
        <v>15.354122208302924</v>
      </c>
      <c r="BO262" s="52">
        <v>238</v>
      </c>
      <c r="BP262" s="40">
        <v>238</v>
      </c>
      <c r="BQ262" s="40">
        <v>234</v>
      </c>
      <c r="BR262" s="67">
        <v>1.7094017094017033E-2</v>
      </c>
      <c r="BS262" s="54">
        <v>2.8263473053892216</v>
      </c>
      <c r="BT262" s="3">
        <v>165</v>
      </c>
      <c r="BU262" s="40">
        <v>106</v>
      </c>
      <c r="BV262" s="3">
        <v>174</v>
      </c>
      <c r="BW262" s="3">
        <v>140</v>
      </c>
      <c r="BX262" s="70">
        <v>0.55660377358490565</v>
      </c>
      <c r="BY262" s="70">
        <v>0.24285714285714288</v>
      </c>
      <c r="BZ262" s="59">
        <v>0.75714285714285712</v>
      </c>
      <c r="CA262" s="59">
        <v>0.94827586206896552</v>
      </c>
      <c r="CB262" s="59">
        <v>1.6024700598802399</v>
      </c>
      <c r="CC262" s="59">
        <v>1.856736526946108</v>
      </c>
      <c r="CD262" s="60">
        <v>219</v>
      </c>
      <c r="CE262" s="60">
        <v>168</v>
      </c>
      <c r="CF262" s="61">
        <v>2.6227544910179641</v>
      </c>
      <c r="CG262" s="61">
        <v>2.0119760479041915</v>
      </c>
      <c r="CH262" s="61">
        <v>0.76712328767123283</v>
      </c>
      <c r="CI262" s="41">
        <v>15.7</v>
      </c>
      <c r="CJ262" s="40">
        <f>VLOOKUP(paper3[[#This Row],[YYIR nivå]],$DB:$DC,2)</f>
        <v>1040</v>
      </c>
      <c r="CK262" s="3"/>
      <c r="CL262" s="62"/>
      <c r="CM262" s="63" t="s">
        <v>110</v>
      </c>
      <c r="CN262" s="3">
        <v>165</v>
      </c>
      <c r="CO262" s="3">
        <v>174</v>
      </c>
      <c r="CP262" s="41">
        <v>16.430555555555557</v>
      </c>
      <c r="CQ262" s="3" t="s">
        <v>110</v>
      </c>
      <c r="CR262" s="40">
        <v>135.5</v>
      </c>
      <c r="CS262" s="40">
        <v>157</v>
      </c>
      <c r="CT262" s="40">
        <v>236</v>
      </c>
      <c r="CU262" s="40"/>
      <c r="CV262" s="40"/>
      <c r="CW262" s="40"/>
      <c r="CX262" s="40"/>
      <c r="CY262" s="40">
        <v>0</v>
      </c>
      <c r="CZ262" s="40"/>
      <c r="DA262" s="40"/>
    </row>
    <row r="263" spans="1:105" ht="15.95" customHeight="1">
      <c r="A263" s="3">
        <v>540</v>
      </c>
      <c r="B263" s="38" t="s">
        <v>103</v>
      </c>
      <c r="C263" s="3" t="s">
        <v>115</v>
      </c>
      <c r="D263" s="3" t="s">
        <v>105</v>
      </c>
      <c r="E263" s="39">
        <v>45043</v>
      </c>
      <c r="F263" s="3" t="s">
        <v>186</v>
      </c>
      <c r="G263" s="3" t="s">
        <v>122</v>
      </c>
      <c r="H263" s="3">
        <v>2007</v>
      </c>
      <c r="I263" s="40"/>
      <c r="J263" s="39" t="s">
        <v>157</v>
      </c>
      <c r="K263" s="3">
        <v>181.1</v>
      </c>
      <c r="L263" s="3">
        <v>181.1</v>
      </c>
      <c r="M263" s="3"/>
      <c r="N263" s="3">
        <v>152</v>
      </c>
      <c r="O263" s="3">
        <v>151.9</v>
      </c>
      <c r="P263" s="3"/>
      <c r="Q263" s="3">
        <v>78.400000000000006</v>
      </c>
      <c r="R263" s="3"/>
      <c r="S263" s="3"/>
      <c r="T263" s="42">
        <v>181.1</v>
      </c>
      <c r="U263" s="42">
        <f>AVERAGE(paper3[[#This Row],[Sittende høyde 1]:[Sittende høyde 3]])-56.2</f>
        <v>95.749999999999986</v>
      </c>
      <c r="V263" s="12">
        <f>paper3[[#This Row],[height]]-paper3[[#This Row],[sittingheight]]</f>
        <v>85.350000000000009</v>
      </c>
      <c r="W263" s="73">
        <v>78.400000000000006</v>
      </c>
      <c r="X263" s="43" cm="1">
        <f t="array" ref="X263">INDEX([1]!phvny[yphv], MATCH(1, (paper3[[#This Row],[id]]=[1]!phvny[id])*(paper3[[#This Row],[time]]=[1]!phvny[time]), 0))</f>
        <v>2.663223419982895</v>
      </c>
      <c r="Y263" s="3">
        <v>1.84</v>
      </c>
      <c r="Z263" s="3">
        <v>3.14</v>
      </c>
      <c r="AA263" s="3">
        <v>4.3600000000000003</v>
      </c>
      <c r="AB263" s="3">
        <v>1.93</v>
      </c>
      <c r="AC263" s="3">
        <v>3.24</v>
      </c>
      <c r="AD263" s="3">
        <v>4.4800000000000004</v>
      </c>
      <c r="AE263" s="3">
        <v>1.9</v>
      </c>
      <c r="AF263" s="3">
        <v>3.22</v>
      </c>
      <c r="AG263" s="3">
        <v>4.4800000000000004</v>
      </c>
      <c r="AH263" s="44">
        <v>1.84</v>
      </c>
      <c r="AI263" s="44">
        <v>3.14</v>
      </c>
      <c r="AJ263" s="44">
        <v>4.3600000000000003</v>
      </c>
      <c r="AK263" s="45">
        <v>8.1967213114754092</v>
      </c>
      <c r="AL263" s="3">
        <v>9.93</v>
      </c>
      <c r="AM263" s="3">
        <v>9.5299999999999994</v>
      </c>
      <c r="AN263" s="3">
        <v>9.8800000000000008</v>
      </c>
      <c r="AO263" s="3">
        <v>9.61</v>
      </c>
      <c r="AP263" s="3">
        <v>9.5299999999999994</v>
      </c>
      <c r="AQ263" s="47">
        <v>9.5299999999999994</v>
      </c>
      <c r="AR263" s="47">
        <v>9.61</v>
      </c>
      <c r="AS263" s="3">
        <v>41.2</v>
      </c>
      <c r="AT263" s="3">
        <v>41.52</v>
      </c>
      <c r="AU263" s="3">
        <v>42.15</v>
      </c>
      <c r="AV263" s="3">
        <v>41.6</v>
      </c>
      <c r="AW263" s="3"/>
      <c r="AX263" s="48">
        <v>42.15</v>
      </c>
      <c r="AY263" s="71"/>
      <c r="AZ263" s="3">
        <v>10</v>
      </c>
      <c r="BA263" s="3">
        <v>380</v>
      </c>
      <c r="BB263" s="3">
        <v>11</v>
      </c>
      <c r="BC263" s="46">
        <v>452</v>
      </c>
      <c r="BD263" s="40">
        <v>1706.5333583839492</v>
      </c>
      <c r="BE263" s="40">
        <v>1823.8969800883647</v>
      </c>
      <c r="BF263" s="40"/>
      <c r="BG263" s="40">
        <v>806.232158344548</v>
      </c>
      <c r="BH263" s="40">
        <v>779.13299119901626</v>
      </c>
      <c r="BI263" s="49">
        <v>3530.4303384723139</v>
      </c>
      <c r="BJ263" s="49">
        <v>1585.3651495435643</v>
      </c>
      <c r="BK263" s="66">
        <v>-6.4347725220055718E-2</v>
      </c>
      <c r="BL263" s="66">
        <v>3.478118299653632E-2</v>
      </c>
      <c r="BM263" s="51">
        <v>45.030999215208084</v>
      </c>
      <c r="BN263" s="51">
        <v>20.221494254382197</v>
      </c>
      <c r="BO263" s="52">
        <v>487</v>
      </c>
      <c r="BP263" s="40">
        <v>487</v>
      </c>
      <c r="BQ263" s="40">
        <v>482</v>
      </c>
      <c r="BR263" s="67">
        <v>1.0373443983402453E-2</v>
      </c>
      <c r="BS263" s="54">
        <v>6.1798469387755102</v>
      </c>
      <c r="BT263" s="3">
        <v>213</v>
      </c>
      <c r="BU263" s="40">
        <v>210</v>
      </c>
      <c r="BV263" s="3">
        <v>176</v>
      </c>
      <c r="BW263" s="3">
        <v>177</v>
      </c>
      <c r="BX263" s="70">
        <v>1.4285714285714235E-2</v>
      </c>
      <c r="BY263" s="70">
        <v>-5.6497175141242417E-3</v>
      </c>
      <c r="BZ263" s="59">
        <v>1.1864406779661016</v>
      </c>
      <c r="CA263" s="59">
        <v>1.2102272727272727</v>
      </c>
      <c r="CB263" s="59">
        <v>2.3024904336734693</v>
      </c>
      <c r="CC263" s="59">
        <v>1.9214636479591836</v>
      </c>
      <c r="CD263" s="60">
        <v>190</v>
      </c>
      <c r="CE263" s="60">
        <v>211</v>
      </c>
      <c r="CF263" s="61">
        <v>2.4234693877551017</v>
      </c>
      <c r="CG263" s="61">
        <v>2.6913265306122449</v>
      </c>
      <c r="CH263" s="61">
        <v>1.1105263157894738</v>
      </c>
      <c r="CI263" s="41">
        <v>15.7</v>
      </c>
      <c r="CJ263" s="40">
        <f>VLOOKUP(paper3[[#This Row],[YYIR nivå]],$DB:$DC,2)</f>
        <v>1040</v>
      </c>
      <c r="CK263" s="3"/>
      <c r="CL263" s="62"/>
      <c r="CM263" s="63" t="s">
        <v>110</v>
      </c>
      <c r="CN263" s="3">
        <v>213</v>
      </c>
      <c r="CO263" s="3">
        <v>177</v>
      </c>
      <c r="CP263" s="41">
        <v>15.8</v>
      </c>
      <c r="CQ263" s="3" t="s">
        <v>110</v>
      </c>
      <c r="CR263" s="40">
        <v>211.5</v>
      </c>
      <c r="CS263" s="40">
        <v>176.5</v>
      </c>
      <c r="CT263" s="40">
        <v>484.5</v>
      </c>
      <c r="CU263" s="40"/>
      <c r="CV263" s="40"/>
      <c r="CW263" s="40"/>
      <c r="CX263" s="40"/>
      <c r="CY263" s="40">
        <v>0</v>
      </c>
      <c r="CZ263" s="40"/>
      <c r="DA263" s="40"/>
    </row>
    <row r="264" spans="1:105" ht="15.95" customHeight="1">
      <c r="A264" s="3">
        <v>541</v>
      </c>
      <c r="B264" s="38" t="s">
        <v>103</v>
      </c>
      <c r="C264" s="3">
        <v>0</v>
      </c>
      <c r="D264" s="3" t="s">
        <v>105</v>
      </c>
      <c r="E264" s="39">
        <v>45049</v>
      </c>
      <c r="F264" s="3" t="s">
        <v>186</v>
      </c>
      <c r="G264" s="3" t="s">
        <v>122</v>
      </c>
      <c r="H264" s="3">
        <v>2006</v>
      </c>
      <c r="I264" s="40" t="s">
        <v>121</v>
      </c>
      <c r="J264" s="39" t="s">
        <v>157</v>
      </c>
      <c r="K264" s="3">
        <v>179.1</v>
      </c>
      <c r="L264" s="3">
        <v>179.5</v>
      </c>
      <c r="M264" s="3">
        <v>179.5</v>
      </c>
      <c r="N264" s="3">
        <v>150.1</v>
      </c>
      <c r="O264" s="3">
        <v>150</v>
      </c>
      <c r="P264" s="3"/>
      <c r="Q264" s="3">
        <v>63.9</v>
      </c>
      <c r="R264" s="3"/>
      <c r="S264" s="3"/>
      <c r="T264" s="42">
        <v>179.36666666666667</v>
      </c>
      <c r="U264" s="42">
        <f>AVERAGE(paper3[[#This Row],[Sittende høyde 1]:[Sittende høyde 3]])-56.2</f>
        <v>93.850000000000009</v>
      </c>
      <c r="V264" s="12">
        <f>paper3[[#This Row],[height]]-paper3[[#This Row],[sittingheight]]</f>
        <v>85.516666666666666</v>
      </c>
      <c r="W264" s="73">
        <v>63.9</v>
      </c>
      <c r="X264" s="43" cm="1">
        <f t="array" ref="X264">INDEX([1]!phvny[yphv], MATCH(1, (paper3[[#This Row],[id]]=[1]!phvny[id])*(paper3[[#This Row],[time]]=[1]!phvny[time]), 0))</f>
        <v>2.7747220884152286</v>
      </c>
      <c r="Y264" s="3">
        <v>1.9</v>
      </c>
      <c r="Z264" s="3">
        <v>3.2</v>
      </c>
      <c r="AA264" s="3">
        <v>4.4400000000000004</v>
      </c>
      <c r="AB264" s="3">
        <v>1.77</v>
      </c>
      <c r="AC264" s="3">
        <v>3.02</v>
      </c>
      <c r="AD264" s="3">
        <v>4.21</v>
      </c>
      <c r="AE264" s="3">
        <v>1.76</v>
      </c>
      <c r="AF264" s="3">
        <v>3.02</v>
      </c>
      <c r="AG264" s="3">
        <v>4.2</v>
      </c>
      <c r="AH264" s="44">
        <v>1.76</v>
      </c>
      <c r="AI264" s="44">
        <v>3.02</v>
      </c>
      <c r="AJ264" s="44">
        <v>4.2</v>
      </c>
      <c r="AK264" s="45">
        <v>8.4745762711864394</v>
      </c>
      <c r="AL264" s="3">
        <v>9.42</v>
      </c>
      <c r="AM264" s="3">
        <v>8.84</v>
      </c>
      <c r="AN264" s="3">
        <v>9.49</v>
      </c>
      <c r="AO264" s="3">
        <v>9.35</v>
      </c>
      <c r="AP264" s="3">
        <v>8.84</v>
      </c>
      <c r="AQ264" s="47">
        <v>8.84</v>
      </c>
      <c r="AR264" s="47">
        <v>9.35</v>
      </c>
      <c r="AS264" s="3">
        <v>33.79</v>
      </c>
      <c r="AT264" s="3">
        <v>31.85</v>
      </c>
      <c r="AU264" s="3">
        <v>38.93</v>
      </c>
      <c r="AV264" s="3"/>
      <c r="AW264" s="3"/>
      <c r="AX264" s="48">
        <v>38.93</v>
      </c>
      <c r="AY264" s="71"/>
      <c r="AZ264" s="3">
        <v>10</v>
      </c>
      <c r="BA264" s="3">
        <v>330</v>
      </c>
      <c r="BB264" s="3"/>
      <c r="BC264" s="3"/>
      <c r="BD264" s="40">
        <v>1426.6922128540987</v>
      </c>
      <c r="BE264" s="40">
        <v>1370.2608444094581</v>
      </c>
      <c r="BF264" s="40"/>
      <c r="BG264" s="40">
        <v>675.85323909062356</v>
      </c>
      <c r="BH264" s="3">
        <v>684</v>
      </c>
      <c r="BI264" s="49">
        <v>2796.9530572635567</v>
      </c>
      <c r="BJ264" s="49">
        <v>1359.8532390906234</v>
      </c>
      <c r="BK264" s="66">
        <v>4.1182938762992061E-2</v>
      </c>
      <c r="BL264" s="66">
        <v>-1.1910469165755E-2</v>
      </c>
      <c r="BM264" s="51">
        <v>43.77078336875676</v>
      </c>
      <c r="BN264" s="51">
        <v>21.280958358225721</v>
      </c>
      <c r="BO264" s="52">
        <v>275</v>
      </c>
      <c r="BP264" s="40">
        <v>275</v>
      </c>
      <c r="BQ264" s="40">
        <v>261</v>
      </c>
      <c r="BR264" s="67">
        <v>5.3639846743295028E-2</v>
      </c>
      <c r="BS264" s="54">
        <v>4.1940532081377153</v>
      </c>
      <c r="BT264" s="3">
        <v>196</v>
      </c>
      <c r="BU264" s="40">
        <v>193</v>
      </c>
      <c r="BV264" s="3">
        <v>152</v>
      </c>
      <c r="BW264" s="3">
        <v>156</v>
      </c>
      <c r="BX264" s="70">
        <v>1.5544041450777257E-2</v>
      </c>
      <c r="BY264" s="70">
        <v>-2.5641025641025661E-2</v>
      </c>
      <c r="BZ264" s="59">
        <v>1.2371794871794872</v>
      </c>
      <c r="CA264" s="59">
        <v>1.2894736842105263</v>
      </c>
      <c r="CB264" s="59">
        <v>2.6029720918101198</v>
      </c>
      <c r="CC264" s="59">
        <v>2.0609650495565988</v>
      </c>
      <c r="CD264" s="60">
        <v>229</v>
      </c>
      <c r="CE264" s="60">
        <v>130</v>
      </c>
      <c r="CF264" s="61">
        <v>3.5837245696400628</v>
      </c>
      <c r="CG264" s="61">
        <v>2.0344287949921753</v>
      </c>
      <c r="CH264" s="61">
        <v>0.56768558951965065</v>
      </c>
      <c r="CI264" s="41">
        <v>16.399999999999999</v>
      </c>
      <c r="CJ264" s="40">
        <f>VLOOKUP(paper3[[#This Row],[YYIR nivå]],$DB:$DC,2)</f>
        <v>1240</v>
      </c>
      <c r="CK264" s="3"/>
      <c r="CL264" s="62"/>
      <c r="CM264" s="63" t="s">
        <v>110</v>
      </c>
      <c r="CN264" s="3">
        <v>196</v>
      </c>
      <c r="CO264" s="3">
        <v>156</v>
      </c>
      <c r="CP264" s="41">
        <v>16.861111111111111</v>
      </c>
      <c r="CQ264" s="3" t="s">
        <v>110</v>
      </c>
      <c r="CR264" s="40">
        <v>194.5</v>
      </c>
      <c r="CS264" s="40">
        <v>154</v>
      </c>
      <c r="CT264" s="40">
        <v>268</v>
      </c>
      <c r="CU264" s="40"/>
      <c r="CV264" s="40"/>
      <c r="CW264" s="40"/>
      <c r="CX264" s="40"/>
      <c r="CY264" s="40">
        <v>0</v>
      </c>
      <c r="CZ264" s="40"/>
      <c r="DA264" s="40"/>
    </row>
    <row r="265" spans="1:105" ht="15.95" customHeight="1">
      <c r="A265" s="3">
        <v>542</v>
      </c>
      <c r="B265" s="38" t="s">
        <v>103</v>
      </c>
      <c r="C265" s="3">
        <v>0</v>
      </c>
      <c r="D265" s="3" t="s">
        <v>105</v>
      </c>
      <c r="E265" s="39">
        <v>45049</v>
      </c>
      <c r="F265" s="3" t="s">
        <v>186</v>
      </c>
      <c r="G265" s="3" t="s">
        <v>122</v>
      </c>
      <c r="H265" s="3">
        <v>2006</v>
      </c>
      <c r="I265" s="40" t="s">
        <v>121</v>
      </c>
      <c r="J265" s="39" t="s">
        <v>157</v>
      </c>
      <c r="K265" s="3">
        <v>180</v>
      </c>
      <c r="L265" s="3">
        <v>180.1</v>
      </c>
      <c r="M265" s="3"/>
      <c r="N265" s="3">
        <v>148.1</v>
      </c>
      <c r="O265" s="3">
        <v>148.1</v>
      </c>
      <c r="P265" s="3"/>
      <c r="Q265" s="3">
        <v>71.599999999999994</v>
      </c>
      <c r="R265" s="3"/>
      <c r="S265" s="3"/>
      <c r="T265" s="42">
        <v>180.05</v>
      </c>
      <c r="U265" s="42">
        <f>AVERAGE(paper3[[#This Row],[Sittende høyde 1]:[Sittende høyde 3]])-56.2</f>
        <v>91.899999999999991</v>
      </c>
      <c r="V265" s="12">
        <f>paper3[[#This Row],[height]]-paper3[[#This Row],[sittingheight]]</f>
        <v>88.15000000000002</v>
      </c>
      <c r="W265" s="73">
        <v>71.599999999999994</v>
      </c>
      <c r="X265" s="43" cm="1">
        <f t="array" ref="X265">INDEX([1]!phvny[yphv], MATCH(1, (paper3[[#This Row],[id]]=[1]!phvny[id])*(paper3[[#This Row],[time]]=[1]!phvny[time]), 0))</f>
        <v>2.7798076106430134</v>
      </c>
      <c r="Y265" s="3">
        <v>1.96</v>
      </c>
      <c r="Z265" s="3">
        <v>3.33</v>
      </c>
      <c r="AA265" s="3">
        <v>4.59</v>
      </c>
      <c r="AB265" s="3">
        <v>2</v>
      </c>
      <c r="AC265" s="3">
        <v>3.37</v>
      </c>
      <c r="AD265" s="3">
        <v>4.6500000000000004</v>
      </c>
      <c r="AE265" s="3">
        <v>1.98</v>
      </c>
      <c r="AF265" s="3">
        <v>3.34</v>
      </c>
      <c r="AG265" s="3">
        <v>4.62</v>
      </c>
      <c r="AH265" s="44">
        <v>1.96</v>
      </c>
      <c r="AI265" s="44">
        <v>3.33</v>
      </c>
      <c r="AJ265" s="44">
        <v>4.59</v>
      </c>
      <c r="AK265" s="45">
        <v>7.9365079365079376</v>
      </c>
      <c r="AL265" s="3">
        <v>10.17</v>
      </c>
      <c r="AM265" s="3">
        <v>9.84</v>
      </c>
      <c r="AN265" s="3">
        <v>10.54</v>
      </c>
      <c r="AO265" s="3">
        <v>10.039999999999999</v>
      </c>
      <c r="AP265" s="3">
        <v>9.84</v>
      </c>
      <c r="AQ265" s="47">
        <v>9.84</v>
      </c>
      <c r="AR265" s="47">
        <v>10.039999999999999</v>
      </c>
      <c r="AS265" s="3">
        <v>31.13</v>
      </c>
      <c r="AT265" s="3">
        <v>29.78</v>
      </c>
      <c r="AU265" s="3">
        <v>30.28</v>
      </c>
      <c r="AV265" s="3"/>
      <c r="AW265" s="3"/>
      <c r="AX265" s="48">
        <v>31.13</v>
      </c>
      <c r="AY265" s="71"/>
      <c r="AZ265" s="3">
        <v>10</v>
      </c>
      <c r="BA265" s="3">
        <v>330</v>
      </c>
      <c r="BB265" s="3"/>
      <c r="BC265" s="3"/>
      <c r="BD265" s="40">
        <v>1348.4608222472373</v>
      </c>
      <c r="BE265" s="40">
        <v>1370.290675262122</v>
      </c>
      <c r="BF265" s="40"/>
      <c r="BG265" s="40">
        <v>613.21218336083439</v>
      </c>
      <c r="BH265" s="3">
        <v>623</v>
      </c>
      <c r="BI265" s="49">
        <v>2718.7514975093591</v>
      </c>
      <c r="BJ265" s="49">
        <v>1236.2121833608344</v>
      </c>
      <c r="BK265" s="66">
        <v>-1.5930819211558145E-2</v>
      </c>
      <c r="BL265" s="66">
        <v>-1.5710781122256212E-2</v>
      </c>
      <c r="BM265" s="51">
        <v>37.971389630018983</v>
      </c>
      <c r="BN265" s="51">
        <v>17.265533287162494</v>
      </c>
      <c r="BO265" s="52">
        <v>347</v>
      </c>
      <c r="BP265" s="40">
        <v>347</v>
      </c>
      <c r="BQ265" s="40">
        <v>345</v>
      </c>
      <c r="BR265" s="67">
        <v>5.7971014492752548E-3</v>
      </c>
      <c r="BS265" s="54">
        <v>4.8324022346368718</v>
      </c>
      <c r="BT265" s="3">
        <v>221</v>
      </c>
      <c r="BU265" s="40">
        <v>226</v>
      </c>
      <c r="BV265" s="3">
        <v>174</v>
      </c>
      <c r="BW265" s="3">
        <v>165</v>
      </c>
      <c r="BX265" s="70">
        <v>-2.2123893805309769E-2</v>
      </c>
      <c r="BY265" s="70">
        <v>5.4545454545454453E-2</v>
      </c>
      <c r="BZ265" s="59">
        <v>1.3696969696969696</v>
      </c>
      <c r="CA265" s="59">
        <v>1.2701149425287357</v>
      </c>
      <c r="CB265" s="59">
        <v>2.7516096368715091</v>
      </c>
      <c r="CC265" s="59">
        <v>2.0867912011173191</v>
      </c>
      <c r="CD265" s="60">
        <v>170</v>
      </c>
      <c r="CE265" s="60">
        <v>123</v>
      </c>
      <c r="CF265" s="61">
        <v>2.3743016759776538</v>
      </c>
      <c r="CG265" s="61">
        <v>1.7178770949720672</v>
      </c>
      <c r="CH265" s="61">
        <v>0.72352941176470587</v>
      </c>
      <c r="CI265" s="41">
        <v>16.5</v>
      </c>
      <c r="CJ265" s="40">
        <f>VLOOKUP(paper3[[#This Row],[YYIR nivå]],$DB:$DC,2)</f>
        <v>1280</v>
      </c>
      <c r="CK265" s="3"/>
      <c r="CL265" s="62"/>
      <c r="CM265" s="63" t="s">
        <v>110</v>
      </c>
      <c r="CN265" s="3">
        <v>226</v>
      </c>
      <c r="CO265" s="3">
        <v>174</v>
      </c>
      <c r="CP265" s="41">
        <v>17.25</v>
      </c>
      <c r="CQ265" s="3" t="s">
        <v>110</v>
      </c>
      <c r="CR265" s="40">
        <v>223.5</v>
      </c>
      <c r="CS265" s="40">
        <v>169.5</v>
      </c>
      <c r="CT265" s="40">
        <v>346</v>
      </c>
      <c r="CU265" s="40"/>
      <c r="CV265" s="40"/>
      <c r="CW265" s="40"/>
      <c r="CX265" s="40"/>
      <c r="CY265" s="40">
        <v>0</v>
      </c>
      <c r="CZ265" s="40"/>
      <c r="DA265" s="40"/>
    </row>
    <row r="266" spans="1:105" ht="15.75" customHeight="1">
      <c r="A266" s="3">
        <v>600</v>
      </c>
      <c r="B266" s="92" t="s">
        <v>199</v>
      </c>
      <c r="C266" s="3" t="s">
        <v>104</v>
      </c>
      <c r="D266" s="3" t="s">
        <v>105</v>
      </c>
      <c r="E266" s="39">
        <v>44831</v>
      </c>
      <c r="F266" s="3" t="s">
        <v>106</v>
      </c>
      <c r="G266" s="3" t="s">
        <v>107</v>
      </c>
      <c r="H266" s="3">
        <v>2009</v>
      </c>
      <c r="I266" s="40" t="s">
        <v>108</v>
      </c>
      <c r="J266" s="39" t="s">
        <v>109</v>
      </c>
      <c r="K266" s="3"/>
      <c r="L266" s="3"/>
      <c r="M266" s="3"/>
      <c r="N266" s="3"/>
      <c r="O266" s="3"/>
      <c r="P266" s="3"/>
      <c r="Q266" s="3"/>
      <c r="R266" s="41"/>
      <c r="S266" s="3"/>
      <c r="T266" s="125">
        <v>152.19999999999999</v>
      </c>
      <c r="U266" s="126">
        <v>77.8</v>
      </c>
      <c r="V266" s="12">
        <f>paper3[[#This Row],[height]]-paper3[[#This Row],[sittingheight]]</f>
        <v>74.399999999999991</v>
      </c>
      <c r="W266" s="127">
        <v>39.700000000000003</v>
      </c>
      <c r="X266" s="43" cm="1">
        <f t="array" ref="X266">INDEX([1]!phvny[yphv], MATCH(1, (paper3[[#This Row],[id]]=[1]!phvny[id])*(paper3[[#This Row],[time]]=[1]!phvny[time]), 0))</f>
        <v>0.51463973355759984</v>
      </c>
      <c r="Y266" s="128"/>
      <c r="Z266" s="3"/>
      <c r="AA266" s="3"/>
      <c r="AB266" s="3"/>
      <c r="AC266" s="3"/>
      <c r="AD266" s="3"/>
      <c r="AE266" s="3"/>
      <c r="AF266" s="3"/>
      <c r="AG266" s="3"/>
      <c r="AH266" s="129">
        <v>1.9570000000000001</v>
      </c>
      <c r="AI266" s="130">
        <v>3.4200000000000004</v>
      </c>
      <c r="AJ266" s="129">
        <v>4.883</v>
      </c>
      <c r="AK266" s="45">
        <v>6.835269993164732</v>
      </c>
      <c r="AL266" s="3"/>
      <c r="AM266" s="3"/>
      <c r="AN266" s="3"/>
      <c r="AO266" s="3"/>
      <c r="AP266" s="131">
        <v>11.17</v>
      </c>
      <c r="AQ266" s="132"/>
      <c r="AR266" s="132"/>
      <c r="AS266" s="3"/>
      <c r="AT266" s="3"/>
      <c r="AU266" s="3"/>
      <c r="AV266" s="3"/>
      <c r="AW266" s="3"/>
      <c r="AX266" s="133">
        <v>25.66</v>
      </c>
      <c r="AY266" s="134"/>
      <c r="AZ266" s="40"/>
      <c r="BA266" s="40"/>
      <c r="BB266" s="40"/>
      <c r="BC266" s="40"/>
      <c r="BD266" s="135">
        <v>840.18740221432438</v>
      </c>
      <c r="BE266" s="135">
        <v>843.75237191592578</v>
      </c>
      <c r="BF266" s="40"/>
      <c r="BG266" s="135">
        <v>419.48767063195112</v>
      </c>
      <c r="BH266" s="135">
        <v>429.61209966369518</v>
      </c>
      <c r="BI266" s="49">
        <v>1683.93977413025</v>
      </c>
      <c r="BJ266" s="49">
        <v>849.09977029564629</v>
      </c>
      <c r="BK266" s="66">
        <v>-4.2251373984364404E-3</v>
      </c>
      <c r="BL266" s="66">
        <v>-2.3566442936941434E-2</v>
      </c>
      <c r="BM266" s="51">
        <v>42.416618995724178</v>
      </c>
      <c r="BN266" s="51">
        <v>14.151662838260771</v>
      </c>
      <c r="BO266" s="136"/>
      <c r="BP266" s="40"/>
      <c r="BQ266" s="40"/>
      <c r="BR266" s="67"/>
      <c r="BS266" s="54" t="s">
        <v>110</v>
      </c>
      <c r="BT266" s="68"/>
      <c r="BU266" s="69"/>
      <c r="BV266" s="3"/>
      <c r="BW266" s="3"/>
      <c r="BX266" s="70"/>
      <c r="BY266" s="70"/>
      <c r="BZ266" s="59"/>
      <c r="CA266" s="59"/>
      <c r="CB266" s="59" t="s">
        <v>110</v>
      </c>
      <c r="CC266" s="59" t="s">
        <v>110</v>
      </c>
      <c r="CD266" s="60"/>
      <c r="CE266" s="60"/>
      <c r="CF266" s="61"/>
      <c r="CG266" s="61"/>
      <c r="CH266" s="61"/>
      <c r="CI266" s="41">
        <v>15.1</v>
      </c>
      <c r="CJ266" s="40">
        <f>VLOOKUP(paper3[[#This Row],[YYIR nivå]],$DB:$DC,2)</f>
        <v>800</v>
      </c>
      <c r="CK266" s="3"/>
      <c r="CL266" s="62"/>
      <c r="CM266" s="62"/>
      <c r="CN266" s="3"/>
      <c r="CO266" s="3"/>
      <c r="CP266" s="41">
        <v>13.255555555555556</v>
      </c>
      <c r="CQ266" s="3" t="s">
        <v>110</v>
      </c>
      <c r="CR266" s="40" t="s">
        <v>110</v>
      </c>
      <c r="CS266" s="40" t="s">
        <v>110</v>
      </c>
      <c r="CT266" s="40" t="s">
        <v>110</v>
      </c>
      <c r="CU266" s="40"/>
      <c r="CV266" s="40"/>
      <c r="CW266" s="40"/>
      <c r="CX266" s="40"/>
      <c r="CY266" s="40" t="s">
        <v>200</v>
      </c>
      <c r="CZ266" s="40"/>
      <c r="DA266" s="40"/>
    </row>
    <row r="267" spans="1:105" ht="15.75" customHeight="1">
      <c r="A267" s="3">
        <v>601</v>
      </c>
      <c r="B267" s="92" t="s">
        <v>199</v>
      </c>
      <c r="C267" s="3" t="s">
        <v>104</v>
      </c>
      <c r="D267" s="3" t="s">
        <v>105</v>
      </c>
      <c r="E267" s="39">
        <v>44831</v>
      </c>
      <c r="F267" s="3" t="s">
        <v>106</v>
      </c>
      <c r="G267" s="3" t="s">
        <v>107</v>
      </c>
      <c r="H267" s="3">
        <v>2009</v>
      </c>
      <c r="I267" s="40" t="s">
        <v>108</v>
      </c>
      <c r="J267" s="39" t="s">
        <v>109</v>
      </c>
      <c r="K267" s="3"/>
      <c r="L267" s="3"/>
      <c r="M267" s="3"/>
      <c r="N267" s="3"/>
      <c r="O267" s="3"/>
      <c r="P267" s="3"/>
      <c r="Q267" s="3"/>
      <c r="R267" s="3"/>
      <c r="S267" s="3"/>
      <c r="T267" s="125">
        <v>170.4</v>
      </c>
      <c r="U267" s="126">
        <v>90.8</v>
      </c>
      <c r="V267" s="12">
        <f>paper3[[#This Row],[height]]-paper3[[#This Row],[sittingheight]]</f>
        <v>79.600000000000009</v>
      </c>
      <c r="W267" s="127">
        <v>60</v>
      </c>
      <c r="X267" s="43" cm="1">
        <f t="array" ref="X267">INDEX([1]!phvny[yphv], MATCH(1, (paper3[[#This Row],[id]]=[1]!phvny[id])*(paper3[[#This Row],[time]]=[1]!phvny[time]), 0))</f>
        <v>1.788055244012519</v>
      </c>
      <c r="Y267" s="3"/>
      <c r="Z267" s="3"/>
      <c r="AA267" s="3"/>
      <c r="AB267" s="3"/>
      <c r="AC267" s="3"/>
      <c r="AD267" s="3"/>
      <c r="AE267" s="60"/>
      <c r="AF267" s="3"/>
      <c r="AG267" s="3"/>
      <c r="AH267" s="130">
        <v>2.0340000000000003</v>
      </c>
      <c r="AI267" s="130">
        <v>3.49</v>
      </c>
      <c r="AJ267" s="130">
        <v>4.968</v>
      </c>
      <c r="AK267" s="45">
        <v>6.7658998646820034</v>
      </c>
      <c r="AL267" s="3"/>
      <c r="AM267" s="3"/>
      <c r="AN267" s="3"/>
      <c r="AO267" s="3"/>
      <c r="AP267" s="137">
        <v>11.19</v>
      </c>
      <c r="AQ267" s="132"/>
      <c r="AR267" s="132"/>
      <c r="AS267" s="3"/>
      <c r="AT267" s="3"/>
      <c r="AU267" s="3"/>
      <c r="AV267" s="3"/>
      <c r="AW267" s="3"/>
      <c r="AX267" s="133">
        <v>29.66</v>
      </c>
      <c r="AY267" s="134"/>
      <c r="AZ267" s="40"/>
      <c r="BA267" s="40"/>
      <c r="BB267" s="40"/>
      <c r="BC267" s="40"/>
      <c r="BD267" s="135">
        <v>730.47993802884366</v>
      </c>
      <c r="BE267" s="135">
        <v>705.7373640322628</v>
      </c>
      <c r="BF267" s="40"/>
      <c r="BG267" s="135">
        <v>304.86825946213577</v>
      </c>
      <c r="BH267" s="135">
        <v>299.94685556700318</v>
      </c>
      <c r="BI267" s="49">
        <v>1436.2173020611065</v>
      </c>
      <c r="BJ267" s="49">
        <v>604.81511502913895</v>
      </c>
      <c r="BK267" s="66">
        <v>3.5059181017727425E-2</v>
      </c>
      <c r="BL267" s="66">
        <v>1.6407586223330828E-2</v>
      </c>
      <c r="BM267" s="51">
        <v>23.936955034351776</v>
      </c>
      <c r="BN267" s="51">
        <v>15.234637658164708</v>
      </c>
      <c r="BO267" s="136"/>
      <c r="BP267" s="40"/>
      <c r="BQ267" s="40"/>
      <c r="BR267" s="67"/>
      <c r="BS267" s="54" t="s">
        <v>110</v>
      </c>
      <c r="BT267" s="68"/>
      <c r="BU267" s="69"/>
      <c r="BV267" s="3"/>
      <c r="BW267" s="3"/>
      <c r="BX267" s="70"/>
      <c r="BY267" s="70"/>
      <c r="BZ267" s="59"/>
      <c r="CA267" s="59"/>
      <c r="CB267" s="59" t="s">
        <v>110</v>
      </c>
      <c r="CC267" s="59" t="s">
        <v>110</v>
      </c>
      <c r="CD267" s="60"/>
      <c r="CE267" s="60"/>
      <c r="CF267" s="61"/>
      <c r="CG267" s="61"/>
      <c r="CH267" s="61"/>
      <c r="CI267" s="41">
        <v>15.4</v>
      </c>
      <c r="CJ267" s="40">
        <f>VLOOKUP(paper3[[#This Row],[YYIR nivå]],$DB:$DC,2)</f>
        <v>920</v>
      </c>
      <c r="CK267" s="3"/>
      <c r="CL267" s="62"/>
      <c r="CM267" s="62"/>
      <c r="CN267" s="3"/>
      <c r="CO267" s="3"/>
      <c r="CP267" s="41">
        <v>12.994444444444444</v>
      </c>
      <c r="CQ267" s="3" t="s">
        <v>110</v>
      </c>
      <c r="CR267" s="40" t="s">
        <v>110</v>
      </c>
      <c r="CS267" s="40" t="s">
        <v>110</v>
      </c>
      <c r="CT267" s="40" t="s">
        <v>110</v>
      </c>
      <c r="CU267" s="40"/>
      <c r="CV267" s="40"/>
      <c r="CW267" s="40"/>
      <c r="CX267" s="40"/>
      <c r="CY267" s="40" t="s">
        <v>201</v>
      </c>
      <c r="CZ267" s="40"/>
      <c r="DA267" s="40"/>
    </row>
    <row r="268" spans="1:105" ht="15.75" customHeight="1">
      <c r="A268" s="3">
        <v>602</v>
      </c>
      <c r="B268" s="92" t="s">
        <v>199</v>
      </c>
      <c r="C268" s="3" t="s">
        <v>104</v>
      </c>
      <c r="D268" s="3" t="s">
        <v>105</v>
      </c>
      <c r="E268" s="39">
        <v>44831</v>
      </c>
      <c r="F268" s="3" t="s">
        <v>106</v>
      </c>
      <c r="G268" s="3" t="s">
        <v>107</v>
      </c>
      <c r="H268" s="3">
        <v>2009</v>
      </c>
      <c r="I268" s="40" t="s">
        <v>108</v>
      </c>
      <c r="J268" s="39" t="s">
        <v>109</v>
      </c>
      <c r="K268" s="3"/>
      <c r="L268" s="3"/>
      <c r="M268" s="3"/>
      <c r="N268" s="3"/>
      <c r="O268" s="3"/>
      <c r="P268" s="3"/>
      <c r="Q268" s="3"/>
      <c r="R268" s="3"/>
      <c r="S268" s="3"/>
      <c r="T268" s="125">
        <v>155.30000000000001</v>
      </c>
      <c r="U268" s="126">
        <v>78.3</v>
      </c>
      <c r="V268" s="12">
        <f>paper3[[#This Row],[height]]-paper3[[#This Row],[sittingheight]]</f>
        <v>77.000000000000014</v>
      </c>
      <c r="W268" s="127">
        <v>40.1</v>
      </c>
      <c r="X268" s="43" cm="1">
        <f t="array" ref="X268">INDEX([1]!phvny[yphv], MATCH(1, (paper3[[#This Row],[id]]=[1]!phvny[id])*(paper3[[#This Row],[time]]=[1]!phvny[time]), 0))</f>
        <v>0.53178732963815589</v>
      </c>
      <c r="Y268" s="60"/>
      <c r="Z268" s="60"/>
      <c r="AA268" s="60"/>
      <c r="AB268" s="60"/>
      <c r="AC268" s="60"/>
      <c r="AD268" s="3"/>
      <c r="AE268" s="60"/>
      <c r="AF268" s="3"/>
      <c r="AG268" s="3"/>
      <c r="AH268" s="130">
        <v>2.008</v>
      </c>
      <c r="AI268" s="130">
        <v>3.46</v>
      </c>
      <c r="AJ268" s="130">
        <v>4.9180000000000001</v>
      </c>
      <c r="AK268" s="45">
        <v>6.8587105624142657</v>
      </c>
      <c r="AL268" s="3"/>
      <c r="AM268" s="3"/>
      <c r="AN268" s="3"/>
      <c r="AO268" s="3"/>
      <c r="AP268" s="137">
        <v>11.239999999999998</v>
      </c>
      <c r="AQ268" s="132"/>
      <c r="AR268" s="132"/>
      <c r="AS268" s="3"/>
      <c r="AT268" s="3"/>
      <c r="AU268" s="3"/>
      <c r="AV268" s="3"/>
      <c r="AW268" s="3"/>
      <c r="AX268" s="133">
        <v>28.76</v>
      </c>
      <c r="AY268" s="134"/>
      <c r="AZ268" s="40"/>
      <c r="BA268" s="40"/>
      <c r="BB268" s="40"/>
      <c r="BC268" s="40"/>
      <c r="BD268" s="135">
        <v>645.25565410115951</v>
      </c>
      <c r="BE268" s="135">
        <v>644.89674773158572</v>
      </c>
      <c r="BF268" s="40"/>
      <c r="BG268" s="135">
        <v>231.74562675491313</v>
      </c>
      <c r="BH268" s="135">
        <v>215.86412591054756</v>
      </c>
      <c r="BI268" s="49">
        <v>1290.1524018327452</v>
      </c>
      <c r="BJ268" s="49">
        <v>447.60975266546069</v>
      </c>
      <c r="BK268" s="66">
        <v>5.5653307422653953E-4</v>
      </c>
      <c r="BL268" s="66">
        <v>7.3571746937454385E-2</v>
      </c>
      <c r="BM268" s="51">
        <v>32.173376604307862</v>
      </c>
      <c r="BN268" s="51">
        <v>11.162337971707249</v>
      </c>
      <c r="BO268" s="136"/>
      <c r="BP268" s="40"/>
      <c r="BQ268" s="40"/>
      <c r="BR268" s="67"/>
      <c r="BS268" s="54" t="s">
        <v>110</v>
      </c>
      <c r="BT268" s="68"/>
      <c r="BU268" s="69"/>
      <c r="BV268" s="3"/>
      <c r="BW268" s="3"/>
      <c r="BX268" s="70"/>
      <c r="BY268" s="70"/>
      <c r="BZ268" s="59"/>
      <c r="CA268" s="59"/>
      <c r="CB268" s="59" t="s">
        <v>110</v>
      </c>
      <c r="CC268" s="59" t="s">
        <v>110</v>
      </c>
      <c r="CD268" s="60"/>
      <c r="CE268" s="60"/>
      <c r="CF268" s="61"/>
      <c r="CG268" s="61"/>
      <c r="CH268" s="61"/>
      <c r="CI268" s="138">
        <v>14.3</v>
      </c>
      <c r="CJ268" s="40">
        <f>VLOOKUP(paper3[[#This Row],[YYIR nivå]],$DB:$DC,2)</f>
        <v>560</v>
      </c>
      <c r="CK268" s="3"/>
      <c r="CL268" s="62"/>
      <c r="CM268" s="62"/>
      <c r="CN268" s="3"/>
      <c r="CO268" s="3"/>
      <c r="CP268" s="41">
        <v>13.047222222222222</v>
      </c>
      <c r="CQ268" s="3" t="s">
        <v>110</v>
      </c>
      <c r="CR268" s="40" t="s">
        <v>110</v>
      </c>
      <c r="CS268" s="40" t="s">
        <v>110</v>
      </c>
      <c r="CT268" s="40" t="s">
        <v>110</v>
      </c>
      <c r="CU268" s="40"/>
      <c r="CV268" s="40"/>
      <c r="CW268" s="40"/>
      <c r="CX268" s="40"/>
      <c r="CY268" s="40" t="s">
        <v>202</v>
      </c>
      <c r="CZ268" s="40"/>
      <c r="DA268" s="40"/>
    </row>
    <row r="269" spans="1:105" ht="15.75" customHeight="1">
      <c r="A269" s="3">
        <v>603</v>
      </c>
      <c r="B269" s="92" t="s">
        <v>199</v>
      </c>
      <c r="C269" s="3" t="s">
        <v>104</v>
      </c>
      <c r="D269" s="3" t="s">
        <v>105</v>
      </c>
      <c r="E269" s="39">
        <v>44831</v>
      </c>
      <c r="F269" s="3" t="s">
        <v>106</v>
      </c>
      <c r="G269" s="3" t="s">
        <v>107</v>
      </c>
      <c r="H269" s="3">
        <v>2009</v>
      </c>
      <c r="I269" s="40" t="s">
        <v>108</v>
      </c>
      <c r="J269" s="39" t="s">
        <v>109</v>
      </c>
      <c r="K269" s="3"/>
      <c r="L269" s="3"/>
      <c r="M269" s="3"/>
      <c r="N269" s="3"/>
      <c r="O269" s="3"/>
      <c r="P269" s="3"/>
      <c r="Q269" s="3"/>
      <c r="R269" s="3"/>
      <c r="S269" s="3"/>
      <c r="T269" s="125">
        <v>164.5</v>
      </c>
      <c r="U269" s="126">
        <v>88</v>
      </c>
      <c r="V269" s="12">
        <f>paper3[[#This Row],[height]]-paper3[[#This Row],[sittingheight]]</f>
        <v>76.5</v>
      </c>
      <c r="W269" s="127">
        <v>55.3</v>
      </c>
      <c r="X269" s="43" cm="1">
        <f t="array" ref="X269">INDEX([1]!phvny[yphv], MATCH(1, (paper3[[#This Row],[id]]=[1]!phvny[id])*(paper3[[#This Row],[time]]=[1]!phvny[time]), 0))</f>
        <v>1.3589635601418455</v>
      </c>
      <c r="Y269" s="60"/>
      <c r="Z269" s="60"/>
      <c r="AA269" s="60"/>
      <c r="AB269" s="60"/>
      <c r="AC269" s="60"/>
      <c r="AD269" s="3"/>
      <c r="AE269" s="60"/>
      <c r="AF269" s="3"/>
      <c r="AG269" s="3"/>
      <c r="AH269" s="130">
        <v>2.02</v>
      </c>
      <c r="AI269" s="130">
        <v>3.46</v>
      </c>
      <c r="AJ269" s="130">
        <v>4.8929999999999998</v>
      </c>
      <c r="AK269" s="45">
        <v>6.978367062107468</v>
      </c>
      <c r="AL269" s="3"/>
      <c r="AM269" s="3"/>
      <c r="AN269" s="3"/>
      <c r="AO269" s="3"/>
      <c r="AP269" s="137">
        <v>11.33</v>
      </c>
      <c r="AQ269" s="132"/>
      <c r="AR269" s="132"/>
      <c r="AS269" s="3"/>
      <c r="AT269" s="3"/>
      <c r="AU269" s="3"/>
      <c r="AV269" s="3"/>
      <c r="AW269" s="3"/>
      <c r="AX269" s="133">
        <v>25.76</v>
      </c>
      <c r="AY269" s="134"/>
      <c r="AZ269" s="40"/>
      <c r="BA269" s="40"/>
      <c r="BB269" s="40"/>
      <c r="BC269" s="40"/>
      <c r="BD269" s="135">
        <v>912.62155185259303</v>
      </c>
      <c r="BE269" s="135">
        <v>949.65190278645127</v>
      </c>
      <c r="BF269" s="40"/>
      <c r="BG269" s="135">
        <v>323.97453580481829</v>
      </c>
      <c r="BH269" s="135">
        <v>357.98701469806628</v>
      </c>
      <c r="BI269" s="49">
        <v>1862.2734546390443</v>
      </c>
      <c r="BJ269" s="49">
        <v>681.96155050288462</v>
      </c>
      <c r="BK269" s="66">
        <v>-3.8993604735803156E-2</v>
      </c>
      <c r="BL269" s="66">
        <v>-9.5010370479317041E-2</v>
      </c>
      <c r="BM269" s="51">
        <v>33.675831006130998</v>
      </c>
      <c r="BN269" s="51">
        <v>12.332035271299903</v>
      </c>
      <c r="BO269" s="136"/>
      <c r="BP269" s="40"/>
      <c r="BQ269" s="40"/>
      <c r="BR269" s="67"/>
      <c r="BS269" s="54" t="s">
        <v>110</v>
      </c>
      <c r="BT269" s="68"/>
      <c r="BU269" s="69"/>
      <c r="BV269" s="3"/>
      <c r="BW269" s="3"/>
      <c r="BX269" s="70"/>
      <c r="BY269" s="70"/>
      <c r="BZ269" s="59"/>
      <c r="CA269" s="59"/>
      <c r="CB269" s="59" t="s">
        <v>110</v>
      </c>
      <c r="CC269" s="59" t="s">
        <v>110</v>
      </c>
      <c r="CD269" s="60"/>
      <c r="CE269" s="60"/>
      <c r="CF269" s="61"/>
      <c r="CG269" s="61"/>
      <c r="CH269" s="61"/>
      <c r="CI269" s="139">
        <v>15.7</v>
      </c>
      <c r="CJ269" s="40">
        <f>VLOOKUP(paper3[[#This Row],[YYIR nivå]],$DB:$DC,2)</f>
        <v>1040</v>
      </c>
      <c r="CK269" s="3"/>
      <c r="CL269" s="62"/>
      <c r="CM269" s="62"/>
      <c r="CN269" s="3"/>
      <c r="CO269" s="3"/>
      <c r="CP269" s="41">
        <v>12.855555555555556</v>
      </c>
      <c r="CQ269" s="3" t="s">
        <v>110</v>
      </c>
      <c r="CR269" s="40" t="s">
        <v>110</v>
      </c>
      <c r="CS269" s="40" t="s">
        <v>110</v>
      </c>
      <c r="CT269" s="40" t="s">
        <v>110</v>
      </c>
      <c r="CU269" s="40"/>
      <c r="CV269" s="40"/>
      <c r="CW269" s="40"/>
      <c r="CX269" s="40"/>
      <c r="CY269" s="40" t="s">
        <v>202</v>
      </c>
      <c r="CZ269" s="40"/>
      <c r="DA269" s="40"/>
    </row>
    <row r="270" spans="1:105" ht="15.75" customHeight="1">
      <c r="A270" s="3">
        <v>604</v>
      </c>
      <c r="B270" s="92" t="s">
        <v>199</v>
      </c>
      <c r="C270" s="3" t="s">
        <v>104</v>
      </c>
      <c r="D270" s="3" t="s">
        <v>105</v>
      </c>
      <c r="E270" s="39">
        <v>44831</v>
      </c>
      <c r="F270" s="3" t="s">
        <v>106</v>
      </c>
      <c r="G270" s="3" t="s">
        <v>107</v>
      </c>
      <c r="H270" s="3">
        <v>2009</v>
      </c>
      <c r="I270" s="40" t="s">
        <v>108</v>
      </c>
      <c r="J270" s="39" t="s">
        <v>109</v>
      </c>
      <c r="K270" s="3"/>
      <c r="L270" s="3"/>
      <c r="M270" s="3"/>
      <c r="N270" s="3"/>
      <c r="O270" s="3"/>
      <c r="P270" s="3"/>
      <c r="Q270" s="3"/>
      <c r="R270" s="3"/>
      <c r="S270" s="3"/>
      <c r="T270" s="125">
        <v>165</v>
      </c>
      <c r="U270" s="126">
        <v>88.1</v>
      </c>
      <c r="V270" s="12">
        <f>paper3[[#This Row],[height]]-paper3[[#This Row],[sittingheight]]</f>
        <v>76.900000000000006</v>
      </c>
      <c r="W270" s="127">
        <v>60.8</v>
      </c>
      <c r="X270" s="43" cm="1">
        <f t="array" ref="X270">INDEX([1]!phvny[yphv], MATCH(1, (paper3[[#This Row],[id]]=[1]!phvny[id])*(paper3[[#This Row],[time]]=[1]!phvny[time]), 0))</f>
        <v>1.8482958998939392</v>
      </c>
      <c r="Y270" s="60"/>
      <c r="Z270" s="60"/>
      <c r="AA270" s="60"/>
      <c r="AB270" s="60"/>
      <c r="AC270" s="60"/>
      <c r="AD270" s="3"/>
      <c r="AE270" s="60"/>
      <c r="AF270" s="3"/>
      <c r="AG270" s="3"/>
      <c r="AH270" s="130">
        <v>2.04</v>
      </c>
      <c r="AI270" s="130">
        <v>3.5300000000000002</v>
      </c>
      <c r="AJ270" s="130">
        <v>5.0330000000000004</v>
      </c>
      <c r="AK270" s="45">
        <v>6.6533599467731195</v>
      </c>
      <c r="AL270" s="3"/>
      <c r="AM270" s="3"/>
      <c r="AN270" s="3"/>
      <c r="AO270" s="3"/>
      <c r="AP270" s="137">
        <v>11.42</v>
      </c>
      <c r="AQ270" s="132"/>
      <c r="AR270" s="132"/>
      <c r="AS270" s="3"/>
      <c r="AT270" s="3"/>
      <c r="AU270" s="3"/>
      <c r="AV270" s="3"/>
      <c r="AW270" s="3"/>
      <c r="AX270" s="133">
        <v>28.26</v>
      </c>
      <c r="AY270" s="134"/>
      <c r="AZ270" s="40"/>
      <c r="BA270" s="40"/>
      <c r="BB270" s="40"/>
      <c r="BC270" s="40"/>
      <c r="BD270" s="135">
        <v>1042.0941297636464</v>
      </c>
      <c r="BE270" s="135">
        <v>977.13657825324947</v>
      </c>
      <c r="BF270" s="40"/>
      <c r="BG270" s="135">
        <v>387.12268659713675</v>
      </c>
      <c r="BH270" s="135">
        <v>435.0444315803461</v>
      </c>
      <c r="BI270" s="49">
        <v>2019.2307080168957</v>
      </c>
      <c r="BJ270" s="49">
        <v>822.16711817748285</v>
      </c>
      <c r="BK270" s="66">
        <v>6.6477453567971523E-2</v>
      </c>
      <c r="BL270" s="66">
        <v>-0.11015367972675438</v>
      </c>
      <c r="BM270" s="51">
        <v>33.211031381856841</v>
      </c>
      <c r="BN270" s="51">
        <v>13.522485496340179</v>
      </c>
      <c r="BO270" s="136"/>
      <c r="BP270" s="40"/>
      <c r="BQ270" s="40"/>
      <c r="BR270" s="67"/>
      <c r="BS270" s="54" t="s">
        <v>110</v>
      </c>
      <c r="BT270" s="68"/>
      <c r="BU270" s="69"/>
      <c r="BV270" s="3"/>
      <c r="BW270" s="3"/>
      <c r="BX270" s="70"/>
      <c r="BY270" s="70"/>
      <c r="BZ270" s="59"/>
      <c r="CA270" s="59"/>
      <c r="CB270" s="59" t="s">
        <v>110</v>
      </c>
      <c r="CC270" s="59" t="s">
        <v>110</v>
      </c>
      <c r="CD270" s="60"/>
      <c r="CE270" s="60"/>
      <c r="CF270" s="61"/>
      <c r="CG270" s="61"/>
      <c r="CH270" s="61"/>
      <c r="CI270" s="138">
        <v>15.3</v>
      </c>
      <c r="CJ270" s="40">
        <f>VLOOKUP(paper3[[#This Row],[YYIR nivå]],$DB:$DC,2)</f>
        <v>880</v>
      </c>
      <c r="CK270" s="3"/>
      <c r="CL270" s="62"/>
      <c r="CM270" s="62"/>
      <c r="CN270" s="3"/>
      <c r="CO270" s="3"/>
      <c r="CP270" s="41">
        <v>13.625</v>
      </c>
      <c r="CQ270" s="3" t="s">
        <v>110</v>
      </c>
      <c r="CR270" s="40" t="s">
        <v>110</v>
      </c>
      <c r="CS270" s="40" t="s">
        <v>110</v>
      </c>
      <c r="CT270" s="40" t="s">
        <v>110</v>
      </c>
      <c r="CU270" s="40"/>
      <c r="CV270" s="40"/>
      <c r="CW270" s="40"/>
      <c r="CX270" s="40"/>
      <c r="CY270" s="40" t="s">
        <v>201</v>
      </c>
      <c r="CZ270" s="40"/>
      <c r="DA270" s="40"/>
    </row>
    <row r="271" spans="1:105" ht="15.75" customHeight="1">
      <c r="A271" s="3">
        <v>605</v>
      </c>
      <c r="B271" s="92" t="s">
        <v>199</v>
      </c>
      <c r="C271" s="3" t="s">
        <v>104</v>
      </c>
      <c r="D271" s="3" t="s">
        <v>105</v>
      </c>
      <c r="E271" s="39">
        <v>44852</v>
      </c>
      <c r="F271" s="3" t="s">
        <v>106</v>
      </c>
      <c r="G271" s="3" t="s">
        <v>122</v>
      </c>
      <c r="H271" s="3">
        <v>2009</v>
      </c>
      <c r="I271" s="40" t="s">
        <v>108</v>
      </c>
      <c r="J271" s="39" t="s">
        <v>123</v>
      </c>
      <c r="K271" s="3"/>
      <c r="L271" s="3"/>
      <c r="M271" s="3"/>
      <c r="N271" s="3"/>
      <c r="O271" s="3"/>
      <c r="P271" s="3"/>
      <c r="Q271" s="3"/>
      <c r="R271" s="3"/>
      <c r="S271" s="3"/>
      <c r="T271" s="125">
        <v>164</v>
      </c>
      <c r="U271" s="126">
        <v>84.1</v>
      </c>
      <c r="V271" s="12">
        <f>paper3[[#This Row],[height]]-paper3[[#This Row],[sittingheight]]</f>
        <v>79.900000000000006</v>
      </c>
      <c r="W271" s="127">
        <v>48.9</v>
      </c>
      <c r="X271" s="43" cm="1">
        <f t="array" ref="X271">INDEX([1]!phvny[yphv], MATCH(1, (paper3[[#This Row],[id]]=[1]!phvny[id])*(paper3[[#This Row],[time]]=[1]!phvny[time]), 0))</f>
        <v>-0.28268793842683193</v>
      </c>
      <c r="Y271" s="60"/>
      <c r="Z271" s="60"/>
      <c r="AA271" s="60"/>
      <c r="AB271" s="60"/>
      <c r="AC271" s="60"/>
      <c r="AD271" s="3"/>
      <c r="AE271" s="60"/>
      <c r="AF271" s="3"/>
      <c r="AG271" s="3"/>
      <c r="AH271" s="130">
        <v>1.9849999999999999</v>
      </c>
      <c r="AI271" s="130">
        <v>3.3200000000000003</v>
      </c>
      <c r="AJ271" s="130">
        <v>4.9790000000000001</v>
      </c>
      <c r="AK271" s="45">
        <v>6.027727546714889</v>
      </c>
      <c r="AL271" s="3"/>
      <c r="AM271" s="3"/>
      <c r="AN271" s="3"/>
      <c r="AO271" s="3"/>
      <c r="AP271" s="137">
        <v>11.77</v>
      </c>
      <c r="AQ271" s="132"/>
      <c r="AR271" s="132"/>
      <c r="AS271" s="3"/>
      <c r="AT271" s="3"/>
      <c r="AU271" s="3"/>
      <c r="AV271" s="3"/>
      <c r="AW271" s="3"/>
      <c r="AX271" s="133">
        <v>25.26</v>
      </c>
      <c r="AY271" s="134"/>
      <c r="AZ271" s="40"/>
      <c r="BA271" s="40"/>
      <c r="BB271" s="40"/>
      <c r="BC271" s="40"/>
      <c r="BD271" s="135">
        <v>719.42716560990289</v>
      </c>
      <c r="BE271" s="135">
        <v>762.16371082837998</v>
      </c>
      <c r="BF271" s="40"/>
      <c r="BG271" s="135">
        <v>294.91863151664472</v>
      </c>
      <c r="BH271" s="135">
        <v>299.59230720056308</v>
      </c>
      <c r="BI271" s="49">
        <v>1481.59087643828</v>
      </c>
      <c r="BJ271" s="49">
        <v>594.51093871720786</v>
      </c>
      <c r="BK271" s="66">
        <v>-5.6072658159003197E-2</v>
      </c>
      <c r="BL271" s="66">
        <v>-1.5600119133865276E-2</v>
      </c>
      <c r="BM271" s="51">
        <v>30.298381931253232</v>
      </c>
      <c r="BN271" s="51">
        <v>12.157687908327359</v>
      </c>
      <c r="BO271" s="136"/>
      <c r="BP271" s="40"/>
      <c r="BQ271" s="40"/>
      <c r="BR271" s="67"/>
      <c r="BS271" s="54" t="s">
        <v>110</v>
      </c>
      <c r="BT271" s="68"/>
      <c r="BU271" s="69"/>
      <c r="BV271" s="3"/>
      <c r="BW271" s="3"/>
      <c r="BX271" s="70"/>
      <c r="BY271" s="70"/>
      <c r="BZ271" s="59"/>
      <c r="CA271" s="59"/>
      <c r="CB271" s="59" t="s">
        <v>110</v>
      </c>
      <c r="CC271" s="59" t="s">
        <v>110</v>
      </c>
      <c r="CD271" s="60"/>
      <c r="CE271" s="60"/>
      <c r="CF271" s="61"/>
      <c r="CG271" s="61"/>
      <c r="CH271" s="61"/>
      <c r="CI271" s="138">
        <v>14.6</v>
      </c>
      <c r="CJ271" s="40">
        <f>VLOOKUP(paper3[[#This Row],[YYIR nivå]],$DB:$DC,2)</f>
        <v>680</v>
      </c>
      <c r="CK271" s="3"/>
      <c r="CL271" s="62"/>
      <c r="CM271" s="62"/>
      <c r="CN271" s="3"/>
      <c r="CO271" s="3"/>
      <c r="CP271" s="41">
        <v>13.608333333333333</v>
      </c>
      <c r="CQ271" s="3" t="s">
        <v>110</v>
      </c>
      <c r="CR271" s="40" t="s">
        <v>110</v>
      </c>
      <c r="CS271" s="40" t="s">
        <v>110</v>
      </c>
      <c r="CT271" s="40" t="s">
        <v>110</v>
      </c>
      <c r="CU271" s="40"/>
      <c r="CV271" s="40"/>
      <c r="CW271" s="40"/>
      <c r="CX271" s="40"/>
      <c r="CY271" s="40" t="s">
        <v>201</v>
      </c>
      <c r="CZ271" s="40"/>
      <c r="DA271" s="40"/>
    </row>
    <row r="272" spans="1:105" ht="15.75" customHeight="1">
      <c r="A272" s="3">
        <v>606</v>
      </c>
      <c r="B272" s="92" t="s">
        <v>199</v>
      </c>
      <c r="C272" s="3" t="s">
        <v>171</v>
      </c>
      <c r="D272" s="3" t="s">
        <v>105</v>
      </c>
      <c r="E272" s="39">
        <v>44852</v>
      </c>
      <c r="F272" s="3" t="s">
        <v>106</v>
      </c>
      <c r="G272" s="3" t="s">
        <v>122</v>
      </c>
      <c r="H272" s="3">
        <v>2009</v>
      </c>
      <c r="I272" s="40" t="s">
        <v>108</v>
      </c>
      <c r="J272" s="39" t="s">
        <v>123</v>
      </c>
      <c r="K272" s="3"/>
      <c r="L272" s="3"/>
      <c r="M272" s="3"/>
      <c r="N272" s="3"/>
      <c r="O272" s="3"/>
      <c r="P272" s="3"/>
      <c r="Q272" s="3"/>
      <c r="R272" s="3"/>
      <c r="S272" s="3"/>
      <c r="T272" s="125">
        <v>160.5</v>
      </c>
      <c r="U272" s="126">
        <v>83.5</v>
      </c>
      <c r="V272" s="12">
        <f>paper3[[#This Row],[height]]-paper3[[#This Row],[sittingheight]]</f>
        <v>77</v>
      </c>
      <c r="W272" s="127">
        <v>45</v>
      </c>
      <c r="X272" s="43" cm="1">
        <f t="array" ref="X272">INDEX([1]!phvny[yphv], MATCH(1, (paper3[[#This Row],[id]]=[1]!phvny[id])*(paper3[[#This Row],[time]]=[1]!phvny[time]), 0))</f>
        <v>-0.57721045257009451</v>
      </c>
      <c r="Y272" s="3"/>
      <c r="Z272" s="3"/>
      <c r="AA272" s="3"/>
      <c r="AB272" s="3"/>
      <c r="AC272" s="3"/>
      <c r="AD272" s="3"/>
      <c r="AE272" s="3"/>
      <c r="AF272" s="3"/>
      <c r="AG272" s="3"/>
      <c r="AH272" s="133"/>
      <c r="AI272" s="133"/>
      <c r="AJ272" s="133"/>
      <c r="AK272" s="45"/>
      <c r="AL272" s="3"/>
      <c r="AM272" s="3"/>
      <c r="AN272" s="3"/>
      <c r="AO272" s="3"/>
      <c r="AP272" s="137">
        <v>10.719999999999999</v>
      </c>
      <c r="AQ272" s="132"/>
      <c r="AR272" s="132"/>
      <c r="AS272" s="3"/>
      <c r="AT272" s="3"/>
      <c r="AU272" s="3"/>
      <c r="AV272" s="3"/>
      <c r="AW272" s="3"/>
      <c r="AX272" s="133">
        <v>33.26</v>
      </c>
      <c r="AY272" s="134"/>
      <c r="AZ272" s="40"/>
      <c r="BA272" s="40"/>
      <c r="BB272" s="40"/>
      <c r="BC272" s="40"/>
      <c r="BD272" s="135">
        <v>836.69216944851814</v>
      </c>
      <c r="BE272" s="135">
        <v>868.51943544226913</v>
      </c>
      <c r="BF272" s="40"/>
      <c r="BG272" s="135">
        <v>363.55470426597458</v>
      </c>
      <c r="BH272" s="135">
        <v>379.24061648211688</v>
      </c>
      <c r="BI272" s="49">
        <v>1705.2116048907874</v>
      </c>
      <c r="BJ272" s="49">
        <v>742.7953207480914</v>
      </c>
      <c r="BK272" s="66">
        <v>-3.6645427488382953E-2</v>
      </c>
      <c r="BL272" s="66">
        <v>-4.1361372000833563E-2</v>
      </c>
      <c r="BM272" s="51">
        <v>37.893591219795276</v>
      </c>
      <c r="BN272" s="51">
        <v>16.50656268329092</v>
      </c>
      <c r="BO272" s="136"/>
      <c r="BP272" s="40"/>
      <c r="BQ272" s="40"/>
      <c r="BR272" s="67"/>
      <c r="BS272" s="54" t="s">
        <v>110</v>
      </c>
      <c r="BT272" s="68"/>
      <c r="BU272" s="69"/>
      <c r="BV272" s="3"/>
      <c r="BW272" s="3"/>
      <c r="BX272" s="70"/>
      <c r="BY272" s="70"/>
      <c r="BZ272" s="59"/>
      <c r="CA272" s="59"/>
      <c r="CB272" s="59" t="s">
        <v>110</v>
      </c>
      <c r="CC272" s="59" t="s">
        <v>110</v>
      </c>
      <c r="CD272" s="60"/>
      <c r="CE272" s="60"/>
      <c r="CF272" s="61"/>
      <c r="CG272" s="61"/>
      <c r="CH272" s="61"/>
      <c r="CI272" s="139">
        <v>16.3</v>
      </c>
      <c r="CJ272" s="40">
        <f>VLOOKUP(paper3[[#This Row],[YYIR nivå]],$DB:$DC,2)</f>
        <v>1200</v>
      </c>
      <c r="CK272" s="3"/>
      <c r="CL272" s="62"/>
      <c r="CM272" s="62"/>
      <c r="CN272" s="3"/>
      <c r="CO272" s="3"/>
      <c r="CP272" s="41">
        <v>13.225</v>
      </c>
      <c r="CQ272" s="3" t="s">
        <v>110</v>
      </c>
      <c r="CR272" s="40" t="s">
        <v>110</v>
      </c>
      <c r="CS272" s="40" t="s">
        <v>110</v>
      </c>
      <c r="CT272" s="40" t="s">
        <v>110</v>
      </c>
      <c r="CU272" s="40"/>
      <c r="CV272" s="40"/>
      <c r="CW272" s="40"/>
      <c r="CX272" s="40"/>
      <c r="CY272" s="40" t="s">
        <v>203</v>
      </c>
      <c r="CZ272" s="40"/>
      <c r="DA272" s="40"/>
    </row>
    <row r="273" spans="1:105" ht="15.75" customHeight="1">
      <c r="A273" s="3">
        <v>607</v>
      </c>
      <c r="B273" s="92" t="s">
        <v>199</v>
      </c>
      <c r="C273" s="3" t="s">
        <v>171</v>
      </c>
      <c r="D273" s="3" t="s">
        <v>105</v>
      </c>
      <c r="E273" s="39">
        <v>44852</v>
      </c>
      <c r="F273" s="3" t="s">
        <v>106</v>
      </c>
      <c r="G273" s="3" t="s">
        <v>122</v>
      </c>
      <c r="H273" s="3">
        <v>2009</v>
      </c>
      <c r="I273" s="40" t="s">
        <v>108</v>
      </c>
      <c r="J273" s="39" t="s">
        <v>123</v>
      </c>
      <c r="K273" s="3"/>
      <c r="L273" s="3"/>
      <c r="M273" s="3"/>
      <c r="N273" s="3"/>
      <c r="O273" s="3"/>
      <c r="P273" s="3"/>
      <c r="Q273" s="3"/>
      <c r="R273" s="3"/>
      <c r="S273" s="3"/>
      <c r="T273" s="125">
        <v>162.4</v>
      </c>
      <c r="U273" s="126">
        <v>79.2</v>
      </c>
      <c r="V273" s="12">
        <f>paper3[[#This Row],[height]]-paper3[[#This Row],[sittingheight]]</f>
        <v>83.2</v>
      </c>
      <c r="W273" s="127">
        <v>63.3</v>
      </c>
      <c r="X273" s="43" cm="1">
        <f t="array" ref="X273">INDEX([1]!phvny[yphv], MATCH(1, (paper3[[#This Row],[id]]=[1]!phvny[id])*(paper3[[#This Row],[time]]=[1]!phvny[time]), 0))</f>
        <v>-0.62411300681773407</v>
      </c>
      <c r="Y273" s="3"/>
      <c r="Z273" s="3"/>
      <c r="AA273" s="3"/>
      <c r="AB273" s="3"/>
      <c r="AC273" s="3"/>
      <c r="AD273" s="3"/>
      <c r="AE273" s="3"/>
      <c r="AF273" s="3"/>
      <c r="AG273" s="3"/>
      <c r="AH273" s="130">
        <v>2.1619999999999999</v>
      </c>
      <c r="AI273" s="130">
        <v>3.7600000000000002</v>
      </c>
      <c r="AJ273" s="130">
        <v>5.3680000000000003</v>
      </c>
      <c r="AK273" s="45">
        <v>6.2189054726368154</v>
      </c>
      <c r="AL273" s="3"/>
      <c r="AM273" s="3"/>
      <c r="AN273" s="3"/>
      <c r="AO273" s="3"/>
      <c r="AP273" s="137">
        <v>12.2</v>
      </c>
      <c r="AQ273" s="132"/>
      <c r="AR273" s="132"/>
      <c r="AS273" s="3"/>
      <c r="AT273" s="3"/>
      <c r="AU273" s="3"/>
      <c r="AV273" s="3"/>
      <c r="AW273" s="3"/>
      <c r="AX273" s="133">
        <v>21.560000000000002</v>
      </c>
      <c r="AY273" s="134"/>
      <c r="AZ273" s="40"/>
      <c r="BA273" s="40"/>
      <c r="BB273" s="40"/>
      <c r="BC273" s="40"/>
      <c r="BD273" s="135">
        <v>772.9500734309737</v>
      </c>
      <c r="BE273" s="135">
        <v>763.91215183258817</v>
      </c>
      <c r="BF273" s="40"/>
      <c r="BG273" s="135">
        <v>329.56503675126044</v>
      </c>
      <c r="BH273" s="135">
        <v>283.02253741350376</v>
      </c>
      <c r="BI273" s="49">
        <v>1536.8622252635619</v>
      </c>
      <c r="BJ273" s="49">
        <v>612.58757416476419</v>
      </c>
      <c r="BK273" s="66">
        <v>1.1831100705367747E-2</v>
      </c>
      <c r="BL273" s="66">
        <v>0.16444803217122184</v>
      </c>
      <c r="BM273" s="51">
        <v>24.279024095790867</v>
      </c>
      <c r="BN273" s="51">
        <v>9.6775288177687866</v>
      </c>
      <c r="BO273" s="136"/>
      <c r="BP273" s="40"/>
      <c r="BQ273" s="40"/>
      <c r="BR273" s="67"/>
      <c r="BS273" s="54" t="s">
        <v>110</v>
      </c>
      <c r="BT273" s="68"/>
      <c r="BU273" s="69"/>
      <c r="BV273" s="3"/>
      <c r="BW273" s="3"/>
      <c r="BX273" s="70"/>
      <c r="BY273" s="70"/>
      <c r="BZ273" s="59"/>
      <c r="CA273" s="59"/>
      <c r="CB273" s="59" t="s">
        <v>110</v>
      </c>
      <c r="CC273" s="59" t="s">
        <v>110</v>
      </c>
      <c r="CD273" s="60"/>
      <c r="CE273" s="60"/>
      <c r="CF273" s="61"/>
      <c r="CG273" s="61"/>
      <c r="CH273" s="61"/>
      <c r="CI273" s="140">
        <v>13.2</v>
      </c>
      <c r="CJ273" s="40">
        <f>VLOOKUP(paper3[[#This Row],[YYIR nivå]],$DB:$DC,2)</f>
        <v>360</v>
      </c>
      <c r="CK273" s="3"/>
      <c r="CL273" s="62"/>
      <c r="CM273" s="62"/>
      <c r="CN273" s="3"/>
      <c r="CO273" s="3"/>
      <c r="CP273" s="41">
        <v>13.7</v>
      </c>
      <c r="CQ273" s="3" t="s">
        <v>110</v>
      </c>
      <c r="CR273" s="40" t="s">
        <v>110</v>
      </c>
      <c r="CS273" s="40" t="s">
        <v>110</v>
      </c>
      <c r="CT273" s="40" t="s">
        <v>110</v>
      </c>
      <c r="CU273" s="40"/>
      <c r="CV273" s="40"/>
      <c r="CW273" s="40"/>
      <c r="CX273" s="40"/>
      <c r="CY273" s="40" t="s">
        <v>201</v>
      </c>
      <c r="CZ273" s="40"/>
      <c r="DA273" s="40"/>
    </row>
    <row r="274" spans="1:105" ht="15.75" customHeight="1">
      <c r="A274" s="3">
        <v>608</v>
      </c>
      <c r="B274" s="92" t="s">
        <v>199</v>
      </c>
      <c r="C274" s="3" t="s">
        <v>104</v>
      </c>
      <c r="D274" s="3" t="s">
        <v>105</v>
      </c>
      <c r="E274" s="39">
        <v>44852</v>
      </c>
      <c r="F274" s="3" t="s">
        <v>106</v>
      </c>
      <c r="G274" s="3" t="s">
        <v>122</v>
      </c>
      <c r="H274" s="3">
        <v>2009</v>
      </c>
      <c r="I274" s="40" t="s">
        <v>108</v>
      </c>
      <c r="J274" s="39" t="s">
        <v>123</v>
      </c>
      <c r="K274" s="3"/>
      <c r="L274" s="3"/>
      <c r="M274" s="3"/>
      <c r="N274" s="3"/>
      <c r="O274" s="3"/>
      <c r="P274" s="3"/>
      <c r="Q274" s="3"/>
      <c r="R274" s="3"/>
      <c r="S274" s="3"/>
      <c r="T274" s="125">
        <v>153.6</v>
      </c>
      <c r="U274" s="126">
        <v>76.7</v>
      </c>
      <c r="V274" s="12">
        <f>paper3[[#This Row],[height]]-paper3[[#This Row],[sittingheight]]</f>
        <v>76.899999999999991</v>
      </c>
      <c r="W274" s="127">
        <v>46.6</v>
      </c>
      <c r="X274" s="43" cm="1">
        <f t="array" ref="X274">INDEX([1]!phvny[yphv], MATCH(1, (paper3[[#This Row],[id]]=[1]!phvny[id])*(paper3[[#This Row],[time]]=[1]!phvny[time]), 0))</f>
        <v>-1.0892762187777769</v>
      </c>
      <c r="Y274" s="3"/>
      <c r="Z274" s="3"/>
      <c r="AA274" s="3"/>
      <c r="AB274" s="3"/>
      <c r="AC274" s="3"/>
      <c r="AD274" s="3"/>
      <c r="AE274" s="3"/>
      <c r="AF274" s="3"/>
      <c r="AG274" s="3"/>
      <c r="AH274" s="130">
        <v>2.2040000000000002</v>
      </c>
      <c r="AI274" s="130">
        <v>3.7600000000000002</v>
      </c>
      <c r="AJ274" s="130">
        <v>5.2969999999999997</v>
      </c>
      <c r="AK274" s="45">
        <v>6.5061808718282395</v>
      </c>
      <c r="AL274" s="3"/>
      <c r="AM274" s="3"/>
      <c r="AN274" s="3"/>
      <c r="AO274" s="3"/>
      <c r="AP274" s="137">
        <v>11.79</v>
      </c>
      <c r="AQ274" s="132"/>
      <c r="AR274" s="132"/>
      <c r="AS274" s="3"/>
      <c r="AT274" s="3"/>
      <c r="AU274" s="3"/>
      <c r="AV274" s="3"/>
      <c r="AW274" s="3"/>
      <c r="AX274" s="133">
        <v>22.96</v>
      </c>
      <c r="AY274" s="134"/>
      <c r="AZ274" s="40"/>
      <c r="BA274" s="40"/>
      <c r="BB274" s="40"/>
      <c r="BC274" s="40"/>
      <c r="BD274" s="135"/>
      <c r="BE274" s="135"/>
      <c r="BF274" s="40"/>
      <c r="BG274" s="135"/>
      <c r="BH274" s="135"/>
      <c r="BI274" s="49"/>
      <c r="BJ274" s="49"/>
      <c r="BK274" s="66"/>
      <c r="BL274" s="66"/>
      <c r="BM274" s="51"/>
      <c r="BN274" s="51"/>
      <c r="BO274" s="136"/>
      <c r="BP274" s="40"/>
      <c r="BQ274" s="40"/>
      <c r="BR274" s="67"/>
      <c r="BS274" s="54" t="s">
        <v>110</v>
      </c>
      <c r="BT274" s="68"/>
      <c r="BU274" s="69"/>
      <c r="BV274" s="3"/>
      <c r="BW274" s="3"/>
      <c r="BX274" s="70"/>
      <c r="BY274" s="70"/>
      <c r="BZ274" s="59"/>
      <c r="CA274" s="59"/>
      <c r="CB274" s="59" t="s">
        <v>110</v>
      </c>
      <c r="CC274" s="59" t="s">
        <v>110</v>
      </c>
      <c r="CD274" s="60"/>
      <c r="CE274" s="60"/>
      <c r="CF274" s="61"/>
      <c r="CG274" s="61"/>
      <c r="CH274" s="61"/>
      <c r="CI274" s="96">
        <v>15.4</v>
      </c>
      <c r="CJ274" s="40">
        <f>VLOOKUP(paper3[[#This Row],[YYIR nivå]],$DB:$DC,2)</f>
        <v>920</v>
      </c>
      <c r="CK274" s="3"/>
      <c r="CL274" s="62"/>
      <c r="CM274" s="62"/>
      <c r="CN274" s="3"/>
      <c r="CO274" s="3"/>
      <c r="CP274" s="41">
        <v>13.755555555555556</v>
      </c>
      <c r="CQ274" s="3" t="s">
        <v>110</v>
      </c>
      <c r="CR274" s="40" t="s">
        <v>110</v>
      </c>
      <c r="CS274" s="40" t="s">
        <v>110</v>
      </c>
      <c r="CT274" s="40" t="s">
        <v>110</v>
      </c>
      <c r="CU274" s="40"/>
      <c r="CV274" s="40"/>
      <c r="CW274" s="40"/>
      <c r="CX274" s="40"/>
      <c r="CY274" s="40" t="s">
        <v>201</v>
      </c>
      <c r="CZ274" s="40"/>
      <c r="DA274" s="40"/>
    </row>
    <row r="275" spans="1:105" ht="15.75" customHeight="1">
      <c r="A275" s="3">
        <v>609</v>
      </c>
      <c r="B275" s="92" t="s">
        <v>199</v>
      </c>
      <c r="C275" s="3" t="s">
        <v>104</v>
      </c>
      <c r="D275" s="3" t="s">
        <v>105</v>
      </c>
      <c r="E275" s="39">
        <v>44852</v>
      </c>
      <c r="F275" s="3" t="s">
        <v>106</v>
      </c>
      <c r="G275" s="3" t="s">
        <v>122</v>
      </c>
      <c r="H275" s="3">
        <v>2009</v>
      </c>
      <c r="I275" s="40" t="s">
        <v>108</v>
      </c>
      <c r="J275" s="39" t="s">
        <v>123</v>
      </c>
      <c r="K275" s="3"/>
      <c r="L275" s="3"/>
      <c r="M275" s="3"/>
      <c r="N275" s="3"/>
      <c r="O275" s="3"/>
      <c r="P275" s="3"/>
      <c r="Q275" s="3"/>
      <c r="R275" s="3"/>
      <c r="S275" s="3"/>
      <c r="T275" s="125">
        <v>165.9</v>
      </c>
      <c r="U275" s="126">
        <v>80.8</v>
      </c>
      <c r="V275" s="12">
        <f>paper3[[#This Row],[height]]-paper3[[#This Row],[sittingheight]]</f>
        <v>85.100000000000009</v>
      </c>
      <c r="W275" s="127">
        <v>45.2</v>
      </c>
      <c r="X275" s="43" cm="1">
        <f t="array" ref="X275">INDEX([1]!phvny[yphv], MATCH(1, (paper3[[#This Row],[id]]=[1]!phvny[id])*(paper3[[#This Row],[time]]=[1]!phvny[time]), 0))</f>
        <v>-0.93109061763552581</v>
      </c>
      <c r="Y275" s="3"/>
      <c r="Z275" s="60"/>
      <c r="AA275" s="60"/>
      <c r="AB275" s="60"/>
      <c r="AC275" s="60"/>
      <c r="AD275" s="60"/>
      <c r="AE275" s="60"/>
      <c r="AF275" s="3"/>
      <c r="AG275" s="3"/>
      <c r="AH275" s="130">
        <v>2.1150000000000002</v>
      </c>
      <c r="AI275" s="130">
        <v>3.6300000000000003</v>
      </c>
      <c r="AJ275" s="130">
        <v>5.149</v>
      </c>
      <c r="AK275" s="45">
        <v>6.583278472679396</v>
      </c>
      <c r="AL275" s="3"/>
      <c r="AM275" s="3"/>
      <c r="AN275" s="3"/>
      <c r="AO275" s="3"/>
      <c r="AP275" s="137">
        <v>11.34</v>
      </c>
      <c r="AQ275" s="132"/>
      <c r="AR275" s="132"/>
      <c r="AS275" s="3"/>
      <c r="AT275" s="3"/>
      <c r="AU275" s="3"/>
      <c r="AV275" s="3"/>
      <c r="AW275" s="3"/>
      <c r="AX275" s="133">
        <v>25.060000000000002</v>
      </c>
      <c r="AY275" s="134"/>
      <c r="AZ275" s="40"/>
      <c r="BA275" s="40"/>
      <c r="BB275" s="40"/>
      <c r="BC275" s="40"/>
      <c r="BD275" s="135">
        <v>620.2079115415529</v>
      </c>
      <c r="BE275" s="135">
        <v>637.10628003418481</v>
      </c>
      <c r="BF275" s="40"/>
      <c r="BG275" s="135">
        <v>294.71679662486031</v>
      </c>
      <c r="BH275" s="135">
        <v>304.2258512704293</v>
      </c>
      <c r="BI275" s="49">
        <v>1257.3141915757378</v>
      </c>
      <c r="BJ275" s="49">
        <v>598.94264789528961</v>
      </c>
      <c r="BK275" s="66">
        <v>-2.6523625684124807E-2</v>
      </c>
      <c r="BL275" s="66">
        <v>-3.1256563522987113E-2</v>
      </c>
      <c r="BM275" s="51">
        <v>27.816685654330481</v>
      </c>
      <c r="BN275" s="51">
        <v>13.250943537506407</v>
      </c>
      <c r="BO275" s="136"/>
      <c r="BP275" s="40"/>
      <c r="BQ275" s="40"/>
      <c r="BR275" s="67"/>
      <c r="BS275" s="54" t="s">
        <v>110</v>
      </c>
      <c r="BT275" s="68"/>
      <c r="BU275" s="69"/>
      <c r="BV275" s="3"/>
      <c r="BW275" s="3"/>
      <c r="BX275" s="70"/>
      <c r="BY275" s="70"/>
      <c r="BZ275" s="59"/>
      <c r="CA275" s="59"/>
      <c r="CB275" s="59" t="s">
        <v>110</v>
      </c>
      <c r="CC275" s="59" t="s">
        <v>110</v>
      </c>
      <c r="CD275" s="60"/>
      <c r="CE275" s="60"/>
      <c r="CF275" s="61"/>
      <c r="CG275" s="61"/>
      <c r="CH275" s="61"/>
      <c r="CI275" s="138">
        <v>16.100000000000001</v>
      </c>
      <c r="CJ275" s="40">
        <f>VLOOKUP(paper3[[#This Row],[YYIR nivå]],$DB:$DC,2)</f>
        <v>1120</v>
      </c>
      <c r="CK275" s="3"/>
      <c r="CL275" s="62"/>
      <c r="CM275" s="62"/>
      <c r="CN275" s="3"/>
      <c r="CO275" s="3"/>
      <c r="CP275" s="41">
        <v>13.177777777777777</v>
      </c>
      <c r="CQ275" s="3" t="s">
        <v>110</v>
      </c>
      <c r="CR275" s="40" t="s">
        <v>110</v>
      </c>
      <c r="CS275" s="40" t="s">
        <v>110</v>
      </c>
      <c r="CT275" s="40" t="s">
        <v>110</v>
      </c>
      <c r="CU275" s="40"/>
      <c r="CV275" s="40"/>
      <c r="CW275" s="40"/>
      <c r="CX275" s="40"/>
      <c r="CY275" s="40" t="s">
        <v>200</v>
      </c>
      <c r="CZ275" s="40"/>
      <c r="DA275" s="40"/>
    </row>
    <row r="276" spans="1:105" ht="15.75" customHeight="1">
      <c r="A276" s="3">
        <v>610</v>
      </c>
      <c r="B276" s="92" t="s">
        <v>199</v>
      </c>
      <c r="C276" s="3" t="s">
        <v>104</v>
      </c>
      <c r="D276" s="3" t="s">
        <v>105</v>
      </c>
      <c r="E276" s="39">
        <v>44852</v>
      </c>
      <c r="F276" s="3" t="s">
        <v>106</v>
      </c>
      <c r="G276" s="3" t="s">
        <v>122</v>
      </c>
      <c r="H276" s="3">
        <v>2009</v>
      </c>
      <c r="I276" s="40" t="s">
        <v>108</v>
      </c>
      <c r="J276" s="39" t="s">
        <v>123</v>
      </c>
      <c r="K276" s="3"/>
      <c r="L276" s="3"/>
      <c r="M276" s="3"/>
      <c r="N276" s="3"/>
      <c r="O276" s="3"/>
      <c r="P276" s="3"/>
      <c r="Q276" s="3"/>
      <c r="R276" s="3"/>
      <c r="S276" s="3"/>
      <c r="T276" s="125">
        <v>164</v>
      </c>
      <c r="U276" s="126">
        <v>81.900000000000006</v>
      </c>
      <c r="V276" s="12">
        <f>paper3[[#This Row],[height]]-paper3[[#This Row],[sittingheight]]</f>
        <v>82.1</v>
      </c>
      <c r="W276" s="127">
        <v>44.5</v>
      </c>
      <c r="X276" s="43" cm="1">
        <f t="array" ref="X276">INDEX([1]!phvny[yphv], MATCH(1, (paper3[[#This Row],[id]]=[1]!phvny[id])*(paper3[[#This Row],[time]]=[1]!phvny[time]), 0))</f>
        <v>-0.56084098579810293</v>
      </c>
      <c r="Y276" s="3"/>
      <c r="Z276" s="60"/>
      <c r="AA276" s="60"/>
      <c r="AB276" s="60"/>
      <c r="AC276" s="60"/>
      <c r="AD276" s="60"/>
      <c r="AE276" s="60"/>
      <c r="AF276" s="3"/>
      <c r="AG276" s="3"/>
      <c r="AH276" s="130">
        <v>2.028</v>
      </c>
      <c r="AI276" s="130">
        <v>3.5100000000000002</v>
      </c>
      <c r="AJ276" s="130">
        <v>5.0069999999999997</v>
      </c>
      <c r="AK276" s="45">
        <v>6.6800267201068833</v>
      </c>
      <c r="AL276" s="3"/>
      <c r="AM276" s="3"/>
      <c r="AN276" s="3"/>
      <c r="AO276" s="3"/>
      <c r="AP276" s="137">
        <v>11.35</v>
      </c>
      <c r="AQ276" s="132"/>
      <c r="AR276" s="132"/>
      <c r="AS276" s="3"/>
      <c r="AT276" s="3"/>
      <c r="AU276" s="3"/>
      <c r="AV276" s="3"/>
      <c r="AW276" s="3"/>
      <c r="AX276" s="133">
        <v>25.060000000000002</v>
      </c>
      <c r="AY276" s="134"/>
      <c r="AZ276" s="40"/>
      <c r="BA276" s="40"/>
      <c r="BB276" s="40"/>
      <c r="BC276" s="40"/>
      <c r="BD276" s="135">
        <v>777.48685509749157</v>
      </c>
      <c r="BE276" s="135">
        <v>751.90085780425829</v>
      </c>
      <c r="BF276" s="40"/>
      <c r="BG276" s="135">
        <v>309.19388841514706</v>
      </c>
      <c r="BH276" s="135">
        <v>325.98630456866613</v>
      </c>
      <c r="BI276" s="49">
        <v>1529.3877129017499</v>
      </c>
      <c r="BJ276" s="49">
        <v>635.18019298381319</v>
      </c>
      <c r="BK276" s="66">
        <v>3.4028418810361449E-2</v>
      </c>
      <c r="BL276" s="66">
        <v>-5.1512643071733422E-2</v>
      </c>
      <c r="BM276" s="51">
        <v>34.368263211275277</v>
      </c>
      <c r="BN276" s="51">
        <v>14.273712201883443</v>
      </c>
      <c r="BO276" s="136"/>
      <c r="BP276" s="40"/>
      <c r="BQ276" s="40"/>
      <c r="BR276" s="67"/>
      <c r="BS276" s="54" t="s">
        <v>110</v>
      </c>
      <c r="BT276" s="68"/>
      <c r="BU276" s="69"/>
      <c r="BV276" s="3"/>
      <c r="BW276" s="3"/>
      <c r="BX276" s="70"/>
      <c r="BY276" s="70"/>
      <c r="BZ276" s="59"/>
      <c r="CA276" s="59"/>
      <c r="CB276" s="59" t="s">
        <v>110</v>
      </c>
      <c r="CC276" s="59" t="s">
        <v>110</v>
      </c>
      <c r="CD276" s="60"/>
      <c r="CE276" s="60"/>
      <c r="CF276" s="61"/>
      <c r="CG276" s="61"/>
      <c r="CH276" s="61"/>
      <c r="CI276" s="139">
        <v>15.5</v>
      </c>
      <c r="CJ276" s="40">
        <f>VLOOKUP(paper3[[#This Row],[YYIR nivå]],$DB:$DC,2)</f>
        <v>960</v>
      </c>
      <c r="CK276" s="3"/>
      <c r="CL276" s="62"/>
      <c r="CM276" s="62"/>
      <c r="CN276" s="3"/>
      <c r="CO276" s="3"/>
      <c r="CP276" s="41">
        <v>13.713888888888889</v>
      </c>
      <c r="CQ276" s="3" t="s">
        <v>110</v>
      </c>
      <c r="CR276" s="40" t="s">
        <v>110</v>
      </c>
      <c r="CS276" s="40" t="s">
        <v>110</v>
      </c>
      <c r="CT276" s="40" t="s">
        <v>110</v>
      </c>
      <c r="CU276" s="40"/>
      <c r="CV276" s="40"/>
      <c r="CW276" s="40"/>
      <c r="CX276" s="40"/>
      <c r="CY276" s="40" t="s">
        <v>201</v>
      </c>
      <c r="CZ276" s="40"/>
      <c r="DA276" s="40"/>
    </row>
    <row r="277" spans="1:105" ht="15.75" customHeight="1">
      <c r="A277" s="3">
        <v>611</v>
      </c>
      <c r="B277" s="92" t="s">
        <v>199</v>
      </c>
      <c r="C277" s="3" t="s">
        <v>104</v>
      </c>
      <c r="D277" s="3" t="s">
        <v>105</v>
      </c>
      <c r="E277" s="39">
        <v>44852</v>
      </c>
      <c r="F277" s="3" t="s">
        <v>106</v>
      </c>
      <c r="G277" s="3" t="s">
        <v>122</v>
      </c>
      <c r="H277" s="3">
        <v>2009</v>
      </c>
      <c r="I277" s="40" t="s">
        <v>108</v>
      </c>
      <c r="J277" s="39" t="s">
        <v>123</v>
      </c>
      <c r="K277" s="3"/>
      <c r="L277" s="3"/>
      <c r="M277" s="3"/>
      <c r="N277" s="3"/>
      <c r="O277" s="3"/>
      <c r="P277" s="3"/>
      <c r="Q277" s="3"/>
      <c r="R277" s="3"/>
      <c r="S277" s="3"/>
      <c r="T277" s="125">
        <v>165.4</v>
      </c>
      <c r="U277" s="126">
        <v>84.7</v>
      </c>
      <c r="V277" s="12">
        <f>paper3[[#This Row],[height]]-paper3[[#This Row],[sittingheight]]</f>
        <v>80.7</v>
      </c>
      <c r="W277" s="127">
        <v>63</v>
      </c>
      <c r="X277" s="43" cm="1">
        <f t="array" ref="X277">INDEX([1]!phvny[yphv], MATCH(1, (paper3[[#This Row],[id]]=[1]!phvny[id])*(paper3[[#This Row],[time]]=[1]!phvny[time]), 0))</f>
        <v>-0.11501194418030369</v>
      </c>
      <c r="Y277" s="3"/>
      <c r="Z277" s="60"/>
      <c r="AA277" s="60"/>
      <c r="AB277" s="60"/>
      <c r="AC277" s="60"/>
      <c r="AD277" s="3"/>
      <c r="AE277" s="3"/>
      <c r="AF277" s="3"/>
      <c r="AG277" s="3"/>
      <c r="AH277" s="130">
        <v>2.1910000000000003</v>
      </c>
      <c r="AI277" s="130">
        <v>3.3400000000000003</v>
      </c>
      <c r="AJ277" s="130">
        <v>5.6349999999999998</v>
      </c>
      <c r="AK277" s="45">
        <v>4.3572984749455346</v>
      </c>
      <c r="AL277" s="3"/>
      <c r="AM277" s="3"/>
      <c r="AN277" s="3"/>
      <c r="AO277" s="3"/>
      <c r="AP277" s="137">
        <v>11.879999999999999</v>
      </c>
      <c r="AQ277" s="132"/>
      <c r="AR277" s="132"/>
      <c r="AS277" s="3"/>
      <c r="AT277" s="3"/>
      <c r="AU277" s="3"/>
      <c r="AV277" s="3"/>
      <c r="AW277" s="3"/>
      <c r="AX277" s="133">
        <v>20.86</v>
      </c>
      <c r="AY277" s="134"/>
      <c r="AZ277" s="40"/>
      <c r="BA277" s="40"/>
      <c r="BB277" s="40"/>
      <c r="BC277" s="40"/>
      <c r="BD277" s="135">
        <v>752.95947257277157</v>
      </c>
      <c r="BE277" s="135">
        <v>700.10576917225342</v>
      </c>
      <c r="BF277" s="40"/>
      <c r="BG277" s="135">
        <v>316.6308526615374</v>
      </c>
      <c r="BH277" s="135">
        <v>334.59052022613577</v>
      </c>
      <c r="BI277" s="49">
        <v>1453.0652417450251</v>
      </c>
      <c r="BJ277" s="49">
        <v>651.22137288767317</v>
      </c>
      <c r="BK277" s="66">
        <v>7.5493883535637796E-2</v>
      </c>
      <c r="BL277" s="66">
        <v>-5.3676558297169219E-2</v>
      </c>
      <c r="BM277" s="51">
        <v>23.064527646746431</v>
      </c>
      <c r="BN277" s="51">
        <v>10.336847188693225</v>
      </c>
      <c r="BO277" s="136"/>
      <c r="BP277" s="40"/>
      <c r="BQ277" s="40"/>
      <c r="BR277" s="67"/>
      <c r="BS277" s="54" t="s">
        <v>110</v>
      </c>
      <c r="BT277" s="68"/>
      <c r="BU277" s="69"/>
      <c r="BV277" s="3"/>
      <c r="BW277" s="3"/>
      <c r="BX277" s="70"/>
      <c r="BY277" s="70"/>
      <c r="BZ277" s="59"/>
      <c r="CA277" s="59"/>
      <c r="CB277" s="59" t="s">
        <v>110</v>
      </c>
      <c r="CC277" s="59" t="s">
        <v>110</v>
      </c>
      <c r="CD277" s="60"/>
      <c r="CE277" s="60"/>
      <c r="CF277" s="61"/>
      <c r="CG277" s="61"/>
      <c r="CH277" s="61"/>
      <c r="CI277" s="138">
        <v>12.3</v>
      </c>
      <c r="CJ277" s="40">
        <f>VLOOKUP(paper3[[#This Row],[YYIR nivå]],$DB:$DC,2)</f>
        <v>280</v>
      </c>
      <c r="CK277" s="3"/>
      <c r="CL277" s="62"/>
      <c r="CM277" s="62"/>
      <c r="CN277" s="3"/>
      <c r="CO277" s="3"/>
      <c r="CP277" s="41">
        <v>13.411111111111111</v>
      </c>
      <c r="CQ277" s="3" t="s">
        <v>110</v>
      </c>
      <c r="CR277" s="40" t="s">
        <v>110</v>
      </c>
      <c r="CS277" s="40" t="s">
        <v>110</v>
      </c>
      <c r="CT277" s="40" t="s">
        <v>110</v>
      </c>
      <c r="CU277" s="40"/>
      <c r="CV277" s="40"/>
      <c r="CW277" s="40"/>
      <c r="CX277" s="40"/>
      <c r="CY277" s="40">
        <v>0</v>
      </c>
      <c r="CZ277" s="40"/>
      <c r="DA277" s="40"/>
    </row>
    <row r="278" spans="1:105" ht="15.75" customHeight="1">
      <c r="A278" s="3">
        <v>612</v>
      </c>
      <c r="B278" s="92" t="s">
        <v>199</v>
      </c>
      <c r="C278" s="3" t="s">
        <v>158</v>
      </c>
      <c r="D278" s="3" t="s">
        <v>105</v>
      </c>
      <c r="E278" s="39">
        <v>44852</v>
      </c>
      <c r="F278" s="3" t="s">
        <v>106</v>
      </c>
      <c r="G278" s="3" t="s">
        <v>122</v>
      </c>
      <c r="H278" s="3">
        <v>2009</v>
      </c>
      <c r="I278" s="40" t="s">
        <v>108</v>
      </c>
      <c r="J278" s="39" t="s">
        <v>123</v>
      </c>
      <c r="K278" s="3"/>
      <c r="L278" s="3"/>
      <c r="M278" s="3"/>
      <c r="N278" s="3"/>
      <c r="O278" s="3"/>
      <c r="P278" s="3"/>
      <c r="Q278" s="3"/>
      <c r="R278" s="3"/>
      <c r="S278" s="3"/>
      <c r="T278" s="125">
        <v>174.9</v>
      </c>
      <c r="U278" s="126">
        <v>89.3</v>
      </c>
      <c r="V278" s="12">
        <f>paper3[[#This Row],[height]]-paper3[[#This Row],[sittingheight]]</f>
        <v>85.600000000000009</v>
      </c>
      <c r="W278" s="127">
        <v>54.8</v>
      </c>
      <c r="X278" s="43" cm="1">
        <f t="array" ref="X278">INDEX([1]!phvny[yphv], MATCH(1, (paper3[[#This Row],[id]]=[1]!phvny[id])*(paper3[[#This Row],[time]]=[1]!phvny[time]), 0))</f>
        <v>0.40354751029311942</v>
      </c>
      <c r="Y278" s="3"/>
      <c r="Z278" s="3"/>
      <c r="AA278" s="3"/>
      <c r="AB278" s="3"/>
      <c r="AC278" s="3"/>
      <c r="AD278" s="3"/>
      <c r="AE278" s="3"/>
      <c r="AF278" s="3"/>
      <c r="AG278" s="3"/>
      <c r="AH278" s="130">
        <v>2.0540000000000003</v>
      </c>
      <c r="AI278" s="130">
        <v>3.6100000000000003</v>
      </c>
      <c r="AJ278" s="130">
        <v>5.173</v>
      </c>
      <c r="AK278" s="45">
        <v>6.3979526551503527</v>
      </c>
      <c r="AL278" s="3"/>
      <c r="AM278" s="3"/>
      <c r="AN278" s="3"/>
      <c r="AO278" s="3"/>
      <c r="AP278" s="137">
        <v>11.149999999999999</v>
      </c>
      <c r="AQ278" s="132"/>
      <c r="AR278" s="132"/>
      <c r="AS278" s="3"/>
      <c r="AT278" s="3"/>
      <c r="AU278" s="3"/>
      <c r="AV278" s="3"/>
      <c r="AW278" s="3"/>
      <c r="AX278" s="133">
        <v>29.66</v>
      </c>
      <c r="AY278" s="134"/>
      <c r="AZ278" s="40"/>
      <c r="BA278" s="40"/>
      <c r="BB278" s="40"/>
      <c r="BC278" s="40"/>
      <c r="BD278" s="135">
        <v>946.33006439826534</v>
      </c>
      <c r="BE278" s="135">
        <v>932.2940207907526</v>
      </c>
      <c r="BF278" s="40"/>
      <c r="BG278" s="135">
        <v>410.79112673980228</v>
      </c>
      <c r="BH278" s="135">
        <v>435.02965370537123</v>
      </c>
      <c r="BI278" s="49">
        <v>1878.6240851890179</v>
      </c>
      <c r="BJ278" s="49">
        <v>845.82078044517357</v>
      </c>
      <c r="BK278" s="66">
        <v>1.5055383059957572E-2</v>
      </c>
      <c r="BL278" s="66">
        <v>-5.5716953451602547E-2</v>
      </c>
      <c r="BM278" s="51">
        <v>34.281461408558727</v>
      </c>
      <c r="BN278" s="51">
        <v>15.434685774546963</v>
      </c>
      <c r="BO278" s="136"/>
      <c r="BP278" s="40"/>
      <c r="BQ278" s="40"/>
      <c r="BR278" s="67"/>
      <c r="BS278" s="54" t="s">
        <v>110</v>
      </c>
      <c r="BT278" s="68"/>
      <c r="BU278" s="69"/>
      <c r="BV278" s="3"/>
      <c r="BW278" s="3"/>
      <c r="BX278" s="70"/>
      <c r="BY278" s="70"/>
      <c r="BZ278" s="59"/>
      <c r="CA278" s="59"/>
      <c r="CB278" s="59" t="s">
        <v>110</v>
      </c>
      <c r="CC278" s="59" t="s">
        <v>110</v>
      </c>
      <c r="CD278" s="60"/>
      <c r="CE278" s="60"/>
      <c r="CF278" s="61"/>
      <c r="CG278" s="61"/>
      <c r="CH278" s="61"/>
      <c r="CI278" s="96">
        <v>15.1</v>
      </c>
      <c r="CJ278" s="40">
        <f>VLOOKUP(paper3[[#This Row],[YYIR nivå]],$DB:$DC,2)</f>
        <v>800</v>
      </c>
      <c r="CK278" s="3"/>
      <c r="CL278" s="62"/>
      <c r="CM278" s="62"/>
      <c r="CN278" s="3"/>
      <c r="CO278" s="3"/>
      <c r="CP278" s="41">
        <v>13.647222222222222</v>
      </c>
      <c r="CQ278" s="3" t="s">
        <v>110</v>
      </c>
      <c r="CR278" s="40" t="s">
        <v>110</v>
      </c>
      <c r="CS278" s="40" t="s">
        <v>110</v>
      </c>
      <c r="CT278" s="40" t="s">
        <v>110</v>
      </c>
      <c r="CU278" s="40"/>
      <c r="CV278" s="40"/>
      <c r="CW278" s="40"/>
      <c r="CX278" s="40"/>
      <c r="CY278" s="40" t="s">
        <v>125</v>
      </c>
      <c r="CZ278" s="40"/>
      <c r="DA278" s="40"/>
    </row>
    <row r="279" spans="1:105" ht="15.75" customHeight="1">
      <c r="A279" s="3">
        <v>613</v>
      </c>
      <c r="B279" s="92" t="s">
        <v>199</v>
      </c>
      <c r="C279" s="3" t="s">
        <v>104</v>
      </c>
      <c r="D279" s="3" t="s">
        <v>105</v>
      </c>
      <c r="E279" s="39">
        <v>44852</v>
      </c>
      <c r="F279" s="3" t="s">
        <v>106</v>
      </c>
      <c r="G279" s="3" t="s">
        <v>122</v>
      </c>
      <c r="H279" s="3">
        <v>2009</v>
      </c>
      <c r="I279" s="40" t="s">
        <v>108</v>
      </c>
      <c r="J279" s="39" t="s">
        <v>123</v>
      </c>
      <c r="K279" s="3"/>
      <c r="L279" s="3"/>
      <c r="M279" s="3"/>
      <c r="N279" s="3"/>
      <c r="O279" s="3"/>
      <c r="P279" s="3"/>
      <c r="Q279" s="3"/>
      <c r="R279" s="3"/>
      <c r="S279" s="3"/>
      <c r="T279" s="125">
        <v>170.1</v>
      </c>
      <c r="U279" s="126">
        <v>87.7</v>
      </c>
      <c r="V279" s="12">
        <f>paper3[[#This Row],[height]]-paper3[[#This Row],[sittingheight]]</f>
        <v>82.399999999999991</v>
      </c>
      <c r="W279" s="127">
        <v>54.4</v>
      </c>
      <c r="X279" s="43" cm="1">
        <f t="array" ref="X279">INDEX([1]!phvny[yphv], MATCH(1, (paper3[[#This Row],[id]]=[1]!phvny[id])*(paper3[[#This Row],[time]]=[1]!phvny[time]), 0))</f>
        <v>-0.12804950876895971</v>
      </c>
      <c r="Y279" s="3"/>
      <c r="Z279" s="3"/>
      <c r="AA279" s="60"/>
      <c r="AB279" s="3"/>
      <c r="AC279" s="60"/>
      <c r="AD279" s="60"/>
      <c r="AE279" s="3"/>
      <c r="AF279" s="3"/>
      <c r="AG279" s="60"/>
      <c r="AH279" s="130">
        <v>1.909</v>
      </c>
      <c r="AI279" s="130">
        <v>3.3600000000000003</v>
      </c>
      <c r="AJ279" s="130">
        <v>4.8029999999999999</v>
      </c>
      <c r="AK279" s="45">
        <v>6.9300069300069316</v>
      </c>
      <c r="AL279" s="3"/>
      <c r="AM279" s="3"/>
      <c r="AN279" s="3"/>
      <c r="AO279" s="3"/>
      <c r="AP279" s="137">
        <v>11.61</v>
      </c>
      <c r="AQ279" s="132"/>
      <c r="AR279" s="132"/>
      <c r="AS279" s="3"/>
      <c r="AT279" s="3"/>
      <c r="AU279" s="3"/>
      <c r="AV279" s="3"/>
      <c r="AW279" s="3"/>
      <c r="AX279" s="133">
        <v>23.86</v>
      </c>
      <c r="AY279" s="134"/>
      <c r="AZ279" s="40"/>
      <c r="BA279" s="40"/>
      <c r="BB279" s="40"/>
      <c r="BC279" s="40"/>
      <c r="BD279" s="135">
        <v>908.46398267772679</v>
      </c>
      <c r="BE279" s="135">
        <v>892.59671077676148</v>
      </c>
      <c r="BF279" s="40"/>
      <c r="BG279" s="135">
        <v>315.43966207713822</v>
      </c>
      <c r="BH279" s="135">
        <v>306.79934286849891</v>
      </c>
      <c r="BI279" s="49">
        <v>1801.0606934544883</v>
      </c>
      <c r="BJ279" s="49">
        <v>622.23900494563713</v>
      </c>
      <c r="BK279" s="66">
        <v>1.7776529657113738E-2</v>
      </c>
      <c r="BL279" s="66">
        <v>2.816276960652675E-2</v>
      </c>
      <c r="BM279" s="51">
        <v>33.107733335560447</v>
      </c>
      <c r="BN279" s="51">
        <v>11.438217002677154</v>
      </c>
      <c r="BO279" s="136"/>
      <c r="BP279" s="40"/>
      <c r="BQ279" s="40"/>
      <c r="BR279" s="67"/>
      <c r="BS279" s="54" t="s">
        <v>110</v>
      </c>
      <c r="BT279" s="68"/>
      <c r="BU279" s="69"/>
      <c r="BV279" s="3"/>
      <c r="BW279" s="3"/>
      <c r="BX279" s="70"/>
      <c r="BY279" s="70"/>
      <c r="BZ279" s="59"/>
      <c r="CA279" s="59"/>
      <c r="CB279" s="59" t="s">
        <v>110</v>
      </c>
      <c r="CC279" s="59" t="s">
        <v>110</v>
      </c>
      <c r="CD279" s="60"/>
      <c r="CE279" s="60"/>
      <c r="CF279" s="61"/>
      <c r="CG279" s="61"/>
      <c r="CH279" s="61"/>
      <c r="CI279" s="140">
        <v>13.4</v>
      </c>
      <c r="CJ279" s="40">
        <f>VLOOKUP(paper3[[#This Row],[YYIR nivå]],$DB:$DC,2)</f>
        <v>440</v>
      </c>
      <c r="CK279" s="3"/>
      <c r="CL279" s="62"/>
      <c r="CM279" s="62"/>
      <c r="CN279" s="3"/>
      <c r="CO279" s="3"/>
      <c r="CP279" s="41">
        <v>12.944444444444445</v>
      </c>
      <c r="CQ279" s="3" t="s">
        <v>110</v>
      </c>
      <c r="CR279" s="40" t="s">
        <v>110</v>
      </c>
      <c r="CS279" s="40" t="s">
        <v>110</v>
      </c>
      <c r="CT279" s="40" t="s">
        <v>110</v>
      </c>
      <c r="CU279" s="40"/>
      <c r="CV279" s="40"/>
      <c r="CW279" s="40"/>
      <c r="CX279" s="40"/>
      <c r="CY279" s="40" t="s">
        <v>125</v>
      </c>
      <c r="CZ279" s="40"/>
      <c r="DA279" s="40"/>
    </row>
    <row r="280" spans="1:105" ht="15.75" customHeight="1">
      <c r="A280" s="3">
        <v>614</v>
      </c>
      <c r="B280" s="92" t="s">
        <v>199</v>
      </c>
      <c r="C280" s="3" t="s">
        <v>104</v>
      </c>
      <c r="D280" s="3" t="s">
        <v>105</v>
      </c>
      <c r="E280" s="39">
        <v>44852</v>
      </c>
      <c r="F280" s="3" t="s">
        <v>106</v>
      </c>
      <c r="G280" s="3" t="s">
        <v>122</v>
      </c>
      <c r="H280" s="3">
        <v>2009</v>
      </c>
      <c r="I280" s="40" t="s">
        <v>108</v>
      </c>
      <c r="J280" s="39" t="s">
        <v>123</v>
      </c>
      <c r="K280" s="3"/>
      <c r="L280" s="3"/>
      <c r="M280" s="3"/>
      <c r="N280" s="3"/>
      <c r="O280" s="3"/>
      <c r="P280" s="3"/>
      <c r="Q280" s="3"/>
      <c r="R280" s="3"/>
      <c r="S280" s="3"/>
      <c r="T280" s="125">
        <v>155.80000000000001</v>
      </c>
      <c r="U280" s="126">
        <v>80.099999999999994</v>
      </c>
      <c r="V280" s="12">
        <f>paper3[[#This Row],[height]]-paper3[[#This Row],[sittingheight]]</f>
        <v>75.700000000000017</v>
      </c>
      <c r="W280" s="127">
        <v>40.4</v>
      </c>
      <c r="X280" s="43" cm="1">
        <f t="array" ref="X280">INDEX([1]!phvny[yphv], MATCH(1, (paper3[[#This Row],[id]]=[1]!phvny[id])*(paper3[[#This Row],[time]]=[1]!phvny[time]), 0))</f>
        <v>-0.83836536960619157</v>
      </c>
      <c r="Y280" s="3"/>
      <c r="Z280" s="3"/>
      <c r="AA280" s="60"/>
      <c r="AB280" s="3"/>
      <c r="AC280" s="60"/>
      <c r="AD280" s="60"/>
      <c r="AE280" s="3"/>
      <c r="AF280" s="3"/>
      <c r="AG280" s="60"/>
      <c r="AH280" s="130">
        <v>1.9649999999999999</v>
      </c>
      <c r="AI280" s="130">
        <v>3.3600000000000003</v>
      </c>
      <c r="AJ280" s="130">
        <v>4.7370000000000001</v>
      </c>
      <c r="AK280" s="45">
        <v>7.2621641249092237</v>
      </c>
      <c r="AL280" s="3"/>
      <c r="AM280" s="3"/>
      <c r="AN280" s="3"/>
      <c r="AO280" s="141"/>
      <c r="AP280" s="137"/>
      <c r="AQ280" s="132"/>
      <c r="AR280" s="132"/>
      <c r="AS280" s="3"/>
      <c r="AT280" s="3"/>
      <c r="AU280" s="3"/>
      <c r="AV280" s="3"/>
      <c r="AW280" s="3"/>
      <c r="AX280" s="133">
        <v>33.36</v>
      </c>
      <c r="AY280" s="134"/>
      <c r="AZ280" s="40"/>
      <c r="BA280" s="40"/>
      <c r="BB280" s="40"/>
      <c r="BC280" s="40"/>
      <c r="BD280" s="135">
        <v>813.36136564746266</v>
      </c>
      <c r="BE280" s="135">
        <v>798.13278046675191</v>
      </c>
      <c r="BF280" s="40"/>
      <c r="BG280" s="135">
        <v>301.48669768972962</v>
      </c>
      <c r="BH280" s="135">
        <v>272.01403776801828</v>
      </c>
      <c r="BI280" s="49">
        <v>1611.4941461142146</v>
      </c>
      <c r="BJ280" s="49">
        <v>573.50073545774785</v>
      </c>
      <c r="BK280" s="66">
        <v>1.9080265280928543E-2</v>
      </c>
      <c r="BL280" s="66">
        <v>0.10834977548786107</v>
      </c>
      <c r="BM280" s="51">
        <v>39.888468963223133</v>
      </c>
      <c r="BN280" s="51">
        <v>14.195562758855145</v>
      </c>
      <c r="BO280" s="136"/>
      <c r="BP280" s="40"/>
      <c r="BQ280" s="40"/>
      <c r="BR280" s="67"/>
      <c r="BS280" s="54" t="s">
        <v>110</v>
      </c>
      <c r="BT280" s="68"/>
      <c r="BU280" s="69"/>
      <c r="BV280" s="3"/>
      <c r="BW280" s="3"/>
      <c r="BX280" s="70"/>
      <c r="BY280" s="70"/>
      <c r="BZ280" s="59"/>
      <c r="CA280" s="59"/>
      <c r="CB280" s="59" t="s">
        <v>110</v>
      </c>
      <c r="CC280" s="59" t="s">
        <v>110</v>
      </c>
      <c r="CD280" s="60"/>
      <c r="CE280" s="60"/>
      <c r="CF280" s="61"/>
      <c r="CG280" s="61"/>
      <c r="CH280" s="61"/>
      <c r="CI280" s="139"/>
      <c r="CJ280" s="40"/>
      <c r="CK280" s="3"/>
      <c r="CL280" s="62"/>
      <c r="CM280" s="62"/>
      <c r="CN280" s="3"/>
      <c r="CO280" s="3"/>
      <c r="CP280" s="41">
        <v>13.627777777777778</v>
      </c>
      <c r="CQ280" s="3" t="s">
        <v>110</v>
      </c>
      <c r="CR280" s="40" t="s">
        <v>110</v>
      </c>
      <c r="CS280" s="40" t="s">
        <v>110</v>
      </c>
      <c r="CT280" s="40" t="s">
        <v>110</v>
      </c>
      <c r="CU280" s="40"/>
      <c r="CV280" s="40"/>
      <c r="CW280" s="40"/>
      <c r="CX280" s="40"/>
      <c r="CY280" s="40" t="s">
        <v>202</v>
      </c>
      <c r="CZ280" s="40"/>
      <c r="DA280" s="40"/>
    </row>
    <row r="281" spans="1:105" ht="15.75" customHeight="1">
      <c r="A281" s="3">
        <v>615</v>
      </c>
      <c r="B281" s="92" t="s">
        <v>199</v>
      </c>
      <c r="C281" s="3" t="s">
        <v>104</v>
      </c>
      <c r="D281" s="3" t="s">
        <v>105</v>
      </c>
      <c r="E281" s="39">
        <v>44852</v>
      </c>
      <c r="F281" s="3" t="s">
        <v>106</v>
      </c>
      <c r="G281" s="3" t="s">
        <v>122</v>
      </c>
      <c r="H281" s="3">
        <v>2009</v>
      </c>
      <c r="I281" s="40" t="s">
        <v>108</v>
      </c>
      <c r="J281" s="39" t="s">
        <v>123</v>
      </c>
      <c r="K281" s="3"/>
      <c r="L281" s="3"/>
      <c r="M281" s="3"/>
      <c r="N281" s="3"/>
      <c r="O281" s="3"/>
      <c r="P281" s="3"/>
      <c r="Q281" s="3"/>
      <c r="R281" s="3"/>
      <c r="S281" s="3"/>
      <c r="T281" s="125">
        <v>150.1</v>
      </c>
      <c r="U281" s="126">
        <v>75.3</v>
      </c>
      <c r="V281" s="12">
        <f>paper3[[#This Row],[height]]-paper3[[#This Row],[sittingheight]]</f>
        <v>74.8</v>
      </c>
      <c r="W281" s="127">
        <v>40</v>
      </c>
      <c r="X281" s="43" cm="1">
        <f t="array" ref="X281">INDEX([1]!phvny[yphv], MATCH(1, (paper3[[#This Row],[id]]=[1]!phvny[id])*(paper3[[#This Row],[time]]=[1]!phvny[time]), 0))</f>
        <v>-1.5182990254254212</v>
      </c>
      <c r="Y281" s="3"/>
      <c r="Z281" s="3"/>
      <c r="AA281" s="60"/>
      <c r="AB281" s="3"/>
      <c r="AC281" s="60"/>
      <c r="AD281" s="60"/>
      <c r="AE281" s="3"/>
      <c r="AF281" s="3"/>
      <c r="AG281" s="60"/>
      <c r="AH281" s="130">
        <v>2.0060000000000002</v>
      </c>
      <c r="AI281" s="130">
        <v>3.5100000000000002</v>
      </c>
      <c r="AJ281" s="130">
        <v>5.0439999999999996</v>
      </c>
      <c r="AK281" s="45">
        <v>6.5189048239895726</v>
      </c>
      <c r="AL281" s="3"/>
      <c r="AM281" s="3"/>
      <c r="AN281" s="3"/>
      <c r="AO281" s="3"/>
      <c r="AP281" s="137">
        <v>11.17</v>
      </c>
      <c r="AQ281" s="132"/>
      <c r="AR281" s="132"/>
      <c r="AS281" s="3"/>
      <c r="AT281" s="3"/>
      <c r="AU281" s="3"/>
      <c r="AV281" s="3"/>
      <c r="AW281" s="3"/>
      <c r="AX281" s="133">
        <v>30.36</v>
      </c>
      <c r="AY281" s="134"/>
      <c r="AZ281" s="40"/>
      <c r="BA281" s="40"/>
      <c r="BB281" s="40"/>
      <c r="BC281" s="40"/>
      <c r="BD281" s="135">
        <v>681.65929056292021</v>
      </c>
      <c r="BE281" s="135">
        <v>696.56608814525555</v>
      </c>
      <c r="BF281" s="40"/>
      <c r="BG281" s="135">
        <v>321.16551354303601</v>
      </c>
      <c r="BH281" s="135">
        <v>259.8901091228006</v>
      </c>
      <c r="BI281" s="49">
        <v>1378.2253787081759</v>
      </c>
      <c r="BJ281" s="49">
        <v>581.05562266583661</v>
      </c>
      <c r="BK281" s="66">
        <v>-2.140040670373089E-2</v>
      </c>
      <c r="BL281" s="66">
        <v>0.23577428408898093</v>
      </c>
      <c r="BM281" s="51">
        <v>34.4556344677044</v>
      </c>
      <c r="BN281" s="51">
        <v>14.526390566645915</v>
      </c>
      <c r="BO281" s="136"/>
      <c r="BP281" s="40"/>
      <c r="BQ281" s="40"/>
      <c r="BR281" s="67"/>
      <c r="BS281" s="54" t="s">
        <v>110</v>
      </c>
      <c r="BT281" s="68"/>
      <c r="BU281" s="69"/>
      <c r="BV281" s="3"/>
      <c r="BW281" s="3"/>
      <c r="BX281" s="70"/>
      <c r="BY281" s="70"/>
      <c r="BZ281" s="59"/>
      <c r="CA281" s="59"/>
      <c r="CB281" s="59" t="s">
        <v>110</v>
      </c>
      <c r="CC281" s="59" t="s">
        <v>110</v>
      </c>
      <c r="CD281" s="60"/>
      <c r="CE281" s="60"/>
      <c r="CF281" s="61"/>
      <c r="CG281" s="61"/>
      <c r="CH281" s="61"/>
      <c r="CI281" s="140">
        <v>14.4</v>
      </c>
      <c r="CJ281" s="40">
        <f>VLOOKUP(paper3[[#This Row],[YYIR nivå]],$DB:$DC,2)</f>
        <v>600</v>
      </c>
      <c r="CK281" s="3"/>
      <c r="CL281" s="62"/>
      <c r="CM281" s="62"/>
      <c r="CN281" s="3"/>
      <c r="CO281" s="3"/>
      <c r="CP281" s="41">
        <v>13.322222222222223</v>
      </c>
      <c r="CQ281" s="3" t="s">
        <v>110</v>
      </c>
      <c r="CR281" s="40" t="s">
        <v>110</v>
      </c>
      <c r="CS281" s="40" t="s">
        <v>110</v>
      </c>
      <c r="CT281" s="40" t="s">
        <v>110</v>
      </c>
      <c r="CU281" s="40"/>
      <c r="CV281" s="40"/>
      <c r="CW281" s="40"/>
      <c r="CX281" s="40"/>
      <c r="CY281" s="40">
        <v>0</v>
      </c>
      <c r="CZ281" s="40"/>
      <c r="DA281" s="40"/>
    </row>
    <row r="282" spans="1:105" ht="18.75" customHeight="1">
      <c r="A282" s="3">
        <v>616</v>
      </c>
      <c r="B282" s="92" t="s">
        <v>199</v>
      </c>
      <c r="C282" s="3" t="s">
        <v>104</v>
      </c>
      <c r="D282" s="3" t="s">
        <v>105</v>
      </c>
      <c r="E282" s="39">
        <v>44852</v>
      </c>
      <c r="F282" s="3" t="s">
        <v>106</v>
      </c>
      <c r="G282" s="3" t="s">
        <v>122</v>
      </c>
      <c r="H282" s="3">
        <v>2009</v>
      </c>
      <c r="I282" s="40" t="s">
        <v>108</v>
      </c>
      <c r="J282" s="39" t="s">
        <v>123</v>
      </c>
      <c r="K282" s="3"/>
      <c r="L282" s="3"/>
      <c r="M282" s="3"/>
      <c r="N282" s="3"/>
      <c r="O282" s="3"/>
      <c r="P282" s="3"/>
      <c r="Q282" s="3"/>
      <c r="R282" s="3"/>
      <c r="S282" s="3"/>
      <c r="T282" s="125">
        <v>168</v>
      </c>
      <c r="U282" s="126">
        <v>85.8</v>
      </c>
      <c r="V282" s="12">
        <f>paper3[[#This Row],[height]]-paper3[[#This Row],[sittingheight]]</f>
        <v>82.2</v>
      </c>
      <c r="W282" s="127">
        <v>54.1</v>
      </c>
      <c r="X282" s="43" cm="1">
        <f t="array" ref="X282">INDEX([1]!phvny[yphv], MATCH(1, (paper3[[#This Row],[id]]=[1]!phvny[id])*(paper3[[#This Row],[time]]=[1]!phvny[time]), 0))</f>
        <v>-0.23464362557142804</v>
      </c>
      <c r="Y282" s="3"/>
      <c r="Z282" s="3"/>
      <c r="AA282" s="60"/>
      <c r="AB282" s="3"/>
      <c r="AC282" s="60"/>
      <c r="AD282" s="60"/>
      <c r="AE282" s="3"/>
      <c r="AF282" s="3"/>
      <c r="AG282" s="60"/>
      <c r="AH282" s="130">
        <v>1.9450000000000001</v>
      </c>
      <c r="AI282" s="130">
        <v>3.4130000000000003</v>
      </c>
      <c r="AJ282" s="130">
        <v>4.8849999999999998</v>
      </c>
      <c r="AK282" s="45">
        <v>6.7934782608695672</v>
      </c>
      <c r="AL282" s="3"/>
      <c r="AM282" s="3"/>
      <c r="AN282" s="3"/>
      <c r="AO282" s="3"/>
      <c r="AP282" s="137">
        <v>11.549999999999999</v>
      </c>
      <c r="AQ282" s="132"/>
      <c r="AR282" s="132"/>
      <c r="AS282" s="3"/>
      <c r="AT282" s="3"/>
      <c r="AU282" s="3"/>
      <c r="AV282" s="3"/>
      <c r="AW282" s="3"/>
      <c r="AX282" s="133">
        <v>31.76</v>
      </c>
      <c r="AY282" s="134"/>
      <c r="AZ282" s="40"/>
      <c r="BA282" s="40"/>
      <c r="BB282" s="40"/>
      <c r="BC282" s="40"/>
      <c r="BD282" s="135">
        <v>1023.7378111442501</v>
      </c>
      <c r="BE282" s="135">
        <v>1070.992108008078</v>
      </c>
      <c r="BF282" s="40"/>
      <c r="BG282" s="135">
        <v>441.62926242197233</v>
      </c>
      <c r="BH282" s="135">
        <v>439.66579829009709</v>
      </c>
      <c r="BI282" s="49">
        <v>2094.729919152328</v>
      </c>
      <c r="BJ282" s="49">
        <v>881.29506071206947</v>
      </c>
      <c r="BK282" s="66">
        <v>-4.4121984196237918E-2</v>
      </c>
      <c r="BL282" s="66">
        <v>4.4658104849442104E-3</v>
      </c>
      <c r="BM282" s="51">
        <v>38.719591851244509</v>
      </c>
      <c r="BN282" s="51">
        <v>16.290112027949526</v>
      </c>
      <c r="BO282" s="136"/>
      <c r="BP282" s="40"/>
      <c r="BQ282" s="40"/>
      <c r="BR282" s="67"/>
      <c r="BS282" s="54" t="s">
        <v>110</v>
      </c>
      <c r="BT282" s="68"/>
      <c r="BU282" s="69"/>
      <c r="BV282" s="3"/>
      <c r="BW282" s="3"/>
      <c r="BX282" s="70"/>
      <c r="BY282" s="70"/>
      <c r="BZ282" s="59"/>
      <c r="CA282" s="59"/>
      <c r="CB282" s="59" t="s">
        <v>110</v>
      </c>
      <c r="CC282" s="59" t="s">
        <v>110</v>
      </c>
      <c r="CD282" s="60"/>
      <c r="CE282" s="60"/>
      <c r="CF282" s="61"/>
      <c r="CG282" s="61"/>
      <c r="CH282" s="61"/>
      <c r="CI282" s="139">
        <v>14.8</v>
      </c>
      <c r="CJ282" s="40">
        <f>VLOOKUP(paper3[[#This Row],[YYIR nivå]],$DB:$DC,2)</f>
        <v>760</v>
      </c>
      <c r="CK282" s="3"/>
      <c r="CL282" s="62"/>
      <c r="CM282" s="62"/>
      <c r="CN282" s="3"/>
      <c r="CO282" s="3"/>
      <c r="CP282" s="41">
        <v>13.169444444444444</v>
      </c>
      <c r="CQ282" s="3" t="s">
        <v>110</v>
      </c>
      <c r="CR282" s="40" t="s">
        <v>110</v>
      </c>
      <c r="CS282" s="40" t="s">
        <v>110</v>
      </c>
      <c r="CT282" s="40" t="s">
        <v>110</v>
      </c>
      <c r="CU282" s="40"/>
      <c r="CV282" s="40"/>
      <c r="CW282" s="40"/>
      <c r="CX282" s="40"/>
      <c r="CY282" s="40" t="s">
        <v>203</v>
      </c>
      <c r="CZ282" s="40"/>
      <c r="DA282" s="40"/>
    </row>
    <row r="283" spans="1:105" ht="18.75" customHeight="1">
      <c r="A283" s="3">
        <v>617</v>
      </c>
      <c r="B283" s="92" t="s">
        <v>199</v>
      </c>
      <c r="C283" s="3" t="s">
        <v>104</v>
      </c>
      <c r="D283" s="3" t="s">
        <v>105</v>
      </c>
      <c r="E283" s="39">
        <v>44852</v>
      </c>
      <c r="F283" s="3" t="s">
        <v>106</v>
      </c>
      <c r="G283" s="3" t="s">
        <v>122</v>
      </c>
      <c r="H283" s="3">
        <v>2009</v>
      </c>
      <c r="I283" s="40" t="s">
        <v>108</v>
      </c>
      <c r="J283" s="39" t="s">
        <v>123</v>
      </c>
      <c r="K283" s="3"/>
      <c r="L283" s="3"/>
      <c r="M283" s="3"/>
      <c r="N283" s="3"/>
      <c r="O283" s="3"/>
      <c r="P283" s="3"/>
      <c r="Q283" s="3"/>
      <c r="R283" s="3"/>
      <c r="S283" s="3"/>
      <c r="T283" s="125">
        <v>153</v>
      </c>
      <c r="U283" s="126">
        <v>79.7</v>
      </c>
      <c r="V283" s="12">
        <f>paper3[[#This Row],[height]]-paper3[[#This Row],[sittingheight]]</f>
        <v>73.3</v>
      </c>
      <c r="W283" s="127">
        <v>75.3</v>
      </c>
      <c r="X283" s="43" cm="1">
        <f t="array" ref="X283">INDEX([1]!phvny[yphv], MATCH(1, (paper3[[#This Row],[id]]=[1]!phvny[id])*(paper3[[#This Row],[time]]=[1]!phvny[time]), 0))</f>
        <v>-0.4528483425882357</v>
      </c>
      <c r="Y283" s="3"/>
      <c r="Z283" s="3"/>
      <c r="AA283" s="3"/>
      <c r="AB283" s="3"/>
      <c r="AC283" s="3"/>
      <c r="AD283" s="3"/>
      <c r="AE283" s="3"/>
      <c r="AF283" s="3"/>
      <c r="AG283" s="3"/>
      <c r="AH283" s="130">
        <v>2.4939999999999998</v>
      </c>
      <c r="AI283" s="130">
        <v>4.3999999999999995</v>
      </c>
      <c r="AJ283" s="130">
        <v>6.4160000000000004</v>
      </c>
      <c r="AK283" s="45">
        <v>4.9603174603174578</v>
      </c>
      <c r="AL283" s="3"/>
      <c r="AM283" s="3"/>
      <c r="AN283" s="3"/>
      <c r="AO283" s="141"/>
      <c r="AP283" s="137"/>
      <c r="AQ283" s="132"/>
      <c r="AR283" s="132"/>
      <c r="AS283" s="3"/>
      <c r="AT283" s="3"/>
      <c r="AU283" s="3"/>
      <c r="AV283" s="3"/>
      <c r="AW283" s="3"/>
      <c r="AX283" s="133">
        <v>14.66</v>
      </c>
      <c r="AY283" s="134"/>
      <c r="AZ283" s="40"/>
      <c r="BA283" s="40"/>
      <c r="BB283" s="40"/>
      <c r="BC283" s="40"/>
      <c r="BD283" s="135">
        <v>846.78985906640651</v>
      </c>
      <c r="BE283" s="135">
        <v>878.08593916659015</v>
      </c>
      <c r="BF283" s="40"/>
      <c r="BG283" s="135">
        <v>281.65480229067987</v>
      </c>
      <c r="BH283" s="135">
        <v>304.26272919153587</v>
      </c>
      <c r="BI283" s="49">
        <v>1724.8757982329967</v>
      </c>
      <c r="BJ283" s="49">
        <v>585.91753148221574</v>
      </c>
      <c r="BK283" s="66">
        <v>-3.5641249568222677E-2</v>
      </c>
      <c r="BL283" s="66">
        <v>-7.4303964080411955E-2</v>
      </c>
      <c r="BM283" s="51">
        <v>22.906717108007925</v>
      </c>
      <c r="BN283" s="51">
        <v>7.7811093158328788</v>
      </c>
      <c r="BO283" s="136"/>
      <c r="BP283" s="40"/>
      <c r="BQ283" s="40"/>
      <c r="BR283" s="67"/>
      <c r="BS283" s="54" t="s">
        <v>110</v>
      </c>
      <c r="BT283" s="68"/>
      <c r="BU283" s="69"/>
      <c r="BV283" s="3"/>
      <c r="BW283" s="3"/>
      <c r="BX283" s="70"/>
      <c r="BY283" s="70"/>
      <c r="BZ283" s="59"/>
      <c r="CA283" s="59"/>
      <c r="CB283" s="59" t="s">
        <v>110</v>
      </c>
      <c r="CC283" s="59" t="s">
        <v>110</v>
      </c>
      <c r="CD283" s="60"/>
      <c r="CE283" s="60"/>
      <c r="CF283" s="61"/>
      <c r="CG283" s="61"/>
      <c r="CH283" s="61"/>
      <c r="CI283" s="139"/>
      <c r="CJ283" s="40"/>
      <c r="CK283" s="3"/>
      <c r="CL283" s="62"/>
      <c r="CM283" s="62"/>
      <c r="CN283" s="3"/>
      <c r="CO283" s="3"/>
      <c r="CP283" s="41">
        <v>13.4</v>
      </c>
      <c r="CQ283" s="3" t="s">
        <v>110</v>
      </c>
      <c r="CR283" s="40" t="s">
        <v>110</v>
      </c>
      <c r="CS283" s="40" t="s">
        <v>110</v>
      </c>
      <c r="CT283" s="40" t="s">
        <v>110</v>
      </c>
      <c r="CU283" s="40"/>
      <c r="CV283" s="40"/>
      <c r="CW283" s="40"/>
      <c r="CX283" s="40"/>
      <c r="CY283" s="40" t="s">
        <v>202</v>
      </c>
      <c r="CZ283" s="40"/>
      <c r="DA283" s="40"/>
    </row>
    <row r="284" spans="1:105" ht="18.75" customHeight="1">
      <c r="A284" s="3">
        <v>618</v>
      </c>
      <c r="B284" s="92" t="s">
        <v>199</v>
      </c>
      <c r="C284" s="3" t="s">
        <v>104</v>
      </c>
      <c r="D284" s="3" t="s">
        <v>105</v>
      </c>
      <c r="E284" s="39">
        <v>44852</v>
      </c>
      <c r="F284" s="3" t="s">
        <v>106</v>
      </c>
      <c r="G284" s="3" t="s">
        <v>122</v>
      </c>
      <c r="H284" s="3">
        <v>2009</v>
      </c>
      <c r="I284" s="40" t="s">
        <v>108</v>
      </c>
      <c r="J284" s="39" t="s">
        <v>123</v>
      </c>
      <c r="K284" s="3"/>
      <c r="L284" s="3"/>
      <c r="M284" s="3"/>
      <c r="N284" s="3"/>
      <c r="O284" s="3"/>
      <c r="P284" s="3"/>
      <c r="Q284" s="3"/>
      <c r="R284" s="3"/>
      <c r="S284" s="3"/>
      <c r="T284" s="125">
        <v>168.4</v>
      </c>
      <c r="U284" s="126">
        <v>86.3</v>
      </c>
      <c r="V284" s="12">
        <f>paper3[[#This Row],[height]]-paper3[[#This Row],[sittingheight]]</f>
        <v>82.100000000000009</v>
      </c>
      <c r="W284" s="127">
        <v>51.2</v>
      </c>
      <c r="X284" s="43" cm="1">
        <f t="array" ref="X284">INDEX([1]!phvny[yphv], MATCH(1, (paper3[[#This Row],[id]]=[1]!phvny[id])*(paper3[[#This Row],[time]]=[1]!phvny[time]), 0))</f>
        <v>-0.10662128827830619</v>
      </c>
      <c r="Y284" s="3"/>
      <c r="Z284" s="3"/>
      <c r="AA284" s="3"/>
      <c r="AB284" s="3"/>
      <c r="AC284" s="3"/>
      <c r="AD284" s="3"/>
      <c r="AE284" s="3"/>
      <c r="AF284" s="3"/>
      <c r="AG284" s="3"/>
      <c r="AH284" s="130">
        <v>1.927</v>
      </c>
      <c r="AI284" s="130">
        <v>3.33</v>
      </c>
      <c r="AJ284" s="130">
        <v>4.6989999999999998</v>
      </c>
      <c r="AK284" s="45">
        <v>7.3046018991964949</v>
      </c>
      <c r="AL284" s="3"/>
      <c r="AM284" s="3"/>
      <c r="AN284" s="3"/>
      <c r="AO284" s="3"/>
      <c r="AP284" s="137">
        <v>11.19</v>
      </c>
      <c r="AQ284" s="132"/>
      <c r="AR284" s="132"/>
      <c r="AS284" s="3"/>
      <c r="AT284" s="3"/>
      <c r="AU284" s="3"/>
      <c r="AV284" s="3"/>
      <c r="AW284" s="3"/>
      <c r="AX284" s="133">
        <v>25.46</v>
      </c>
      <c r="AY284" s="134"/>
      <c r="AZ284" s="40"/>
      <c r="BA284" s="40"/>
      <c r="BB284" s="40"/>
      <c r="BC284" s="40"/>
      <c r="BD284" s="135">
        <v>920.99686550786396</v>
      </c>
      <c r="BE284" s="135">
        <v>931.36317890546115</v>
      </c>
      <c r="BF284" s="40"/>
      <c r="BG284" s="135">
        <v>380.82754823006508</v>
      </c>
      <c r="BH284" s="135">
        <v>372.0200994376716</v>
      </c>
      <c r="BI284" s="49">
        <v>1852.3600444133251</v>
      </c>
      <c r="BJ284" s="49">
        <v>752.84764766773674</v>
      </c>
      <c r="BK284" s="66">
        <v>-1.1130258992823494E-2</v>
      </c>
      <c r="BL284" s="66">
        <v>2.3674658454493125E-2</v>
      </c>
      <c r="BM284" s="51">
        <v>36.178907117447757</v>
      </c>
      <c r="BN284" s="51">
        <v>14.704055618510482</v>
      </c>
      <c r="BO284" s="136"/>
      <c r="BP284" s="40"/>
      <c r="BQ284" s="40"/>
      <c r="BR284" s="67"/>
      <c r="BS284" s="54" t="s">
        <v>110</v>
      </c>
      <c r="BT284" s="68"/>
      <c r="BU284" s="69"/>
      <c r="BV284" s="3"/>
      <c r="BW284" s="3"/>
      <c r="BX284" s="70"/>
      <c r="BY284" s="70"/>
      <c r="BZ284" s="59"/>
      <c r="CA284" s="59"/>
      <c r="CB284" s="59" t="s">
        <v>110</v>
      </c>
      <c r="CC284" s="59" t="s">
        <v>110</v>
      </c>
      <c r="CD284" s="60"/>
      <c r="CE284" s="60"/>
      <c r="CF284" s="61"/>
      <c r="CG284" s="61"/>
      <c r="CH284" s="61"/>
      <c r="CI284" s="96">
        <v>17.100000000000001</v>
      </c>
      <c r="CJ284" s="40">
        <f>VLOOKUP(paper3[[#This Row],[YYIR nivå]],$DB:$DC,2)</f>
        <v>1440</v>
      </c>
      <c r="CK284" s="3"/>
      <c r="CL284" s="62"/>
      <c r="CM284" s="62"/>
      <c r="CN284" s="3"/>
      <c r="CO284" s="3"/>
      <c r="CP284" s="41">
        <v>13.397222222222222</v>
      </c>
      <c r="CQ284" s="3" t="s">
        <v>110</v>
      </c>
      <c r="CR284" s="40" t="s">
        <v>110</v>
      </c>
      <c r="CS284" s="40" t="s">
        <v>110</v>
      </c>
      <c r="CT284" s="40" t="s">
        <v>110</v>
      </c>
      <c r="CU284" s="40"/>
      <c r="CV284" s="40"/>
      <c r="CW284" s="40"/>
      <c r="CX284" s="40"/>
      <c r="CY284" s="40" t="s">
        <v>201</v>
      </c>
      <c r="CZ284" s="40"/>
      <c r="DA284" s="40"/>
    </row>
    <row r="285" spans="1:105" ht="18.75" customHeight="1">
      <c r="A285" s="3">
        <v>619</v>
      </c>
      <c r="B285" s="92" t="s">
        <v>199</v>
      </c>
      <c r="C285" s="3" t="s">
        <v>104</v>
      </c>
      <c r="D285" s="3" t="s">
        <v>105</v>
      </c>
      <c r="E285" s="39">
        <v>44852</v>
      </c>
      <c r="F285" s="3" t="s">
        <v>106</v>
      </c>
      <c r="G285" s="3" t="s">
        <v>122</v>
      </c>
      <c r="H285" s="3">
        <v>2009</v>
      </c>
      <c r="I285" s="40" t="s">
        <v>108</v>
      </c>
      <c r="J285" s="39" t="s">
        <v>123</v>
      </c>
      <c r="K285" s="3"/>
      <c r="L285" s="3"/>
      <c r="M285" s="3"/>
      <c r="N285" s="3"/>
      <c r="O285" s="3"/>
      <c r="P285" s="3"/>
      <c r="Q285" s="3"/>
      <c r="R285" s="3"/>
      <c r="S285" s="3"/>
      <c r="T285" s="125">
        <v>150.5</v>
      </c>
      <c r="U285" s="126">
        <v>77.2</v>
      </c>
      <c r="V285" s="12">
        <f>paper3[[#This Row],[height]]-paper3[[#This Row],[sittingheight]]</f>
        <v>73.3</v>
      </c>
      <c r="W285" s="127">
        <v>36.5</v>
      </c>
      <c r="X285" s="43" cm="1">
        <f t="array" ref="X285">INDEX([1]!phvny[yphv], MATCH(1, (paper3[[#This Row],[id]]=[1]!phvny[id])*(paper3[[#This Row],[time]]=[1]!phvny[time]), 0))</f>
        <v>-1.2305382281987818</v>
      </c>
      <c r="Y285" s="3"/>
      <c r="Z285" s="3"/>
      <c r="AA285" s="3"/>
      <c r="AB285" s="3"/>
      <c r="AC285" s="3"/>
      <c r="AD285" s="3"/>
      <c r="AE285" s="3"/>
      <c r="AF285" s="3"/>
      <c r="AG285" s="3"/>
      <c r="AH285" s="130">
        <v>2.1339999999999999</v>
      </c>
      <c r="AI285" s="130">
        <v>3.6300000000000003</v>
      </c>
      <c r="AJ285" s="130">
        <v>5.1230000000000002</v>
      </c>
      <c r="AK285" s="45">
        <v>6.697923643670463</v>
      </c>
      <c r="AL285" s="3"/>
      <c r="AM285" s="3"/>
      <c r="AN285" s="3"/>
      <c r="AO285" s="3"/>
      <c r="AP285" s="137"/>
      <c r="AQ285" s="132"/>
      <c r="AR285" s="132"/>
      <c r="AS285" s="3"/>
      <c r="AT285" s="3"/>
      <c r="AU285" s="3"/>
      <c r="AV285" s="3"/>
      <c r="AW285" s="3"/>
      <c r="AX285" s="133">
        <v>25.76</v>
      </c>
      <c r="AY285" s="134"/>
      <c r="AZ285" s="40"/>
      <c r="BA285" s="40"/>
      <c r="BB285" s="40"/>
      <c r="BC285" s="40"/>
      <c r="BD285" s="135"/>
      <c r="BE285" s="135"/>
      <c r="BF285" s="40"/>
      <c r="BG285" s="135"/>
      <c r="BH285" s="135"/>
      <c r="BI285" s="49"/>
      <c r="BJ285" s="49"/>
      <c r="BK285" s="66"/>
      <c r="BL285" s="66"/>
      <c r="BM285" s="51"/>
      <c r="BN285" s="51"/>
      <c r="BO285" s="136"/>
      <c r="BP285" s="40"/>
      <c r="BQ285" s="40"/>
      <c r="BR285" s="67"/>
      <c r="BS285" s="54" t="s">
        <v>110</v>
      </c>
      <c r="BT285" s="68"/>
      <c r="BU285" s="69"/>
      <c r="BV285" s="3"/>
      <c r="BW285" s="3"/>
      <c r="BX285" s="70"/>
      <c r="BY285" s="70"/>
      <c r="BZ285" s="59"/>
      <c r="CA285" s="59"/>
      <c r="CB285" s="59" t="s">
        <v>110</v>
      </c>
      <c r="CC285" s="59" t="s">
        <v>110</v>
      </c>
      <c r="CD285" s="60"/>
      <c r="CE285" s="60"/>
      <c r="CF285" s="61"/>
      <c r="CG285" s="61"/>
      <c r="CH285" s="61"/>
      <c r="CI285" s="139"/>
      <c r="CJ285" s="40"/>
      <c r="CK285" s="3"/>
      <c r="CL285" s="62"/>
      <c r="CM285" s="62"/>
      <c r="CN285" s="3"/>
      <c r="CO285" s="3"/>
      <c r="CP285" s="41">
        <v>13.597222222222221</v>
      </c>
      <c r="CQ285" s="3" t="s">
        <v>110</v>
      </c>
      <c r="CR285" s="40" t="s">
        <v>110</v>
      </c>
      <c r="CS285" s="40" t="s">
        <v>110</v>
      </c>
      <c r="CT285" s="40" t="s">
        <v>110</v>
      </c>
      <c r="CU285" s="40"/>
      <c r="CV285" s="40"/>
      <c r="CW285" s="40"/>
      <c r="CX285" s="40"/>
      <c r="CY285" s="40" t="s">
        <v>202</v>
      </c>
      <c r="CZ285" s="40"/>
      <c r="DA285" s="40"/>
    </row>
    <row r="286" spans="1:105" ht="18.75" customHeight="1">
      <c r="A286" s="3">
        <v>620</v>
      </c>
      <c r="B286" s="92" t="s">
        <v>199</v>
      </c>
      <c r="C286" s="3" t="s">
        <v>104</v>
      </c>
      <c r="D286" s="3" t="s">
        <v>105</v>
      </c>
      <c r="E286" s="39">
        <v>44852</v>
      </c>
      <c r="F286" s="3" t="s">
        <v>106</v>
      </c>
      <c r="G286" s="3" t="s">
        <v>122</v>
      </c>
      <c r="H286" s="3">
        <v>2009</v>
      </c>
      <c r="I286" s="40" t="s">
        <v>108</v>
      </c>
      <c r="J286" s="39" t="s">
        <v>123</v>
      </c>
      <c r="K286" s="3"/>
      <c r="L286" s="3"/>
      <c r="M286" s="3"/>
      <c r="N286" s="3"/>
      <c r="O286" s="3"/>
      <c r="P286" s="3"/>
      <c r="Q286" s="3"/>
      <c r="R286" s="3"/>
      <c r="S286" s="3"/>
      <c r="T286" s="125">
        <v>163.19999999999999</v>
      </c>
      <c r="U286" s="126">
        <v>84.3</v>
      </c>
      <c r="V286" s="12">
        <f>paper3[[#This Row],[height]]-paper3[[#This Row],[sittingheight]]</f>
        <v>78.899999999999991</v>
      </c>
      <c r="W286" s="127">
        <v>52.6</v>
      </c>
      <c r="X286" s="43" cm="1">
        <f t="array" ref="X286">INDEX([1]!phvny[yphv], MATCH(1, (paper3[[#This Row],[id]]=[1]!phvny[id])*(paper3[[#This Row],[time]]=[1]!phvny[time]), 0))</f>
        <v>-0.46866001826470682</v>
      </c>
      <c r="Y286" s="3"/>
      <c r="Z286" s="3"/>
      <c r="AA286" s="3"/>
      <c r="AB286" s="3"/>
      <c r="AC286" s="3"/>
      <c r="AD286" s="3"/>
      <c r="AE286" s="3"/>
      <c r="AF286" s="3"/>
      <c r="AG286" s="3"/>
      <c r="AH286" s="130">
        <v>2.1619999999999999</v>
      </c>
      <c r="AI286" s="130">
        <v>3.7600000000000002</v>
      </c>
      <c r="AJ286" s="130">
        <v>5.4210000000000003</v>
      </c>
      <c r="AK286" s="45">
        <v>6.0204695966285371</v>
      </c>
      <c r="AL286" s="3"/>
      <c r="AM286" s="3"/>
      <c r="AN286" s="3"/>
      <c r="AO286" s="3"/>
      <c r="AP286" s="137">
        <v>11.43</v>
      </c>
      <c r="AQ286" s="132"/>
      <c r="AR286" s="132"/>
      <c r="AS286" s="3"/>
      <c r="AT286" s="3"/>
      <c r="AU286" s="3"/>
      <c r="AV286" s="3"/>
      <c r="AW286" s="3"/>
      <c r="AX286" s="133">
        <v>25.36</v>
      </c>
      <c r="AY286" s="134"/>
      <c r="AZ286" s="40"/>
      <c r="BA286" s="40"/>
      <c r="BB286" s="40"/>
      <c r="BC286" s="40"/>
      <c r="BD286" s="135">
        <v>731.2511651304153</v>
      </c>
      <c r="BE286" s="135">
        <v>724.8398152157904</v>
      </c>
      <c r="BF286" s="40"/>
      <c r="BG286" s="135">
        <v>234.20053461763428</v>
      </c>
      <c r="BH286" s="135">
        <v>254.42872109855335</v>
      </c>
      <c r="BI286" s="49">
        <v>1456.0909803462057</v>
      </c>
      <c r="BJ286" s="49">
        <v>488.62925571618763</v>
      </c>
      <c r="BK286" s="66">
        <v>8.8451955591266618E-3</v>
      </c>
      <c r="BL286" s="66">
        <v>-7.9504335806033666E-2</v>
      </c>
      <c r="BM286" s="51">
        <v>27.682338029395545</v>
      </c>
      <c r="BN286" s="51">
        <v>9.2895295763533774</v>
      </c>
      <c r="BO286" s="136"/>
      <c r="BP286" s="40"/>
      <c r="BQ286" s="40"/>
      <c r="BR286" s="67"/>
      <c r="BS286" s="54" t="s">
        <v>110</v>
      </c>
      <c r="BT286" s="68"/>
      <c r="BU286" s="69"/>
      <c r="BV286" s="3"/>
      <c r="BW286" s="3"/>
      <c r="BX286" s="70"/>
      <c r="BY286" s="70"/>
      <c r="BZ286" s="59"/>
      <c r="CA286" s="59"/>
      <c r="CB286" s="59" t="s">
        <v>110</v>
      </c>
      <c r="CC286" s="59" t="s">
        <v>110</v>
      </c>
      <c r="CD286" s="60"/>
      <c r="CE286" s="60"/>
      <c r="CF286" s="61"/>
      <c r="CG286" s="61"/>
      <c r="CH286" s="61"/>
      <c r="CI286" s="139">
        <v>14.6</v>
      </c>
      <c r="CJ286" s="40">
        <f>VLOOKUP(paper3[[#This Row],[YYIR nivå]],$DB:$DC,2)</f>
        <v>680</v>
      </c>
      <c r="CK286" s="3"/>
      <c r="CL286" s="62"/>
      <c r="CM286" s="62"/>
      <c r="CN286" s="3"/>
      <c r="CO286" s="3"/>
      <c r="CP286" s="41">
        <v>13.052777777777777</v>
      </c>
      <c r="CQ286" s="3" t="s">
        <v>110</v>
      </c>
      <c r="CR286" s="40" t="s">
        <v>110</v>
      </c>
      <c r="CS286" s="40" t="s">
        <v>110</v>
      </c>
      <c r="CT286" s="40" t="s">
        <v>110</v>
      </c>
      <c r="CU286" s="40"/>
      <c r="CV286" s="40"/>
      <c r="CW286" s="40"/>
      <c r="CX286" s="40"/>
      <c r="CY286" s="40" t="s">
        <v>200</v>
      </c>
      <c r="CZ286" s="40"/>
      <c r="DA286" s="40"/>
    </row>
    <row r="287" spans="1:105" ht="15.75" customHeight="1">
      <c r="A287" s="3">
        <v>623</v>
      </c>
      <c r="B287" s="92" t="s">
        <v>199</v>
      </c>
      <c r="C287" s="3" t="s">
        <v>104</v>
      </c>
      <c r="D287" s="3" t="s">
        <v>105</v>
      </c>
      <c r="E287" s="39">
        <v>44853</v>
      </c>
      <c r="F287" s="3" t="s">
        <v>106</v>
      </c>
      <c r="G287" s="3" t="s">
        <v>122</v>
      </c>
      <c r="H287" s="3">
        <v>2009</v>
      </c>
      <c r="I287" s="40" t="s">
        <v>108</v>
      </c>
      <c r="J287" s="39" t="s">
        <v>123</v>
      </c>
      <c r="K287" s="3"/>
      <c r="L287" s="3"/>
      <c r="M287" s="3"/>
      <c r="N287" s="3"/>
      <c r="O287" s="3"/>
      <c r="P287" s="3"/>
      <c r="Q287" s="3"/>
      <c r="R287" s="3"/>
      <c r="S287" s="3"/>
      <c r="T287" s="125">
        <v>163</v>
      </c>
      <c r="U287" s="126">
        <v>80.3</v>
      </c>
      <c r="V287" s="12">
        <f>paper3[[#This Row],[height]]-paper3[[#This Row],[sittingheight]]</f>
        <v>82.7</v>
      </c>
      <c r="W287" s="127">
        <v>54.1</v>
      </c>
      <c r="X287" s="43" cm="1">
        <f t="array" ref="X287">INDEX([1]!phvny[yphv], MATCH(1, (paper3[[#This Row],[id]]=[1]!phvny[id])*(paper3[[#This Row],[time]]=[1]!phvny[time]), 0))</f>
        <v>-0.87313657359509267</v>
      </c>
      <c r="Y287" s="46"/>
      <c r="Z287" s="60"/>
      <c r="AA287" s="60"/>
      <c r="AB287" s="60"/>
      <c r="AC287" s="60"/>
      <c r="AD287" s="60"/>
      <c r="AE287" s="60"/>
      <c r="AF287" s="3"/>
      <c r="AG287" s="3"/>
      <c r="AH287" s="130">
        <v>1.901</v>
      </c>
      <c r="AI287" s="130">
        <v>3.24</v>
      </c>
      <c r="AJ287" s="130">
        <v>4.5679999999999996</v>
      </c>
      <c r="AK287" s="45">
        <v>7.5301204819277139</v>
      </c>
      <c r="AL287" s="3"/>
      <c r="AM287" s="3"/>
      <c r="AN287" s="3"/>
      <c r="AO287" s="141"/>
      <c r="AP287" s="137"/>
      <c r="AQ287" s="132"/>
      <c r="AR287" s="132"/>
      <c r="AS287" s="3"/>
      <c r="AT287" s="3"/>
      <c r="AU287" s="3"/>
      <c r="AV287" s="3"/>
      <c r="AW287" s="3"/>
      <c r="AX287" s="133">
        <v>28.060000000000002</v>
      </c>
      <c r="AY287" s="134"/>
      <c r="AZ287" s="40"/>
      <c r="BA287" s="40"/>
      <c r="BB287" s="40"/>
      <c r="BC287" s="40"/>
      <c r="BD287" s="135">
        <v>1041.5888967633437</v>
      </c>
      <c r="BE287" s="135">
        <v>1049.8218685135535</v>
      </c>
      <c r="BF287" s="40"/>
      <c r="BG287" s="135">
        <v>418.70585848498467</v>
      </c>
      <c r="BH287" s="135">
        <v>450.18501115802252</v>
      </c>
      <c r="BI287" s="49">
        <v>2091.4107652768971</v>
      </c>
      <c r="BJ287" s="49">
        <v>868.89086964300714</v>
      </c>
      <c r="BK287" s="66">
        <v>-7.8422559075349563E-3</v>
      </c>
      <c r="BL287" s="66">
        <v>-6.9924923959736485E-2</v>
      </c>
      <c r="BM287" s="51">
        <v>38.658239653916766</v>
      </c>
      <c r="BN287" s="51">
        <v>16.060829383419726</v>
      </c>
      <c r="BO287" s="136"/>
      <c r="BP287" s="40"/>
      <c r="BQ287" s="40"/>
      <c r="BR287" s="67"/>
      <c r="BS287" s="54" t="s">
        <v>110</v>
      </c>
      <c r="BT287" s="68"/>
      <c r="BU287" s="69"/>
      <c r="BV287" s="3"/>
      <c r="BW287" s="3"/>
      <c r="BX287" s="70"/>
      <c r="BY287" s="70"/>
      <c r="BZ287" s="59"/>
      <c r="CA287" s="59"/>
      <c r="CB287" s="59" t="s">
        <v>110</v>
      </c>
      <c r="CC287" s="59" t="s">
        <v>110</v>
      </c>
      <c r="CD287" s="60"/>
      <c r="CE287" s="60"/>
      <c r="CF287" s="61"/>
      <c r="CG287" s="61"/>
      <c r="CH287" s="61"/>
      <c r="CI287" s="139"/>
      <c r="CJ287" s="40"/>
      <c r="CK287" s="3"/>
      <c r="CL287" s="62"/>
      <c r="CM287" s="62"/>
      <c r="CN287" s="3"/>
      <c r="CO287" s="3"/>
      <c r="CP287" s="41">
        <v>13.133333333333333</v>
      </c>
      <c r="CQ287" s="3" t="s">
        <v>110</v>
      </c>
      <c r="CR287" s="40" t="s">
        <v>110</v>
      </c>
      <c r="CS287" s="40" t="s">
        <v>110</v>
      </c>
      <c r="CT287" s="40" t="s">
        <v>110</v>
      </c>
      <c r="CU287" s="40"/>
      <c r="CV287" s="40"/>
      <c r="CW287" s="40"/>
      <c r="CX287" s="40"/>
      <c r="CY287" s="40" t="s">
        <v>200</v>
      </c>
      <c r="CZ287" s="40"/>
      <c r="DA287" s="40"/>
    </row>
    <row r="288" spans="1:105" ht="15.75" customHeight="1">
      <c r="A288" s="3">
        <v>624</v>
      </c>
      <c r="B288" s="92" t="s">
        <v>199</v>
      </c>
      <c r="C288" s="3" t="s">
        <v>104</v>
      </c>
      <c r="D288" s="3" t="s">
        <v>105</v>
      </c>
      <c r="E288" s="39">
        <v>44853</v>
      </c>
      <c r="F288" s="3" t="s">
        <v>106</v>
      </c>
      <c r="G288" s="3" t="s">
        <v>122</v>
      </c>
      <c r="H288" s="3">
        <v>2009</v>
      </c>
      <c r="I288" s="40" t="s">
        <v>108</v>
      </c>
      <c r="J288" s="39" t="s">
        <v>123</v>
      </c>
      <c r="K288" s="3"/>
      <c r="L288" s="3"/>
      <c r="M288" s="3"/>
      <c r="N288" s="3"/>
      <c r="O288" s="3"/>
      <c r="P288" s="3"/>
      <c r="Q288" s="3"/>
      <c r="R288" s="3"/>
      <c r="S288" s="3"/>
      <c r="T288" s="125">
        <v>162.5</v>
      </c>
      <c r="U288" s="126">
        <v>85.3</v>
      </c>
      <c r="V288" s="12">
        <f>paper3[[#This Row],[height]]-paper3[[#This Row],[sittingheight]]</f>
        <v>77.2</v>
      </c>
      <c r="W288" s="127">
        <v>45.8</v>
      </c>
      <c r="X288" s="43" cm="1">
        <f t="array" ref="X288">INDEX([1]!phvny[yphv], MATCH(1, (paper3[[#This Row],[id]]=[1]!phvny[id])*(paper3[[#This Row],[time]]=[1]!phvny[time]), 0))</f>
        <v>-0.45226096738461663</v>
      </c>
      <c r="Y288" s="46"/>
      <c r="Z288" s="60"/>
      <c r="AA288" s="60"/>
      <c r="AB288" s="60"/>
      <c r="AC288" s="60"/>
      <c r="AD288" s="60"/>
      <c r="AE288" s="60"/>
      <c r="AF288" s="3"/>
      <c r="AG288" s="3"/>
      <c r="AH288" s="130">
        <v>1.9510000000000001</v>
      </c>
      <c r="AI288" s="130">
        <v>3.43</v>
      </c>
      <c r="AJ288" s="130">
        <v>4.8959999999999999</v>
      </c>
      <c r="AK288" s="45">
        <v>6.8212824010914064</v>
      </c>
      <c r="AL288" s="3"/>
      <c r="AM288" s="3"/>
      <c r="AN288" s="3"/>
      <c r="AO288" s="141"/>
      <c r="AP288" s="137"/>
      <c r="AQ288" s="132"/>
      <c r="AR288" s="132"/>
      <c r="AS288" s="3"/>
      <c r="AT288" s="3"/>
      <c r="AU288" s="3"/>
      <c r="AV288" s="3"/>
      <c r="AW288" s="3"/>
      <c r="AX288" s="133">
        <v>30.26</v>
      </c>
      <c r="AY288" s="134"/>
      <c r="AZ288" s="40"/>
      <c r="BA288" s="40"/>
      <c r="BB288" s="40"/>
      <c r="BC288" s="40"/>
      <c r="BD288" s="135">
        <v>732.99631373854413</v>
      </c>
      <c r="BE288" s="135">
        <v>736.92064825144666</v>
      </c>
      <c r="BF288" s="40"/>
      <c r="BG288" s="135">
        <v>276.81635365739021</v>
      </c>
      <c r="BH288" s="135">
        <v>281.05874189627298</v>
      </c>
      <c r="BI288" s="49">
        <v>1469.9169619899908</v>
      </c>
      <c r="BJ288" s="49">
        <v>557.87509555366319</v>
      </c>
      <c r="BK288" s="66">
        <v>-5.3253149063120508E-3</v>
      </c>
      <c r="BL288" s="66">
        <v>-1.509431163841346E-2</v>
      </c>
      <c r="BM288" s="51">
        <v>32.094256812008531</v>
      </c>
      <c r="BN288" s="51">
        <v>12.180678942219721</v>
      </c>
      <c r="BO288" s="136"/>
      <c r="BP288" s="40"/>
      <c r="BQ288" s="40"/>
      <c r="BR288" s="67"/>
      <c r="BS288" s="54" t="s">
        <v>110</v>
      </c>
      <c r="BT288" s="68"/>
      <c r="BU288" s="69"/>
      <c r="BV288" s="3"/>
      <c r="BW288" s="3"/>
      <c r="BX288" s="70"/>
      <c r="BY288" s="70"/>
      <c r="BZ288" s="59"/>
      <c r="CA288" s="59"/>
      <c r="CB288" s="59" t="s">
        <v>110</v>
      </c>
      <c r="CC288" s="59" t="s">
        <v>110</v>
      </c>
      <c r="CD288" s="60"/>
      <c r="CE288" s="60"/>
      <c r="CF288" s="61"/>
      <c r="CG288" s="61"/>
      <c r="CH288" s="61"/>
      <c r="CI288" s="139"/>
      <c r="CJ288" s="40"/>
      <c r="CK288" s="3"/>
      <c r="CL288" s="62"/>
      <c r="CM288" s="62"/>
      <c r="CN288" s="3"/>
      <c r="CO288" s="3"/>
      <c r="CP288" s="41">
        <v>13.044444444444444</v>
      </c>
      <c r="CQ288" s="3" t="s">
        <v>110</v>
      </c>
      <c r="CR288" s="40" t="s">
        <v>110</v>
      </c>
      <c r="CS288" s="40" t="s">
        <v>110</v>
      </c>
      <c r="CT288" s="40" t="s">
        <v>110</v>
      </c>
      <c r="CU288" s="40"/>
      <c r="CV288" s="40"/>
      <c r="CW288" s="40"/>
      <c r="CX288" s="40"/>
      <c r="CY288" s="40" t="s">
        <v>201</v>
      </c>
      <c r="CZ288" s="40"/>
      <c r="DA288" s="40"/>
    </row>
    <row r="289" spans="1:105" ht="15.75" customHeight="1">
      <c r="A289" s="3">
        <v>625</v>
      </c>
      <c r="B289" s="92" t="s">
        <v>199</v>
      </c>
      <c r="C289" s="3" t="s">
        <v>171</v>
      </c>
      <c r="D289" s="3" t="s">
        <v>105</v>
      </c>
      <c r="E289" s="39">
        <v>44853</v>
      </c>
      <c r="F289" s="3" t="s">
        <v>106</v>
      </c>
      <c r="G289" s="3" t="s">
        <v>122</v>
      </c>
      <c r="H289" s="3">
        <v>2009</v>
      </c>
      <c r="I289" s="40" t="s">
        <v>108</v>
      </c>
      <c r="J289" s="39" t="s">
        <v>123</v>
      </c>
      <c r="K289" s="3"/>
      <c r="L289" s="3"/>
      <c r="M289" s="3"/>
      <c r="N289" s="3"/>
      <c r="O289" s="3"/>
      <c r="P289" s="3"/>
      <c r="Q289" s="3"/>
      <c r="R289" s="3"/>
      <c r="S289" s="3"/>
      <c r="T289" s="125">
        <v>170.1</v>
      </c>
      <c r="U289" s="126">
        <v>85.8</v>
      </c>
      <c r="V289" s="12">
        <f>paper3[[#This Row],[height]]-paper3[[#This Row],[sittingheight]]</f>
        <v>84.3</v>
      </c>
      <c r="W289" s="127">
        <v>57.8</v>
      </c>
      <c r="X289" s="43" cm="1">
        <f t="array" ref="X289">INDEX([1]!phvny[yphv], MATCH(1, (paper3[[#This Row],[id]]=[1]!phvny[id])*(paper3[[#This Row],[time]]=[1]!phvny[time]), 0))</f>
        <v>4.4380533155202961E-2</v>
      </c>
      <c r="Y289" s="46"/>
      <c r="Z289" s="60"/>
      <c r="AA289" s="60"/>
      <c r="AB289" s="60"/>
      <c r="AC289" s="60"/>
      <c r="AD289" s="60"/>
      <c r="AE289" s="60"/>
      <c r="AF289" s="3"/>
      <c r="AG289" s="3"/>
      <c r="AH289" s="130">
        <v>1.9789999999999999</v>
      </c>
      <c r="AI289" s="130">
        <v>3.39</v>
      </c>
      <c r="AJ289" s="130">
        <v>4.766</v>
      </c>
      <c r="AK289" s="45">
        <v>7.2674418604651168</v>
      </c>
      <c r="AL289" s="3"/>
      <c r="AM289" s="3"/>
      <c r="AN289" s="3"/>
      <c r="AO289" s="3"/>
      <c r="AP289" s="137">
        <v>10.75</v>
      </c>
      <c r="AQ289" s="132"/>
      <c r="AR289" s="132"/>
      <c r="AS289" s="3"/>
      <c r="AT289" s="3"/>
      <c r="AU289" s="3"/>
      <c r="AV289" s="3"/>
      <c r="AW289" s="3"/>
      <c r="AX289" s="133">
        <v>27.76</v>
      </c>
      <c r="AY289" s="134"/>
      <c r="AZ289" s="40"/>
      <c r="BA289" s="40"/>
      <c r="BB289" s="40"/>
      <c r="BC289" s="40"/>
      <c r="BD289" s="135">
        <v>616.86162940291251</v>
      </c>
      <c r="BE289" s="135">
        <v>665.54151367092845</v>
      </c>
      <c r="BF289" s="40"/>
      <c r="BG289" s="135">
        <v>348.43879789054569</v>
      </c>
      <c r="BH289" s="135">
        <v>357.48231177933758</v>
      </c>
      <c r="BI289" s="49">
        <v>1282.403143073841</v>
      </c>
      <c r="BJ289" s="49">
        <v>705.92110966988321</v>
      </c>
      <c r="BK289" s="66">
        <v>-7.3143272460214015E-2</v>
      </c>
      <c r="BL289" s="66">
        <v>-2.5297794018894426E-2</v>
      </c>
      <c r="BM289" s="51">
        <v>22.186905589512822</v>
      </c>
      <c r="BN289" s="51">
        <v>12.213167987368223</v>
      </c>
      <c r="BO289" s="136"/>
      <c r="BP289" s="40"/>
      <c r="BQ289" s="40"/>
      <c r="BR289" s="67"/>
      <c r="BS289" s="54" t="s">
        <v>110</v>
      </c>
      <c r="BT289" s="68"/>
      <c r="BU289" s="69"/>
      <c r="BV289" s="3"/>
      <c r="BW289" s="3"/>
      <c r="BX289" s="70"/>
      <c r="BY289" s="70"/>
      <c r="BZ289" s="59"/>
      <c r="CA289" s="59"/>
      <c r="CB289" s="59" t="s">
        <v>110</v>
      </c>
      <c r="CC289" s="59" t="s">
        <v>110</v>
      </c>
      <c r="CD289" s="60"/>
      <c r="CE289" s="60"/>
      <c r="CF289" s="61"/>
      <c r="CG289" s="61"/>
      <c r="CH289" s="61"/>
      <c r="CI289" s="138">
        <v>15.7</v>
      </c>
      <c r="CJ289" s="40">
        <f>VLOOKUP(paper3[[#This Row],[YYIR nivå]],$DB:$DC,2)</f>
        <v>1040</v>
      </c>
      <c r="CK289" s="3"/>
      <c r="CL289" s="62"/>
      <c r="CM289" s="62"/>
      <c r="CN289" s="3"/>
      <c r="CO289" s="3"/>
      <c r="CP289" s="41">
        <v>13.661111111111111</v>
      </c>
      <c r="CQ289" s="3" t="s">
        <v>110</v>
      </c>
      <c r="CR289" s="40" t="s">
        <v>110</v>
      </c>
      <c r="CS289" s="40" t="s">
        <v>110</v>
      </c>
      <c r="CT289" s="40" t="s">
        <v>110</v>
      </c>
      <c r="CU289" s="40"/>
      <c r="CV289" s="40"/>
      <c r="CW289" s="40"/>
      <c r="CX289" s="40"/>
      <c r="CY289" s="40" t="s">
        <v>203</v>
      </c>
      <c r="CZ289" s="40"/>
      <c r="DA289" s="40"/>
    </row>
    <row r="290" spans="1:105" ht="15.75" customHeight="1">
      <c r="A290" s="3">
        <v>626</v>
      </c>
      <c r="B290" s="92" t="s">
        <v>199</v>
      </c>
      <c r="C290" s="3" t="s">
        <v>104</v>
      </c>
      <c r="D290" s="3" t="s">
        <v>105</v>
      </c>
      <c r="E290" s="39">
        <v>44853</v>
      </c>
      <c r="F290" s="3" t="s">
        <v>106</v>
      </c>
      <c r="G290" s="3" t="s">
        <v>122</v>
      </c>
      <c r="H290" s="3">
        <v>2009</v>
      </c>
      <c r="I290" s="40" t="s">
        <v>108</v>
      </c>
      <c r="J290" s="39" t="s">
        <v>123</v>
      </c>
      <c r="K290" s="3"/>
      <c r="L290" s="3"/>
      <c r="M290" s="3"/>
      <c r="N290" s="3"/>
      <c r="O290" s="3"/>
      <c r="P290" s="3"/>
      <c r="Q290" s="3"/>
      <c r="R290" s="3"/>
      <c r="S290" s="3"/>
      <c r="T290" s="125">
        <v>165.4</v>
      </c>
      <c r="U290" s="126">
        <v>86.8</v>
      </c>
      <c r="V290" s="12">
        <f>paper3[[#This Row],[height]]-paper3[[#This Row],[sittingheight]]</f>
        <v>78.600000000000009</v>
      </c>
      <c r="W290" s="127">
        <v>54.9</v>
      </c>
      <c r="X290" s="43" cm="1">
        <f t="array" ref="X290">INDEX([1]!phvny[yphv], MATCH(1, (paper3[[#This Row],[id]]=[1]!phvny[id])*(paper3[[#This Row],[time]]=[1]!phvny[time]), 0))</f>
        <v>-8.6674159084105806E-2</v>
      </c>
      <c r="Y290" s="46"/>
      <c r="Z290" s="60"/>
      <c r="AA290" s="60"/>
      <c r="AB290" s="60"/>
      <c r="AC290" s="60"/>
      <c r="AD290" s="60"/>
      <c r="AE290" s="60"/>
      <c r="AF290" s="3"/>
      <c r="AG290" s="3"/>
      <c r="AH290" s="130">
        <v>2.0990000000000002</v>
      </c>
      <c r="AI290" s="130">
        <v>3.6300000000000003</v>
      </c>
      <c r="AJ290" s="130">
        <v>5.1390000000000002</v>
      </c>
      <c r="AK290" s="45">
        <v>6.6269052352551361</v>
      </c>
      <c r="AL290" s="3"/>
      <c r="AM290" s="3"/>
      <c r="AN290" s="3"/>
      <c r="AO290" s="3"/>
      <c r="AP290" s="137">
        <v>11.959999999999999</v>
      </c>
      <c r="AQ290" s="132"/>
      <c r="AR290" s="132"/>
      <c r="AS290" s="3"/>
      <c r="AT290" s="3"/>
      <c r="AU290" s="3"/>
      <c r="AV290" s="3"/>
      <c r="AW290" s="3"/>
      <c r="AX290" s="133">
        <v>25.060000000000002</v>
      </c>
      <c r="AY290" s="134"/>
      <c r="AZ290" s="40"/>
      <c r="BA290" s="40"/>
      <c r="BB290" s="40"/>
      <c r="BC290" s="40"/>
      <c r="BD290" s="135">
        <v>876.23719512921798</v>
      </c>
      <c r="BE290" s="135">
        <v>890.54365033411113</v>
      </c>
      <c r="BF290" s="40"/>
      <c r="BG290" s="135">
        <v>344.19558772402257</v>
      </c>
      <c r="BH290" s="135">
        <v>341.21473181459959</v>
      </c>
      <c r="BI290" s="49">
        <v>1766.7808454633291</v>
      </c>
      <c r="BJ290" s="49">
        <v>685.41031953862216</v>
      </c>
      <c r="BK290" s="66">
        <v>-1.6064855663757371E-2</v>
      </c>
      <c r="BL290" s="66">
        <v>8.7360117588435315E-3</v>
      </c>
      <c r="BM290" s="51">
        <v>32.18180046381292</v>
      </c>
      <c r="BN290" s="51">
        <v>12.484705273927544</v>
      </c>
      <c r="BO290" s="136"/>
      <c r="BP290" s="40"/>
      <c r="BQ290" s="40"/>
      <c r="BR290" s="67"/>
      <c r="BS290" s="54" t="s">
        <v>110</v>
      </c>
      <c r="BT290" s="68"/>
      <c r="BU290" s="69"/>
      <c r="BV290" s="3"/>
      <c r="BW290" s="3"/>
      <c r="BX290" s="70"/>
      <c r="BY290" s="70"/>
      <c r="BZ290" s="59"/>
      <c r="CA290" s="59"/>
      <c r="CB290" s="59" t="s">
        <v>110</v>
      </c>
      <c r="CC290" s="59" t="s">
        <v>110</v>
      </c>
      <c r="CD290" s="60"/>
      <c r="CE290" s="60"/>
      <c r="CF290" s="61"/>
      <c r="CG290" s="61"/>
      <c r="CH290" s="61"/>
      <c r="CI290" s="139">
        <v>14.4</v>
      </c>
      <c r="CJ290" s="40">
        <f>VLOOKUP(paper3[[#This Row],[YYIR nivå]],$DB:$DC,2)</f>
        <v>600</v>
      </c>
      <c r="CK290" s="3"/>
      <c r="CL290" s="62"/>
      <c r="CM290" s="62"/>
      <c r="CN290" s="3"/>
      <c r="CO290" s="3"/>
      <c r="CP290" s="41">
        <v>13.197222222222223</v>
      </c>
      <c r="CQ290" s="3" t="s">
        <v>110</v>
      </c>
      <c r="CR290" s="40" t="s">
        <v>110</v>
      </c>
      <c r="CS290" s="40" t="s">
        <v>110</v>
      </c>
      <c r="CT290" s="40" t="s">
        <v>110</v>
      </c>
      <c r="CU290" s="40"/>
      <c r="CV290" s="40"/>
      <c r="CW290" s="40"/>
      <c r="CX290" s="40"/>
      <c r="CY290" s="40" t="s">
        <v>200</v>
      </c>
      <c r="CZ290" s="40"/>
      <c r="DA290" s="40"/>
    </row>
    <row r="291" spans="1:105" ht="15.75" customHeight="1">
      <c r="A291" s="3">
        <v>629</v>
      </c>
      <c r="B291" s="92" t="s">
        <v>199</v>
      </c>
      <c r="C291" s="3" t="s">
        <v>104</v>
      </c>
      <c r="D291" s="3" t="s">
        <v>105</v>
      </c>
      <c r="E291" s="39">
        <v>44853</v>
      </c>
      <c r="F291" s="3" t="s">
        <v>106</v>
      </c>
      <c r="G291" s="3" t="s">
        <v>122</v>
      </c>
      <c r="H291" s="3">
        <v>2009</v>
      </c>
      <c r="I291" s="40" t="s">
        <v>108</v>
      </c>
      <c r="J291" s="39" t="s">
        <v>123</v>
      </c>
      <c r="K291" s="3"/>
      <c r="L291" s="3"/>
      <c r="M291" s="3"/>
      <c r="N291" s="3"/>
      <c r="O291" s="3"/>
      <c r="P291" s="3"/>
      <c r="Q291" s="3"/>
      <c r="R291" s="3"/>
      <c r="S291" s="3"/>
      <c r="T291" s="125">
        <v>157.5</v>
      </c>
      <c r="U291" s="126">
        <v>76.900000000000006</v>
      </c>
      <c r="V291" s="12">
        <f>paper3[[#This Row],[height]]-paper3[[#This Row],[sittingheight]]</f>
        <v>80.599999999999994</v>
      </c>
      <c r="W291" s="127">
        <v>44.1</v>
      </c>
      <c r="X291" s="43" cm="1">
        <f t="array" ref="X291">INDEX([1]!phvny[yphv], MATCH(1, (paper3[[#This Row],[id]]=[1]!phvny[id])*(paper3[[#This Row],[time]]=[1]!phvny[time]), 0))</f>
        <v>-1.2386799502222217</v>
      </c>
      <c r="Y291" s="3"/>
      <c r="Z291" s="3"/>
      <c r="AA291" s="3"/>
      <c r="AB291" s="3"/>
      <c r="AC291" s="3"/>
      <c r="AD291" s="3"/>
      <c r="AE291" s="3"/>
      <c r="AF291" s="3"/>
      <c r="AG291" s="3"/>
      <c r="AH291" s="130">
        <v>2.0089999999999999</v>
      </c>
      <c r="AI291" s="130">
        <v>3.48</v>
      </c>
      <c r="AJ291" s="130">
        <v>4.968</v>
      </c>
      <c r="AK291" s="45">
        <v>6.720430107526882</v>
      </c>
      <c r="AL291" s="3"/>
      <c r="AM291" s="3"/>
      <c r="AN291" s="3"/>
      <c r="AO291" s="3"/>
      <c r="AP291" s="137">
        <v>11.27</v>
      </c>
      <c r="AQ291" s="132"/>
      <c r="AR291" s="132"/>
      <c r="AS291" s="3"/>
      <c r="AT291" s="3"/>
      <c r="AU291" s="3"/>
      <c r="AV291" s="3"/>
      <c r="AW291" s="3"/>
      <c r="AX291" s="133">
        <v>27.86</v>
      </c>
      <c r="AY291" s="134"/>
      <c r="AZ291" s="40"/>
      <c r="BA291" s="40"/>
      <c r="BB291" s="40"/>
      <c r="BC291" s="40"/>
      <c r="BD291" s="135">
        <v>821.96749256314126</v>
      </c>
      <c r="BE291" s="135">
        <v>761.93645673350852</v>
      </c>
      <c r="BF291" s="40"/>
      <c r="BG291" s="135">
        <v>284.42952023354997</v>
      </c>
      <c r="BH291" s="135">
        <v>299.60882701917052</v>
      </c>
      <c r="BI291" s="49">
        <v>1583.9039492966499</v>
      </c>
      <c r="BJ291" s="49">
        <v>584.03834725272054</v>
      </c>
      <c r="BK291" s="66">
        <v>7.8787457010511375E-2</v>
      </c>
      <c r="BL291" s="66">
        <v>-5.0663750252756379E-2</v>
      </c>
      <c r="BM291" s="51">
        <v>35.916189326454642</v>
      </c>
      <c r="BN291" s="51">
        <v>13.243499937703413</v>
      </c>
      <c r="BO291" s="136"/>
      <c r="BP291" s="40"/>
      <c r="BQ291" s="40"/>
      <c r="BR291" s="67"/>
      <c r="BS291" s="54" t="s">
        <v>110</v>
      </c>
      <c r="BT291" s="68"/>
      <c r="BU291" s="69"/>
      <c r="BV291" s="3"/>
      <c r="BW291" s="3"/>
      <c r="BX291" s="70"/>
      <c r="BY291" s="70"/>
      <c r="BZ291" s="59"/>
      <c r="CA291" s="59"/>
      <c r="CB291" s="59" t="s">
        <v>110</v>
      </c>
      <c r="CC291" s="59" t="s">
        <v>110</v>
      </c>
      <c r="CD291" s="60"/>
      <c r="CE291" s="60"/>
      <c r="CF291" s="61"/>
      <c r="CG291" s="61"/>
      <c r="CH291" s="61"/>
      <c r="CI291" s="138">
        <v>15.1</v>
      </c>
      <c r="CJ291" s="40">
        <f>VLOOKUP(paper3[[#This Row],[YYIR nivå]],$DB:$DC,2)</f>
        <v>800</v>
      </c>
      <c r="CK291" s="3"/>
      <c r="CL291" s="62"/>
      <c r="CM291" s="62"/>
      <c r="CN291" s="3"/>
      <c r="CO291" s="3"/>
      <c r="CP291" s="41">
        <v>13.488888888888889</v>
      </c>
      <c r="CQ291" s="3" t="s">
        <v>110</v>
      </c>
      <c r="CR291" s="40" t="s">
        <v>110</v>
      </c>
      <c r="CS291" s="40" t="s">
        <v>110</v>
      </c>
      <c r="CT291" s="40" t="s">
        <v>110</v>
      </c>
      <c r="CU291" s="40"/>
      <c r="CV291" s="40"/>
      <c r="CW291" s="40"/>
      <c r="CX291" s="40"/>
      <c r="CY291" s="40" t="s">
        <v>201</v>
      </c>
      <c r="CZ291" s="40"/>
      <c r="DA291" s="40"/>
    </row>
    <row r="292" spans="1:105" ht="15.75" customHeight="1">
      <c r="A292" s="3">
        <v>630</v>
      </c>
      <c r="B292" s="92" t="s">
        <v>199</v>
      </c>
      <c r="C292" s="3" t="s">
        <v>104</v>
      </c>
      <c r="D292" s="3" t="s">
        <v>105</v>
      </c>
      <c r="E292" s="39">
        <v>44853</v>
      </c>
      <c r="F292" s="3" t="s">
        <v>106</v>
      </c>
      <c r="G292" s="3" t="s">
        <v>122</v>
      </c>
      <c r="H292" s="3">
        <v>2009</v>
      </c>
      <c r="I292" s="40" t="s">
        <v>108</v>
      </c>
      <c r="J292" s="39" t="s">
        <v>123</v>
      </c>
      <c r="K292" s="3"/>
      <c r="L292" s="3"/>
      <c r="M292" s="3"/>
      <c r="N292" s="3"/>
      <c r="O292" s="3"/>
      <c r="P292" s="3"/>
      <c r="Q292" s="3"/>
      <c r="R292" s="3"/>
      <c r="S292" s="3"/>
      <c r="T292" s="125">
        <v>156.5</v>
      </c>
      <c r="U292" s="126">
        <v>80.5</v>
      </c>
      <c r="V292" s="12">
        <f>paper3[[#This Row],[height]]-paper3[[#This Row],[sittingheight]]</f>
        <v>76</v>
      </c>
      <c r="W292" s="127">
        <v>40.9</v>
      </c>
      <c r="X292" s="43" cm="1">
        <f t="array" ref="X292">INDEX([1]!phvny[yphv], MATCH(1, (paper3[[#This Row],[id]]=[1]!phvny[id])*(paper3[[#This Row],[time]]=[1]!phvny[time]), 0))</f>
        <v>-0.86848757284345135</v>
      </c>
      <c r="Y292" s="3"/>
      <c r="Z292" s="3"/>
      <c r="AA292" s="3"/>
      <c r="AB292" s="3"/>
      <c r="AC292" s="3"/>
      <c r="AD292" s="3"/>
      <c r="AE292" s="3"/>
      <c r="AF292" s="3"/>
      <c r="AG292" s="3"/>
      <c r="AH292" s="130">
        <v>1.958</v>
      </c>
      <c r="AI292" s="130">
        <v>3.41</v>
      </c>
      <c r="AJ292" s="130">
        <v>4.843</v>
      </c>
      <c r="AK292" s="45">
        <v>6.978367062107468</v>
      </c>
      <c r="AL292" s="3"/>
      <c r="AM292" s="3"/>
      <c r="AN292" s="3"/>
      <c r="AO292" s="3"/>
      <c r="AP292" s="137">
        <v>11.409999999999998</v>
      </c>
      <c r="AQ292" s="132"/>
      <c r="AR292" s="132"/>
      <c r="AS292" s="3"/>
      <c r="AT292" s="3"/>
      <c r="AU292" s="3"/>
      <c r="AV292" s="3"/>
      <c r="AW292" s="3"/>
      <c r="AX292" s="133">
        <v>25.96</v>
      </c>
      <c r="AY292" s="134"/>
      <c r="AZ292" s="40"/>
      <c r="BA292" s="40"/>
      <c r="BB292" s="40"/>
      <c r="BC292" s="40"/>
      <c r="BD292" s="135">
        <v>664.644703159041</v>
      </c>
      <c r="BE292" s="135">
        <v>638.74025899297362</v>
      </c>
      <c r="BF292" s="40"/>
      <c r="BG292" s="135">
        <v>260.18347207304009</v>
      </c>
      <c r="BH292" s="135">
        <v>261.015240649492</v>
      </c>
      <c r="BI292" s="49">
        <v>1303.3849621520146</v>
      </c>
      <c r="BJ292" s="49">
        <v>521.19871272253204</v>
      </c>
      <c r="BK292" s="66">
        <v>4.0555521280133178E-2</v>
      </c>
      <c r="BL292" s="66">
        <v>-3.1866667033778606E-3</v>
      </c>
      <c r="BM292" s="51">
        <v>31.867602986601824</v>
      </c>
      <c r="BN292" s="51">
        <v>12.74324480984186</v>
      </c>
      <c r="BO292" s="136"/>
      <c r="BP292" s="40"/>
      <c r="BQ292" s="40"/>
      <c r="BR292" s="67"/>
      <c r="BS292" s="54" t="s">
        <v>110</v>
      </c>
      <c r="BT292" s="68"/>
      <c r="BU292" s="69"/>
      <c r="BV292" s="3"/>
      <c r="BW292" s="3"/>
      <c r="BX292" s="70"/>
      <c r="BY292" s="70"/>
      <c r="BZ292" s="59"/>
      <c r="CA292" s="59"/>
      <c r="CB292" s="59" t="s">
        <v>110</v>
      </c>
      <c r="CC292" s="59" t="s">
        <v>110</v>
      </c>
      <c r="CD292" s="60"/>
      <c r="CE292" s="60"/>
      <c r="CF292" s="61"/>
      <c r="CG292" s="61"/>
      <c r="CH292" s="61"/>
      <c r="CI292" s="96">
        <v>15.3</v>
      </c>
      <c r="CJ292" s="40">
        <f>VLOOKUP(paper3[[#This Row],[YYIR nivå]],$DB:$DC,2)</f>
        <v>880</v>
      </c>
      <c r="CK292" s="3"/>
      <c r="CL292" s="62"/>
      <c r="CM292" s="62"/>
      <c r="CN292" s="3"/>
      <c r="CO292" s="3"/>
      <c r="CP292" s="41">
        <v>13.447222222222223</v>
      </c>
      <c r="CQ292" s="3" t="s">
        <v>110</v>
      </c>
      <c r="CR292" s="40" t="s">
        <v>110</v>
      </c>
      <c r="CS292" s="40" t="s">
        <v>110</v>
      </c>
      <c r="CT292" s="40" t="s">
        <v>110</v>
      </c>
      <c r="CU292" s="40"/>
      <c r="CV292" s="40"/>
      <c r="CW292" s="40"/>
      <c r="CX292" s="40"/>
      <c r="CY292" s="40" t="s">
        <v>203</v>
      </c>
      <c r="CZ292" s="40"/>
      <c r="DA292" s="40"/>
    </row>
    <row r="293" spans="1:105" ht="18.75" customHeight="1">
      <c r="A293" s="3">
        <v>631</v>
      </c>
      <c r="B293" s="92" t="s">
        <v>199</v>
      </c>
      <c r="C293" s="3" t="s">
        <v>171</v>
      </c>
      <c r="D293" s="3" t="s">
        <v>105</v>
      </c>
      <c r="E293" s="39">
        <v>44853</v>
      </c>
      <c r="F293" s="3" t="s">
        <v>106</v>
      </c>
      <c r="G293" s="3" t="s">
        <v>122</v>
      </c>
      <c r="H293" s="3">
        <v>2009</v>
      </c>
      <c r="I293" s="40" t="s">
        <v>108</v>
      </c>
      <c r="J293" s="39" t="s">
        <v>123</v>
      </c>
      <c r="K293" s="3"/>
      <c r="L293" s="3"/>
      <c r="M293" s="3"/>
      <c r="N293" s="3"/>
      <c r="O293" s="3"/>
      <c r="P293" s="3"/>
      <c r="Q293" s="3"/>
      <c r="R293" s="3"/>
      <c r="S293" s="3"/>
      <c r="T293" s="125">
        <v>158.80000000000001</v>
      </c>
      <c r="U293" s="126">
        <v>79.5</v>
      </c>
      <c r="V293" s="12">
        <f>paper3[[#This Row],[height]]-paper3[[#This Row],[sittingheight]]</f>
        <v>79.300000000000011</v>
      </c>
      <c r="W293" s="127">
        <v>42.8</v>
      </c>
      <c r="X293" s="43" cm="1">
        <f t="array" ref="X293">INDEX([1]!phvny[yphv], MATCH(1, (paper3[[#This Row],[id]]=[1]!phvny[id])*(paper3[[#This Row],[time]]=[1]!phvny[time]), 0))</f>
        <v>-1.1505086875076969</v>
      </c>
      <c r="Y293" s="3"/>
      <c r="Z293" s="3"/>
      <c r="AA293" s="3"/>
      <c r="AB293" s="3"/>
      <c r="AC293" s="3"/>
      <c r="AD293" s="3"/>
      <c r="AE293" s="3"/>
      <c r="AF293" s="3"/>
      <c r="AG293" s="3"/>
      <c r="AH293" s="130">
        <v>1.9139999999999999</v>
      </c>
      <c r="AI293" s="130">
        <v>3.3400000000000003</v>
      </c>
      <c r="AJ293" s="130">
        <v>4.7430000000000003</v>
      </c>
      <c r="AK293" s="45">
        <v>7.1275837491090517</v>
      </c>
      <c r="AL293" s="3"/>
      <c r="AM293" s="3"/>
      <c r="AN293" s="3"/>
      <c r="AO293" s="3"/>
      <c r="AP293" s="137">
        <v>10.969999999999999</v>
      </c>
      <c r="AQ293" s="132"/>
      <c r="AR293" s="132"/>
      <c r="AS293" s="3"/>
      <c r="AT293" s="3"/>
      <c r="AU293" s="3"/>
      <c r="AV293" s="3"/>
      <c r="AW293" s="3"/>
      <c r="AX293" s="133">
        <v>31.26</v>
      </c>
      <c r="AY293" s="134"/>
      <c r="AZ293" s="40"/>
      <c r="BA293" s="40"/>
      <c r="BB293" s="40"/>
      <c r="BC293" s="40"/>
      <c r="BD293" s="135">
        <v>886.54417809844813</v>
      </c>
      <c r="BE293" s="135">
        <v>867.23090179033534</v>
      </c>
      <c r="BF293" s="40"/>
      <c r="BG293" s="135">
        <v>290.14667539555808</v>
      </c>
      <c r="BH293" s="135">
        <v>296.16648335166354</v>
      </c>
      <c r="BI293" s="49">
        <v>1753.7750798887835</v>
      </c>
      <c r="BJ293" s="49">
        <v>586.31315874722168</v>
      </c>
      <c r="BK293" s="66">
        <v>2.2270050880615511E-2</v>
      </c>
      <c r="BL293" s="66">
        <v>-2.0325756945824391E-2</v>
      </c>
      <c r="BM293" s="51">
        <v>40.976053268429524</v>
      </c>
      <c r="BN293" s="51">
        <v>13.698905578206116</v>
      </c>
      <c r="BO293" s="136"/>
      <c r="BP293" s="40"/>
      <c r="BQ293" s="40"/>
      <c r="BR293" s="67"/>
      <c r="BS293" s="54" t="s">
        <v>110</v>
      </c>
      <c r="BT293" s="68"/>
      <c r="BU293" s="69"/>
      <c r="BV293" s="3"/>
      <c r="BW293" s="3"/>
      <c r="BX293" s="70"/>
      <c r="BY293" s="70"/>
      <c r="BZ293" s="59"/>
      <c r="CA293" s="59"/>
      <c r="CB293" s="59" t="s">
        <v>110</v>
      </c>
      <c r="CC293" s="59" t="s">
        <v>110</v>
      </c>
      <c r="CD293" s="60"/>
      <c r="CE293" s="60"/>
      <c r="CF293" s="61"/>
      <c r="CG293" s="61"/>
      <c r="CH293" s="61"/>
      <c r="CI293" s="140">
        <v>17.399999999999999</v>
      </c>
      <c r="CJ293" s="40">
        <f>VLOOKUP(paper3[[#This Row],[YYIR nivå]],$DB:$DC,2)</f>
        <v>1560</v>
      </c>
      <c r="CK293" s="3"/>
      <c r="CL293" s="62"/>
      <c r="CM293" s="62"/>
      <c r="CN293" s="3"/>
      <c r="CO293" s="3"/>
      <c r="CP293" s="41">
        <v>13.03888888888889</v>
      </c>
      <c r="CQ293" s="3" t="s">
        <v>110</v>
      </c>
      <c r="CR293" s="40" t="s">
        <v>110</v>
      </c>
      <c r="CS293" s="40" t="s">
        <v>110</v>
      </c>
      <c r="CT293" s="40" t="s">
        <v>110</v>
      </c>
      <c r="CU293" s="40"/>
      <c r="CV293" s="40"/>
      <c r="CW293" s="40"/>
      <c r="CX293" s="40"/>
      <c r="CY293" s="40" t="s">
        <v>202</v>
      </c>
      <c r="CZ293" s="40"/>
      <c r="DA293" s="40"/>
    </row>
    <row r="294" spans="1:105" ht="18.75">
      <c r="A294" s="3">
        <v>632</v>
      </c>
      <c r="B294" s="92" t="s">
        <v>199</v>
      </c>
      <c r="C294" s="3" t="s">
        <v>104</v>
      </c>
      <c r="D294" s="3" t="s">
        <v>105</v>
      </c>
      <c r="E294" s="39">
        <v>44853</v>
      </c>
      <c r="F294" s="3" t="s">
        <v>106</v>
      </c>
      <c r="G294" s="3" t="s">
        <v>122</v>
      </c>
      <c r="H294" s="3">
        <v>2009</v>
      </c>
      <c r="I294" s="40" t="s">
        <v>108</v>
      </c>
      <c r="J294" s="39" t="s">
        <v>123</v>
      </c>
      <c r="K294" s="3"/>
      <c r="L294" s="3"/>
      <c r="M294" s="3"/>
      <c r="N294" s="3"/>
      <c r="O294" s="3"/>
      <c r="P294" s="3"/>
      <c r="Q294" s="3"/>
      <c r="R294" s="3"/>
      <c r="S294" s="3"/>
      <c r="T294" s="125">
        <v>158</v>
      </c>
      <c r="U294" s="126">
        <v>81.400000000000006</v>
      </c>
      <c r="V294" s="12">
        <f>paper3[[#This Row],[height]]-paper3[[#This Row],[sittingheight]]</f>
        <v>76.599999999999994</v>
      </c>
      <c r="W294" s="127">
        <v>43.6</v>
      </c>
      <c r="X294" s="43" cm="1">
        <f t="array" ref="X294">INDEX([1]!phvny[yphv], MATCH(1, (paper3[[#This Row],[id]]=[1]!phvny[id])*(paper3[[#This Row],[time]]=[1]!phvny[time]), 0))</f>
        <v>-0.72934455696624467</v>
      </c>
      <c r="Y294" s="3"/>
      <c r="Z294" s="3"/>
      <c r="AA294" s="3"/>
      <c r="AB294" s="3"/>
      <c r="AC294" s="3"/>
      <c r="AD294" s="3"/>
      <c r="AE294" s="3"/>
      <c r="AF294" s="3"/>
      <c r="AG294" s="3"/>
      <c r="AH294" s="130">
        <v>1.91</v>
      </c>
      <c r="AI294" s="130">
        <v>3.35</v>
      </c>
      <c r="AJ294" s="130">
        <v>4.7789999999999999</v>
      </c>
      <c r="AK294" s="45">
        <v>6.9979006298110571</v>
      </c>
      <c r="AL294" s="3"/>
      <c r="AM294" s="3"/>
      <c r="AN294" s="3"/>
      <c r="AO294" s="3"/>
      <c r="AP294" s="137">
        <v>11.09</v>
      </c>
      <c r="AQ294" s="132"/>
      <c r="AR294" s="132"/>
      <c r="AS294" s="3"/>
      <c r="AT294" s="3"/>
      <c r="AU294" s="3"/>
      <c r="AV294" s="3"/>
      <c r="AW294" s="3"/>
      <c r="AX294" s="133">
        <v>26.96</v>
      </c>
      <c r="AY294" s="134"/>
      <c r="AZ294" s="40"/>
      <c r="BA294" s="40"/>
      <c r="BB294" s="40"/>
      <c r="BC294" s="40"/>
      <c r="BD294" s="135">
        <v>785.83901906169808</v>
      </c>
      <c r="BE294" s="135">
        <v>809.2588187072754</v>
      </c>
      <c r="BF294" s="40"/>
      <c r="BG294" s="135">
        <v>270.23409401295766</v>
      </c>
      <c r="BH294" s="135">
        <v>293.27527399970324</v>
      </c>
      <c r="BI294" s="49">
        <v>1595.0978377689735</v>
      </c>
      <c r="BJ294" s="49">
        <v>563.50936801266084</v>
      </c>
      <c r="BK294" s="66">
        <v>-2.8939813943564485E-2</v>
      </c>
      <c r="BL294" s="66">
        <v>-7.8565027567816359E-2</v>
      </c>
      <c r="BM294" s="51">
        <v>36.584812792866366</v>
      </c>
      <c r="BN294" s="51">
        <v>12.924526789281211</v>
      </c>
      <c r="BO294" s="136"/>
      <c r="BP294" s="40"/>
      <c r="BQ294" s="40"/>
      <c r="BR294" s="67"/>
      <c r="BS294" s="54" t="s">
        <v>110</v>
      </c>
      <c r="BT294" s="68"/>
      <c r="BU294" s="69"/>
      <c r="BV294" s="3"/>
      <c r="BW294" s="3"/>
      <c r="BX294" s="70"/>
      <c r="BY294" s="70"/>
      <c r="BZ294" s="59"/>
      <c r="CA294" s="59"/>
      <c r="CB294" s="59" t="s">
        <v>110</v>
      </c>
      <c r="CC294" s="59" t="s">
        <v>110</v>
      </c>
      <c r="CD294" s="60"/>
      <c r="CE294" s="60"/>
      <c r="CF294" s="61"/>
      <c r="CG294" s="61"/>
      <c r="CH294" s="61"/>
      <c r="CI294" s="96">
        <v>13.4</v>
      </c>
      <c r="CJ294" s="40">
        <f>VLOOKUP(paper3[[#This Row],[YYIR nivå]],$DB:$DC,2)</f>
        <v>440</v>
      </c>
      <c r="CK294" s="3"/>
      <c r="CL294" s="62"/>
      <c r="CM294" s="62"/>
      <c r="CN294" s="3"/>
      <c r="CO294" s="3"/>
      <c r="CP294" s="41">
        <v>13.447222222222223</v>
      </c>
      <c r="CQ294" s="3" t="s">
        <v>110</v>
      </c>
      <c r="CR294" s="40" t="s">
        <v>110</v>
      </c>
      <c r="CS294" s="40" t="s">
        <v>110</v>
      </c>
      <c r="CT294" s="40" t="s">
        <v>110</v>
      </c>
      <c r="CU294" s="40"/>
      <c r="CV294" s="40"/>
      <c r="CW294" s="40"/>
      <c r="CX294" s="40"/>
      <c r="CY294" s="40" t="s">
        <v>202</v>
      </c>
      <c r="CZ294" s="40"/>
      <c r="DA294" s="40"/>
    </row>
    <row r="295" spans="1:105" ht="18.75">
      <c r="A295" s="3">
        <v>633</v>
      </c>
      <c r="B295" s="92" t="s">
        <v>199</v>
      </c>
      <c r="C295" s="3" t="s">
        <v>104</v>
      </c>
      <c r="D295" s="3" t="s">
        <v>105</v>
      </c>
      <c r="E295" s="39">
        <v>44859</v>
      </c>
      <c r="F295" s="3" t="s">
        <v>106</v>
      </c>
      <c r="G295" s="3" t="s">
        <v>122</v>
      </c>
      <c r="H295" s="3">
        <v>2009</v>
      </c>
      <c r="I295" s="40" t="s">
        <v>108</v>
      </c>
      <c r="J295" s="39" t="s">
        <v>123</v>
      </c>
      <c r="K295" s="3"/>
      <c r="L295" s="3"/>
      <c r="M295" s="3"/>
      <c r="N295" s="3"/>
      <c r="O295" s="3"/>
      <c r="P295" s="3"/>
      <c r="Q295" s="3"/>
      <c r="R295" s="3"/>
      <c r="S295" s="3"/>
      <c r="T295" s="125">
        <v>158</v>
      </c>
      <c r="U295" s="126">
        <v>79</v>
      </c>
      <c r="V295" s="12">
        <f>paper3[[#This Row],[height]]-paper3[[#This Row],[sittingheight]]</f>
        <v>79</v>
      </c>
      <c r="W295" s="127">
        <v>46.6</v>
      </c>
      <c r="X295" s="43" cm="1">
        <f t="array" ref="X295">INDEX([1]!phvny[yphv], MATCH(1, (paper3[[#This Row],[id]]=[1]!phvny[id])*(paper3[[#This Row],[time]]=[1]!phvny[time]), 0))</f>
        <v>-0.82459168829114049</v>
      </c>
      <c r="Y295" s="3"/>
      <c r="Z295" s="3"/>
      <c r="AA295" s="3"/>
      <c r="AB295" s="3"/>
      <c r="AC295" s="3"/>
      <c r="AD295" s="3"/>
      <c r="AE295" s="3"/>
      <c r="AF295" s="3"/>
      <c r="AG295" s="3"/>
      <c r="AH295" s="130">
        <v>2.004</v>
      </c>
      <c r="AI295" s="130">
        <v>3.49</v>
      </c>
      <c r="AJ295" s="130">
        <v>4.9809999999999999</v>
      </c>
      <c r="AK295" s="45">
        <v>6.7069081153588215</v>
      </c>
      <c r="AL295" s="3"/>
      <c r="AM295" s="3"/>
      <c r="AN295" s="3"/>
      <c r="AO295" s="3"/>
      <c r="AP295" s="137">
        <v>11.42</v>
      </c>
      <c r="AQ295" s="132"/>
      <c r="AR295" s="132"/>
      <c r="AS295" s="3"/>
      <c r="AT295" s="3"/>
      <c r="AU295" s="3"/>
      <c r="AV295" s="3"/>
      <c r="AW295" s="3"/>
      <c r="AX295" s="133">
        <v>30.26</v>
      </c>
      <c r="AY295" s="134"/>
      <c r="AZ295" s="40"/>
      <c r="BA295" s="40"/>
      <c r="BB295" s="40"/>
      <c r="BC295" s="40"/>
      <c r="BD295" s="135">
        <v>667.56058009011394</v>
      </c>
      <c r="BE295" s="135">
        <v>689.42922366880543</v>
      </c>
      <c r="BF295" s="40"/>
      <c r="BG295" s="135">
        <v>311.14557393312475</v>
      </c>
      <c r="BH295" s="135">
        <v>327.44324674427764</v>
      </c>
      <c r="BI295" s="49">
        <v>1356.9898037589194</v>
      </c>
      <c r="BJ295" s="49">
        <v>638.5888206774024</v>
      </c>
      <c r="BK295" s="66">
        <v>-3.1719925451255571E-2</v>
      </c>
      <c r="BL295" s="66">
        <v>-4.9772511643462969E-2</v>
      </c>
      <c r="BM295" s="51">
        <v>29.119952870363075</v>
      </c>
      <c r="BN295" s="51">
        <v>13.703622761317648</v>
      </c>
      <c r="BO295" s="136"/>
      <c r="BP295" s="40"/>
      <c r="BQ295" s="40"/>
      <c r="BR295" s="67"/>
      <c r="BS295" s="54" t="s">
        <v>110</v>
      </c>
      <c r="BT295" s="68"/>
      <c r="BU295" s="69"/>
      <c r="BV295" s="3"/>
      <c r="BW295" s="3"/>
      <c r="BX295" s="70"/>
      <c r="BY295" s="70"/>
      <c r="BZ295" s="59"/>
      <c r="CA295" s="59"/>
      <c r="CB295" s="59" t="s">
        <v>110</v>
      </c>
      <c r="CC295" s="59" t="s">
        <v>110</v>
      </c>
      <c r="CD295" s="60"/>
      <c r="CE295" s="60"/>
      <c r="CF295" s="61"/>
      <c r="CG295" s="61"/>
      <c r="CH295" s="61"/>
      <c r="CI295" s="140">
        <v>14.5</v>
      </c>
      <c r="CJ295" s="40">
        <f>VLOOKUP(paper3[[#This Row],[YYIR nivå]],$DB:$DC,2)</f>
        <v>640</v>
      </c>
      <c r="CK295" s="3"/>
      <c r="CL295" s="62"/>
      <c r="CM295" s="62"/>
      <c r="CN295" s="3"/>
      <c r="CO295" s="3"/>
      <c r="CP295" s="41">
        <v>13.780555555555555</v>
      </c>
      <c r="CQ295" s="3" t="s">
        <v>110</v>
      </c>
      <c r="CR295" s="40" t="s">
        <v>110</v>
      </c>
      <c r="CS295" s="40" t="s">
        <v>110</v>
      </c>
      <c r="CT295" s="40" t="s">
        <v>110</v>
      </c>
      <c r="CU295" s="40"/>
      <c r="CV295" s="40"/>
      <c r="CW295" s="40"/>
      <c r="CX295" s="40"/>
      <c r="CY295" s="40" t="s">
        <v>125</v>
      </c>
      <c r="CZ295" s="40"/>
      <c r="DA295" s="40"/>
    </row>
    <row r="296" spans="1:105" ht="18.75" customHeight="1">
      <c r="A296" s="3">
        <v>634</v>
      </c>
      <c r="B296" s="92" t="s">
        <v>199</v>
      </c>
      <c r="C296" s="3" t="s">
        <v>171</v>
      </c>
      <c r="D296" s="3" t="s">
        <v>105</v>
      </c>
      <c r="E296" s="39">
        <v>44859</v>
      </c>
      <c r="F296" s="3" t="s">
        <v>106</v>
      </c>
      <c r="G296" s="3" t="s">
        <v>122</v>
      </c>
      <c r="H296" s="3">
        <v>2009</v>
      </c>
      <c r="I296" s="40" t="s">
        <v>108</v>
      </c>
      <c r="J296" s="39" t="s">
        <v>123</v>
      </c>
      <c r="K296" s="3"/>
      <c r="L296" s="3"/>
      <c r="M296" s="3"/>
      <c r="N296" s="3"/>
      <c r="O296" s="3"/>
      <c r="P296" s="3"/>
      <c r="Q296" s="3"/>
      <c r="R296" s="3"/>
      <c r="S296" s="3"/>
      <c r="T296" s="125">
        <v>172</v>
      </c>
      <c r="U296" s="126">
        <v>89.8</v>
      </c>
      <c r="V296" s="12">
        <f>paper3[[#This Row],[height]]-paper3[[#This Row],[sittingheight]]</f>
        <v>82.2</v>
      </c>
      <c r="W296" s="127">
        <v>54</v>
      </c>
      <c r="X296" s="43" cm="1">
        <f t="array" ref="X296">INDEX([1]!phvny[yphv], MATCH(1, (paper3[[#This Row],[id]]=[1]!phvny[id])*(paper3[[#This Row],[time]]=[1]!phvny[time]), 0))</f>
        <v>0.18051426334883758</v>
      </c>
      <c r="Y296" s="3"/>
      <c r="Z296" s="3"/>
      <c r="AA296" s="3"/>
      <c r="AB296" s="3"/>
      <c r="AC296" s="3"/>
      <c r="AD296" s="3"/>
      <c r="AE296" s="3"/>
      <c r="AF296" s="3"/>
      <c r="AG296" s="3"/>
      <c r="AH296" s="130">
        <v>1.911</v>
      </c>
      <c r="AI296" s="130">
        <v>3.3000000000000003</v>
      </c>
      <c r="AJ296" s="130">
        <v>4.673</v>
      </c>
      <c r="AK296" s="45">
        <v>7.2833211944646772</v>
      </c>
      <c r="AL296" s="3"/>
      <c r="AM296" s="3"/>
      <c r="AN296" s="3"/>
      <c r="AO296" s="3"/>
      <c r="AP296" s="137">
        <v>10.959999999999999</v>
      </c>
      <c r="AQ296" s="132"/>
      <c r="AR296" s="132"/>
      <c r="AS296" s="3"/>
      <c r="AT296" s="3"/>
      <c r="AU296" s="3"/>
      <c r="AV296" s="3"/>
      <c r="AW296" s="3"/>
      <c r="AX296" s="133">
        <v>36.160000000000004</v>
      </c>
      <c r="AY296" s="134"/>
      <c r="AZ296" s="40"/>
      <c r="BA296" s="40"/>
      <c r="BB296" s="40"/>
      <c r="BC296" s="40"/>
      <c r="BD296" s="135">
        <v>872.37881213201206</v>
      </c>
      <c r="BE296" s="135">
        <v>851.04674170855833</v>
      </c>
      <c r="BF296" s="40"/>
      <c r="BG296" s="135">
        <v>429.10148295860705</v>
      </c>
      <c r="BH296" s="135">
        <v>454.53320356072879</v>
      </c>
      <c r="BI296" s="49">
        <v>1723.4255538405705</v>
      </c>
      <c r="BJ296" s="49">
        <v>883.6346865193359</v>
      </c>
      <c r="BK296" s="66">
        <v>2.5065686028745704E-2</v>
      </c>
      <c r="BL296" s="66">
        <v>-5.5951293333235896E-2</v>
      </c>
      <c r="BM296" s="51">
        <v>31.915288034084639</v>
      </c>
      <c r="BN296" s="51">
        <v>16.363605305913627</v>
      </c>
      <c r="BO296" s="136"/>
      <c r="BP296" s="40"/>
      <c r="BQ296" s="40"/>
      <c r="BR296" s="67"/>
      <c r="BS296" s="54" t="s">
        <v>110</v>
      </c>
      <c r="BT296" s="68"/>
      <c r="BU296" s="69"/>
      <c r="BV296" s="3"/>
      <c r="BW296" s="3"/>
      <c r="BX296" s="70"/>
      <c r="BY296" s="70"/>
      <c r="BZ296" s="59"/>
      <c r="CA296" s="59"/>
      <c r="CB296" s="59" t="s">
        <v>110</v>
      </c>
      <c r="CC296" s="59" t="s">
        <v>110</v>
      </c>
      <c r="CD296" s="60"/>
      <c r="CE296" s="60"/>
      <c r="CF296" s="61"/>
      <c r="CG296" s="61"/>
      <c r="CH296" s="61"/>
      <c r="CI296" s="139">
        <v>14.5</v>
      </c>
      <c r="CJ296" s="40">
        <f>VLOOKUP(paper3[[#This Row],[YYIR nivå]],$DB:$DC,2)</f>
        <v>640</v>
      </c>
      <c r="CK296" s="3"/>
      <c r="CL296" s="62"/>
      <c r="CM296" s="62"/>
      <c r="CN296" s="3"/>
      <c r="CO296" s="3"/>
      <c r="CP296" s="41">
        <v>13.1</v>
      </c>
      <c r="CQ296" s="3" t="s">
        <v>110</v>
      </c>
      <c r="CR296" s="40" t="s">
        <v>110</v>
      </c>
      <c r="CS296" s="40" t="s">
        <v>110</v>
      </c>
      <c r="CT296" s="40" t="s">
        <v>110</v>
      </c>
      <c r="CU296" s="40"/>
      <c r="CV296" s="40"/>
      <c r="CW296" s="40"/>
      <c r="CX296" s="40"/>
      <c r="CY296" s="40" t="s">
        <v>204</v>
      </c>
      <c r="CZ296" s="40"/>
      <c r="DA296" s="40"/>
    </row>
    <row r="297" spans="1:105" ht="18.75" customHeight="1">
      <c r="A297" s="3">
        <v>635</v>
      </c>
      <c r="B297" s="92" t="s">
        <v>199</v>
      </c>
      <c r="C297" s="3" t="s">
        <v>104</v>
      </c>
      <c r="D297" s="3" t="s">
        <v>105</v>
      </c>
      <c r="E297" s="39">
        <v>44859</v>
      </c>
      <c r="F297" s="3" t="s">
        <v>106</v>
      </c>
      <c r="G297" s="3" t="s">
        <v>122</v>
      </c>
      <c r="H297" s="3">
        <v>2009</v>
      </c>
      <c r="I297" s="40" t="s">
        <v>108</v>
      </c>
      <c r="J297" s="39" t="s">
        <v>123</v>
      </c>
      <c r="K297" s="3"/>
      <c r="L297" s="3"/>
      <c r="M297" s="3"/>
      <c r="N297" s="3"/>
      <c r="O297" s="3"/>
      <c r="P297" s="3"/>
      <c r="Q297" s="3"/>
      <c r="R297" s="3"/>
      <c r="S297" s="3"/>
      <c r="T297" s="125">
        <v>171</v>
      </c>
      <c r="U297" s="126">
        <v>87.7</v>
      </c>
      <c r="V297" s="12">
        <f>paper3[[#This Row],[height]]-paper3[[#This Row],[sittingheight]]</f>
        <v>83.3</v>
      </c>
      <c r="W297" s="127">
        <v>56</v>
      </c>
      <c r="X297" s="43" cm="1">
        <f t="array" ref="X297">INDEX([1]!phvny[yphv], MATCH(1, (paper3[[#This Row],[id]]=[1]!phvny[id])*(paper3[[#This Row],[time]]=[1]!phvny[time]), 0))</f>
        <v>9.2010774228070802E-2</v>
      </c>
      <c r="Y297" s="3"/>
      <c r="Z297" s="3"/>
      <c r="AA297" s="3"/>
      <c r="AB297" s="3"/>
      <c r="AC297" s="3"/>
      <c r="AD297" s="3"/>
      <c r="AE297" s="3"/>
      <c r="AF297" s="3"/>
      <c r="AG297" s="3"/>
      <c r="AH297" s="130">
        <v>1.9949999999999999</v>
      </c>
      <c r="AI297" s="130">
        <v>3.49</v>
      </c>
      <c r="AJ297" s="130">
        <v>4.99</v>
      </c>
      <c r="AK297" s="45">
        <v>6.666666666666667</v>
      </c>
      <c r="AL297" s="3"/>
      <c r="AM297" s="3"/>
      <c r="AN297" s="3"/>
      <c r="AO297" s="3"/>
      <c r="AP297" s="137">
        <v>11.559999999999999</v>
      </c>
      <c r="AQ297" s="132"/>
      <c r="AR297" s="132"/>
      <c r="AS297" s="3"/>
      <c r="AT297" s="3"/>
      <c r="AU297" s="3"/>
      <c r="AV297" s="3"/>
      <c r="AW297" s="3"/>
      <c r="AX297" s="133">
        <v>30.46</v>
      </c>
      <c r="AY297" s="134"/>
      <c r="AZ297" s="40"/>
      <c r="BA297" s="40"/>
      <c r="BB297" s="40"/>
      <c r="BC297" s="40"/>
      <c r="BD297" s="135">
        <v>848.3510477576375</v>
      </c>
      <c r="BE297" s="135">
        <v>785.90271777295698</v>
      </c>
      <c r="BF297" s="40"/>
      <c r="BG297" s="135">
        <v>357.97818250439173</v>
      </c>
      <c r="BH297" s="135">
        <v>350.60776601473822</v>
      </c>
      <c r="BI297" s="49">
        <v>1634.2537655305946</v>
      </c>
      <c r="BJ297" s="49">
        <v>708.58594851912994</v>
      </c>
      <c r="BK297" s="66">
        <v>7.9460636249792937E-2</v>
      </c>
      <c r="BL297" s="66">
        <v>2.1021828961266253E-2</v>
      </c>
      <c r="BM297" s="51">
        <v>29.183102955903475</v>
      </c>
      <c r="BN297" s="51">
        <v>12.653320509270177</v>
      </c>
      <c r="BO297" s="136"/>
      <c r="BP297" s="40"/>
      <c r="BQ297" s="40"/>
      <c r="BR297" s="67"/>
      <c r="BS297" s="54" t="s">
        <v>110</v>
      </c>
      <c r="BT297" s="68"/>
      <c r="BU297" s="69"/>
      <c r="BV297" s="3"/>
      <c r="BW297" s="3"/>
      <c r="BX297" s="70"/>
      <c r="BY297" s="70"/>
      <c r="BZ297" s="59"/>
      <c r="CA297" s="59"/>
      <c r="CB297" s="59" t="s">
        <v>110</v>
      </c>
      <c r="CC297" s="59" t="s">
        <v>110</v>
      </c>
      <c r="CD297" s="60"/>
      <c r="CE297" s="60"/>
      <c r="CF297" s="61"/>
      <c r="CG297" s="61"/>
      <c r="CH297" s="61"/>
      <c r="CI297" s="138">
        <v>14.3</v>
      </c>
      <c r="CJ297" s="40">
        <f>VLOOKUP(paper3[[#This Row],[YYIR nivå]],$DB:$DC,2)</f>
        <v>560</v>
      </c>
      <c r="CK297" s="3"/>
      <c r="CL297" s="62"/>
      <c r="CM297" s="62"/>
      <c r="CN297" s="3"/>
      <c r="CO297" s="3"/>
      <c r="CP297" s="41">
        <v>13.35</v>
      </c>
      <c r="CQ297" s="3" t="s">
        <v>110</v>
      </c>
      <c r="CR297" s="40" t="s">
        <v>110</v>
      </c>
      <c r="CS297" s="40" t="s">
        <v>110</v>
      </c>
      <c r="CT297" s="40" t="s">
        <v>110</v>
      </c>
      <c r="CU297" s="40"/>
      <c r="CV297" s="40"/>
      <c r="CW297" s="40"/>
      <c r="CX297" s="40"/>
      <c r="CY297" s="40" t="s">
        <v>200</v>
      </c>
      <c r="CZ297" s="40"/>
      <c r="DA297" s="40"/>
    </row>
    <row r="298" spans="1:105" ht="18.75" customHeight="1">
      <c r="A298" s="3">
        <v>636</v>
      </c>
      <c r="B298" s="92" t="s">
        <v>199</v>
      </c>
      <c r="C298" s="3" t="s">
        <v>104</v>
      </c>
      <c r="D298" s="3" t="s">
        <v>105</v>
      </c>
      <c r="E298" s="39">
        <v>44859</v>
      </c>
      <c r="F298" s="3" t="s">
        <v>106</v>
      </c>
      <c r="G298" s="3" t="s">
        <v>122</v>
      </c>
      <c r="H298" s="3">
        <v>2009</v>
      </c>
      <c r="I298" s="40" t="s">
        <v>108</v>
      </c>
      <c r="J298" s="39" t="s">
        <v>123</v>
      </c>
      <c r="K298" s="3"/>
      <c r="L298" s="3"/>
      <c r="M298" s="3"/>
      <c r="N298" s="3"/>
      <c r="O298" s="3"/>
      <c r="P298" s="3"/>
      <c r="Q298" s="3"/>
      <c r="R298" s="3"/>
      <c r="S298" s="3"/>
      <c r="T298" s="125">
        <v>177.6</v>
      </c>
      <c r="U298" s="126">
        <v>90.8</v>
      </c>
      <c r="V298" s="12">
        <f>paper3[[#This Row],[height]]-paper3[[#This Row],[sittingheight]]</f>
        <v>86.8</v>
      </c>
      <c r="W298" s="127">
        <v>54.3</v>
      </c>
      <c r="X298" s="43" cm="1">
        <f t="array" ref="X298">INDEX([1]!phvny[yphv], MATCH(1, (paper3[[#This Row],[id]]=[1]!phvny[id])*(paper3[[#This Row],[time]]=[1]!phvny[time]), 0))</f>
        <v>0.37510610440240266</v>
      </c>
      <c r="Y298" s="3"/>
      <c r="Z298" s="3"/>
      <c r="AA298" s="3"/>
      <c r="AB298" s="3"/>
      <c r="AC298" s="3"/>
      <c r="AD298" s="3"/>
      <c r="AE298" s="3"/>
      <c r="AF298" s="3"/>
      <c r="AG298" s="3"/>
      <c r="AH298" s="130">
        <v>2.0500000000000003</v>
      </c>
      <c r="AI298" s="130">
        <v>3.56</v>
      </c>
      <c r="AJ298" s="130">
        <v>5.032</v>
      </c>
      <c r="AK298" s="45">
        <v>6.7934782608695654</v>
      </c>
      <c r="AL298" s="3"/>
      <c r="AM298" s="3"/>
      <c r="AN298" s="3"/>
      <c r="AO298" s="3"/>
      <c r="AP298" s="137">
        <v>11.399999999999999</v>
      </c>
      <c r="AQ298" s="132"/>
      <c r="AR298" s="132"/>
      <c r="AS298" s="3"/>
      <c r="AT298" s="3"/>
      <c r="AU298" s="3"/>
      <c r="AV298" s="3"/>
      <c r="AW298" s="3"/>
      <c r="AX298" s="133">
        <v>27.26</v>
      </c>
      <c r="AY298" s="134"/>
      <c r="AZ298" s="40"/>
      <c r="BA298" s="40"/>
      <c r="BB298" s="40"/>
      <c r="BC298" s="40"/>
      <c r="BD298" s="135">
        <v>716.49230321470441</v>
      </c>
      <c r="BE298" s="135">
        <v>698.45155536891207</v>
      </c>
      <c r="BF298" s="40"/>
      <c r="BG298" s="135">
        <v>327.51183665539406</v>
      </c>
      <c r="BH298" s="135">
        <v>309.89894592923736</v>
      </c>
      <c r="BI298" s="49">
        <v>1414.9438585836165</v>
      </c>
      <c r="BJ298" s="49">
        <v>637.41078258463142</v>
      </c>
      <c r="BK298" s="66">
        <v>2.5829633719211209E-2</v>
      </c>
      <c r="BL298" s="66">
        <v>5.6834303431862798E-2</v>
      </c>
      <c r="BM298" s="51">
        <v>26.057897948132901</v>
      </c>
      <c r="BN298" s="51">
        <v>11.738688445389162</v>
      </c>
      <c r="BO298" s="136"/>
      <c r="BP298" s="40"/>
      <c r="BQ298" s="40"/>
      <c r="BR298" s="67"/>
      <c r="BS298" s="54" t="s">
        <v>110</v>
      </c>
      <c r="BT298" s="68"/>
      <c r="BU298" s="69"/>
      <c r="BV298" s="3"/>
      <c r="BW298" s="3"/>
      <c r="BX298" s="70"/>
      <c r="BY298" s="70"/>
      <c r="BZ298" s="59"/>
      <c r="CA298" s="59"/>
      <c r="CB298" s="59" t="s">
        <v>110</v>
      </c>
      <c r="CC298" s="59" t="s">
        <v>110</v>
      </c>
      <c r="CD298" s="60"/>
      <c r="CE298" s="60"/>
      <c r="CF298" s="61"/>
      <c r="CG298" s="61"/>
      <c r="CH298" s="61"/>
      <c r="CI298" s="139">
        <v>14.5</v>
      </c>
      <c r="CJ298" s="40">
        <f>VLOOKUP(paper3[[#This Row],[YYIR nivå]],$DB:$DC,2)</f>
        <v>640</v>
      </c>
      <c r="CK298" s="3"/>
      <c r="CL298" s="62"/>
      <c r="CM298" s="62"/>
      <c r="CN298" s="3"/>
      <c r="CO298" s="3"/>
      <c r="CP298" s="41">
        <v>13.263888888888889</v>
      </c>
      <c r="CQ298" s="3" t="s">
        <v>110</v>
      </c>
      <c r="CR298" s="40" t="s">
        <v>110</v>
      </c>
      <c r="CS298" s="40" t="s">
        <v>110</v>
      </c>
      <c r="CT298" s="40" t="s">
        <v>110</v>
      </c>
      <c r="CU298" s="40"/>
      <c r="CV298" s="40"/>
      <c r="CW298" s="40"/>
      <c r="CX298" s="40"/>
      <c r="CY298" s="40" t="s">
        <v>200</v>
      </c>
      <c r="CZ298" s="40"/>
      <c r="DA298" s="40"/>
    </row>
    <row r="299" spans="1:105" ht="18.75">
      <c r="A299" s="3">
        <v>637</v>
      </c>
      <c r="B299" s="92" t="s">
        <v>199</v>
      </c>
      <c r="C299" s="3" t="s">
        <v>104</v>
      </c>
      <c r="D299" s="3" t="s">
        <v>105</v>
      </c>
      <c r="E299" s="39">
        <v>44859</v>
      </c>
      <c r="F299" s="3" t="s">
        <v>106</v>
      </c>
      <c r="G299" s="3" t="s">
        <v>122</v>
      </c>
      <c r="H299" s="3">
        <v>2009</v>
      </c>
      <c r="I299" s="40" t="s">
        <v>108</v>
      </c>
      <c r="J299" s="39" t="s">
        <v>123</v>
      </c>
      <c r="K299" s="3"/>
      <c r="L299" s="3"/>
      <c r="M299" s="3"/>
      <c r="N299" s="3"/>
      <c r="O299" s="3"/>
      <c r="P299" s="3"/>
      <c r="Q299" s="3"/>
      <c r="R299" s="3"/>
      <c r="S299" s="3"/>
      <c r="T299" s="125">
        <v>160.19999999999999</v>
      </c>
      <c r="U299" s="126">
        <v>81.599999999999994</v>
      </c>
      <c r="V299" s="12">
        <f>paper3[[#This Row],[height]]-paper3[[#This Row],[sittingheight]]</f>
        <v>78.599999999999994</v>
      </c>
      <c r="W299" s="127">
        <v>50</v>
      </c>
      <c r="X299" s="43" cm="1">
        <f t="array" ref="X299">INDEX([1]!phvny[yphv], MATCH(1, (paper3[[#This Row],[id]]=[1]!phvny[id])*(paper3[[#This Row],[time]]=[1]!phvny[time]), 0))</f>
        <v>-0.55981299842322241</v>
      </c>
      <c r="Y299" s="3"/>
      <c r="Z299" s="3"/>
      <c r="AA299" s="3"/>
      <c r="AB299" s="3"/>
      <c r="AC299" s="3"/>
      <c r="AD299" s="3"/>
      <c r="AE299" s="3"/>
      <c r="AF299" s="3"/>
      <c r="AG299" s="3"/>
      <c r="AH299" s="130">
        <v>1.9809999999999999</v>
      </c>
      <c r="AI299" s="130">
        <v>3.47</v>
      </c>
      <c r="AJ299" s="130">
        <v>4.931</v>
      </c>
      <c r="AK299" s="45">
        <v>6.844626967830254</v>
      </c>
      <c r="AL299" s="3"/>
      <c r="AM299" s="3"/>
      <c r="AN299" s="3"/>
      <c r="AO299" s="3"/>
      <c r="AP299" s="137">
        <v>11.809999999999999</v>
      </c>
      <c r="AQ299" s="132"/>
      <c r="AR299" s="132"/>
      <c r="AS299" s="3"/>
      <c r="AT299" s="3"/>
      <c r="AU299" s="3"/>
      <c r="AV299" s="3"/>
      <c r="AW299" s="3"/>
      <c r="AX299" s="133">
        <v>27.560000000000002</v>
      </c>
      <c r="AY299" s="134"/>
      <c r="AZ299" s="40"/>
      <c r="BA299" s="40"/>
      <c r="BB299" s="40"/>
      <c r="BC299" s="40"/>
      <c r="BD299" s="135">
        <v>816.59115493857348</v>
      </c>
      <c r="BE299" s="135">
        <v>805.47389083074836</v>
      </c>
      <c r="BF299" s="40"/>
      <c r="BG299" s="135">
        <v>293.94513090250587</v>
      </c>
      <c r="BH299" s="135">
        <v>294.1095746983973</v>
      </c>
      <c r="BI299" s="49">
        <v>1622.0650457693218</v>
      </c>
      <c r="BJ299" s="49">
        <v>588.05470560090316</v>
      </c>
      <c r="BK299" s="66">
        <v>1.3802140869344726E-2</v>
      </c>
      <c r="BL299" s="66">
        <v>-5.5912425176929403E-4</v>
      </c>
      <c r="BM299" s="51">
        <v>32.441300915386435</v>
      </c>
      <c r="BN299" s="51">
        <v>11.761094112018064</v>
      </c>
      <c r="BO299" s="136"/>
      <c r="BP299" s="40"/>
      <c r="BQ299" s="40"/>
      <c r="BR299" s="67"/>
      <c r="BS299" s="54" t="s">
        <v>110</v>
      </c>
      <c r="BT299" s="68"/>
      <c r="BU299" s="69"/>
      <c r="BV299" s="3"/>
      <c r="BW299" s="3"/>
      <c r="BX299" s="70"/>
      <c r="BY299" s="70"/>
      <c r="BZ299" s="59"/>
      <c r="CA299" s="59"/>
      <c r="CB299" s="59" t="s">
        <v>110</v>
      </c>
      <c r="CC299" s="59" t="s">
        <v>110</v>
      </c>
      <c r="CD299" s="60"/>
      <c r="CE299" s="60"/>
      <c r="CF299" s="61"/>
      <c r="CG299" s="61"/>
      <c r="CH299" s="61"/>
      <c r="CI299" s="140">
        <v>15.4</v>
      </c>
      <c r="CJ299" s="40">
        <f>VLOOKUP(paper3[[#This Row],[YYIR nivå]],$DB:$DC,2)</f>
        <v>920</v>
      </c>
      <c r="CK299" s="3"/>
      <c r="CL299" s="62"/>
      <c r="CM299" s="62"/>
      <c r="CN299" s="3"/>
      <c r="CO299" s="3"/>
      <c r="CP299" s="41">
        <v>13.58611111111111</v>
      </c>
      <c r="CQ299" s="3" t="s">
        <v>110</v>
      </c>
      <c r="CR299" s="40" t="s">
        <v>110</v>
      </c>
      <c r="CS299" s="40" t="s">
        <v>110</v>
      </c>
      <c r="CT299" s="40" t="s">
        <v>110</v>
      </c>
      <c r="CU299" s="40"/>
      <c r="CV299" s="40"/>
      <c r="CW299" s="40"/>
      <c r="CX299" s="40"/>
      <c r="CY299" s="40" t="s">
        <v>200</v>
      </c>
      <c r="CZ299" s="40"/>
      <c r="DA299" s="40"/>
    </row>
    <row r="300" spans="1:105" ht="18.75" customHeight="1">
      <c r="A300" s="3">
        <v>638</v>
      </c>
      <c r="B300" s="92" t="s">
        <v>199</v>
      </c>
      <c r="C300" s="3" t="s">
        <v>104</v>
      </c>
      <c r="D300" s="3" t="s">
        <v>105</v>
      </c>
      <c r="E300" s="39">
        <v>44859</v>
      </c>
      <c r="F300" s="3" t="s">
        <v>106</v>
      </c>
      <c r="G300" s="3" t="s">
        <v>122</v>
      </c>
      <c r="H300" s="3">
        <v>2009</v>
      </c>
      <c r="I300" s="40" t="s">
        <v>108</v>
      </c>
      <c r="J300" s="39" t="s">
        <v>123</v>
      </c>
      <c r="K300" s="3"/>
      <c r="L300" s="3"/>
      <c r="M300" s="3"/>
      <c r="N300" s="3"/>
      <c r="O300" s="3"/>
      <c r="P300" s="3"/>
      <c r="Q300" s="3"/>
      <c r="R300" s="3"/>
      <c r="S300" s="3"/>
      <c r="T300" s="125">
        <v>151.9</v>
      </c>
      <c r="U300" s="126">
        <v>77</v>
      </c>
      <c r="V300" s="12">
        <f>paper3[[#This Row],[height]]-paper3[[#This Row],[sittingheight]]</f>
        <v>74.900000000000006</v>
      </c>
      <c r="W300" s="127">
        <v>37.6</v>
      </c>
      <c r="X300" s="43" cm="1">
        <f t="array" ref="X300">INDEX([1]!phvny[yphv], MATCH(1, (paper3[[#This Row],[id]]=[1]!phvny[id])*(paper3[[#This Row],[time]]=[1]!phvny[time]), 0))</f>
        <v>-1.5244742528472686</v>
      </c>
      <c r="Y300" s="3"/>
      <c r="Z300" s="3"/>
      <c r="AA300" s="3"/>
      <c r="AB300" s="3"/>
      <c r="AC300" s="3"/>
      <c r="AD300" s="3"/>
      <c r="AE300" s="3"/>
      <c r="AF300" s="3"/>
      <c r="AG300" s="3"/>
      <c r="AH300" s="130">
        <v>1.9769999999999999</v>
      </c>
      <c r="AI300" s="130">
        <v>3.47</v>
      </c>
      <c r="AJ300" s="130">
        <v>4.93</v>
      </c>
      <c r="AK300" s="45">
        <v>6.8493150684931532</v>
      </c>
      <c r="AL300" s="3"/>
      <c r="AM300" s="3"/>
      <c r="AN300" s="3"/>
      <c r="AO300" s="141"/>
      <c r="AP300" s="137"/>
      <c r="AQ300" s="132"/>
      <c r="AR300" s="132"/>
      <c r="AS300" s="3"/>
      <c r="AT300" s="3"/>
      <c r="AU300" s="3"/>
      <c r="AV300" s="3"/>
      <c r="AW300" s="3"/>
      <c r="AX300" s="133">
        <v>31.76</v>
      </c>
      <c r="AY300" s="134"/>
      <c r="AZ300" s="40"/>
      <c r="BA300" s="40"/>
      <c r="BB300" s="40"/>
      <c r="BC300" s="40"/>
      <c r="BD300" s="135">
        <v>706.31438794793735</v>
      </c>
      <c r="BE300" s="135">
        <v>733.44975044428816</v>
      </c>
      <c r="BF300" s="40"/>
      <c r="BG300" s="135">
        <v>258.5250053165247</v>
      </c>
      <c r="BH300" s="135">
        <v>285.42725593530122</v>
      </c>
      <c r="BI300" s="49">
        <v>1439.7641383922255</v>
      </c>
      <c r="BJ300" s="49">
        <v>543.95226125182592</v>
      </c>
      <c r="BK300" s="66">
        <v>-3.6996893761179317E-2</v>
      </c>
      <c r="BL300" s="66">
        <v>-9.4252563689553703E-2</v>
      </c>
      <c r="BM300" s="51">
        <v>38.291599425325145</v>
      </c>
      <c r="BN300" s="51">
        <v>14.466815458825156</v>
      </c>
      <c r="BO300" s="136"/>
      <c r="BP300" s="40"/>
      <c r="BQ300" s="40"/>
      <c r="BR300" s="67"/>
      <c r="BS300" s="54" t="s">
        <v>110</v>
      </c>
      <c r="BT300" s="68"/>
      <c r="BU300" s="69"/>
      <c r="BV300" s="3"/>
      <c r="BW300" s="3"/>
      <c r="BX300" s="70"/>
      <c r="BY300" s="70"/>
      <c r="BZ300" s="59"/>
      <c r="CA300" s="59"/>
      <c r="CB300" s="59" t="s">
        <v>110</v>
      </c>
      <c r="CC300" s="59" t="s">
        <v>110</v>
      </c>
      <c r="CD300" s="60"/>
      <c r="CE300" s="60"/>
      <c r="CF300" s="61"/>
      <c r="CG300" s="61"/>
      <c r="CH300" s="61"/>
      <c r="CI300" s="139"/>
      <c r="CJ300" s="40"/>
      <c r="CK300" s="3"/>
      <c r="CL300" s="62"/>
      <c r="CM300" s="62"/>
      <c r="CN300" s="3"/>
      <c r="CO300" s="3"/>
      <c r="CP300" s="41">
        <v>12.95</v>
      </c>
      <c r="CQ300" s="3" t="s">
        <v>110</v>
      </c>
      <c r="CR300" s="40" t="s">
        <v>110</v>
      </c>
      <c r="CS300" s="40" t="s">
        <v>110</v>
      </c>
      <c r="CT300" s="40" t="s">
        <v>110</v>
      </c>
      <c r="CU300" s="40"/>
      <c r="CV300" s="40"/>
      <c r="CW300" s="40"/>
      <c r="CX300" s="40"/>
      <c r="CY300" s="40" t="s">
        <v>202</v>
      </c>
      <c r="CZ300" s="40"/>
      <c r="DA300" s="40"/>
    </row>
    <row r="301" spans="1:105" ht="18.75" customHeight="1">
      <c r="A301" s="3">
        <v>639</v>
      </c>
      <c r="B301" s="92" t="s">
        <v>199</v>
      </c>
      <c r="C301" s="3" t="s">
        <v>104</v>
      </c>
      <c r="D301" s="3" t="s">
        <v>105</v>
      </c>
      <c r="E301" s="39">
        <v>44859</v>
      </c>
      <c r="F301" s="3" t="s">
        <v>106</v>
      </c>
      <c r="G301" s="3" t="s">
        <v>122</v>
      </c>
      <c r="H301" s="3">
        <v>2009</v>
      </c>
      <c r="I301" s="40" t="s">
        <v>108</v>
      </c>
      <c r="J301" s="39" t="s">
        <v>123</v>
      </c>
      <c r="K301" s="3"/>
      <c r="L301" s="3"/>
      <c r="M301" s="3"/>
      <c r="N301" s="3"/>
      <c r="O301" s="3"/>
      <c r="P301" s="3"/>
      <c r="Q301" s="3"/>
      <c r="R301" s="3"/>
      <c r="S301" s="3"/>
      <c r="T301" s="125">
        <v>164.3</v>
      </c>
      <c r="U301" s="126">
        <v>86.3</v>
      </c>
      <c r="V301" s="12">
        <f>paper3[[#This Row],[height]]-paper3[[#This Row],[sittingheight]]</f>
        <v>78.000000000000014</v>
      </c>
      <c r="W301" s="127">
        <v>47.5</v>
      </c>
      <c r="X301" s="43" cm="1">
        <f t="array" ref="X301">INDEX([1]!phvny[yphv], MATCH(1, (paper3[[#This Row],[id]]=[1]!phvny[id])*(paper3[[#This Row],[time]]=[1]!phvny[time]), 0))</f>
        <v>-0.30966020897612656</v>
      </c>
      <c r="Y301" s="3"/>
      <c r="Z301" s="3"/>
      <c r="AA301" s="3"/>
      <c r="AB301" s="3"/>
      <c r="AC301" s="3"/>
      <c r="AD301" s="3"/>
      <c r="AE301" s="3"/>
      <c r="AF301" s="3"/>
      <c r="AG301" s="3"/>
      <c r="AH301" s="130">
        <v>2.0209999999999999</v>
      </c>
      <c r="AI301" s="130">
        <v>3.47</v>
      </c>
      <c r="AJ301" s="130">
        <v>4.9000000000000004</v>
      </c>
      <c r="AK301" s="45">
        <v>6.9930069930069925</v>
      </c>
      <c r="AL301" s="3"/>
      <c r="AM301" s="3"/>
      <c r="AN301" s="3"/>
      <c r="AO301" s="3"/>
      <c r="AP301" s="137">
        <v>11.19</v>
      </c>
      <c r="AQ301" s="132"/>
      <c r="AR301" s="132"/>
      <c r="AS301" s="3"/>
      <c r="AT301" s="3"/>
      <c r="AU301" s="3"/>
      <c r="AV301" s="3"/>
      <c r="AW301" s="3"/>
      <c r="AX301" s="133">
        <v>28.26</v>
      </c>
      <c r="AY301" s="134"/>
      <c r="AZ301" s="40"/>
      <c r="BA301" s="40"/>
      <c r="BB301" s="40"/>
      <c r="BC301" s="40"/>
      <c r="BD301" s="135">
        <v>825.82296871735491</v>
      </c>
      <c r="BE301" s="135">
        <v>840.24190062961429</v>
      </c>
      <c r="BF301" s="40"/>
      <c r="BG301" s="135">
        <v>349.23051144139714</v>
      </c>
      <c r="BH301" s="135">
        <v>345.70494923857945</v>
      </c>
      <c r="BI301" s="49">
        <v>1666.0648693469693</v>
      </c>
      <c r="BJ301" s="49">
        <v>694.93546067997659</v>
      </c>
      <c r="BK301" s="66">
        <v>-1.7160453318806113E-2</v>
      </c>
      <c r="BL301" s="66">
        <v>1.0198182613765816E-2</v>
      </c>
      <c r="BM301" s="51">
        <v>35.075049880988828</v>
      </c>
      <c r="BN301" s="51">
        <v>14.630220224841612</v>
      </c>
      <c r="BO301" s="136"/>
      <c r="BP301" s="40"/>
      <c r="BQ301" s="40"/>
      <c r="BR301" s="67"/>
      <c r="BS301" s="54" t="s">
        <v>110</v>
      </c>
      <c r="BT301" s="68"/>
      <c r="BU301" s="69"/>
      <c r="BV301" s="3"/>
      <c r="BW301" s="3"/>
      <c r="BX301" s="70"/>
      <c r="BY301" s="70"/>
      <c r="BZ301" s="59"/>
      <c r="CA301" s="59"/>
      <c r="CB301" s="59" t="s">
        <v>110</v>
      </c>
      <c r="CC301" s="59" t="s">
        <v>110</v>
      </c>
      <c r="CD301" s="60"/>
      <c r="CE301" s="60"/>
      <c r="CF301" s="61"/>
      <c r="CG301" s="61"/>
      <c r="CH301" s="61"/>
      <c r="CI301" s="140">
        <v>13.2</v>
      </c>
      <c r="CJ301" s="40">
        <f>VLOOKUP(paper3[[#This Row],[YYIR nivå]],$DB:$DC,2)</f>
        <v>360</v>
      </c>
      <c r="CK301" s="3"/>
      <c r="CL301" s="62"/>
      <c r="CM301" s="62"/>
      <c r="CN301" s="3"/>
      <c r="CO301" s="3"/>
      <c r="CP301" s="41">
        <v>13.063888888888888</v>
      </c>
      <c r="CQ301" s="3" t="s">
        <v>110</v>
      </c>
      <c r="CR301" s="40" t="s">
        <v>110</v>
      </c>
      <c r="CS301" s="40" t="s">
        <v>110</v>
      </c>
      <c r="CT301" s="40" t="s">
        <v>110</v>
      </c>
      <c r="CU301" s="40"/>
      <c r="CV301" s="40"/>
      <c r="CW301" s="40"/>
      <c r="CX301" s="40"/>
      <c r="CY301" s="40" t="s">
        <v>201</v>
      </c>
      <c r="CZ301" s="40"/>
      <c r="DA301" s="40"/>
    </row>
    <row r="302" spans="1:105" ht="18.75" customHeight="1">
      <c r="A302" s="3">
        <v>640</v>
      </c>
      <c r="B302" s="92" t="s">
        <v>199</v>
      </c>
      <c r="C302" s="3" t="s">
        <v>115</v>
      </c>
      <c r="D302" s="3" t="s">
        <v>105</v>
      </c>
      <c r="E302" s="39">
        <v>44859</v>
      </c>
      <c r="F302" s="3" t="s">
        <v>106</v>
      </c>
      <c r="G302" s="3" t="s">
        <v>122</v>
      </c>
      <c r="H302" s="3">
        <v>2009</v>
      </c>
      <c r="I302" s="40" t="s">
        <v>108</v>
      </c>
      <c r="J302" s="39" t="s">
        <v>123</v>
      </c>
      <c r="K302" s="3"/>
      <c r="L302" s="3"/>
      <c r="M302" s="3"/>
      <c r="N302" s="3"/>
      <c r="O302" s="3"/>
      <c r="P302" s="3"/>
      <c r="Q302" s="3"/>
      <c r="R302" s="3"/>
      <c r="S302" s="3"/>
      <c r="T302" s="125">
        <v>170.1</v>
      </c>
      <c r="U302" s="126">
        <v>87</v>
      </c>
      <c r="V302" s="12">
        <f>paper3[[#This Row],[height]]-paper3[[#This Row],[sittingheight]]</f>
        <v>83.1</v>
      </c>
      <c r="W302" s="127">
        <v>50.6</v>
      </c>
      <c r="X302" s="43" cm="1">
        <f t="array" ref="X302">INDEX([1]!phvny[yphv], MATCH(1, (paper3[[#This Row],[id]]=[1]!phvny[id])*(paper3[[#This Row],[time]]=[1]!phvny[time]), 0))</f>
        <v>-0.10379500519400342</v>
      </c>
      <c r="Y302" s="3"/>
      <c r="Z302" s="3"/>
      <c r="AA302" s="3"/>
      <c r="AB302" s="3"/>
      <c r="AC302" s="3"/>
      <c r="AD302" s="3"/>
      <c r="AE302" s="3"/>
      <c r="AF302" s="3"/>
      <c r="AG302" s="3"/>
      <c r="AH302" s="130">
        <v>2.008</v>
      </c>
      <c r="AI302" s="130">
        <v>3.5300000000000002</v>
      </c>
      <c r="AJ302" s="130">
        <v>5.0620000000000003</v>
      </c>
      <c r="AK302" s="45">
        <v>6.5274151436031334</v>
      </c>
      <c r="AL302" s="3"/>
      <c r="AM302" s="3"/>
      <c r="AN302" s="3"/>
      <c r="AO302" s="141"/>
      <c r="AP302" s="137"/>
      <c r="AQ302" s="132"/>
      <c r="AR302" s="132"/>
      <c r="AS302" s="3"/>
      <c r="AT302" s="3"/>
      <c r="AU302" s="3"/>
      <c r="AV302" s="3"/>
      <c r="AW302" s="3"/>
      <c r="AX302" s="133">
        <v>24.66</v>
      </c>
      <c r="AY302" s="134"/>
      <c r="AZ302" s="40"/>
      <c r="BA302" s="40"/>
      <c r="BB302" s="40"/>
      <c r="BC302" s="40"/>
      <c r="BD302" s="135">
        <v>573.39342981317657</v>
      </c>
      <c r="BE302" s="135">
        <v>565.97536277273298</v>
      </c>
      <c r="BF302" s="40"/>
      <c r="BG302" s="135">
        <v>288.78475790753703</v>
      </c>
      <c r="BH302" s="135">
        <v>309.16554336004089</v>
      </c>
      <c r="BI302" s="49">
        <v>1139.3687925859094</v>
      </c>
      <c r="BJ302" s="49">
        <v>597.95030126757797</v>
      </c>
      <c r="BK302" s="66">
        <v>1.310669603019865E-2</v>
      </c>
      <c r="BL302" s="66">
        <v>-6.5921917530018082E-2</v>
      </c>
      <c r="BM302" s="51">
        <v>22.51716981395078</v>
      </c>
      <c r="BN302" s="51">
        <v>11.817199629794031</v>
      </c>
      <c r="BO302" s="136"/>
      <c r="BP302" s="40"/>
      <c r="BQ302" s="40"/>
      <c r="BR302" s="67"/>
      <c r="BS302" s="54" t="s">
        <v>110</v>
      </c>
      <c r="BT302" s="68"/>
      <c r="BU302" s="69"/>
      <c r="BV302" s="3"/>
      <c r="BW302" s="3"/>
      <c r="BX302" s="70"/>
      <c r="BY302" s="70"/>
      <c r="BZ302" s="59"/>
      <c r="CA302" s="59"/>
      <c r="CB302" s="59" t="s">
        <v>110</v>
      </c>
      <c r="CC302" s="59" t="s">
        <v>110</v>
      </c>
      <c r="CD302" s="60"/>
      <c r="CE302" s="60"/>
      <c r="CF302" s="61"/>
      <c r="CG302" s="61"/>
      <c r="CH302" s="61"/>
      <c r="CI302" s="139"/>
      <c r="CJ302" s="40"/>
      <c r="CK302" s="3"/>
      <c r="CL302" s="62"/>
      <c r="CM302" s="62"/>
      <c r="CN302" s="3"/>
      <c r="CO302" s="3"/>
      <c r="CP302" s="41">
        <v>13.261111111111111</v>
      </c>
      <c r="CQ302" s="3" t="s">
        <v>110</v>
      </c>
      <c r="CR302" s="40" t="s">
        <v>110</v>
      </c>
      <c r="CS302" s="40" t="s">
        <v>110</v>
      </c>
      <c r="CT302" s="40" t="s">
        <v>110</v>
      </c>
      <c r="CU302" s="40"/>
      <c r="CV302" s="40"/>
      <c r="CW302" s="40"/>
      <c r="CX302" s="40"/>
      <c r="CY302" s="40" t="s">
        <v>125</v>
      </c>
      <c r="CZ302" s="40"/>
      <c r="DA302" s="40"/>
    </row>
    <row r="303" spans="1:105" ht="18.75" customHeight="1">
      <c r="A303" s="3">
        <v>641</v>
      </c>
      <c r="B303" s="92" t="s">
        <v>199</v>
      </c>
      <c r="C303" s="3" t="s">
        <v>104</v>
      </c>
      <c r="D303" s="3" t="s">
        <v>105</v>
      </c>
      <c r="E303" s="39">
        <v>44859</v>
      </c>
      <c r="F303" s="3" t="s">
        <v>106</v>
      </c>
      <c r="G303" s="3" t="s">
        <v>122</v>
      </c>
      <c r="H303" s="3">
        <v>2009</v>
      </c>
      <c r="I303" s="40" t="s">
        <v>108</v>
      </c>
      <c r="J303" s="39" t="s">
        <v>123</v>
      </c>
      <c r="K303" s="3"/>
      <c r="L303" s="3"/>
      <c r="M303" s="3"/>
      <c r="N303" s="3"/>
      <c r="O303" s="3"/>
      <c r="P303" s="3"/>
      <c r="Q303" s="3"/>
      <c r="R303" s="3"/>
      <c r="S303" s="3"/>
      <c r="T303" s="125">
        <v>157.69999999999999</v>
      </c>
      <c r="U303" s="126">
        <v>79.7</v>
      </c>
      <c r="V303" s="12">
        <f>paper3[[#This Row],[height]]-paper3[[#This Row],[sittingheight]]</f>
        <v>77.999999999999986</v>
      </c>
      <c r="W303" s="127">
        <v>47.6</v>
      </c>
      <c r="X303" s="43" cm="1">
        <f t="array" ref="X303">INDEX([1]!phvny[yphv], MATCH(1, (paper3[[#This Row],[id]]=[1]!phvny[id])*(paper3[[#This Row],[time]]=[1]!phvny[time]), 0))</f>
        <v>-0.85523703503276183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130">
        <v>2.153</v>
      </c>
      <c r="AI303" s="130">
        <v>3.4200000000000004</v>
      </c>
      <c r="AJ303" s="130">
        <v>5.5369999999999999</v>
      </c>
      <c r="AK303" s="45">
        <v>4.7236655644780363</v>
      </c>
      <c r="AL303" s="3"/>
      <c r="AM303" s="3"/>
      <c r="AN303" s="3"/>
      <c r="AO303" s="141"/>
      <c r="AP303" s="137"/>
      <c r="AQ303" s="132"/>
      <c r="AR303" s="132"/>
      <c r="AS303" s="3"/>
      <c r="AT303" s="3"/>
      <c r="AU303" s="3"/>
      <c r="AV303" s="3"/>
      <c r="AW303" s="3"/>
      <c r="AX303" s="133">
        <v>24.16</v>
      </c>
      <c r="AY303" s="134"/>
      <c r="AZ303" s="40"/>
      <c r="BA303" s="40"/>
      <c r="BB303" s="40"/>
      <c r="BC303" s="40"/>
      <c r="BD303" s="135">
        <v>698.74923632459263</v>
      </c>
      <c r="BE303" s="135">
        <v>658.84490099886989</v>
      </c>
      <c r="BF303" s="40"/>
      <c r="BG303" s="135">
        <v>209.77911750637776</v>
      </c>
      <c r="BH303" s="135">
        <v>245.02491310108337</v>
      </c>
      <c r="BI303" s="49">
        <v>1357.5941373234625</v>
      </c>
      <c r="BJ303" s="49">
        <v>454.80403060746113</v>
      </c>
      <c r="BK303" s="66">
        <v>6.0567115667472082E-2</v>
      </c>
      <c r="BL303" s="66">
        <v>-0.14384576306395913</v>
      </c>
      <c r="BM303" s="51">
        <v>28.520885237887867</v>
      </c>
      <c r="BN303" s="51">
        <v>9.5547065253668304</v>
      </c>
      <c r="BO303" s="136"/>
      <c r="BP303" s="40"/>
      <c r="BQ303" s="40"/>
      <c r="BR303" s="67"/>
      <c r="BS303" s="54" t="s">
        <v>110</v>
      </c>
      <c r="BT303" s="68"/>
      <c r="BU303" s="69"/>
      <c r="BV303" s="3"/>
      <c r="BW303" s="3"/>
      <c r="BX303" s="70"/>
      <c r="BY303" s="70"/>
      <c r="BZ303" s="59"/>
      <c r="CA303" s="59"/>
      <c r="CB303" s="59" t="s">
        <v>110</v>
      </c>
      <c r="CC303" s="59" t="s">
        <v>110</v>
      </c>
      <c r="CD303" s="60"/>
      <c r="CE303" s="60"/>
      <c r="CF303" s="61"/>
      <c r="CG303" s="61"/>
      <c r="CH303" s="61"/>
      <c r="CI303" s="139"/>
      <c r="CJ303" s="40"/>
      <c r="CK303" s="3"/>
      <c r="CL303" s="62"/>
      <c r="CM303" s="62"/>
      <c r="CN303" s="3"/>
      <c r="CO303" s="3"/>
      <c r="CP303" s="41">
        <v>13.483333333333333</v>
      </c>
      <c r="CQ303" s="3" t="s">
        <v>110</v>
      </c>
      <c r="CR303" s="40" t="s">
        <v>110</v>
      </c>
      <c r="CS303" s="40" t="s">
        <v>110</v>
      </c>
      <c r="CT303" s="40" t="s">
        <v>110</v>
      </c>
      <c r="CU303" s="40"/>
      <c r="CV303" s="40"/>
      <c r="CW303" s="40"/>
      <c r="CX303" s="40"/>
      <c r="CY303" s="40" t="s">
        <v>202</v>
      </c>
      <c r="CZ303" s="40"/>
      <c r="DA303" s="40"/>
    </row>
    <row r="304" spans="1:105" ht="18.75" customHeight="1">
      <c r="A304" s="3">
        <v>642</v>
      </c>
      <c r="B304" s="92" t="s">
        <v>199</v>
      </c>
      <c r="C304" s="3" t="s">
        <v>104</v>
      </c>
      <c r="D304" s="3" t="s">
        <v>105</v>
      </c>
      <c r="E304" s="39">
        <v>44859</v>
      </c>
      <c r="F304" s="3" t="s">
        <v>106</v>
      </c>
      <c r="G304" s="3" t="s">
        <v>122</v>
      </c>
      <c r="H304" s="3">
        <v>2009</v>
      </c>
      <c r="I304" s="40" t="s">
        <v>108</v>
      </c>
      <c r="J304" s="39" t="s">
        <v>123</v>
      </c>
      <c r="K304" s="3"/>
      <c r="L304" s="3"/>
      <c r="M304" s="3"/>
      <c r="N304" s="3"/>
      <c r="O304" s="3"/>
      <c r="P304" s="3"/>
      <c r="Q304" s="3"/>
      <c r="R304" s="3"/>
      <c r="S304" s="3"/>
      <c r="T304" s="125">
        <v>175.5</v>
      </c>
      <c r="U304" s="126">
        <v>88.2</v>
      </c>
      <c r="V304" s="12">
        <f>paper3[[#This Row],[height]]-paper3[[#This Row],[sittingheight]]</f>
        <v>87.3</v>
      </c>
      <c r="W304" s="127">
        <v>57</v>
      </c>
      <c r="X304" s="43"/>
      <c r="Y304" s="3"/>
      <c r="Z304" s="3"/>
      <c r="AA304" s="3"/>
      <c r="AB304" s="3"/>
      <c r="AC304" s="3"/>
      <c r="AD304" s="3"/>
      <c r="AE304" s="3"/>
      <c r="AF304" s="3"/>
      <c r="AG304" s="3"/>
      <c r="AH304" s="133"/>
      <c r="AI304" s="133"/>
      <c r="AJ304" s="133"/>
      <c r="AK304" s="45"/>
      <c r="AL304" s="3"/>
      <c r="AM304" s="3"/>
      <c r="AN304" s="3"/>
      <c r="AO304" s="141"/>
      <c r="AP304" s="137"/>
      <c r="AQ304" s="132"/>
      <c r="AR304" s="132"/>
      <c r="AS304" s="3"/>
      <c r="AT304" s="3"/>
      <c r="AU304" s="3"/>
      <c r="AV304" s="3"/>
      <c r="AW304" s="3"/>
      <c r="AX304" s="133">
        <v>27.36</v>
      </c>
      <c r="AY304" s="134"/>
      <c r="AZ304" s="40"/>
      <c r="BA304" s="40"/>
      <c r="BB304" s="40"/>
      <c r="BC304" s="40"/>
      <c r="BD304" s="135"/>
      <c r="BE304" s="135"/>
      <c r="BF304" s="40"/>
      <c r="BG304" s="135"/>
      <c r="BH304" s="135"/>
      <c r="BI304" s="49"/>
      <c r="BJ304" s="49"/>
      <c r="BK304" s="66"/>
      <c r="BL304" s="66"/>
      <c r="BM304" s="51"/>
      <c r="BN304" s="51"/>
      <c r="BO304" s="136"/>
      <c r="BP304" s="40"/>
      <c r="BQ304" s="40"/>
      <c r="BR304" s="67"/>
      <c r="BS304" s="54" t="s">
        <v>110</v>
      </c>
      <c r="BT304" s="68"/>
      <c r="BU304" s="69"/>
      <c r="BV304" s="3"/>
      <c r="BW304" s="3"/>
      <c r="BX304" s="70"/>
      <c r="BY304" s="70"/>
      <c r="BZ304" s="59"/>
      <c r="CA304" s="59"/>
      <c r="CB304" s="59" t="s">
        <v>110</v>
      </c>
      <c r="CC304" s="59" t="s">
        <v>110</v>
      </c>
      <c r="CD304" s="60"/>
      <c r="CE304" s="60"/>
      <c r="CF304" s="61"/>
      <c r="CG304" s="61"/>
      <c r="CH304" s="61"/>
      <c r="CI304" s="139"/>
      <c r="CJ304" s="40"/>
      <c r="CK304" s="3"/>
      <c r="CL304" s="62"/>
      <c r="CM304" s="62"/>
      <c r="CN304" s="3"/>
      <c r="CO304" s="3"/>
      <c r="CP304" s="41"/>
      <c r="CQ304" s="3" t="s">
        <v>110</v>
      </c>
      <c r="CR304" s="40" t="s">
        <v>110</v>
      </c>
      <c r="CS304" s="40" t="s">
        <v>110</v>
      </c>
      <c r="CT304" s="40" t="s">
        <v>110</v>
      </c>
      <c r="CU304" s="40"/>
      <c r="CV304" s="40"/>
      <c r="CW304" s="40"/>
      <c r="CX304" s="40"/>
      <c r="CY304" s="40" t="e">
        <v>#N/A</v>
      </c>
      <c r="CZ304" s="40"/>
      <c r="DA304" s="40"/>
    </row>
    <row r="305" spans="1:105" ht="18.75" customHeight="1">
      <c r="A305" s="3">
        <v>643</v>
      </c>
      <c r="B305" s="92" t="s">
        <v>199</v>
      </c>
      <c r="C305" s="3" t="s">
        <v>104</v>
      </c>
      <c r="D305" s="3" t="s">
        <v>105</v>
      </c>
      <c r="E305" s="39">
        <v>44868</v>
      </c>
      <c r="F305" s="3" t="s">
        <v>106</v>
      </c>
      <c r="G305" s="3" t="s">
        <v>122</v>
      </c>
      <c r="H305" s="3">
        <v>2005</v>
      </c>
      <c r="I305" s="40" t="s">
        <v>121</v>
      </c>
      <c r="J305" s="39" t="s">
        <v>160</v>
      </c>
      <c r="K305" s="3"/>
      <c r="L305" s="3"/>
      <c r="M305" s="3"/>
      <c r="N305" s="3"/>
      <c r="O305" s="3">
        <v>172.1</v>
      </c>
      <c r="P305" s="3"/>
      <c r="Q305" s="3"/>
      <c r="R305" s="3"/>
      <c r="S305" s="3"/>
      <c r="T305" s="125">
        <v>193.5</v>
      </c>
      <c r="U305" s="126">
        <v>101.89999999999999</v>
      </c>
      <c r="V305" s="12">
        <f>paper3[[#This Row],[height]]-paper3[[#This Row],[sittingheight]]</f>
        <v>91.600000000000009</v>
      </c>
      <c r="W305" s="127">
        <v>81.099999999999994</v>
      </c>
      <c r="X305" s="43" cm="1">
        <f t="array" ref="X305">INDEX([1]!phvny[yphv], MATCH(1, (paper3[[#This Row],[id]]=[1]!phvny[id])*(paper3[[#This Row],[time]]=[1]!phvny[time]), 0))</f>
        <v>4.4738600419224817</v>
      </c>
      <c r="Y305" s="3"/>
      <c r="Z305" s="3"/>
      <c r="AA305" s="3"/>
      <c r="AB305" s="3"/>
      <c r="AC305" s="3"/>
      <c r="AD305" s="3"/>
      <c r="AE305" s="3"/>
      <c r="AF305" s="3"/>
      <c r="AG305" s="3"/>
      <c r="AH305" s="130">
        <v>1.782</v>
      </c>
      <c r="AI305" s="130">
        <v>3.08</v>
      </c>
      <c r="AJ305" s="130">
        <v>4.3719999999999999</v>
      </c>
      <c r="AK305" s="45">
        <v>7.7399380804953575</v>
      </c>
      <c r="AL305" s="3"/>
      <c r="AM305" s="3"/>
      <c r="AN305" s="3"/>
      <c r="AO305" s="3"/>
      <c r="AP305" s="137">
        <v>10.27</v>
      </c>
      <c r="AQ305" s="132"/>
      <c r="AR305" s="132"/>
      <c r="AS305" s="3"/>
      <c r="AT305" s="3"/>
      <c r="AU305" s="3"/>
      <c r="AV305" s="3"/>
      <c r="AW305" s="3"/>
      <c r="AX305" s="133">
        <v>41.660000000000004</v>
      </c>
      <c r="AY305" s="134"/>
      <c r="AZ305" s="40"/>
      <c r="BA305" s="40"/>
      <c r="BB305" s="40"/>
      <c r="BC305" s="40"/>
      <c r="BD305" s="135">
        <v>1986.8142889286605</v>
      </c>
      <c r="BE305" s="135">
        <v>2008.9798344006672</v>
      </c>
      <c r="BF305" s="40"/>
      <c r="BG305" s="135">
        <v>927.1143503037099</v>
      </c>
      <c r="BH305" s="135">
        <v>978.44440384954169</v>
      </c>
      <c r="BI305" s="105">
        <v>3995.7941233293277</v>
      </c>
      <c r="BJ305" s="105">
        <v>1905.5587541532516</v>
      </c>
      <c r="BK305" s="66">
        <v>-1.1033234426974348E-2</v>
      </c>
      <c r="BL305" s="66">
        <v>-5.2460879068735533E-2</v>
      </c>
      <c r="BM305" s="51">
        <v>49.269964529338196</v>
      </c>
      <c r="BN305" s="51">
        <v>23.496408805835408</v>
      </c>
      <c r="BO305" s="136"/>
      <c r="BP305" s="40"/>
      <c r="BQ305" s="40"/>
      <c r="BR305" s="67"/>
      <c r="BS305" s="54" t="s">
        <v>110</v>
      </c>
      <c r="BT305" s="68"/>
      <c r="BU305" s="69"/>
      <c r="BV305" s="3"/>
      <c r="BW305" s="3"/>
      <c r="BX305" s="70"/>
      <c r="BY305" s="70"/>
      <c r="BZ305" s="59"/>
      <c r="CA305" s="59"/>
      <c r="CB305" s="59" t="s">
        <v>110</v>
      </c>
      <c r="CC305" s="59" t="s">
        <v>110</v>
      </c>
      <c r="CD305" s="60"/>
      <c r="CE305" s="60"/>
      <c r="CF305" s="61"/>
      <c r="CG305" s="61"/>
      <c r="CH305" s="61"/>
      <c r="CI305" s="138">
        <v>18.5</v>
      </c>
      <c r="CJ305" s="40">
        <f>VLOOKUP(paper3[[#This Row],[YYIR nivå]],$DB:$DC,2)</f>
        <v>1920</v>
      </c>
      <c r="CK305" s="3"/>
      <c r="CL305" s="62"/>
      <c r="CM305" s="62"/>
      <c r="CN305" s="3"/>
      <c r="CO305" s="3"/>
      <c r="CP305" s="41">
        <v>17.533333333333335</v>
      </c>
      <c r="CQ305" s="3" t="s">
        <v>110</v>
      </c>
      <c r="CR305" s="40" t="s">
        <v>110</v>
      </c>
      <c r="CS305" s="40" t="s">
        <v>110</v>
      </c>
      <c r="CT305" s="40" t="s">
        <v>110</v>
      </c>
      <c r="CU305" s="40"/>
      <c r="CV305" s="40"/>
      <c r="CW305" s="40"/>
      <c r="CX305" s="40"/>
      <c r="CY305" s="40" t="s">
        <v>201</v>
      </c>
      <c r="CZ305" s="40"/>
      <c r="DA305" s="40"/>
    </row>
    <row r="306" spans="1:105" ht="18.75">
      <c r="A306" s="3">
        <v>644</v>
      </c>
      <c r="B306" s="92" t="s">
        <v>199</v>
      </c>
      <c r="C306" s="3" t="s">
        <v>171</v>
      </c>
      <c r="D306" s="3" t="s">
        <v>105</v>
      </c>
      <c r="E306" s="39">
        <v>44868</v>
      </c>
      <c r="F306" s="3" t="s">
        <v>106</v>
      </c>
      <c r="G306" s="3" t="s">
        <v>122</v>
      </c>
      <c r="H306" s="3">
        <v>2005</v>
      </c>
      <c r="I306" s="40" t="s">
        <v>121</v>
      </c>
      <c r="J306" s="39" t="s">
        <v>160</v>
      </c>
      <c r="K306" s="3"/>
      <c r="L306" s="3"/>
      <c r="M306" s="3"/>
      <c r="N306" s="3"/>
      <c r="O306" s="3">
        <v>159.9</v>
      </c>
      <c r="P306" s="3"/>
      <c r="Q306" s="3"/>
      <c r="R306" s="3"/>
      <c r="S306" s="3"/>
      <c r="T306" s="125">
        <v>180.5</v>
      </c>
      <c r="U306" s="126">
        <v>89.7</v>
      </c>
      <c r="V306" s="12">
        <f>paper3[[#This Row],[height]]-paper3[[#This Row],[sittingheight]]</f>
        <v>90.8</v>
      </c>
      <c r="W306" s="127">
        <v>77.400000000000006</v>
      </c>
      <c r="X306" s="43" cm="1">
        <f t="array" ref="X306">INDEX([1]!phvny[yphv], MATCH(1, (paper3[[#This Row],[id]]=[1]!phvny[id])*(paper3[[#This Row],[time]]=[1]!phvny[time]), 0))</f>
        <v>2.7544159193419526</v>
      </c>
      <c r="Y306" s="3"/>
      <c r="Z306" s="3"/>
      <c r="AA306" s="3"/>
      <c r="AB306" s="3"/>
      <c r="AC306" s="3"/>
      <c r="AD306" s="3"/>
      <c r="AE306" s="3"/>
      <c r="AF306" s="3"/>
      <c r="AG306" s="3"/>
      <c r="AH306" s="130">
        <v>1.667</v>
      </c>
      <c r="AI306" s="130">
        <v>2.85</v>
      </c>
      <c r="AJ306" s="130">
        <v>4.008</v>
      </c>
      <c r="AK306" s="45">
        <v>8.6355785837651133</v>
      </c>
      <c r="AL306" s="3"/>
      <c r="AM306" s="3"/>
      <c r="AN306" s="3"/>
      <c r="AO306" s="141"/>
      <c r="AP306" s="137"/>
      <c r="AQ306" s="132"/>
      <c r="AR306" s="132"/>
      <c r="AS306" s="3"/>
      <c r="AT306" s="3"/>
      <c r="AU306" s="3"/>
      <c r="AV306" s="3"/>
      <c r="AW306" s="3"/>
      <c r="AX306" s="133">
        <v>49.86</v>
      </c>
      <c r="AY306" s="134"/>
      <c r="AZ306" s="40"/>
      <c r="BA306" s="40"/>
      <c r="BB306" s="40"/>
      <c r="BC306" s="40"/>
      <c r="BD306" s="135">
        <v>1585.5525377625208</v>
      </c>
      <c r="BE306" s="135">
        <v>1583.7695482014988</v>
      </c>
      <c r="BF306" s="40"/>
      <c r="BG306" s="135">
        <v>864.23976174235622</v>
      </c>
      <c r="BH306" s="135">
        <v>839.59289248968525</v>
      </c>
      <c r="BI306" s="49">
        <v>3169.3220859640196</v>
      </c>
      <c r="BJ306" s="49">
        <v>1703.8326542320415</v>
      </c>
      <c r="BK306" s="66">
        <v>1.1257885107380794E-3</v>
      </c>
      <c r="BL306" s="66">
        <v>2.9355738326445779E-2</v>
      </c>
      <c r="BM306" s="51">
        <v>40.947313772144952</v>
      </c>
      <c r="BN306" s="51">
        <v>22.013341785943688</v>
      </c>
      <c r="BO306" s="136"/>
      <c r="BP306" s="40"/>
      <c r="BQ306" s="40"/>
      <c r="BR306" s="67"/>
      <c r="BS306" s="54" t="s">
        <v>110</v>
      </c>
      <c r="BT306" s="68"/>
      <c r="BU306" s="69"/>
      <c r="BV306" s="3"/>
      <c r="BW306" s="3"/>
      <c r="BX306" s="70"/>
      <c r="BY306" s="70"/>
      <c r="BZ306" s="59"/>
      <c r="CA306" s="59"/>
      <c r="CB306" s="59" t="s">
        <v>110</v>
      </c>
      <c r="CC306" s="59" t="s">
        <v>110</v>
      </c>
      <c r="CD306" s="60"/>
      <c r="CE306" s="60"/>
      <c r="CF306" s="61"/>
      <c r="CG306" s="61"/>
      <c r="CH306" s="61"/>
      <c r="CI306" s="139">
        <v>16.2</v>
      </c>
      <c r="CJ306" s="40">
        <f>VLOOKUP(paper3[[#This Row],[YYIR nivå]],$DB:$DC,2)</f>
        <v>1160</v>
      </c>
      <c r="CK306" s="3"/>
      <c r="CL306" s="62"/>
      <c r="CM306" s="62"/>
      <c r="CN306" s="3"/>
      <c r="CO306" s="3"/>
      <c r="CP306" s="41">
        <v>17.736111111111111</v>
      </c>
      <c r="CQ306" s="3" t="s">
        <v>110</v>
      </c>
      <c r="CR306" s="40" t="s">
        <v>110</v>
      </c>
      <c r="CS306" s="40" t="s">
        <v>110</v>
      </c>
      <c r="CT306" s="40" t="s">
        <v>110</v>
      </c>
      <c r="CU306" s="40"/>
      <c r="CV306" s="40"/>
      <c r="CW306" s="40"/>
      <c r="CX306" s="40"/>
      <c r="CY306" s="40" t="s">
        <v>200</v>
      </c>
      <c r="CZ306" s="40"/>
      <c r="DA306" s="40"/>
    </row>
    <row r="307" spans="1:105" ht="18.75" customHeight="1">
      <c r="A307" s="3">
        <v>645</v>
      </c>
      <c r="B307" s="92" t="s">
        <v>199</v>
      </c>
      <c r="C307" s="3" t="s">
        <v>104</v>
      </c>
      <c r="D307" s="3" t="s">
        <v>105</v>
      </c>
      <c r="E307" s="39">
        <v>44868</v>
      </c>
      <c r="F307" s="3" t="s">
        <v>106</v>
      </c>
      <c r="G307" s="3" t="s">
        <v>122</v>
      </c>
      <c r="H307" s="3">
        <v>2005</v>
      </c>
      <c r="I307" s="40" t="s">
        <v>121</v>
      </c>
      <c r="J307" s="39" t="s">
        <v>160</v>
      </c>
      <c r="K307" s="3"/>
      <c r="L307" s="3"/>
      <c r="M307" s="3"/>
      <c r="N307" s="3"/>
      <c r="O307" s="3">
        <v>168.5</v>
      </c>
      <c r="P307" s="3"/>
      <c r="Q307" s="3"/>
      <c r="R307" s="3"/>
      <c r="S307" s="3"/>
      <c r="T307" s="125">
        <v>185.5</v>
      </c>
      <c r="U307" s="126">
        <v>98.3</v>
      </c>
      <c r="V307" s="12">
        <f>paper3[[#This Row],[height]]-paper3[[#This Row],[sittingheight]]</f>
        <v>87.2</v>
      </c>
      <c r="W307" s="127">
        <v>64.7</v>
      </c>
      <c r="X307" s="43" cm="1">
        <f t="array" ref="X307">INDEX([1]!phvny[yphv], MATCH(1, (paper3[[#This Row],[id]]=[1]!phvny[id])*(paper3[[#This Row],[time]]=[1]!phvny[time]), 0))</f>
        <v>3.8558593074249767</v>
      </c>
      <c r="Y307" s="3"/>
      <c r="Z307" s="3"/>
      <c r="AA307" s="3"/>
      <c r="AB307" s="3"/>
      <c r="AC307" s="3"/>
      <c r="AD307" s="3"/>
      <c r="AE307" s="3"/>
      <c r="AF307" s="3"/>
      <c r="AG307" s="3"/>
      <c r="AH307" s="130">
        <v>1.7169999999999999</v>
      </c>
      <c r="AI307" s="130">
        <v>2.95</v>
      </c>
      <c r="AJ307" s="130">
        <v>4.1690000000000005</v>
      </c>
      <c r="AK307" s="45">
        <v>8.2034454470877751</v>
      </c>
      <c r="AL307" s="3"/>
      <c r="AM307" s="3"/>
      <c r="AN307" s="3"/>
      <c r="AO307" s="3"/>
      <c r="AP307" s="137">
        <v>10.059999999999999</v>
      </c>
      <c r="AQ307" s="132"/>
      <c r="AR307" s="132"/>
      <c r="AS307" s="3"/>
      <c r="AT307" s="3"/>
      <c r="AU307" s="3"/>
      <c r="AV307" s="3"/>
      <c r="AW307" s="3"/>
      <c r="AX307" s="133">
        <v>33.96</v>
      </c>
      <c r="AY307" s="134"/>
      <c r="AZ307" s="40"/>
      <c r="BA307" s="40"/>
      <c r="BB307" s="40"/>
      <c r="BC307" s="40"/>
      <c r="BD307" s="135">
        <v>1215.2416572554871</v>
      </c>
      <c r="BE307" s="135">
        <v>1258.2987361237974</v>
      </c>
      <c r="BF307" s="40"/>
      <c r="BG307" s="135">
        <v>553.93425638970473</v>
      </c>
      <c r="BH307" s="135">
        <v>601.5392285175659</v>
      </c>
      <c r="BI307" s="49">
        <v>2473.5403933792845</v>
      </c>
      <c r="BJ307" s="49">
        <v>1155.4734849072706</v>
      </c>
      <c r="BK307" s="66">
        <v>-3.4218486939713633E-2</v>
      </c>
      <c r="BL307" s="66">
        <v>-7.9138599564286038E-2</v>
      </c>
      <c r="BM307" s="51">
        <v>38.230917981132677</v>
      </c>
      <c r="BN307" s="51">
        <v>17.858941034115464</v>
      </c>
      <c r="BO307" s="136"/>
      <c r="BP307" s="40"/>
      <c r="BQ307" s="40"/>
      <c r="BR307" s="67"/>
      <c r="BS307" s="54" t="s">
        <v>110</v>
      </c>
      <c r="BT307" s="68"/>
      <c r="BU307" s="69"/>
      <c r="BV307" s="3"/>
      <c r="BW307" s="3"/>
      <c r="BX307" s="70"/>
      <c r="BY307" s="70"/>
      <c r="BZ307" s="59"/>
      <c r="CA307" s="59"/>
      <c r="CB307" s="59" t="s">
        <v>110</v>
      </c>
      <c r="CC307" s="59" t="s">
        <v>110</v>
      </c>
      <c r="CD307" s="60"/>
      <c r="CE307" s="60"/>
      <c r="CF307" s="61"/>
      <c r="CG307" s="61"/>
      <c r="CH307" s="61"/>
      <c r="CI307" s="138">
        <v>15.6</v>
      </c>
      <c r="CJ307" s="40">
        <f>VLOOKUP(paper3[[#This Row],[YYIR nivå]],$DB:$DC,2)</f>
        <v>1000</v>
      </c>
      <c r="CK307" s="3"/>
      <c r="CL307" s="62"/>
      <c r="CM307" s="62"/>
      <c r="CN307" s="3"/>
      <c r="CO307" s="3"/>
      <c r="CP307" s="41">
        <v>17.669444444444444</v>
      </c>
      <c r="CQ307" s="3" t="s">
        <v>110</v>
      </c>
      <c r="CR307" s="40" t="s">
        <v>110</v>
      </c>
      <c r="CS307" s="40" t="s">
        <v>110</v>
      </c>
      <c r="CT307" s="40" t="s">
        <v>110</v>
      </c>
      <c r="CU307" s="40"/>
      <c r="CV307" s="40"/>
      <c r="CW307" s="40"/>
      <c r="CX307" s="40"/>
      <c r="CY307" s="40" t="s">
        <v>204</v>
      </c>
      <c r="CZ307" s="40"/>
      <c r="DA307" s="40"/>
    </row>
    <row r="308" spans="1:105" ht="18.75" customHeight="1">
      <c r="A308" s="3">
        <v>646</v>
      </c>
      <c r="B308" s="92" t="s">
        <v>199</v>
      </c>
      <c r="C308" s="3" t="s">
        <v>104</v>
      </c>
      <c r="D308" s="3" t="s">
        <v>105</v>
      </c>
      <c r="E308" s="39">
        <v>44868</v>
      </c>
      <c r="F308" s="3" t="s">
        <v>106</v>
      </c>
      <c r="G308" s="3" t="s">
        <v>122</v>
      </c>
      <c r="H308" s="3">
        <v>2005</v>
      </c>
      <c r="I308" s="40" t="s">
        <v>121</v>
      </c>
      <c r="J308" s="39" t="s">
        <v>160</v>
      </c>
      <c r="K308" s="3"/>
      <c r="L308" s="3"/>
      <c r="M308" s="3"/>
      <c r="N308" s="3"/>
      <c r="O308" s="3">
        <v>167.6</v>
      </c>
      <c r="P308" s="3"/>
      <c r="Q308" s="3"/>
      <c r="R308" s="3"/>
      <c r="S308" s="3"/>
      <c r="T308" s="125">
        <v>180.4</v>
      </c>
      <c r="U308" s="126">
        <v>97.399999999999991</v>
      </c>
      <c r="V308" s="12">
        <f>paper3[[#This Row],[height]]-paper3[[#This Row],[sittingheight]]</f>
        <v>83.000000000000014</v>
      </c>
      <c r="W308" s="127">
        <v>68.7</v>
      </c>
      <c r="X308" s="43" cm="1">
        <f t="array" ref="X308">INDEX([1]!phvny[yphv], MATCH(1, (paper3[[#This Row],[id]]=[1]!phvny[id])*(paper3[[#This Row],[time]]=[1]!phvny[time]), 0))</f>
        <v>3.5344877347671817</v>
      </c>
      <c r="Y308" s="3"/>
      <c r="Z308" s="3"/>
      <c r="AA308" s="3"/>
      <c r="AB308" s="3"/>
      <c r="AC308" s="3"/>
      <c r="AD308" s="3"/>
      <c r="AE308" s="3"/>
      <c r="AF308" s="3"/>
      <c r="AG308" s="3"/>
      <c r="AH308" s="130">
        <v>1.8049999999999999</v>
      </c>
      <c r="AI308" s="130">
        <v>3.1100000000000003</v>
      </c>
      <c r="AJ308" s="130">
        <v>4.3680000000000003</v>
      </c>
      <c r="AK308" s="45">
        <v>7.9491255961844196</v>
      </c>
      <c r="AL308" s="3"/>
      <c r="AM308" s="3"/>
      <c r="AN308" s="3"/>
      <c r="AO308" s="3"/>
      <c r="AP308" s="137">
        <v>10.119999999999999</v>
      </c>
      <c r="AQ308" s="132"/>
      <c r="AR308" s="132"/>
      <c r="AS308" s="3"/>
      <c r="AT308" s="3"/>
      <c r="AU308" s="3"/>
      <c r="AV308" s="3"/>
      <c r="AW308" s="3"/>
      <c r="AX308" s="133">
        <v>29.76</v>
      </c>
      <c r="AY308" s="134"/>
      <c r="AZ308" s="40"/>
      <c r="BA308" s="40"/>
      <c r="BB308" s="40"/>
      <c r="BC308" s="40"/>
      <c r="BD308" s="135"/>
      <c r="BE308" s="135"/>
      <c r="BF308" s="40"/>
      <c r="BG308" s="135">
        <v>654.44270139634273</v>
      </c>
      <c r="BH308" s="135">
        <v>564.80641474877893</v>
      </c>
      <c r="BI308" s="49"/>
      <c r="BJ308" s="49">
        <v>1219.2491161451217</v>
      </c>
      <c r="BK308" s="66"/>
      <c r="BL308" s="66">
        <v>0.15870267105134284</v>
      </c>
      <c r="BM308" s="51"/>
      <c r="BN308" s="51">
        <v>17.747439827439909</v>
      </c>
      <c r="BO308" s="136"/>
      <c r="BP308" s="40"/>
      <c r="BQ308" s="40"/>
      <c r="BR308" s="67"/>
      <c r="BS308" s="54" t="s">
        <v>110</v>
      </c>
      <c r="BT308" s="68"/>
      <c r="BU308" s="69"/>
      <c r="BV308" s="3"/>
      <c r="BW308" s="3"/>
      <c r="BX308" s="70"/>
      <c r="BY308" s="70"/>
      <c r="BZ308" s="59"/>
      <c r="CA308" s="59"/>
      <c r="CB308" s="59" t="s">
        <v>110</v>
      </c>
      <c r="CC308" s="59" t="s">
        <v>110</v>
      </c>
      <c r="CD308" s="60"/>
      <c r="CE308" s="60"/>
      <c r="CF308" s="61"/>
      <c r="CG308" s="61"/>
      <c r="CH308" s="61"/>
      <c r="CI308" s="138">
        <v>16.600000000000001</v>
      </c>
      <c r="CJ308" s="40">
        <f>VLOOKUP(paper3[[#This Row],[YYIR nivå]],$DB:$DC,2)</f>
        <v>1320</v>
      </c>
      <c r="CK308" s="3"/>
      <c r="CL308" s="62"/>
      <c r="CM308" s="62"/>
      <c r="CN308" s="3"/>
      <c r="CO308" s="3"/>
      <c r="CP308" s="41">
        <v>17.18888888888889</v>
      </c>
      <c r="CQ308" s="3" t="s">
        <v>110</v>
      </c>
      <c r="CR308" s="40" t="s">
        <v>110</v>
      </c>
      <c r="CS308" s="40" t="s">
        <v>110</v>
      </c>
      <c r="CT308" s="40" t="s">
        <v>110</v>
      </c>
      <c r="CU308" s="40"/>
      <c r="CV308" s="40"/>
      <c r="CW308" s="40"/>
      <c r="CX308" s="40"/>
      <c r="CY308" s="40" t="s">
        <v>204</v>
      </c>
      <c r="CZ308" s="40"/>
      <c r="DA308" s="40"/>
    </row>
    <row r="309" spans="1:105" ht="18.75">
      <c r="A309" s="3">
        <v>647</v>
      </c>
      <c r="B309" s="92" t="s">
        <v>199</v>
      </c>
      <c r="C309" s="3" t="s">
        <v>104</v>
      </c>
      <c r="D309" s="3" t="s">
        <v>105</v>
      </c>
      <c r="E309" s="39">
        <v>44868</v>
      </c>
      <c r="F309" s="3" t="s">
        <v>106</v>
      </c>
      <c r="G309" s="3" t="s">
        <v>122</v>
      </c>
      <c r="H309" s="3">
        <v>2005</v>
      </c>
      <c r="I309" s="40" t="s">
        <v>121</v>
      </c>
      <c r="J309" s="39" t="s">
        <v>160</v>
      </c>
      <c r="K309" s="3"/>
      <c r="L309" s="3"/>
      <c r="M309" s="3"/>
      <c r="N309" s="3"/>
      <c r="O309" s="3">
        <v>168.5</v>
      </c>
      <c r="P309" s="3"/>
      <c r="Q309" s="3"/>
      <c r="R309" s="3"/>
      <c r="S309" s="3"/>
      <c r="T309" s="125">
        <v>186.2</v>
      </c>
      <c r="U309" s="126">
        <v>98.3</v>
      </c>
      <c r="V309" s="12">
        <f>paper3[[#This Row],[height]]-paper3[[#This Row],[sittingheight]]</f>
        <v>87.899999999999991</v>
      </c>
      <c r="W309" s="127">
        <v>83.5</v>
      </c>
      <c r="X309" s="43" cm="1">
        <f t="array" ref="X309">INDEX([1]!phvny[yphv], MATCH(1, (paper3[[#This Row],[id]]=[1]!phvny[id])*(paper3[[#This Row],[time]]=[1]!phvny[time]), 0))</f>
        <v>3.878972835177406</v>
      </c>
      <c r="Y309" s="3"/>
      <c r="Z309" s="3"/>
      <c r="AA309" s="3"/>
      <c r="AB309" s="3"/>
      <c r="AC309" s="3"/>
      <c r="AD309" s="3"/>
      <c r="AE309" s="3"/>
      <c r="AF309" s="3"/>
      <c r="AG309" s="3"/>
      <c r="AH309" s="130">
        <v>1.7949999999999999</v>
      </c>
      <c r="AI309" s="130">
        <v>3.0300000000000002</v>
      </c>
      <c r="AJ309" s="130">
        <v>4.22</v>
      </c>
      <c r="AK309" s="45">
        <v>8.403361344537819</v>
      </c>
      <c r="AL309" s="3"/>
      <c r="AM309" s="3"/>
      <c r="AN309" s="3"/>
      <c r="AO309" s="3"/>
      <c r="AP309" s="137">
        <v>10.409999999999998</v>
      </c>
      <c r="AQ309" s="132"/>
      <c r="AR309" s="132"/>
      <c r="AS309" s="3"/>
      <c r="AT309" s="3"/>
      <c r="AU309" s="3"/>
      <c r="AV309" s="3"/>
      <c r="AW309" s="3"/>
      <c r="AX309" s="133">
        <v>40.36</v>
      </c>
      <c r="AY309" s="134"/>
      <c r="AZ309" s="40"/>
      <c r="BA309" s="40"/>
      <c r="BB309" s="40"/>
      <c r="BC309" s="40"/>
      <c r="BD309" s="135">
        <v>1577.2856483083183</v>
      </c>
      <c r="BE309" s="135">
        <v>1566.4015278788754</v>
      </c>
      <c r="BF309" s="40"/>
      <c r="BG309" s="135">
        <v>781.206312549068</v>
      </c>
      <c r="BH309" s="135">
        <v>772.44108217056919</v>
      </c>
      <c r="BI309" s="49">
        <v>3143.6871761871935</v>
      </c>
      <c r="BJ309" s="49">
        <v>1553.6473947196373</v>
      </c>
      <c r="BK309" s="66">
        <v>6.948486857122349E-3</v>
      </c>
      <c r="BL309" s="66">
        <v>1.1347442000195551E-2</v>
      </c>
      <c r="BM309" s="51">
        <v>37.648948217810698</v>
      </c>
      <c r="BN309" s="51">
        <v>18.606555625384878</v>
      </c>
      <c r="BO309" s="136"/>
      <c r="BP309" s="40"/>
      <c r="BQ309" s="40"/>
      <c r="BR309" s="67"/>
      <c r="BS309" s="54" t="s">
        <v>110</v>
      </c>
      <c r="BT309" s="68"/>
      <c r="BU309" s="69"/>
      <c r="BV309" s="3"/>
      <c r="BW309" s="3"/>
      <c r="BX309" s="70"/>
      <c r="BY309" s="70"/>
      <c r="BZ309" s="59"/>
      <c r="CA309" s="59"/>
      <c r="CB309" s="59" t="s">
        <v>110</v>
      </c>
      <c r="CC309" s="59" t="s">
        <v>110</v>
      </c>
      <c r="CD309" s="60"/>
      <c r="CE309" s="60"/>
      <c r="CF309" s="61"/>
      <c r="CG309" s="61"/>
      <c r="CH309" s="61"/>
      <c r="CI309" s="139">
        <v>17.2</v>
      </c>
      <c r="CJ309" s="40">
        <f>VLOOKUP(paper3[[#This Row],[YYIR nivå]],$DB:$DC,2)</f>
        <v>1480</v>
      </c>
      <c r="CK309" s="3"/>
      <c r="CL309" s="62"/>
      <c r="CM309" s="62"/>
      <c r="CN309" s="3"/>
      <c r="CO309" s="3"/>
      <c r="CP309" s="41">
        <v>17.308333333333334</v>
      </c>
      <c r="CQ309" s="3" t="s">
        <v>110</v>
      </c>
      <c r="CR309" s="40" t="s">
        <v>110</v>
      </c>
      <c r="CS309" s="40" t="s">
        <v>110</v>
      </c>
      <c r="CT309" s="40" t="s">
        <v>110</v>
      </c>
      <c r="CU309" s="40"/>
      <c r="CV309" s="40"/>
      <c r="CW309" s="40"/>
      <c r="CX309" s="40"/>
      <c r="CY309" s="40" t="s">
        <v>200</v>
      </c>
      <c r="CZ309" s="40"/>
      <c r="DA309" s="40"/>
    </row>
    <row r="310" spans="1:105" ht="18.75" customHeight="1">
      <c r="A310" s="3">
        <v>651</v>
      </c>
      <c r="B310" s="92" t="s">
        <v>199</v>
      </c>
      <c r="C310" s="3" t="s">
        <v>104</v>
      </c>
      <c r="D310" s="3" t="s">
        <v>105</v>
      </c>
      <c r="E310" s="39">
        <v>44868</v>
      </c>
      <c r="F310" s="3" t="s">
        <v>106</v>
      </c>
      <c r="G310" s="3" t="s">
        <v>122</v>
      </c>
      <c r="H310" s="3">
        <v>2009</v>
      </c>
      <c r="I310" s="40" t="s">
        <v>108</v>
      </c>
      <c r="J310" s="39" t="s">
        <v>123</v>
      </c>
      <c r="K310" s="3"/>
      <c r="L310" s="3"/>
      <c r="M310" s="3"/>
      <c r="N310" s="3"/>
      <c r="O310" s="3"/>
      <c r="P310" s="3"/>
      <c r="Q310" s="3"/>
      <c r="R310" s="3"/>
      <c r="S310" s="3"/>
      <c r="T310" s="125">
        <v>158.6</v>
      </c>
      <c r="U310" s="126">
        <v>79.5</v>
      </c>
      <c r="V310" s="12">
        <f>paper3[[#This Row],[height]]-paper3[[#This Row],[sittingheight]]</f>
        <v>79.099999999999994</v>
      </c>
      <c r="W310" s="127">
        <v>44.4</v>
      </c>
      <c r="X310" s="43" cm="1">
        <f t="array" ref="X310">INDEX([1]!phvny[yphv], MATCH(1, (paper3[[#This Row],[id]]=[1]!phvny[id])*(paper3[[#This Row],[time]]=[1]!phvny[time]), 0))</f>
        <v>-1.0725384054904012</v>
      </c>
      <c r="Y310" s="3"/>
      <c r="Z310" s="3"/>
      <c r="AA310" s="3"/>
      <c r="AB310" s="3"/>
      <c r="AC310" s="3"/>
      <c r="AD310" s="3"/>
      <c r="AE310" s="3"/>
      <c r="AF310" s="3"/>
      <c r="AG310" s="3"/>
      <c r="AH310" s="130">
        <v>2.0710000000000002</v>
      </c>
      <c r="AI310" s="130">
        <v>3.5900000000000003</v>
      </c>
      <c r="AJ310" s="130">
        <v>5.1139999999999999</v>
      </c>
      <c r="AK310" s="45">
        <v>6.5616797900262487</v>
      </c>
      <c r="AL310" s="3"/>
      <c r="AM310" s="3"/>
      <c r="AN310" s="3"/>
      <c r="AO310" s="3"/>
      <c r="AP310" s="137">
        <v>10.59</v>
      </c>
      <c r="AQ310" s="132"/>
      <c r="AR310" s="132"/>
      <c r="AS310" s="3"/>
      <c r="AT310" s="3"/>
      <c r="AU310" s="3"/>
      <c r="AV310" s="3"/>
      <c r="AW310" s="3"/>
      <c r="AX310" s="133">
        <v>27.76</v>
      </c>
      <c r="AY310" s="134"/>
      <c r="AZ310" s="40"/>
      <c r="BA310" s="40"/>
      <c r="BB310" s="40"/>
      <c r="BC310" s="40"/>
      <c r="BD310" s="135">
        <v>714.63163645796976</v>
      </c>
      <c r="BE310" s="135">
        <v>674.05153843306937</v>
      </c>
      <c r="BF310" s="40"/>
      <c r="BG310" s="135">
        <v>262.3444559683079</v>
      </c>
      <c r="BH310" s="135">
        <v>286.72526657844628</v>
      </c>
      <c r="BI310" s="49">
        <v>1388.683174891039</v>
      </c>
      <c r="BJ310" s="49">
        <v>549.06972254675418</v>
      </c>
      <c r="BK310" s="66">
        <v>6.0203257037636515E-2</v>
      </c>
      <c r="BL310" s="66">
        <v>-8.5031957249808499E-2</v>
      </c>
      <c r="BM310" s="51">
        <v>31.276648083131512</v>
      </c>
      <c r="BN310" s="51">
        <v>12.366435192494464</v>
      </c>
      <c r="BO310" s="136"/>
      <c r="BP310" s="40"/>
      <c r="BQ310" s="40"/>
      <c r="BR310" s="67"/>
      <c r="BS310" s="54" t="s">
        <v>110</v>
      </c>
      <c r="BT310" s="68"/>
      <c r="BU310" s="69"/>
      <c r="BV310" s="3"/>
      <c r="BW310" s="3"/>
      <c r="BX310" s="70"/>
      <c r="BY310" s="70"/>
      <c r="BZ310" s="59"/>
      <c r="CA310" s="59"/>
      <c r="CB310" s="59" t="s">
        <v>110</v>
      </c>
      <c r="CC310" s="59" t="s">
        <v>110</v>
      </c>
      <c r="CD310" s="60"/>
      <c r="CE310" s="60"/>
      <c r="CF310" s="61"/>
      <c r="CG310" s="61"/>
      <c r="CH310" s="61"/>
      <c r="CI310" s="138">
        <v>14.4</v>
      </c>
      <c r="CJ310" s="40">
        <f>VLOOKUP(paper3[[#This Row],[YYIR nivå]],$DB:$DC,2)</f>
        <v>600</v>
      </c>
      <c r="CK310" s="3"/>
      <c r="CL310" s="62"/>
      <c r="CM310" s="62"/>
      <c r="CN310" s="3"/>
      <c r="CO310" s="3"/>
      <c r="CP310" s="41">
        <v>13.161111111111111</v>
      </c>
      <c r="CQ310" s="3" t="s">
        <v>110</v>
      </c>
      <c r="CR310" s="40" t="s">
        <v>110</v>
      </c>
      <c r="CS310" s="40" t="s">
        <v>110</v>
      </c>
      <c r="CT310" s="40" t="s">
        <v>110</v>
      </c>
      <c r="CU310" s="40"/>
      <c r="CV310" s="40"/>
      <c r="CW310" s="40"/>
      <c r="CX310" s="40"/>
      <c r="CY310" s="40" t="s">
        <v>201</v>
      </c>
      <c r="CZ310" s="40"/>
      <c r="DA310" s="40"/>
    </row>
    <row r="311" spans="1:105" ht="18.75" customHeight="1">
      <c r="A311" s="3">
        <v>652</v>
      </c>
      <c r="B311" s="92" t="s">
        <v>199</v>
      </c>
      <c r="C311" s="3" t="s">
        <v>104</v>
      </c>
      <c r="D311" s="3" t="s">
        <v>105</v>
      </c>
      <c r="E311" s="39">
        <v>44868</v>
      </c>
      <c r="F311" s="3" t="s">
        <v>106</v>
      </c>
      <c r="G311" s="3" t="s">
        <v>122</v>
      </c>
      <c r="H311" s="3">
        <v>2009</v>
      </c>
      <c r="I311" s="40" t="s">
        <v>108</v>
      </c>
      <c r="J311" s="39" t="s">
        <v>123</v>
      </c>
      <c r="K311" s="3"/>
      <c r="L311" s="3"/>
      <c r="M311" s="3"/>
      <c r="N311" s="3"/>
      <c r="O311" s="3"/>
      <c r="P311" s="3"/>
      <c r="Q311" s="3"/>
      <c r="R311" s="3"/>
      <c r="S311" s="3"/>
      <c r="T311" s="125">
        <v>154.30000000000001</v>
      </c>
      <c r="U311" s="126">
        <v>77.7</v>
      </c>
      <c r="V311" s="12">
        <f>paper3[[#This Row],[height]]-paper3[[#This Row],[sittingheight]]</f>
        <v>76.600000000000009</v>
      </c>
      <c r="W311" s="127">
        <v>36.5</v>
      </c>
      <c r="X311" s="43" cm="1">
        <f t="array" ref="X311">INDEX([1]!phvny[yphv], MATCH(1, (paper3[[#This Row],[id]]=[1]!phvny[id])*(paper3[[#This Row],[time]]=[1]!phvny[time]), 0))</f>
        <v>-1.3372682061829773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130">
        <v>1.899</v>
      </c>
      <c r="AI311" s="130">
        <v>3.3000000000000003</v>
      </c>
      <c r="AJ311" s="130">
        <v>4.6989999999999998</v>
      </c>
      <c r="AK311" s="45">
        <v>7.1479628305932827</v>
      </c>
      <c r="AL311" s="3"/>
      <c r="AM311" s="3"/>
      <c r="AN311" s="3"/>
      <c r="AO311" s="3"/>
      <c r="AP311" s="137">
        <v>9.75</v>
      </c>
      <c r="AQ311" s="132"/>
      <c r="AR311" s="132"/>
      <c r="AS311" s="3"/>
      <c r="AT311" s="3"/>
      <c r="AU311" s="3"/>
      <c r="AV311" s="3"/>
      <c r="AW311" s="3"/>
      <c r="AX311" s="133">
        <v>34.86</v>
      </c>
      <c r="AY311" s="134"/>
      <c r="AZ311" s="40"/>
      <c r="BA311" s="40"/>
      <c r="BB311" s="40"/>
      <c r="BC311" s="40"/>
      <c r="BD311" s="135"/>
      <c r="BE311" s="135"/>
      <c r="BF311" s="40"/>
      <c r="BG311" s="135">
        <v>294.10588965094212</v>
      </c>
      <c r="BH311" s="135">
        <v>274.30056051136296</v>
      </c>
      <c r="BI311" s="49"/>
      <c r="BJ311" s="49">
        <v>568.40645016230508</v>
      </c>
      <c r="BK311" s="66"/>
      <c r="BL311" s="66">
        <v>7.2203021031591152E-2</v>
      </c>
      <c r="BM311" s="51"/>
      <c r="BN311" s="51">
        <v>15.572779456501509</v>
      </c>
      <c r="BO311" s="136"/>
      <c r="BP311" s="40"/>
      <c r="BQ311" s="40"/>
      <c r="BR311" s="67"/>
      <c r="BS311" s="54" t="s">
        <v>110</v>
      </c>
      <c r="BT311" s="68"/>
      <c r="BU311" s="69"/>
      <c r="BV311" s="3"/>
      <c r="BW311" s="3"/>
      <c r="BX311" s="70"/>
      <c r="BY311" s="70"/>
      <c r="BZ311" s="59"/>
      <c r="CA311" s="59"/>
      <c r="CB311" s="59" t="s">
        <v>110</v>
      </c>
      <c r="CC311" s="59" t="s">
        <v>110</v>
      </c>
      <c r="CD311" s="60"/>
      <c r="CE311" s="60"/>
      <c r="CF311" s="61"/>
      <c r="CG311" s="61"/>
      <c r="CH311" s="61"/>
      <c r="CI311" s="139">
        <v>16.2</v>
      </c>
      <c r="CJ311" s="40">
        <f>VLOOKUP(paper3[[#This Row],[YYIR nivå]],$DB:$DC,2)</f>
        <v>1160</v>
      </c>
      <c r="CK311" s="3"/>
      <c r="CL311" s="62"/>
      <c r="CM311" s="62"/>
      <c r="CN311" s="3"/>
      <c r="CO311" s="3"/>
      <c r="CP311" s="41">
        <v>13.258333333333333</v>
      </c>
      <c r="CQ311" s="3" t="s">
        <v>110</v>
      </c>
      <c r="CR311" s="40" t="s">
        <v>110</v>
      </c>
      <c r="CS311" s="40" t="s">
        <v>110</v>
      </c>
      <c r="CT311" s="40" t="s">
        <v>110</v>
      </c>
      <c r="CU311" s="40"/>
      <c r="CV311" s="40"/>
      <c r="CW311" s="40"/>
      <c r="CX311" s="40"/>
      <c r="CY311" s="40" t="s">
        <v>202</v>
      </c>
      <c r="CZ311" s="40"/>
      <c r="DA311" s="40"/>
    </row>
    <row r="312" spans="1:105" ht="18.75">
      <c r="A312" s="3">
        <v>653</v>
      </c>
      <c r="B312" s="92" t="s">
        <v>199</v>
      </c>
      <c r="C312" s="3" t="s">
        <v>104</v>
      </c>
      <c r="D312" s="3" t="s">
        <v>105</v>
      </c>
      <c r="E312" s="39">
        <v>44868</v>
      </c>
      <c r="F312" s="3" t="s">
        <v>106</v>
      </c>
      <c r="G312" s="3" t="s">
        <v>122</v>
      </c>
      <c r="H312" s="3">
        <v>2009</v>
      </c>
      <c r="I312" s="40" t="s">
        <v>108</v>
      </c>
      <c r="J312" s="39" t="s">
        <v>123</v>
      </c>
      <c r="K312" s="3"/>
      <c r="L312" s="3"/>
      <c r="M312" s="3"/>
      <c r="N312" s="3"/>
      <c r="O312" s="3"/>
      <c r="P312" s="3"/>
      <c r="Q312" s="3"/>
      <c r="R312" s="3"/>
      <c r="S312" s="3"/>
      <c r="T312" s="125">
        <v>161.69999999999999</v>
      </c>
      <c r="U312" s="126">
        <v>83.4</v>
      </c>
      <c r="V312" s="12">
        <f>paper3[[#This Row],[height]]-paper3[[#This Row],[sittingheight]]</f>
        <v>78.299999999999983</v>
      </c>
      <c r="W312" s="127">
        <v>43.2</v>
      </c>
      <c r="X312" s="43" cm="1">
        <f t="array" ref="X312">INDEX([1]!phvny[yphv], MATCH(1, (paper3[[#This Row],[id]]=[1]!phvny[id])*(paper3[[#This Row],[time]]=[1]!phvny[time]), 0))</f>
        <v>-0.552852426404143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130">
        <v>2.0129999999999999</v>
      </c>
      <c r="AI312" s="130">
        <v>3.5100000000000002</v>
      </c>
      <c r="AJ312" s="130">
        <v>5.0140000000000002</v>
      </c>
      <c r="AK312" s="45">
        <v>6.6489361702127656</v>
      </c>
      <c r="AL312" s="3"/>
      <c r="AM312" s="3"/>
      <c r="AN312" s="3"/>
      <c r="AO312" s="3"/>
      <c r="AP312" s="137">
        <v>10.299999999999999</v>
      </c>
      <c r="AQ312" s="132"/>
      <c r="AR312" s="132"/>
      <c r="AS312" s="3"/>
      <c r="AT312" s="3"/>
      <c r="AU312" s="3"/>
      <c r="AV312" s="3"/>
      <c r="AW312" s="3"/>
      <c r="AX312" s="133">
        <v>25.26</v>
      </c>
      <c r="AY312" s="134"/>
      <c r="AZ312" s="40"/>
      <c r="BA312" s="40"/>
      <c r="BB312" s="40"/>
      <c r="BC312" s="40"/>
      <c r="BD312" s="135">
        <v>655.80416595678059</v>
      </c>
      <c r="BE312" s="135">
        <v>652.55253291795759</v>
      </c>
      <c r="BF312" s="40"/>
      <c r="BG312" s="135">
        <v>265.13564940134904</v>
      </c>
      <c r="BH312" s="135">
        <v>261.13845435169765</v>
      </c>
      <c r="BI312" s="49">
        <v>1308.3566988747382</v>
      </c>
      <c r="BJ312" s="49">
        <v>526.27410375304669</v>
      </c>
      <c r="BK312" s="66">
        <v>4.9829444754172503E-3</v>
      </c>
      <c r="BL312" s="66">
        <v>1.530680366311743E-2</v>
      </c>
      <c r="BM312" s="51">
        <v>30.286034696174493</v>
      </c>
      <c r="BN312" s="51">
        <v>12.182270920209413</v>
      </c>
      <c r="BO312" s="136"/>
      <c r="BP312" s="40"/>
      <c r="BQ312" s="40"/>
      <c r="BR312" s="67"/>
      <c r="BS312" s="54" t="s">
        <v>110</v>
      </c>
      <c r="BT312" s="68"/>
      <c r="BU312" s="69"/>
      <c r="BV312" s="3"/>
      <c r="BW312" s="3"/>
      <c r="BX312" s="70"/>
      <c r="BY312" s="70"/>
      <c r="BZ312" s="59"/>
      <c r="CA312" s="59"/>
      <c r="CB312" s="59" t="s">
        <v>110</v>
      </c>
      <c r="CC312" s="59" t="s">
        <v>110</v>
      </c>
      <c r="CD312" s="60"/>
      <c r="CE312" s="60"/>
      <c r="CF312" s="61"/>
      <c r="CG312" s="61"/>
      <c r="CH312" s="61"/>
      <c r="CI312" s="138">
        <v>14.8</v>
      </c>
      <c r="CJ312" s="40">
        <f>VLOOKUP(paper3[[#This Row],[YYIR nivå]],$DB:$DC,2)</f>
        <v>760</v>
      </c>
      <c r="CK312" s="3"/>
      <c r="CL312" s="62"/>
      <c r="CM312" s="62"/>
      <c r="CN312" s="3"/>
      <c r="CO312" s="3"/>
      <c r="CP312" s="41">
        <v>13.363888888888889</v>
      </c>
      <c r="CQ312" s="3" t="s">
        <v>110</v>
      </c>
      <c r="CR312" s="40" t="s">
        <v>110</v>
      </c>
      <c r="CS312" s="40" t="s">
        <v>110</v>
      </c>
      <c r="CT312" s="40" t="s">
        <v>110</v>
      </c>
      <c r="CU312" s="40"/>
      <c r="CV312" s="40"/>
      <c r="CW312" s="40"/>
      <c r="CX312" s="40"/>
      <c r="CY312" s="40" t="s">
        <v>201</v>
      </c>
      <c r="CZ312" s="40"/>
      <c r="DA312" s="40"/>
    </row>
    <row r="313" spans="1:105" ht="18.75" customHeight="1">
      <c r="A313" s="3">
        <v>655</v>
      </c>
      <c r="B313" s="92" t="s">
        <v>199</v>
      </c>
      <c r="C313" s="3" t="s">
        <v>104</v>
      </c>
      <c r="D313" s="3" t="s">
        <v>105</v>
      </c>
      <c r="E313" s="39">
        <v>44868</v>
      </c>
      <c r="F313" s="3" t="s">
        <v>106</v>
      </c>
      <c r="G313" s="3" t="s">
        <v>122</v>
      </c>
      <c r="H313" s="3">
        <v>2009</v>
      </c>
      <c r="I313" s="40" t="s">
        <v>108</v>
      </c>
      <c r="J313" s="39" t="s">
        <v>123</v>
      </c>
      <c r="K313" s="3"/>
      <c r="L313" s="3"/>
      <c r="M313" s="3"/>
      <c r="N313" s="3"/>
      <c r="O313" s="3"/>
      <c r="P313" s="3"/>
      <c r="Q313" s="3"/>
      <c r="R313" s="3"/>
      <c r="S313" s="3"/>
      <c r="T313" s="125">
        <v>167.6</v>
      </c>
      <c r="U313" s="126">
        <v>84.5</v>
      </c>
      <c r="V313" s="12">
        <f>paper3[[#This Row],[height]]-paper3[[#This Row],[sittingheight]]</f>
        <v>83.1</v>
      </c>
      <c r="W313" s="127">
        <v>56</v>
      </c>
      <c r="X313" s="43" cm="1">
        <f t="array" ref="X313">INDEX([1]!phvny[yphv], MATCH(1, (paper3[[#This Row],[id]]=[1]!phvny[id])*(paper3[[#This Row],[time]]=[1]!phvny[time]), 0))</f>
        <v>-0.13319347570074436</v>
      </c>
      <c r="Y313" s="3"/>
      <c r="Z313" s="3"/>
      <c r="AA313" s="3"/>
      <c r="AB313" s="3"/>
      <c r="AC313" s="3"/>
      <c r="AD313" s="3"/>
      <c r="AE313" s="3"/>
      <c r="AF313" s="3"/>
      <c r="AG313" s="3"/>
      <c r="AH313" s="130">
        <v>1.9139999999999999</v>
      </c>
      <c r="AI313" s="130">
        <v>3.3400000000000003</v>
      </c>
      <c r="AJ313" s="130">
        <v>4.7590000000000003</v>
      </c>
      <c r="AK313" s="45">
        <v>7.0472163495419311</v>
      </c>
      <c r="AL313" s="3"/>
      <c r="AM313" s="3"/>
      <c r="AN313" s="3"/>
      <c r="AO313" s="141"/>
      <c r="AP313" s="137"/>
      <c r="AQ313" s="132"/>
      <c r="AR313" s="132"/>
      <c r="AS313" s="3"/>
      <c r="AT313" s="3"/>
      <c r="AU313" s="3"/>
      <c r="AV313" s="3"/>
      <c r="AW313" s="3"/>
      <c r="AX313" s="133">
        <v>29.36</v>
      </c>
      <c r="AY313" s="134"/>
      <c r="AZ313" s="40"/>
      <c r="BA313" s="40"/>
      <c r="BB313" s="40"/>
      <c r="BC313" s="40"/>
      <c r="BD313" s="135">
        <v>1129.7280802258549</v>
      </c>
      <c r="BE313" s="135">
        <v>1101.7351558352414</v>
      </c>
      <c r="BF313" s="40"/>
      <c r="BG313" s="135">
        <v>457.20784157470348</v>
      </c>
      <c r="BH313" s="135">
        <v>452.75033971928309</v>
      </c>
      <c r="BI313" s="49">
        <v>2231.4632360610963</v>
      </c>
      <c r="BJ313" s="49">
        <v>909.95818129398663</v>
      </c>
      <c r="BK313" s="66">
        <v>2.5408034083646669E-2</v>
      </c>
      <c r="BL313" s="66">
        <v>9.8453859983498315E-3</v>
      </c>
      <c r="BM313" s="51">
        <v>39.847557786805289</v>
      </c>
      <c r="BN313" s="51">
        <v>16.249253237392619</v>
      </c>
      <c r="BO313" s="136"/>
      <c r="BP313" s="40"/>
      <c r="BQ313" s="40"/>
      <c r="BR313" s="67"/>
      <c r="BS313" s="54" t="s">
        <v>110</v>
      </c>
      <c r="BT313" s="68"/>
      <c r="BU313" s="69"/>
      <c r="BV313" s="3"/>
      <c r="BW313" s="3"/>
      <c r="BX313" s="70"/>
      <c r="BY313" s="70"/>
      <c r="BZ313" s="59"/>
      <c r="CA313" s="59"/>
      <c r="CB313" s="59" t="s">
        <v>110</v>
      </c>
      <c r="CC313" s="59" t="s">
        <v>110</v>
      </c>
      <c r="CD313" s="60"/>
      <c r="CE313" s="60"/>
      <c r="CF313" s="61"/>
      <c r="CG313" s="61"/>
      <c r="CH313" s="61"/>
      <c r="CI313" s="139"/>
      <c r="CJ313" s="40"/>
      <c r="CK313" s="3"/>
      <c r="CL313" s="62"/>
      <c r="CM313" s="62"/>
      <c r="CN313" s="3"/>
      <c r="CO313" s="3"/>
      <c r="CP313" s="41">
        <v>13.647222222222222</v>
      </c>
      <c r="CQ313" s="3" t="s">
        <v>110</v>
      </c>
      <c r="CR313" s="40" t="s">
        <v>110</v>
      </c>
      <c r="CS313" s="40" t="s">
        <v>110</v>
      </c>
      <c r="CT313" s="40" t="s">
        <v>110</v>
      </c>
      <c r="CU313" s="40"/>
      <c r="CV313" s="40"/>
      <c r="CW313" s="40"/>
      <c r="CX313" s="40"/>
      <c r="CY313" s="40" t="s">
        <v>203</v>
      </c>
      <c r="CZ313" s="40"/>
      <c r="DA313" s="40"/>
    </row>
    <row r="314" spans="1:105" ht="18.75" customHeight="1">
      <c r="A314" s="3">
        <v>656</v>
      </c>
      <c r="B314" s="92" t="s">
        <v>199</v>
      </c>
      <c r="C314" s="3" t="s">
        <v>104</v>
      </c>
      <c r="D314" s="3" t="s">
        <v>105</v>
      </c>
      <c r="E314" s="39">
        <v>44868</v>
      </c>
      <c r="F314" s="3" t="s">
        <v>106</v>
      </c>
      <c r="G314" s="3" t="s">
        <v>122</v>
      </c>
      <c r="H314" s="3">
        <v>2009</v>
      </c>
      <c r="I314" s="40" t="s">
        <v>108</v>
      </c>
      <c r="J314" s="39" t="s">
        <v>123</v>
      </c>
      <c r="K314" s="3"/>
      <c r="L314" s="3"/>
      <c r="M314" s="3"/>
      <c r="N314" s="3"/>
      <c r="O314" s="3"/>
      <c r="P314" s="3"/>
      <c r="Q314" s="3"/>
      <c r="R314" s="3"/>
      <c r="S314" s="3"/>
      <c r="T314" s="125">
        <v>164.6</v>
      </c>
      <c r="U314" s="126">
        <v>83.9</v>
      </c>
      <c r="V314" s="12">
        <f>paper3[[#This Row],[height]]-paper3[[#This Row],[sittingheight]]</f>
        <v>80.699999999999989</v>
      </c>
      <c r="W314" s="127">
        <v>45.8</v>
      </c>
      <c r="X314" s="43" cm="1">
        <f t="array" ref="X314">INDEX([1]!phvny[yphv], MATCH(1, (paper3[[#This Row],[id]]=[1]!phvny[id])*(paper3[[#This Row],[time]]=[1]!phvny[time]), 0))</f>
        <v>-0.5210941447667049</v>
      </c>
      <c r="Y314" s="3"/>
      <c r="Z314" s="3"/>
      <c r="AA314" s="3"/>
      <c r="AB314" s="3"/>
      <c r="AC314" s="3"/>
      <c r="AD314" s="3"/>
      <c r="AE314" s="3"/>
      <c r="AF314" s="3"/>
      <c r="AG314" s="3"/>
      <c r="AH314" s="130">
        <v>2.044</v>
      </c>
      <c r="AI314" s="130">
        <v>3.6</v>
      </c>
      <c r="AJ314" s="130">
        <v>5.1870000000000003</v>
      </c>
      <c r="AK314" s="45">
        <v>6.3011972274732191</v>
      </c>
      <c r="AL314" s="3"/>
      <c r="AM314" s="3"/>
      <c r="AN314" s="3"/>
      <c r="AO314" s="3"/>
      <c r="AP314" s="137">
        <v>11.03</v>
      </c>
      <c r="AQ314" s="132"/>
      <c r="AR314" s="132"/>
      <c r="AS314" s="3"/>
      <c r="AT314" s="3"/>
      <c r="AU314" s="3"/>
      <c r="AV314" s="3"/>
      <c r="AW314" s="3"/>
      <c r="AX314" s="133">
        <v>25.96</v>
      </c>
      <c r="AY314" s="134"/>
      <c r="AZ314" s="40"/>
      <c r="BA314" s="40"/>
      <c r="BB314" s="40"/>
      <c r="BC314" s="40"/>
      <c r="BD314" s="135">
        <v>704.20017440948573</v>
      </c>
      <c r="BE314" s="135">
        <v>695.14563400795362</v>
      </c>
      <c r="BF314" s="40"/>
      <c r="BG314" s="135">
        <v>337.84368502913844</v>
      </c>
      <c r="BH314" s="135">
        <v>325.56818096065416</v>
      </c>
      <c r="BI314" s="49">
        <v>1399.3458084174395</v>
      </c>
      <c r="BJ314" s="49">
        <v>663.41186598979266</v>
      </c>
      <c r="BK314" s="66">
        <v>1.3025386276724449E-2</v>
      </c>
      <c r="BL314" s="66">
        <v>3.7704864253819137E-2</v>
      </c>
      <c r="BM314" s="51">
        <v>30.553401930511779</v>
      </c>
      <c r="BN314" s="51">
        <v>14.484975239951806</v>
      </c>
      <c r="BO314" s="136"/>
      <c r="BP314" s="40"/>
      <c r="BQ314" s="40"/>
      <c r="BR314" s="67"/>
      <c r="BS314" s="54" t="s">
        <v>110</v>
      </c>
      <c r="BT314" s="68"/>
      <c r="BU314" s="69"/>
      <c r="BV314" s="3"/>
      <c r="BW314" s="3"/>
      <c r="BX314" s="70"/>
      <c r="BY314" s="70"/>
      <c r="BZ314" s="59"/>
      <c r="CA314" s="59"/>
      <c r="CB314" s="59" t="s">
        <v>110</v>
      </c>
      <c r="CC314" s="59" t="s">
        <v>110</v>
      </c>
      <c r="CD314" s="60"/>
      <c r="CE314" s="60"/>
      <c r="CF314" s="61"/>
      <c r="CG314" s="61"/>
      <c r="CH314" s="61"/>
      <c r="CI314" s="139">
        <v>14.1</v>
      </c>
      <c r="CJ314" s="40">
        <f>VLOOKUP(paper3[[#This Row],[YYIR nivå]],$DB:$DC,2)</f>
        <v>480</v>
      </c>
      <c r="CK314" s="3"/>
      <c r="CL314" s="62"/>
      <c r="CM314" s="62"/>
      <c r="CN314" s="3"/>
      <c r="CO314" s="3"/>
      <c r="CP314" s="41">
        <v>13.25</v>
      </c>
      <c r="CQ314" s="3" t="s">
        <v>110</v>
      </c>
      <c r="CR314" s="40" t="s">
        <v>110</v>
      </c>
      <c r="CS314" s="40" t="s">
        <v>110</v>
      </c>
      <c r="CT314" s="40" t="s">
        <v>110</v>
      </c>
      <c r="CU314" s="40"/>
      <c r="CV314" s="40"/>
      <c r="CW314" s="40"/>
      <c r="CX314" s="40"/>
      <c r="CY314" s="40" t="s">
        <v>202</v>
      </c>
      <c r="CZ314" s="40"/>
      <c r="DA314" s="40"/>
    </row>
    <row r="315" spans="1:105" ht="18.75" customHeight="1">
      <c r="A315" s="3">
        <v>657</v>
      </c>
      <c r="B315" s="92" t="s">
        <v>199</v>
      </c>
      <c r="C315" s="3" t="s">
        <v>171</v>
      </c>
      <c r="D315" s="3" t="s">
        <v>105</v>
      </c>
      <c r="E315" s="39">
        <v>44868</v>
      </c>
      <c r="F315" s="3" t="s">
        <v>106</v>
      </c>
      <c r="G315" s="3" t="s">
        <v>122</v>
      </c>
      <c r="H315" s="3">
        <v>2009</v>
      </c>
      <c r="I315" s="40" t="s">
        <v>108</v>
      </c>
      <c r="J315" s="39" t="s">
        <v>123</v>
      </c>
      <c r="K315" s="3"/>
      <c r="L315" s="3"/>
      <c r="M315" s="3"/>
      <c r="N315" s="3"/>
      <c r="O315" s="3"/>
      <c r="P315" s="3"/>
      <c r="Q315" s="3"/>
      <c r="R315" s="3"/>
      <c r="S315" s="3"/>
      <c r="T315" s="125">
        <v>159.19999999999999</v>
      </c>
      <c r="U315" s="126">
        <v>81.400000000000006</v>
      </c>
      <c r="V315" s="12">
        <f>paper3[[#This Row],[height]]-paper3[[#This Row],[sittingheight]]</f>
        <v>77.799999999999983</v>
      </c>
      <c r="W315" s="127">
        <v>56.9</v>
      </c>
      <c r="X315" s="43" cm="1">
        <f t="array" ref="X315">INDEX([1]!phvny[yphv], MATCH(1, (paper3[[#This Row],[id]]=[1]!phvny[id])*(paper3[[#This Row],[time]]=[1]!phvny[time]), 0))</f>
        <v>-0.66514919678894335</v>
      </c>
      <c r="Y315" s="3"/>
      <c r="Z315" s="3"/>
      <c r="AA315" s="3"/>
      <c r="AB315" s="3"/>
      <c r="AC315" s="3"/>
      <c r="AD315" s="3"/>
      <c r="AE315" s="3"/>
      <c r="AF315" s="3"/>
      <c r="AG315" s="3"/>
      <c r="AH315" s="130">
        <v>2.069</v>
      </c>
      <c r="AI315" s="130">
        <v>3.5900000000000003</v>
      </c>
      <c r="AJ315" s="130">
        <v>5.1870000000000003</v>
      </c>
      <c r="AK315" s="45">
        <v>6.261740763932373</v>
      </c>
      <c r="AL315" s="3"/>
      <c r="AM315" s="3"/>
      <c r="AN315" s="3"/>
      <c r="AO315" s="3"/>
      <c r="AP315" s="137">
        <v>11.059999999999999</v>
      </c>
      <c r="AQ315" s="132"/>
      <c r="AR315" s="132"/>
      <c r="AS315" s="3"/>
      <c r="AT315" s="3"/>
      <c r="AU315" s="3"/>
      <c r="AV315" s="3"/>
      <c r="AW315" s="3"/>
      <c r="AX315" s="133">
        <v>28.560000000000002</v>
      </c>
      <c r="AY315" s="134"/>
      <c r="AZ315" s="40"/>
      <c r="BA315" s="40"/>
      <c r="BB315" s="40"/>
      <c r="BC315" s="40"/>
      <c r="BD315" s="135">
        <v>774.11457163049658</v>
      </c>
      <c r="BE315" s="135">
        <v>842.85176507879237</v>
      </c>
      <c r="BF315" s="40"/>
      <c r="BG315" s="135">
        <v>252.69414243773093</v>
      </c>
      <c r="BH315" s="135">
        <v>273.99271692041424</v>
      </c>
      <c r="BI315" s="49">
        <v>1616.966336709289</v>
      </c>
      <c r="BJ315" s="49">
        <v>526.68685935814517</v>
      </c>
      <c r="BK315" s="66">
        <v>-8.1553122739050132E-2</v>
      </c>
      <c r="BL315" s="66">
        <v>-7.7734089876811741E-2</v>
      </c>
      <c r="BM315" s="51">
        <v>28.417686058159735</v>
      </c>
      <c r="BN315" s="51">
        <v>9.2563595669269798</v>
      </c>
      <c r="BO315" s="136"/>
      <c r="BP315" s="40"/>
      <c r="BQ315" s="40"/>
      <c r="BR315" s="67"/>
      <c r="BS315" s="54" t="s">
        <v>110</v>
      </c>
      <c r="BT315" s="68"/>
      <c r="BU315" s="69"/>
      <c r="BV315" s="3"/>
      <c r="BW315" s="3"/>
      <c r="BX315" s="70"/>
      <c r="BY315" s="70"/>
      <c r="BZ315" s="59"/>
      <c r="CA315" s="59"/>
      <c r="CB315" s="59" t="s">
        <v>110</v>
      </c>
      <c r="CC315" s="59" t="s">
        <v>110</v>
      </c>
      <c r="CD315" s="60"/>
      <c r="CE315" s="60"/>
      <c r="CF315" s="61"/>
      <c r="CG315" s="61"/>
      <c r="CH315" s="61"/>
      <c r="CI315" s="138">
        <v>14.2</v>
      </c>
      <c r="CJ315" s="40">
        <f>VLOOKUP(paper3[[#This Row],[YYIR nivå]],$DB:$DC,2)</f>
        <v>520</v>
      </c>
      <c r="CK315" s="3"/>
      <c r="CL315" s="62"/>
      <c r="CM315" s="62"/>
      <c r="CN315" s="3"/>
      <c r="CO315" s="3"/>
      <c r="CP315" s="41">
        <v>13.180555555555555</v>
      </c>
      <c r="CQ315" s="3" t="s">
        <v>110</v>
      </c>
      <c r="CR315" s="40" t="s">
        <v>110</v>
      </c>
      <c r="CS315" s="40" t="s">
        <v>110</v>
      </c>
      <c r="CT315" s="40" t="s">
        <v>110</v>
      </c>
      <c r="CU315" s="40"/>
      <c r="CV315" s="40"/>
      <c r="CW315" s="40"/>
      <c r="CX315" s="40"/>
      <c r="CY315" s="40" t="s">
        <v>200</v>
      </c>
      <c r="CZ315" s="40"/>
      <c r="DA315" s="40"/>
    </row>
    <row r="316" spans="1:105" ht="18.75">
      <c r="A316" s="3">
        <v>658</v>
      </c>
      <c r="B316" s="92" t="s">
        <v>199</v>
      </c>
      <c r="C316" s="3" t="s">
        <v>104</v>
      </c>
      <c r="D316" s="3" t="s">
        <v>105</v>
      </c>
      <c r="E316" s="39">
        <v>44868</v>
      </c>
      <c r="F316" s="3" t="s">
        <v>106</v>
      </c>
      <c r="G316" s="3" t="s">
        <v>122</v>
      </c>
      <c r="H316" s="3">
        <v>2009</v>
      </c>
      <c r="I316" s="40" t="s">
        <v>108</v>
      </c>
      <c r="J316" s="39" t="s">
        <v>123</v>
      </c>
      <c r="K316" s="3"/>
      <c r="L316" s="3"/>
      <c r="M316" s="3"/>
      <c r="N316" s="3"/>
      <c r="O316" s="3"/>
      <c r="P316" s="3"/>
      <c r="Q316" s="3"/>
      <c r="R316" s="3"/>
      <c r="S316" s="3"/>
      <c r="T316" s="125">
        <v>156.5</v>
      </c>
      <c r="U316" s="126">
        <v>79.400000000000006</v>
      </c>
      <c r="V316" s="12">
        <f>paper3[[#This Row],[height]]-paper3[[#This Row],[sittingheight]]</f>
        <v>77.099999999999994</v>
      </c>
      <c r="W316" s="127">
        <v>48.6</v>
      </c>
      <c r="X316" s="43" cm="1">
        <f t="array" ref="X316">INDEX([1]!phvny[yphv], MATCH(1, (paper3[[#This Row],[id]]=[1]!phvny[id])*(paper3[[#This Row],[time]]=[1]!phvny[time]), 0))</f>
        <v>-0.89098460538107838</v>
      </c>
      <c r="Y316" s="3"/>
      <c r="Z316" s="3"/>
      <c r="AA316" s="3"/>
      <c r="AB316" s="3"/>
      <c r="AC316" s="3"/>
      <c r="AD316" s="3"/>
      <c r="AE316" s="3"/>
      <c r="AF316" s="3"/>
      <c r="AG316" s="3"/>
      <c r="AH316" s="130">
        <v>2.0009999999999999</v>
      </c>
      <c r="AI316" s="130">
        <v>3.5300000000000002</v>
      </c>
      <c r="AJ316" s="130">
        <v>5.0609999999999999</v>
      </c>
      <c r="AK316" s="45">
        <v>6.5316786414108439</v>
      </c>
      <c r="AL316" s="3"/>
      <c r="AM316" s="3"/>
      <c r="AN316" s="3"/>
      <c r="AO316" s="141"/>
      <c r="AP316" s="137"/>
      <c r="AQ316" s="132"/>
      <c r="AR316" s="132"/>
      <c r="AS316" s="3"/>
      <c r="AT316" s="3"/>
      <c r="AU316" s="3"/>
      <c r="AV316" s="3"/>
      <c r="AW316" s="3"/>
      <c r="AX316" s="133">
        <v>26.26</v>
      </c>
      <c r="AY316" s="134"/>
      <c r="AZ316" s="40"/>
      <c r="BA316" s="40"/>
      <c r="BB316" s="40"/>
      <c r="BC316" s="40"/>
      <c r="BD316" s="135">
        <v>681.33238235576573</v>
      </c>
      <c r="BE316" s="135">
        <v>650.2143732332836</v>
      </c>
      <c r="BF316" s="40"/>
      <c r="BG316" s="135">
        <v>305.55483250187785</v>
      </c>
      <c r="BH316" s="135">
        <v>279.01275834617371</v>
      </c>
      <c r="BI316" s="49">
        <v>1331.5467555890493</v>
      </c>
      <c r="BJ316" s="49">
        <v>584.56759084805162</v>
      </c>
      <c r="BK316" s="66">
        <v>4.7858076356791956E-2</v>
      </c>
      <c r="BL316" s="66">
        <v>9.5128532161146362E-2</v>
      </c>
      <c r="BM316" s="51">
        <v>27.398081390721178</v>
      </c>
      <c r="BN316" s="51">
        <v>12.028139729383778</v>
      </c>
      <c r="BO316" s="136"/>
      <c r="BP316" s="40"/>
      <c r="BQ316" s="40"/>
      <c r="BR316" s="67"/>
      <c r="BS316" s="54" t="s">
        <v>110</v>
      </c>
      <c r="BT316" s="68"/>
      <c r="BU316" s="69"/>
      <c r="BV316" s="3"/>
      <c r="BW316" s="3"/>
      <c r="BX316" s="70"/>
      <c r="BY316" s="70"/>
      <c r="BZ316" s="59"/>
      <c r="CA316" s="59"/>
      <c r="CB316" s="59" t="s">
        <v>110</v>
      </c>
      <c r="CC316" s="59" t="s">
        <v>110</v>
      </c>
      <c r="CD316" s="60"/>
      <c r="CE316" s="60"/>
      <c r="CF316" s="61"/>
      <c r="CG316" s="61"/>
      <c r="CH316" s="61"/>
      <c r="CI316" s="139"/>
      <c r="CJ316" s="40"/>
      <c r="CK316" s="3"/>
      <c r="CL316" s="62"/>
      <c r="CM316" s="62"/>
      <c r="CN316" s="3"/>
      <c r="CO316" s="3"/>
      <c r="CP316" s="41">
        <v>13.436111111111112</v>
      </c>
      <c r="CQ316" s="3" t="s">
        <v>110</v>
      </c>
      <c r="CR316" s="40" t="s">
        <v>110</v>
      </c>
      <c r="CS316" s="40" t="s">
        <v>110</v>
      </c>
      <c r="CT316" s="40" t="s">
        <v>110</v>
      </c>
      <c r="CU316" s="40"/>
      <c r="CV316" s="40"/>
      <c r="CW316" s="40"/>
      <c r="CX316" s="40"/>
      <c r="CY316" s="40" t="s">
        <v>201</v>
      </c>
      <c r="CZ316" s="40"/>
      <c r="DA316" s="40"/>
    </row>
    <row r="317" spans="1:105" ht="18.75" customHeight="1">
      <c r="A317" s="3">
        <v>659</v>
      </c>
      <c r="B317" s="92" t="s">
        <v>199</v>
      </c>
      <c r="C317" s="3" t="s">
        <v>104</v>
      </c>
      <c r="D317" s="3" t="s">
        <v>105</v>
      </c>
      <c r="E317" s="39">
        <v>44868</v>
      </c>
      <c r="F317" s="3" t="s">
        <v>106</v>
      </c>
      <c r="G317" s="3" t="s">
        <v>122</v>
      </c>
      <c r="H317" s="3">
        <v>2009</v>
      </c>
      <c r="I317" s="40" t="s">
        <v>108</v>
      </c>
      <c r="J317" s="39" t="s">
        <v>123</v>
      </c>
      <c r="K317" s="3"/>
      <c r="L317" s="3"/>
      <c r="M317" s="3"/>
      <c r="N317" s="3"/>
      <c r="O317" s="3"/>
      <c r="P317" s="3"/>
      <c r="Q317" s="3"/>
      <c r="R317" s="3"/>
      <c r="S317" s="3"/>
      <c r="T317" s="125">
        <v>154.5</v>
      </c>
      <c r="U317" s="126">
        <v>76.3</v>
      </c>
      <c r="V317" s="12">
        <f>paper3[[#This Row],[height]]-paper3[[#This Row],[sittingheight]]</f>
        <v>78.2</v>
      </c>
      <c r="W317" s="127">
        <v>47.7</v>
      </c>
      <c r="X317" s="43" cm="1">
        <f t="array" ref="X317">INDEX([1]!phvny[yphv], MATCH(1, (paper3[[#This Row],[id]]=[1]!phvny[id])*(paper3[[#This Row],[time]]=[1]!phvny[time]), 0))</f>
        <v>-1.1325923386450927</v>
      </c>
      <c r="Y317" s="3"/>
      <c r="Z317" s="3"/>
      <c r="AA317" s="3"/>
      <c r="AB317" s="3"/>
      <c r="AC317" s="3"/>
      <c r="AD317" s="3"/>
      <c r="AE317" s="3"/>
      <c r="AF317" s="3"/>
      <c r="AG317" s="3"/>
      <c r="AH317" s="130">
        <v>2.044</v>
      </c>
      <c r="AI317" s="130">
        <v>3.5700000000000003</v>
      </c>
      <c r="AJ317" s="130">
        <v>5.1740000000000004</v>
      </c>
      <c r="AK317" s="45">
        <v>6.2344139650872812</v>
      </c>
      <c r="AL317" s="3"/>
      <c r="AM317" s="3"/>
      <c r="AN317" s="3"/>
      <c r="AO317" s="3"/>
      <c r="AP317" s="137">
        <v>11.08</v>
      </c>
      <c r="AQ317" s="132"/>
      <c r="AR317" s="132"/>
      <c r="AS317" s="3"/>
      <c r="AT317" s="3"/>
      <c r="AU317" s="3"/>
      <c r="AV317" s="3"/>
      <c r="AW317" s="3"/>
      <c r="AX317" s="133">
        <v>30.66</v>
      </c>
      <c r="AY317" s="134"/>
      <c r="AZ317" s="40"/>
      <c r="BA317" s="40"/>
      <c r="BB317" s="40"/>
      <c r="BC317" s="40"/>
      <c r="BD317" s="135">
        <v>895.58240734843548</v>
      </c>
      <c r="BE317" s="135">
        <v>892.5533466165698</v>
      </c>
      <c r="BF317" s="40"/>
      <c r="BG317" s="135">
        <v>338.37102984377589</v>
      </c>
      <c r="BH317" s="135">
        <v>334.68309897831915</v>
      </c>
      <c r="BI317" s="49">
        <v>1788.1357539650053</v>
      </c>
      <c r="BJ317" s="49">
        <v>673.05412882209498</v>
      </c>
      <c r="BK317" s="66">
        <v>3.393702733117232E-3</v>
      </c>
      <c r="BL317" s="66">
        <v>1.1019172694153978E-2</v>
      </c>
      <c r="BM317" s="51">
        <v>37.487122724633231</v>
      </c>
      <c r="BN317" s="51">
        <v>14.110149451196959</v>
      </c>
      <c r="BO317" s="136"/>
      <c r="BP317" s="40"/>
      <c r="BQ317" s="40"/>
      <c r="BR317" s="67"/>
      <c r="BS317" s="54" t="s">
        <v>110</v>
      </c>
      <c r="BT317" s="68"/>
      <c r="BU317" s="69"/>
      <c r="BV317" s="3"/>
      <c r="BW317" s="3"/>
      <c r="BX317" s="70"/>
      <c r="BY317" s="70"/>
      <c r="BZ317" s="59"/>
      <c r="CA317" s="59"/>
      <c r="CB317" s="59" t="s">
        <v>110</v>
      </c>
      <c r="CC317" s="59" t="s">
        <v>110</v>
      </c>
      <c r="CD317" s="60"/>
      <c r="CE317" s="60"/>
      <c r="CF317" s="61"/>
      <c r="CG317" s="61"/>
      <c r="CH317" s="61"/>
      <c r="CI317" s="138">
        <v>13.4</v>
      </c>
      <c r="CJ317" s="40">
        <f>VLOOKUP(paper3[[#This Row],[YYIR nivå]],$DB:$DC,2)</f>
        <v>440</v>
      </c>
      <c r="CK317" s="3"/>
      <c r="CL317" s="62"/>
      <c r="CM317" s="62"/>
      <c r="CN317" s="3"/>
      <c r="CO317" s="3"/>
      <c r="CP317" s="41">
        <v>13.744444444444444</v>
      </c>
      <c r="CQ317" s="3" t="s">
        <v>110</v>
      </c>
      <c r="CR317" s="40" t="s">
        <v>110</v>
      </c>
      <c r="CS317" s="40" t="s">
        <v>110</v>
      </c>
      <c r="CT317" s="40" t="s">
        <v>110</v>
      </c>
      <c r="CU317" s="40"/>
      <c r="CV317" s="40"/>
      <c r="CW317" s="40"/>
      <c r="CX317" s="40"/>
      <c r="CY317" s="40" t="s">
        <v>203</v>
      </c>
      <c r="CZ317" s="40"/>
      <c r="DA317" s="40"/>
    </row>
    <row r="318" spans="1:105" ht="18.75" customHeight="1">
      <c r="A318" s="3">
        <v>660</v>
      </c>
      <c r="B318" s="92" t="s">
        <v>199</v>
      </c>
      <c r="C318" s="3" t="s">
        <v>104</v>
      </c>
      <c r="D318" s="3" t="s">
        <v>105</v>
      </c>
      <c r="E318" s="39">
        <v>44868</v>
      </c>
      <c r="F318" s="3" t="s">
        <v>106</v>
      </c>
      <c r="G318" s="3" t="s">
        <v>122</v>
      </c>
      <c r="H318" s="3">
        <v>2009</v>
      </c>
      <c r="I318" s="40" t="s">
        <v>108</v>
      </c>
      <c r="J318" s="39" t="s">
        <v>123</v>
      </c>
      <c r="K318" s="3"/>
      <c r="L318" s="3"/>
      <c r="M318" s="3"/>
      <c r="N318" s="3"/>
      <c r="O318" s="3"/>
      <c r="P318" s="3"/>
      <c r="Q318" s="3"/>
      <c r="R318" s="3"/>
      <c r="S318" s="3"/>
      <c r="T318" s="125">
        <v>176.3</v>
      </c>
      <c r="U318" s="126">
        <v>89.4</v>
      </c>
      <c r="V318" s="12">
        <f>paper3[[#This Row],[height]]-paper3[[#This Row],[sittingheight]]</f>
        <v>86.9</v>
      </c>
      <c r="W318" s="127">
        <v>73.7</v>
      </c>
      <c r="X318" s="43" cm="1">
        <f t="array" ref="X318">INDEX([1]!phvny[yphv], MATCH(1, (paper3[[#This Row],[id]]=[1]!phvny[id])*(paper3[[#This Row],[time]]=[1]!phvny[time]), 0))</f>
        <v>0.72721703368806345</v>
      </c>
      <c r="Y318" s="3"/>
      <c r="Z318" s="3"/>
      <c r="AA318" s="3"/>
      <c r="AB318" s="3"/>
      <c r="AC318" s="3"/>
      <c r="AD318" s="3"/>
      <c r="AE318" s="3"/>
      <c r="AF318" s="3"/>
      <c r="AG318" s="3"/>
      <c r="AH318" s="130">
        <v>1.994</v>
      </c>
      <c r="AI318" s="130">
        <v>3.47</v>
      </c>
      <c r="AJ318" s="130">
        <v>4.9409999999999998</v>
      </c>
      <c r="AK318" s="45">
        <v>6.7980965329707699</v>
      </c>
      <c r="AL318" s="3"/>
      <c r="AM318" s="3"/>
      <c r="AN318" s="3"/>
      <c r="AO318" s="3"/>
      <c r="AP318" s="137">
        <v>10.559999999999999</v>
      </c>
      <c r="AQ318" s="132"/>
      <c r="AR318" s="132"/>
      <c r="AS318" s="3"/>
      <c r="AT318" s="3"/>
      <c r="AU318" s="3"/>
      <c r="AV318" s="3"/>
      <c r="AW318" s="3"/>
      <c r="AX318" s="133">
        <v>25.36</v>
      </c>
      <c r="AY318" s="134"/>
      <c r="AZ318" s="40"/>
      <c r="BA318" s="40"/>
      <c r="BB318" s="40"/>
      <c r="BC318" s="40"/>
      <c r="BD318" s="135">
        <v>1047.4679036741304</v>
      </c>
      <c r="BE318" s="135">
        <v>1135.6750277034662</v>
      </c>
      <c r="BF318" s="40"/>
      <c r="BG318" s="135">
        <v>463.3896323399191</v>
      </c>
      <c r="BH318" s="135">
        <v>532.6607555339757</v>
      </c>
      <c r="BI318" s="49">
        <v>2183.1429313775966</v>
      </c>
      <c r="BJ318" s="49">
        <v>996.05038787389481</v>
      </c>
      <c r="BK318" s="66">
        <v>-7.7669334869241657E-2</v>
      </c>
      <c r="BL318" s="66">
        <v>-0.13004735654800492</v>
      </c>
      <c r="BM318" s="51">
        <v>29.622020778529127</v>
      </c>
      <c r="BN318" s="51">
        <v>13.514930636009426</v>
      </c>
      <c r="BO318" s="136"/>
      <c r="BP318" s="40"/>
      <c r="BQ318" s="40"/>
      <c r="BR318" s="67"/>
      <c r="BS318" s="54" t="s">
        <v>110</v>
      </c>
      <c r="BT318" s="68"/>
      <c r="BU318" s="69"/>
      <c r="BV318" s="3"/>
      <c r="BW318" s="3"/>
      <c r="BX318" s="70"/>
      <c r="BY318" s="70"/>
      <c r="BZ318" s="59"/>
      <c r="CA318" s="59"/>
      <c r="CB318" s="59" t="s">
        <v>110</v>
      </c>
      <c r="CC318" s="59" t="s">
        <v>110</v>
      </c>
      <c r="CD318" s="60"/>
      <c r="CE318" s="60"/>
      <c r="CF318" s="61"/>
      <c r="CG318" s="61"/>
      <c r="CH318" s="61"/>
      <c r="CI318" s="139">
        <v>15.1</v>
      </c>
      <c r="CJ318" s="40">
        <f>VLOOKUP(paper3[[#This Row],[YYIR nivå]],$DB:$DC,2)</f>
        <v>800</v>
      </c>
      <c r="CK318" s="3"/>
      <c r="CL318" s="62"/>
      <c r="CM318" s="62"/>
      <c r="CN318" s="3"/>
      <c r="CO318" s="3"/>
      <c r="CP318" s="41">
        <v>13.786111111111111</v>
      </c>
      <c r="CQ318" s="3" t="s">
        <v>110</v>
      </c>
      <c r="CR318" s="40" t="s">
        <v>110</v>
      </c>
      <c r="CS318" s="40" t="s">
        <v>110</v>
      </c>
      <c r="CT318" s="40" t="s">
        <v>110</v>
      </c>
      <c r="CU318" s="40"/>
      <c r="CV318" s="40"/>
      <c r="CW318" s="40"/>
      <c r="CX318" s="40"/>
      <c r="CY318" s="40" t="s">
        <v>201</v>
      </c>
      <c r="CZ318" s="40"/>
      <c r="DA318" s="40"/>
    </row>
    <row r="319" spans="1:105" ht="18.75">
      <c r="A319" s="3">
        <v>661</v>
      </c>
      <c r="B319" s="92" t="s">
        <v>199</v>
      </c>
      <c r="C319" s="3" t="s">
        <v>104</v>
      </c>
      <c r="D319" s="3" t="s">
        <v>105</v>
      </c>
      <c r="E319" s="39">
        <v>44868</v>
      </c>
      <c r="F319" s="3" t="s">
        <v>106</v>
      </c>
      <c r="G319" s="3" t="s">
        <v>122</v>
      </c>
      <c r="H319" s="3">
        <v>2009</v>
      </c>
      <c r="I319" s="40" t="s">
        <v>108</v>
      </c>
      <c r="J319" s="39" t="s">
        <v>123</v>
      </c>
      <c r="K319" s="3"/>
      <c r="L319" s="3"/>
      <c r="M319" s="3"/>
      <c r="N319" s="3"/>
      <c r="O319" s="3"/>
      <c r="P319" s="3"/>
      <c r="Q319" s="3"/>
      <c r="R319" s="3"/>
      <c r="S319" s="3"/>
      <c r="T319" s="125">
        <v>153.6</v>
      </c>
      <c r="U319" s="126">
        <v>78.3</v>
      </c>
      <c r="V319" s="12">
        <f>paper3[[#This Row],[height]]-paper3[[#This Row],[sittingheight]]</f>
        <v>75.3</v>
      </c>
      <c r="W319" s="127">
        <v>45.1</v>
      </c>
      <c r="X319" s="43" cm="1">
        <f t="array" ref="X319">INDEX([1]!phvny[yphv], MATCH(1, (paper3[[#This Row],[id]]=[1]!phvny[id])*(paper3[[#This Row],[time]]=[1]!phvny[time]), 0))</f>
        <v>-1.1685056805000005</v>
      </c>
      <c r="Y319" s="3"/>
      <c r="Z319" s="3"/>
      <c r="AA319" s="3"/>
      <c r="AB319" s="3"/>
      <c r="AC319" s="3"/>
      <c r="AD319" s="3"/>
      <c r="AE319" s="3"/>
      <c r="AF319" s="3"/>
      <c r="AG319" s="3"/>
      <c r="AH319" s="130">
        <v>1.9629999999999999</v>
      </c>
      <c r="AI319" s="130">
        <v>3.39</v>
      </c>
      <c r="AJ319" s="130">
        <v>4.8220000000000001</v>
      </c>
      <c r="AK319" s="45">
        <v>6.983240223463687</v>
      </c>
      <c r="AL319" s="3"/>
      <c r="AM319" s="3"/>
      <c r="AN319" s="3"/>
      <c r="AO319" s="3"/>
      <c r="AP319" s="137">
        <v>10.26</v>
      </c>
      <c r="AQ319" s="132"/>
      <c r="AR319" s="132"/>
      <c r="AS319" s="3"/>
      <c r="AT319" s="3"/>
      <c r="AU319" s="3"/>
      <c r="AV319" s="3"/>
      <c r="AW319" s="3"/>
      <c r="AX319" s="133">
        <v>25.66</v>
      </c>
      <c r="AY319" s="134"/>
      <c r="AZ319" s="40"/>
      <c r="BA319" s="40"/>
      <c r="BB319" s="40"/>
      <c r="BC319" s="40"/>
      <c r="BD319" s="135">
        <v>848.47737890582675</v>
      </c>
      <c r="BE319" s="135">
        <v>811.32677482972531</v>
      </c>
      <c r="BF319" s="40"/>
      <c r="BG319" s="135">
        <v>268.18254351814164</v>
      </c>
      <c r="BH319" s="135">
        <v>287.46018291914834</v>
      </c>
      <c r="BI319" s="49">
        <v>1659.8041537355521</v>
      </c>
      <c r="BJ319" s="49">
        <v>555.64272643728998</v>
      </c>
      <c r="BK319" s="66">
        <v>4.5789939674921065E-2</v>
      </c>
      <c r="BL319" s="66">
        <v>-6.706194647635344E-2</v>
      </c>
      <c r="BM319" s="51">
        <v>36.80275285444683</v>
      </c>
      <c r="BN319" s="51">
        <v>12.320237836747006</v>
      </c>
      <c r="BO319" s="136"/>
      <c r="BP319" s="40"/>
      <c r="BQ319" s="40"/>
      <c r="BR319" s="67"/>
      <c r="BS319" s="54" t="s">
        <v>110</v>
      </c>
      <c r="BT319" s="68"/>
      <c r="BU319" s="69"/>
      <c r="BV319" s="3"/>
      <c r="BW319" s="3"/>
      <c r="BX319" s="70"/>
      <c r="BY319" s="70"/>
      <c r="BZ319" s="59"/>
      <c r="CA319" s="59"/>
      <c r="CB319" s="59" t="s">
        <v>110</v>
      </c>
      <c r="CC319" s="59" t="s">
        <v>110</v>
      </c>
      <c r="CD319" s="60"/>
      <c r="CE319" s="60"/>
      <c r="CF319" s="61"/>
      <c r="CG319" s="61"/>
      <c r="CH319" s="61"/>
      <c r="CI319" s="138">
        <v>16.100000000000001</v>
      </c>
      <c r="CJ319" s="40">
        <f>VLOOKUP(paper3[[#This Row],[YYIR nivå]],$DB:$DC,2)</f>
        <v>1120</v>
      </c>
      <c r="CK319" s="3"/>
      <c r="CL319" s="62"/>
      <c r="CM319" s="62"/>
      <c r="CN319" s="3"/>
      <c r="CO319" s="3"/>
      <c r="CP319" s="41">
        <v>13.183333333333334</v>
      </c>
      <c r="CQ319" s="3" t="s">
        <v>110</v>
      </c>
      <c r="CR319" s="40" t="s">
        <v>110</v>
      </c>
      <c r="CS319" s="40" t="s">
        <v>110</v>
      </c>
      <c r="CT319" s="40" t="s">
        <v>110</v>
      </c>
      <c r="CU319" s="40"/>
      <c r="CV319" s="40"/>
      <c r="CW319" s="40"/>
      <c r="CX319" s="40"/>
      <c r="CY319" s="40" t="s">
        <v>204</v>
      </c>
      <c r="CZ319" s="40"/>
      <c r="DA319" s="40"/>
    </row>
    <row r="320" spans="1:105" ht="18.75" customHeight="1">
      <c r="A320" s="3">
        <v>662</v>
      </c>
      <c r="B320" s="92" t="s">
        <v>199</v>
      </c>
      <c r="C320" s="3" t="s">
        <v>104</v>
      </c>
      <c r="D320" s="3" t="s">
        <v>105</v>
      </c>
      <c r="E320" s="39">
        <v>44868</v>
      </c>
      <c r="F320" s="3" t="s">
        <v>106</v>
      </c>
      <c r="G320" s="3" t="s">
        <v>122</v>
      </c>
      <c r="H320" s="3">
        <v>2009</v>
      </c>
      <c r="I320" s="40" t="s">
        <v>108</v>
      </c>
      <c r="J320" s="39" t="s">
        <v>123</v>
      </c>
      <c r="K320" s="3"/>
      <c r="L320" s="3"/>
      <c r="M320" s="3"/>
      <c r="N320" s="3"/>
      <c r="O320" s="3"/>
      <c r="P320" s="3"/>
      <c r="Q320" s="3"/>
      <c r="R320" s="3"/>
      <c r="S320" s="3"/>
      <c r="T320" s="125">
        <v>153.5</v>
      </c>
      <c r="U320" s="126">
        <v>81</v>
      </c>
      <c r="V320" s="12">
        <f>paper3[[#This Row],[height]]-paper3[[#This Row],[sittingheight]]</f>
        <v>72.5</v>
      </c>
      <c r="W320" s="127">
        <v>42.6</v>
      </c>
      <c r="X320" s="43" cm="1">
        <f t="array" ref="X320">INDEX([1]!phvny[yphv], MATCH(1, (paper3[[#This Row],[id]]=[1]!phvny[id])*(paper3[[#This Row],[time]]=[1]!phvny[time]), 0))</f>
        <v>-0.79686517734799134</v>
      </c>
      <c r="Y320" s="3"/>
      <c r="Z320" s="3"/>
      <c r="AA320" s="3"/>
      <c r="AB320" s="3"/>
      <c r="AC320" s="3"/>
      <c r="AD320" s="3"/>
      <c r="AE320" s="3"/>
      <c r="AF320" s="3"/>
      <c r="AG320" s="3"/>
      <c r="AH320" s="130">
        <v>2.0110000000000001</v>
      </c>
      <c r="AI320" s="130">
        <v>3.4290000000000003</v>
      </c>
      <c r="AJ320" s="130">
        <v>4.843</v>
      </c>
      <c r="AK320" s="45">
        <v>7.0721357850070738</v>
      </c>
      <c r="AL320" s="3"/>
      <c r="AM320" s="3"/>
      <c r="AN320" s="3"/>
      <c r="AO320" s="3"/>
      <c r="AP320" s="137">
        <v>9.9599999999999991</v>
      </c>
      <c r="AQ320" s="132"/>
      <c r="AR320" s="132"/>
      <c r="AS320" s="3"/>
      <c r="AT320" s="3"/>
      <c r="AU320" s="3"/>
      <c r="AV320" s="3"/>
      <c r="AW320" s="3"/>
      <c r="AX320" s="133">
        <v>34.26</v>
      </c>
      <c r="AY320" s="134"/>
      <c r="AZ320" s="40"/>
      <c r="BA320" s="40"/>
      <c r="BB320" s="40"/>
      <c r="BC320" s="40"/>
      <c r="BD320" s="135">
        <v>936.24809808034411</v>
      </c>
      <c r="BE320" s="135">
        <v>915.15297010707241</v>
      </c>
      <c r="BF320" s="40"/>
      <c r="BG320" s="135">
        <v>327.09676317847823</v>
      </c>
      <c r="BH320" s="135">
        <v>313.33392922662676</v>
      </c>
      <c r="BI320" s="49">
        <v>1851.4010681874165</v>
      </c>
      <c r="BJ320" s="49">
        <v>640.43069240510499</v>
      </c>
      <c r="BK320" s="66">
        <v>2.3050931005341724E-2</v>
      </c>
      <c r="BL320" s="66">
        <v>4.3923854610386392E-2</v>
      </c>
      <c r="BM320" s="51">
        <v>43.4601189715356</v>
      </c>
      <c r="BN320" s="51">
        <v>15.033584328758332</v>
      </c>
      <c r="BO320" s="136"/>
      <c r="BP320" s="40"/>
      <c r="BQ320" s="40"/>
      <c r="BR320" s="67"/>
      <c r="BS320" s="54" t="s">
        <v>110</v>
      </c>
      <c r="BT320" s="68"/>
      <c r="BU320" s="69"/>
      <c r="BV320" s="3"/>
      <c r="BW320" s="3"/>
      <c r="BX320" s="70"/>
      <c r="BY320" s="70"/>
      <c r="BZ320" s="59"/>
      <c r="CA320" s="59"/>
      <c r="CB320" s="59" t="s">
        <v>110</v>
      </c>
      <c r="CC320" s="59" t="s">
        <v>110</v>
      </c>
      <c r="CD320" s="60"/>
      <c r="CE320" s="60"/>
      <c r="CF320" s="61"/>
      <c r="CG320" s="61"/>
      <c r="CH320" s="61"/>
      <c r="CI320" s="139">
        <v>16.600000000000001</v>
      </c>
      <c r="CJ320" s="40">
        <f>VLOOKUP(paper3[[#This Row],[YYIR nivå]],$DB:$DC,2)</f>
        <v>1320</v>
      </c>
      <c r="CK320" s="3"/>
      <c r="CL320" s="62"/>
      <c r="CM320" s="62"/>
      <c r="CN320" s="3"/>
      <c r="CO320" s="3"/>
      <c r="CP320" s="41">
        <v>13.391666666666667</v>
      </c>
      <c r="CQ320" s="3" t="s">
        <v>110</v>
      </c>
      <c r="CR320" s="40" t="s">
        <v>110</v>
      </c>
      <c r="CS320" s="40" t="s">
        <v>110</v>
      </c>
      <c r="CT320" s="40" t="s">
        <v>110</v>
      </c>
      <c r="CU320" s="40"/>
      <c r="CV320" s="40"/>
      <c r="CW320" s="40"/>
      <c r="CX320" s="40"/>
      <c r="CY320" s="40" t="s">
        <v>204</v>
      </c>
      <c r="CZ320" s="40"/>
      <c r="DA320" s="40"/>
    </row>
    <row r="321" spans="1:105" ht="18.75" customHeight="1">
      <c r="A321" s="3">
        <v>663</v>
      </c>
      <c r="B321" s="92" t="s">
        <v>199</v>
      </c>
      <c r="C321" s="142" t="s">
        <v>104</v>
      </c>
      <c r="D321" s="142" t="s">
        <v>105</v>
      </c>
      <c r="E321" s="39">
        <v>44868</v>
      </c>
      <c r="F321" s="3" t="s">
        <v>106</v>
      </c>
      <c r="G321" s="3" t="s">
        <v>122</v>
      </c>
      <c r="H321" s="3">
        <v>2009</v>
      </c>
      <c r="I321" s="40" t="s">
        <v>108</v>
      </c>
      <c r="J321" s="39" t="s">
        <v>123</v>
      </c>
      <c r="K321" s="3"/>
      <c r="L321" s="3"/>
      <c r="M321" s="3"/>
      <c r="N321" s="3"/>
      <c r="O321" s="3"/>
      <c r="P321" s="3"/>
      <c r="Q321" s="3"/>
      <c r="R321" s="3"/>
      <c r="S321" s="3"/>
      <c r="T321" s="125">
        <v>167.6</v>
      </c>
      <c r="U321" s="126">
        <v>86.9</v>
      </c>
      <c r="V321" s="12">
        <f>paper3[[#This Row],[height]]-paper3[[#This Row],[sittingheight]]</f>
        <v>80.699999999999989</v>
      </c>
      <c r="W321" s="127">
        <v>51.6</v>
      </c>
      <c r="X321" s="43" cm="1">
        <f t="array" ref="X321">INDEX([1]!phvny[yphv], MATCH(1, (paper3[[#This Row],[id]]=[1]!phvny[id])*(paper3[[#This Row],[time]]=[1]!phvny[time]), 0))</f>
        <v>-6.7937856354016946E-2</v>
      </c>
      <c r="Y321" s="3"/>
      <c r="Z321" s="3"/>
      <c r="AA321" s="3"/>
      <c r="AB321" s="3"/>
      <c r="AC321" s="3"/>
      <c r="AD321" s="3"/>
      <c r="AE321" s="3"/>
      <c r="AF321" s="3"/>
      <c r="AG321" s="3"/>
      <c r="AH321" s="130">
        <v>1.98</v>
      </c>
      <c r="AI321" s="130">
        <v>3.4020000000000001</v>
      </c>
      <c r="AJ321" s="130">
        <v>4.8179999999999996</v>
      </c>
      <c r="AK321" s="45">
        <v>7.0621468926553694</v>
      </c>
      <c r="AL321" s="3"/>
      <c r="AM321" s="3"/>
      <c r="AN321" s="3"/>
      <c r="AO321" s="3"/>
      <c r="AP321" s="137">
        <v>10.53</v>
      </c>
      <c r="AQ321" s="132"/>
      <c r="AR321" s="132"/>
      <c r="AS321" s="3"/>
      <c r="AT321" s="3"/>
      <c r="AU321" s="3"/>
      <c r="AV321" s="3"/>
      <c r="AW321" s="3"/>
      <c r="AX321" s="133">
        <v>28.46</v>
      </c>
      <c r="AY321" s="134"/>
      <c r="AZ321" s="40"/>
      <c r="BA321" s="40"/>
      <c r="BB321" s="40"/>
      <c r="BC321" s="40"/>
      <c r="BD321" s="135">
        <v>662.57764620781154</v>
      </c>
      <c r="BE321" s="135">
        <v>692.49064695190521</v>
      </c>
      <c r="BF321" s="40"/>
      <c r="BG321" s="135">
        <v>323.31142102030043</v>
      </c>
      <c r="BH321" s="135">
        <v>327.83127494262408</v>
      </c>
      <c r="BI321" s="49">
        <v>1355.0682931597166</v>
      </c>
      <c r="BJ321" s="49">
        <v>651.14269596292456</v>
      </c>
      <c r="BK321" s="66">
        <v>-4.3196252362049825E-2</v>
      </c>
      <c r="BL321" s="66">
        <v>-1.3787134626233266E-2</v>
      </c>
      <c r="BM321" s="51">
        <v>26.26101343332784</v>
      </c>
      <c r="BN321" s="51">
        <v>12.619044495405515</v>
      </c>
      <c r="BO321" s="136"/>
      <c r="BP321" s="40"/>
      <c r="BQ321" s="40"/>
      <c r="BR321" s="67"/>
      <c r="BS321" s="54" t="s">
        <v>110</v>
      </c>
      <c r="BT321" s="68"/>
      <c r="BU321" s="69"/>
      <c r="BV321" s="3"/>
      <c r="BW321" s="3"/>
      <c r="BX321" s="70"/>
      <c r="BY321" s="70"/>
      <c r="BZ321" s="59"/>
      <c r="CA321" s="59"/>
      <c r="CB321" s="59" t="s">
        <v>110</v>
      </c>
      <c r="CC321" s="59" t="s">
        <v>110</v>
      </c>
      <c r="CD321" s="60"/>
      <c r="CE321" s="60"/>
      <c r="CF321" s="61"/>
      <c r="CG321" s="61"/>
      <c r="CH321" s="61"/>
      <c r="CI321" s="138">
        <v>14.8</v>
      </c>
      <c r="CJ321" s="40">
        <f>VLOOKUP(paper3[[#This Row],[YYIR nivå]],$DB:$DC,2)</f>
        <v>760</v>
      </c>
      <c r="CK321" s="3"/>
      <c r="CL321" s="62"/>
      <c r="CM321" s="62"/>
      <c r="CN321" s="3"/>
      <c r="CO321" s="3"/>
      <c r="CP321" s="41">
        <v>13.316666666666666</v>
      </c>
      <c r="CQ321" s="3" t="s">
        <v>110</v>
      </c>
      <c r="CR321" s="40" t="s">
        <v>110</v>
      </c>
      <c r="CS321" s="40" t="s">
        <v>110</v>
      </c>
      <c r="CT321" s="40" t="s">
        <v>110</v>
      </c>
      <c r="CU321" s="40"/>
      <c r="CV321" s="40"/>
      <c r="CW321" s="40"/>
      <c r="CX321" s="40"/>
      <c r="CY321" s="40" t="s">
        <v>204</v>
      </c>
      <c r="CZ321" s="40"/>
      <c r="DA321" s="40"/>
    </row>
    <row r="322" spans="1:105" ht="18.75" customHeight="1">
      <c r="A322" s="3">
        <v>664</v>
      </c>
      <c r="B322" s="92" t="s">
        <v>199</v>
      </c>
      <c r="C322" s="142" t="s">
        <v>104</v>
      </c>
      <c r="D322" s="142" t="s">
        <v>105</v>
      </c>
      <c r="E322" s="39">
        <v>44868</v>
      </c>
      <c r="F322" s="3" t="s">
        <v>106</v>
      </c>
      <c r="G322" s="3" t="s">
        <v>122</v>
      </c>
      <c r="H322" s="3">
        <v>2009</v>
      </c>
      <c r="I322" s="40" t="s">
        <v>108</v>
      </c>
      <c r="J322" s="39" t="s">
        <v>123</v>
      </c>
      <c r="K322" s="3"/>
      <c r="L322" s="3"/>
      <c r="M322" s="3"/>
      <c r="N322" s="3"/>
      <c r="O322" s="3"/>
      <c r="P322" s="3"/>
      <c r="Q322" s="3"/>
      <c r="R322" s="3"/>
      <c r="S322" s="3"/>
      <c r="T322" s="125">
        <v>168.3</v>
      </c>
      <c r="U322" s="126">
        <v>86.4</v>
      </c>
      <c r="V322" s="12">
        <f>paper3[[#This Row],[height]]-paper3[[#This Row],[sittingheight]]</f>
        <v>81.900000000000006</v>
      </c>
      <c r="W322" s="127">
        <v>46.8</v>
      </c>
      <c r="X322" s="43" cm="1">
        <f t="array" ref="X322">INDEX([1]!phvny[yphv], MATCH(1, (paper3[[#This Row],[id]]=[1]!phvny[id])*(paper3[[#This Row],[time]]=[1]!phvny[time]), 0))</f>
        <v>-0.30876146091711332</v>
      </c>
      <c r="Y322" s="3"/>
      <c r="Z322" s="3"/>
      <c r="AA322" s="3"/>
      <c r="AB322" s="3"/>
      <c r="AC322" s="3"/>
      <c r="AD322" s="3"/>
      <c r="AE322" s="3"/>
      <c r="AF322" s="3"/>
      <c r="AG322" s="3"/>
      <c r="AH322" s="130">
        <v>1.919</v>
      </c>
      <c r="AI322" s="130">
        <v>3.375</v>
      </c>
      <c r="AJ322" s="130">
        <v>4.84</v>
      </c>
      <c r="AK322" s="45">
        <v>6.8259385665529013</v>
      </c>
      <c r="AL322" s="3"/>
      <c r="AM322" s="3"/>
      <c r="AN322" s="3"/>
      <c r="AO322" s="3"/>
      <c r="AP322" s="137">
        <v>10.379999999999999</v>
      </c>
      <c r="AQ322" s="132"/>
      <c r="AR322" s="132"/>
      <c r="AS322" s="3"/>
      <c r="AT322" s="3"/>
      <c r="AU322" s="3"/>
      <c r="AV322" s="3"/>
      <c r="AW322" s="3"/>
      <c r="AX322" s="133">
        <v>24.36</v>
      </c>
      <c r="AY322" s="134"/>
      <c r="AZ322" s="40"/>
      <c r="BA322" s="40"/>
      <c r="BB322" s="40"/>
      <c r="BC322" s="40"/>
      <c r="BD322" s="135">
        <v>706.49201960950188</v>
      </c>
      <c r="BE322" s="135">
        <v>730.26507671507284</v>
      </c>
      <c r="BF322" s="40"/>
      <c r="BG322" s="135">
        <v>292.73402940876178</v>
      </c>
      <c r="BH322" s="135">
        <v>325.14743380189623</v>
      </c>
      <c r="BI322" s="49">
        <v>1436.7570963245748</v>
      </c>
      <c r="BJ322" s="49">
        <v>617.88146321065801</v>
      </c>
      <c r="BK322" s="66">
        <v>-3.2554010678572332E-2</v>
      </c>
      <c r="BL322" s="66">
        <v>-9.9688329119285268E-2</v>
      </c>
      <c r="BM322" s="51">
        <v>30.699937955653311</v>
      </c>
      <c r="BN322" s="51">
        <v>13.202595367749103</v>
      </c>
      <c r="BO322" s="136"/>
      <c r="BP322" s="40"/>
      <c r="BQ322" s="40"/>
      <c r="BR322" s="67"/>
      <c r="BS322" s="54" t="s">
        <v>110</v>
      </c>
      <c r="BT322" s="68"/>
      <c r="BU322" s="69"/>
      <c r="BV322" s="3"/>
      <c r="BW322" s="3"/>
      <c r="BX322" s="70"/>
      <c r="BY322" s="70"/>
      <c r="BZ322" s="59"/>
      <c r="CA322" s="59"/>
      <c r="CB322" s="59" t="s">
        <v>110</v>
      </c>
      <c r="CC322" s="59" t="s">
        <v>110</v>
      </c>
      <c r="CD322" s="60"/>
      <c r="CE322" s="60"/>
      <c r="CF322" s="61"/>
      <c r="CG322" s="61"/>
      <c r="CH322" s="61"/>
      <c r="CI322" s="139">
        <v>15.3</v>
      </c>
      <c r="CJ322" s="40">
        <f>VLOOKUP(paper3[[#This Row],[YYIR nivå]],$DB:$DC,2)</f>
        <v>880</v>
      </c>
      <c r="CK322" s="3"/>
      <c r="CL322" s="62"/>
      <c r="CM322" s="62"/>
      <c r="CN322" s="3"/>
      <c r="CO322" s="3"/>
      <c r="CP322" s="41">
        <v>13.080555555555556</v>
      </c>
      <c r="CQ322" s="3" t="s">
        <v>110</v>
      </c>
      <c r="CR322" s="40" t="s">
        <v>110</v>
      </c>
      <c r="CS322" s="40" t="s">
        <v>110</v>
      </c>
      <c r="CT322" s="40" t="s">
        <v>110</v>
      </c>
      <c r="CU322" s="40"/>
      <c r="CV322" s="40"/>
      <c r="CW322" s="40"/>
      <c r="CX322" s="40"/>
      <c r="CY322" s="40" t="s">
        <v>125</v>
      </c>
      <c r="CZ322" s="40"/>
      <c r="DA322" s="40"/>
    </row>
    <row r="323" spans="1:105" ht="18.75" customHeight="1">
      <c r="A323" s="3">
        <v>665</v>
      </c>
      <c r="B323" s="92" t="s">
        <v>199</v>
      </c>
      <c r="C323" s="142" t="s">
        <v>171</v>
      </c>
      <c r="D323" s="38" t="s">
        <v>105</v>
      </c>
      <c r="E323" s="39">
        <v>44868</v>
      </c>
      <c r="F323" s="3" t="s">
        <v>106</v>
      </c>
      <c r="G323" s="3" t="s">
        <v>122</v>
      </c>
      <c r="H323" s="3">
        <v>2009</v>
      </c>
      <c r="I323" s="40" t="s">
        <v>108</v>
      </c>
      <c r="J323" s="39" t="s">
        <v>123</v>
      </c>
      <c r="K323" s="3"/>
      <c r="L323" s="3"/>
      <c r="M323" s="3"/>
      <c r="N323" s="3"/>
      <c r="O323" s="3"/>
      <c r="P323" s="3"/>
      <c r="Q323" s="3"/>
      <c r="R323" s="3"/>
      <c r="S323" s="3"/>
      <c r="T323" s="125">
        <v>180</v>
      </c>
      <c r="U323" s="126">
        <v>92.1</v>
      </c>
      <c r="V323" s="12">
        <f>paper3[[#This Row],[height]]-paper3[[#This Row],[sittingheight]]</f>
        <v>87.9</v>
      </c>
      <c r="W323" s="127">
        <v>65.5</v>
      </c>
      <c r="X323" s="43" cm="1">
        <f t="array" ref="X323">INDEX([1]!phvny[yphv], MATCH(1, (paper3[[#This Row],[id]]=[1]!phvny[id])*(paper3[[#This Row],[time]]=[1]!phvny[time]), 0))</f>
        <v>0.85949591949999971</v>
      </c>
      <c r="Y323" s="3"/>
      <c r="Z323" s="3"/>
      <c r="AA323" s="3"/>
      <c r="AB323" s="3"/>
      <c r="AC323" s="3"/>
      <c r="AD323" s="3"/>
      <c r="AE323" s="3"/>
      <c r="AF323" s="3"/>
      <c r="AG323" s="3"/>
      <c r="AH323" s="130">
        <v>1.923</v>
      </c>
      <c r="AI323" s="130">
        <v>3.3600000000000003</v>
      </c>
      <c r="AJ323" s="130">
        <v>4.7990000000000004</v>
      </c>
      <c r="AK323" s="45">
        <v>6.9492703266157054</v>
      </c>
      <c r="AL323" s="3"/>
      <c r="AM323" s="3"/>
      <c r="AN323" s="3"/>
      <c r="AO323" s="3"/>
      <c r="AP323" s="137">
        <v>10.389999999999999</v>
      </c>
      <c r="AQ323" s="132"/>
      <c r="AR323" s="132"/>
      <c r="AS323" s="3"/>
      <c r="AT323" s="3"/>
      <c r="AU323" s="3"/>
      <c r="AV323" s="3"/>
      <c r="AW323" s="3"/>
      <c r="AX323" s="133">
        <v>29.16</v>
      </c>
      <c r="AY323" s="134"/>
      <c r="AZ323" s="40"/>
      <c r="BA323" s="40"/>
      <c r="BB323" s="40"/>
      <c r="BC323" s="40"/>
      <c r="BD323" s="135">
        <v>1007.0834693692647</v>
      </c>
      <c r="BE323" s="135">
        <v>919.70245462332298</v>
      </c>
      <c r="BF323" s="40"/>
      <c r="BG323" s="135">
        <v>465.37666850143921</v>
      </c>
      <c r="BH323" s="135">
        <v>465.44478901994245</v>
      </c>
      <c r="BI323" s="49">
        <v>1926.7859239925876</v>
      </c>
      <c r="BJ323" s="49">
        <v>930.82145752138172</v>
      </c>
      <c r="BK323" s="66">
        <v>9.5010091912530292E-2</v>
      </c>
      <c r="BL323" s="66">
        <v>-1.4635574424770592E-4</v>
      </c>
      <c r="BM323" s="51">
        <v>29.416578992253246</v>
      </c>
      <c r="BN323" s="51">
        <v>14.211014618647049</v>
      </c>
      <c r="BO323" s="136"/>
      <c r="BP323" s="40"/>
      <c r="BQ323" s="40"/>
      <c r="BR323" s="67"/>
      <c r="BS323" s="54" t="s">
        <v>110</v>
      </c>
      <c r="BT323" s="68"/>
      <c r="BU323" s="69"/>
      <c r="BV323" s="3"/>
      <c r="BW323" s="3"/>
      <c r="BX323" s="70"/>
      <c r="BY323" s="70"/>
      <c r="BZ323" s="59"/>
      <c r="CA323" s="59"/>
      <c r="CB323" s="59" t="s">
        <v>110</v>
      </c>
      <c r="CC323" s="59" t="s">
        <v>110</v>
      </c>
      <c r="CD323" s="60"/>
      <c r="CE323" s="60"/>
      <c r="CF323" s="61"/>
      <c r="CG323" s="61"/>
      <c r="CH323" s="61"/>
      <c r="CI323" s="138">
        <v>15.4</v>
      </c>
      <c r="CJ323" s="40">
        <f>VLOOKUP(paper3[[#This Row],[YYIR nivå]],$DB:$DC,2)</f>
        <v>920</v>
      </c>
      <c r="CK323" s="3"/>
      <c r="CL323" s="62"/>
      <c r="CM323" s="62"/>
      <c r="CN323" s="3"/>
      <c r="CO323" s="3"/>
      <c r="CP323" s="41">
        <v>13.636111111111111</v>
      </c>
      <c r="CQ323" s="3" t="s">
        <v>110</v>
      </c>
      <c r="CR323" s="40" t="s">
        <v>110</v>
      </c>
      <c r="CS323" s="40" t="s">
        <v>110</v>
      </c>
      <c r="CT323" s="40" t="s">
        <v>110</v>
      </c>
      <c r="CU323" s="40"/>
      <c r="CV323" s="40"/>
      <c r="CW323" s="40"/>
      <c r="CX323" s="40"/>
      <c r="CY323" s="40" t="s">
        <v>202</v>
      </c>
      <c r="CZ323" s="40"/>
      <c r="DA323" s="40"/>
    </row>
    <row r="324" spans="1:105" ht="18.75">
      <c r="A324" s="3">
        <v>666</v>
      </c>
      <c r="B324" s="92" t="s">
        <v>199</v>
      </c>
      <c r="C324" s="142" t="s">
        <v>104</v>
      </c>
      <c r="D324" s="142" t="s">
        <v>105</v>
      </c>
      <c r="E324" s="39">
        <v>44868</v>
      </c>
      <c r="F324" s="3" t="s">
        <v>106</v>
      </c>
      <c r="G324" s="3" t="s">
        <v>122</v>
      </c>
      <c r="H324" s="3">
        <v>2009</v>
      </c>
      <c r="I324" s="40" t="s">
        <v>108</v>
      </c>
      <c r="J324" s="39" t="s">
        <v>123</v>
      </c>
      <c r="K324" s="3"/>
      <c r="L324" s="3"/>
      <c r="M324" s="3"/>
      <c r="N324" s="3"/>
      <c r="O324" s="3"/>
      <c r="P324" s="3"/>
      <c r="Q324" s="3"/>
      <c r="R324" s="3"/>
      <c r="S324" s="3"/>
      <c r="T324" s="125">
        <v>146.19999999999999</v>
      </c>
      <c r="U324" s="126">
        <v>72.8</v>
      </c>
      <c r="V324" s="12">
        <f>paper3[[#This Row],[height]]-paper3[[#This Row],[sittingheight]]</f>
        <v>73.399999999999991</v>
      </c>
      <c r="W324" s="127">
        <v>32.200000000000003</v>
      </c>
      <c r="X324" s="43" cm="1">
        <f t="array" ref="X324">INDEX([1]!phvny[yphv], MATCH(1, (paper3[[#This Row],[id]]=[1]!phvny[id])*(paper3[[#This Row],[time]]=[1]!phvny[time]), 0))</f>
        <v>-1.7931052364350204</v>
      </c>
      <c r="Y324" s="3"/>
      <c r="Z324" s="3"/>
      <c r="AA324" s="3"/>
      <c r="AB324" s="3"/>
      <c r="AC324" s="3"/>
      <c r="AD324" s="3"/>
      <c r="AE324" s="3"/>
      <c r="AF324" s="3"/>
      <c r="AG324" s="3"/>
      <c r="AH324" s="130">
        <v>2.1590000000000003</v>
      </c>
      <c r="AI324" s="130">
        <v>3.7310000000000003</v>
      </c>
      <c r="AJ324" s="130">
        <v>5.343</v>
      </c>
      <c r="AK324" s="45">
        <v>6.2034739454094305</v>
      </c>
      <c r="AL324" s="3"/>
      <c r="AM324" s="3"/>
      <c r="AN324" s="3"/>
      <c r="AO324" s="3"/>
      <c r="AP324" s="137">
        <v>11.12</v>
      </c>
      <c r="AQ324" s="132"/>
      <c r="AR324" s="132"/>
      <c r="AS324" s="3"/>
      <c r="AT324" s="3"/>
      <c r="AU324" s="3"/>
      <c r="AV324" s="3"/>
      <c r="AW324" s="3"/>
      <c r="AX324" s="133">
        <v>25.46</v>
      </c>
      <c r="AY324" s="134"/>
      <c r="AZ324" s="40"/>
      <c r="BA324" s="40"/>
      <c r="BB324" s="40"/>
      <c r="BC324" s="40"/>
      <c r="BD324" s="135">
        <v>538.89751173883747</v>
      </c>
      <c r="BE324" s="135">
        <v>498.88720362360942</v>
      </c>
      <c r="BF324" s="40"/>
      <c r="BG324" s="135">
        <v>221.42396235099329</v>
      </c>
      <c r="BH324" s="135">
        <v>208.09943611006418</v>
      </c>
      <c r="BI324" s="49">
        <v>1037.7847153624468</v>
      </c>
      <c r="BJ324" s="49">
        <v>429.52339846105747</v>
      </c>
      <c r="BK324" s="66">
        <v>8.0199106781287943E-2</v>
      </c>
      <c r="BL324" s="66">
        <v>6.4029612429520322E-2</v>
      </c>
      <c r="BM324" s="51">
        <v>32.229338986411392</v>
      </c>
      <c r="BN324" s="51">
        <v>13.339235977051473</v>
      </c>
      <c r="BO324" s="136"/>
      <c r="BP324" s="40"/>
      <c r="BQ324" s="40"/>
      <c r="BR324" s="67"/>
      <c r="BS324" s="54" t="s">
        <v>110</v>
      </c>
      <c r="BT324" s="68"/>
      <c r="BU324" s="69"/>
      <c r="BV324" s="3"/>
      <c r="BW324" s="3"/>
      <c r="BX324" s="70"/>
      <c r="BY324" s="70"/>
      <c r="BZ324" s="59"/>
      <c r="CA324" s="59"/>
      <c r="CB324" s="59" t="s">
        <v>110</v>
      </c>
      <c r="CC324" s="59" t="s">
        <v>110</v>
      </c>
      <c r="CD324" s="60"/>
      <c r="CE324" s="60"/>
      <c r="CF324" s="61"/>
      <c r="CG324" s="61"/>
      <c r="CH324" s="61"/>
      <c r="CI324" s="139">
        <v>15.1</v>
      </c>
      <c r="CJ324" s="40">
        <f>VLOOKUP(paper3[[#This Row],[YYIR nivå]],$DB:$DC,2)</f>
        <v>800</v>
      </c>
      <c r="CK324" s="3"/>
      <c r="CL324" s="62"/>
      <c r="CM324" s="62"/>
      <c r="CN324" s="3"/>
      <c r="CO324" s="3"/>
      <c r="CP324" s="41">
        <v>13.616666666666667</v>
      </c>
      <c r="CQ324" s="3" t="s">
        <v>110</v>
      </c>
      <c r="CR324" s="40" t="s">
        <v>110</v>
      </c>
      <c r="CS324" s="40" t="s">
        <v>110</v>
      </c>
      <c r="CT324" s="40" t="s">
        <v>110</v>
      </c>
      <c r="CU324" s="40"/>
      <c r="CV324" s="40"/>
      <c r="CW324" s="40"/>
      <c r="CX324" s="40"/>
      <c r="CY324" s="40" t="s">
        <v>202</v>
      </c>
      <c r="CZ324" s="40"/>
      <c r="DA324" s="40"/>
    </row>
    <row r="325" spans="1:105" ht="18.75" customHeight="1">
      <c r="A325" s="3">
        <v>667</v>
      </c>
      <c r="B325" s="92" t="s">
        <v>199</v>
      </c>
      <c r="C325" s="142" t="s">
        <v>104</v>
      </c>
      <c r="D325" s="142" t="s">
        <v>105</v>
      </c>
      <c r="E325" s="39">
        <v>44868</v>
      </c>
      <c r="F325" s="3" t="s">
        <v>106</v>
      </c>
      <c r="G325" s="3" t="s">
        <v>122</v>
      </c>
      <c r="H325" s="3">
        <v>2009</v>
      </c>
      <c r="I325" s="40" t="s">
        <v>108</v>
      </c>
      <c r="J325" s="39" t="s">
        <v>123</v>
      </c>
      <c r="K325" s="3"/>
      <c r="L325" s="3"/>
      <c r="M325" s="3"/>
      <c r="N325" s="3"/>
      <c r="O325" s="3"/>
      <c r="P325" s="3"/>
      <c r="Q325" s="3"/>
      <c r="R325" s="3"/>
      <c r="S325" s="3"/>
      <c r="T325" s="125">
        <v>157.69999999999999</v>
      </c>
      <c r="U325" s="126">
        <v>82.7</v>
      </c>
      <c r="V325" s="12">
        <f>paper3[[#This Row],[height]]-paper3[[#This Row],[sittingheight]]</f>
        <v>74.999999999999986</v>
      </c>
      <c r="W325" s="127">
        <v>43.6</v>
      </c>
      <c r="X325" s="43" cm="1">
        <f t="array" ref="X325">INDEX([1]!phvny[yphv], MATCH(1, (paper3[[#This Row],[id]]=[1]!phvny[id])*(paper3[[#This Row],[time]]=[1]!phvny[time]), 0))</f>
        <v>-0.43871469850806721</v>
      </c>
      <c r="Y325" s="3"/>
      <c r="Z325" s="3"/>
      <c r="AA325" s="3"/>
      <c r="AB325" s="3"/>
      <c r="AC325" s="3"/>
      <c r="AD325" s="3"/>
      <c r="AE325" s="3"/>
      <c r="AF325" s="3"/>
      <c r="AG325" s="3"/>
      <c r="AH325" s="130">
        <v>2.1139999999999999</v>
      </c>
      <c r="AI325" s="130">
        <v>3.694</v>
      </c>
      <c r="AJ325" s="130">
        <v>5.2809999999999997</v>
      </c>
      <c r="AK325" s="45">
        <v>6.3011972274732209</v>
      </c>
      <c r="AL325" s="3"/>
      <c r="AM325" s="3"/>
      <c r="AN325" s="3"/>
      <c r="AO325" s="141"/>
      <c r="AP325" s="137"/>
      <c r="AQ325" s="132"/>
      <c r="AR325" s="132"/>
      <c r="AS325" s="3"/>
      <c r="AT325" s="3"/>
      <c r="AU325" s="3"/>
      <c r="AV325" s="3"/>
      <c r="AW325" s="3"/>
      <c r="AX325" s="133">
        <v>26.96</v>
      </c>
      <c r="AY325" s="134"/>
      <c r="AZ325" s="40"/>
      <c r="BA325" s="40"/>
      <c r="BB325" s="40"/>
      <c r="BC325" s="40"/>
      <c r="BD325" s="135">
        <v>747.29960175361293</v>
      </c>
      <c r="BE325" s="135">
        <v>697.91960417796736</v>
      </c>
      <c r="BF325" s="40"/>
      <c r="BG325" s="135">
        <v>285.46070476243744</v>
      </c>
      <c r="BH325" s="135">
        <v>268.59543440488653</v>
      </c>
      <c r="BI325" s="49">
        <v>1445.2192059315803</v>
      </c>
      <c r="BJ325" s="49">
        <v>554.05613916732398</v>
      </c>
      <c r="BK325" s="66">
        <v>7.0753131564210703E-2</v>
      </c>
      <c r="BL325" s="66">
        <v>6.2790606977063623E-2</v>
      </c>
      <c r="BM325" s="51">
        <v>33.147229493843582</v>
      </c>
      <c r="BN325" s="51">
        <v>12.707709613929449</v>
      </c>
      <c r="BO325" s="136"/>
      <c r="BP325" s="40"/>
      <c r="BQ325" s="40"/>
      <c r="BR325" s="67"/>
      <c r="BS325" s="54" t="s">
        <v>110</v>
      </c>
      <c r="BT325" s="68"/>
      <c r="BU325" s="69"/>
      <c r="BV325" s="3"/>
      <c r="BW325" s="3"/>
      <c r="BX325" s="70"/>
      <c r="BY325" s="70"/>
      <c r="BZ325" s="59"/>
      <c r="CA325" s="59"/>
      <c r="CB325" s="59" t="s">
        <v>110</v>
      </c>
      <c r="CC325" s="59" t="s">
        <v>110</v>
      </c>
      <c r="CD325" s="60"/>
      <c r="CE325" s="60"/>
      <c r="CF325" s="61"/>
      <c r="CG325" s="61"/>
      <c r="CH325" s="61"/>
      <c r="CI325" s="139"/>
      <c r="CJ325" s="40"/>
      <c r="CK325" s="3"/>
      <c r="CL325" s="62"/>
      <c r="CM325" s="62"/>
      <c r="CN325" s="3"/>
      <c r="CO325" s="3"/>
      <c r="CP325" s="41">
        <v>13.736111111111111</v>
      </c>
      <c r="CQ325" s="3" t="s">
        <v>110</v>
      </c>
      <c r="CR325" s="40" t="s">
        <v>110</v>
      </c>
      <c r="CS325" s="40" t="s">
        <v>110</v>
      </c>
      <c r="CT325" s="40" t="s">
        <v>110</v>
      </c>
      <c r="CU325" s="40"/>
      <c r="CV325" s="40"/>
      <c r="CW325" s="40"/>
      <c r="CX325" s="40"/>
      <c r="CY325" s="40" t="s">
        <v>204</v>
      </c>
      <c r="CZ325" s="40"/>
      <c r="DA325" s="40"/>
    </row>
    <row r="326" spans="1:105" ht="18.75" customHeight="1">
      <c r="A326" s="3">
        <v>668</v>
      </c>
      <c r="B326" s="92" t="s">
        <v>199</v>
      </c>
      <c r="C326" s="3" t="s">
        <v>104</v>
      </c>
      <c r="D326" s="3" t="s">
        <v>105</v>
      </c>
      <c r="E326" s="39">
        <v>44874</v>
      </c>
      <c r="F326" s="3" t="s">
        <v>106</v>
      </c>
      <c r="G326" s="3" t="s">
        <v>122</v>
      </c>
      <c r="H326" s="3">
        <v>2007</v>
      </c>
      <c r="I326" s="40" t="s">
        <v>116</v>
      </c>
      <c r="J326" s="39" t="s">
        <v>157</v>
      </c>
      <c r="K326" s="3"/>
      <c r="L326" s="3"/>
      <c r="M326" s="3"/>
      <c r="N326" s="3"/>
      <c r="O326" s="3"/>
      <c r="P326" s="3"/>
      <c r="Q326" s="3"/>
      <c r="R326" s="3"/>
      <c r="S326" s="3"/>
      <c r="T326" s="125">
        <v>174.9</v>
      </c>
      <c r="U326" s="126">
        <v>86.8</v>
      </c>
      <c r="V326" s="12">
        <f>paper3[[#This Row],[height]]-paper3[[#This Row],[sittingheight]]</f>
        <v>88.100000000000009</v>
      </c>
      <c r="W326" s="127">
        <v>54</v>
      </c>
      <c r="X326" s="43" cm="1">
        <f t="array" ref="X326">INDEX([1]!phvny[yphv], MATCH(1, (paper3[[#This Row],[id]]=[1]!phvny[id])*(paper3[[#This Row],[time]]=[1]!phvny[time]), 0))</f>
        <v>0.85201916642996056</v>
      </c>
      <c r="Y326" s="3"/>
      <c r="Z326" s="3"/>
      <c r="AA326" s="3"/>
      <c r="AB326" s="3"/>
      <c r="AC326" s="3"/>
      <c r="AD326" s="3"/>
      <c r="AE326" s="3"/>
      <c r="AF326" s="3"/>
      <c r="AG326" s="3"/>
      <c r="AH326" s="130">
        <v>1.905</v>
      </c>
      <c r="AI326" s="130">
        <v>3.0500000000000003</v>
      </c>
      <c r="AJ326" s="130">
        <v>4.6859999999999999</v>
      </c>
      <c r="AK326" s="45">
        <v>6.1124694376528126</v>
      </c>
      <c r="AL326" s="3"/>
      <c r="AM326" s="3"/>
      <c r="AN326" s="3"/>
      <c r="AO326" s="3"/>
      <c r="AP326" s="137">
        <v>11.33</v>
      </c>
      <c r="AQ326" s="132"/>
      <c r="AR326" s="132"/>
      <c r="AS326" s="3"/>
      <c r="AT326" s="3"/>
      <c r="AU326" s="3"/>
      <c r="AV326" s="3"/>
      <c r="AW326" s="3"/>
      <c r="AX326" s="133">
        <v>27.86</v>
      </c>
      <c r="AY326" s="134"/>
      <c r="AZ326" s="40"/>
      <c r="BA326" s="40"/>
      <c r="BB326" s="40"/>
      <c r="BC326" s="40"/>
      <c r="BD326" s="135"/>
      <c r="BE326" s="135"/>
      <c r="BF326" s="40"/>
      <c r="BG326" s="135">
        <v>306.11572416584062</v>
      </c>
      <c r="BH326" s="135">
        <v>271.11196513675611</v>
      </c>
      <c r="BI326" s="49"/>
      <c r="BJ326" s="49">
        <v>577.22768930259667</v>
      </c>
      <c r="BK326" s="66"/>
      <c r="BL326" s="66">
        <v>0.12911181921250758</v>
      </c>
      <c r="BM326" s="51"/>
      <c r="BN326" s="51">
        <v>10.689401653751791</v>
      </c>
      <c r="BO326" s="136"/>
      <c r="BP326" s="40"/>
      <c r="BQ326" s="40"/>
      <c r="BR326" s="67"/>
      <c r="BS326" s="54" t="s">
        <v>110</v>
      </c>
      <c r="BT326" s="68"/>
      <c r="BU326" s="69"/>
      <c r="BV326" s="3"/>
      <c r="BW326" s="3"/>
      <c r="BX326" s="70"/>
      <c r="BY326" s="70"/>
      <c r="BZ326" s="59"/>
      <c r="CA326" s="59"/>
      <c r="CB326" s="59" t="s">
        <v>110</v>
      </c>
      <c r="CC326" s="59" t="s">
        <v>110</v>
      </c>
      <c r="CD326" s="60"/>
      <c r="CE326" s="60"/>
      <c r="CF326" s="61"/>
      <c r="CG326" s="61"/>
      <c r="CH326" s="61"/>
      <c r="CI326" s="138">
        <v>15.7</v>
      </c>
      <c r="CJ326" s="40">
        <f>VLOOKUP(paper3[[#This Row],[YYIR nivå]],$DB:$DC,2)</f>
        <v>1040</v>
      </c>
      <c r="CK326" s="3"/>
      <c r="CL326" s="62"/>
      <c r="CM326" s="62"/>
      <c r="CN326" s="3"/>
      <c r="CO326" s="3"/>
      <c r="CP326" s="41">
        <v>15.233333333333333</v>
      </c>
      <c r="CQ326" s="3" t="s">
        <v>110</v>
      </c>
      <c r="CR326" s="40" t="s">
        <v>110</v>
      </c>
      <c r="CS326" s="40" t="s">
        <v>110</v>
      </c>
      <c r="CT326" s="40" t="s">
        <v>110</v>
      </c>
      <c r="CU326" s="40"/>
      <c r="CV326" s="40"/>
      <c r="CW326" s="40"/>
      <c r="CX326" s="40"/>
      <c r="CY326" s="40" t="s">
        <v>201</v>
      </c>
      <c r="CZ326" s="40"/>
      <c r="DA326" s="40"/>
    </row>
    <row r="327" spans="1:105" ht="15.75" customHeight="1">
      <c r="A327" s="3">
        <v>669</v>
      </c>
      <c r="B327" s="92" t="s">
        <v>199</v>
      </c>
      <c r="C327" s="3" t="s">
        <v>104</v>
      </c>
      <c r="D327" s="3" t="s">
        <v>105</v>
      </c>
      <c r="E327" s="39">
        <v>44874</v>
      </c>
      <c r="F327" s="3" t="s">
        <v>106</v>
      </c>
      <c r="G327" s="3" t="s">
        <v>122</v>
      </c>
      <c r="H327" s="3">
        <v>2007</v>
      </c>
      <c r="I327" s="40" t="s">
        <v>116</v>
      </c>
      <c r="J327" s="39" t="s">
        <v>157</v>
      </c>
      <c r="K327" s="3"/>
      <c r="L327" s="3"/>
      <c r="M327" s="3"/>
      <c r="N327" s="3"/>
      <c r="O327" s="3"/>
      <c r="P327" s="3"/>
      <c r="Q327" s="3"/>
      <c r="R327" s="3"/>
      <c r="S327" s="3"/>
      <c r="T327" s="125">
        <v>183.9</v>
      </c>
      <c r="U327" s="126">
        <v>93.3</v>
      </c>
      <c r="V327" s="12">
        <f>paper3[[#This Row],[height]]-paper3[[#This Row],[sittingheight]]</f>
        <v>90.600000000000009</v>
      </c>
      <c r="W327" s="127">
        <v>58.2</v>
      </c>
      <c r="X327" s="43" cm="1">
        <f t="array" ref="X327">INDEX([1]!phvny[yphv], MATCH(1, (paper3[[#This Row],[id]]=[1]!phvny[id])*(paper3[[#This Row],[time]]=[1]!phvny[time]), 0))</f>
        <v>1.641883393665579</v>
      </c>
      <c r="Y327" s="3"/>
      <c r="Z327" s="3"/>
      <c r="AA327" s="3"/>
      <c r="AB327" s="3"/>
      <c r="AC327" s="3"/>
      <c r="AD327" s="3"/>
      <c r="AE327" s="3"/>
      <c r="AF327" s="3"/>
      <c r="AG327" s="3"/>
      <c r="AH327" s="133"/>
      <c r="AI327" s="133"/>
      <c r="AJ327" s="133"/>
      <c r="AK327" s="45"/>
      <c r="AL327" s="3"/>
      <c r="AM327" s="3"/>
      <c r="AN327" s="3"/>
      <c r="AO327" s="141"/>
      <c r="AP327" s="137"/>
      <c r="AQ327" s="132"/>
      <c r="AR327" s="132"/>
      <c r="AS327" s="3"/>
      <c r="AT327" s="3"/>
      <c r="AU327" s="3"/>
      <c r="AV327" s="3"/>
      <c r="AW327" s="3"/>
      <c r="AX327" s="133">
        <v>35.06</v>
      </c>
      <c r="AY327" s="134"/>
      <c r="AZ327" s="40"/>
      <c r="BA327" s="40"/>
      <c r="BB327" s="40"/>
      <c r="BC327" s="40"/>
      <c r="BD327" s="135">
        <v>851.06532048561053</v>
      </c>
      <c r="BE327" s="135">
        <v>838.41637090494464</v>
      </c>
      <c r="BF327" s="40"/>
      <c r="BG327" s="135">
        <v>405.35764500922386</v>
      </c>
      <c r="BH327" s="135">
        <v>409.43135673850026</v>
      </c>
      <c r="BI327" s="49">
        <v>1689.4816913905552</v>
      </c>
      <c r="BJ327" s="49">
        <v>814.78900174772411</v>
      </c>
      <c r="BK327" s="66">
        <v>1.5086715884391921E-2</v>
      </c>
      <c r="BL327" s="66">
        <v>-9.9496818263439257E-3</v>
      </c>
      <c r="BM327" s="51">
        <v>29.028895041074829</v>
      </c>
      <c r="BN327" s="51">
        <v>13.999811026593196</v>
      </c>
      <c r="BO327" s="136"/>
      <c r="BP327" s="40"/>
      <c r="BQ327" s="40"/>
      <c r="BR327" s="67"/>
      <c r="BS327" s="54" t="s">
        <v>110</v>
      </c>
      <c r="BT327" s="68"/>
      <c r="BU327" s="69"/>
      <c r="BV327" s="3"/>
      <c r="BW327" s="3"/>
      <c r="BX327" s="70"/>
      <c r="BY327" s="70"/>
      <c r="BZ327" s="59"/>
      <c r="CA327" s="59"/>
      <c r="CB327" s="59" t="s">
        <v>110</v>
      </c>
      <c r="CC327" s="59" t="s">
        <v>110</v>
      </c>
      <c r="CD327" s="60"/>
      <c r="CE327" s="60"/>
      <c r="CF327" s="61"/>
      <c r="CG327" s="61"/>
      <c r="CH327" s="61"/>
      <c r="CI327" s="139"/>
      <c r="CJ327" s="40"/>
      <c r="CK327" s="3"/>
      <c r="CL327" s="62"/>
      <c r="CM327" s="62"/>
      <c r="CN327" s="3"/>
      <c r="CO327" s="3"/>
      <c r="CP327" s="41">
        <v>15.047222222222222</v>
      </c>
      <c r="CQ327" s="3" t="s">
        <v>110</v>
      </c>
      <c r="CR327" s="40" t="s">
        <v>110</v>
      </c>
      <c r="CS327" s="40" t="s">
        <v>110</v>
      </c>
      <c r="CT327" s="40" t="s">
        <v>110</v>
      </c>
      <c r="CU327" s="40"/>
      <c r="CV327" s="40"/>
      <c r="CW327" s="40"/>
      <c r="CX327" s="40"/>
      <c r="CY327" s="40" t="s">
        <v>204</v>
      </c>
      <c r="CZ327" s="40"/>
      <c r="DA327" s="40"/>
    </row>
    <row r="328" spans="1:105" ht="15.75" customHeight="1">
      <c r="A328" s="3">
        <v>670</v>
      </c>
      <c r="B328" s="92" t="s">
        <v>199</v>
      </c>
      <c r="C328" s="3" t="s">
        <v>104</v>
      </c>
      <c r="D328" s="3" t="s">
        <v>105</v>
      </c>
      <c r="E328" s="39">
        <v>44874</v>
      </c>
      <c r="F328" s="3" t="s">
        <v>106</v>
      </c>
      <c r="G328" s="3" t="s">
        <v>122</v>
      </c>
      <c r="H328" s="3">
        <v>2007</v>
      </c>
      <c r="I328" s="40" t="s">
        <v>116</v>
      </c>
      <c r="J328" s="39" t="s">
        <v>157</v>
      </c>
      <c r="K328" s="3"/>
      <c r="L328" s="3"/>
      <c r="M328" s="3"/>
      <c r="N328" s="3"/>
      <c r="O328" s="3"/>
      <c r="P328" s="3"/>
      <c r="Q328" s="3"/>
      <c r="R328" s="3"/>
      <c r="S328" s="3"/>
      <c r="T328" s="125">
        <v>174</v>
      </c>
      <c r="U328" s="126">
        <v>85.8</v>
      </c>
      <c r="V328" s="12">
        <f>paper3[[#This Row],[height]]-paper3[[#This Row],[sittingheight]]</f>
        <v>88.2</v>
      </c>
      <c r="W328" s="127">
        <v>54</v>
      </c>
      <c r="X328" s="43" cm="1">
        <f t="array" ref="X328">INDEX([1]!phvny[yphv], MATCH(1, (paper3[[#This Row],[id]]=[1]!phvny[id])*(paper3[[#This Row],[time]]=[1]!phvny[time]), 0))</f>
        <v>0.59045053949425264</v>
      </c>
      <c r="Y328" s="3"/>
      <c r="Z328" s="3"/>
      <c r="AA328" s="3"/>
      <c r="AB328" s="3"/>
      <c r="AC328" s="3"/>
      <c r="AD328" s="3"/>
      <c r="AE328" s="3"/>
      <c r="AF328" s="3"/>
      <c r="AG328" s="3"/>
      <c r="AH328" s="130">
        <v>1.9629999999999999</v>
      </c>
      <c r="AI328" s="130">
        <v>3.39</v>
      </c>
      <c r="AJ328" s="130">
        <v>4.851</v>
      </c>
      <c r="AK328" s="45">
        <v>6.844626967830254</v>
      </c>
      <c r="AL328" s="3"/>
      <c r="AM328" s="3"/>
      <c r="AN328" s="3"/>
      <c r="AO328" s="141"/>
      <c r="AP328" s="137"/>
      <c r="AQ328" s="132"/>
      <c r="AR328" s="132"/>
      <c r="AS328" s="3"/>
      <c r="AT328" s="3"/>
      <c r="AU328" s="3"/>
      <c r="AV328" s="3"/>
      <c r="AW328" s="3"/>
      <c r="AX328" s="133">
        <v>31.560000000000002</v>
      </c>
      <c r="AY328" s="134"/>
      <c r="AZ328" s="40"/>
      <c r="BA328" s="40"/>
      <c r="BB328" s="40"/>
      <c r="BC328" s="40"/>
      <c r="BD328" s="135">
        <v>683.84157092606392</v>
      </c>
      <c r="BE328" s="135">
        <v>731.3693384080218</v>
      </c>
      <c r="BF328" s="40"/>
      <c r="BG328" s="135">
        <v>352.92990986299213</v>
      </c>
      <c r="BH328" s="135">
        <v>390.95726727557678</v>
      </c>
      <c r="BI328" s="49">
        <v>1415.2109093340857</v>
      </c>
      <c r="BJ328" s="49">
        <v>743.88717713856886</v>
      </c>
      <c r="BK328" s="66">
        <v>-6.4984632231660178E-2</v>
      </c>
      <c r="BL328" s="66">
        <v>-9.7267299000685981E-2</v>
      </c>
      <c r="BM328" s="51">
        <v>26.207609432112697</v>
      </c>
      <c r="BN328" s="51">
        <v>13.775688465529052</v>
      </c>
      <c r="BO328" s="136"/>
      <c r="BP328" s="40"/>
      <c r="BQ328" s="40"/>
      <c r="BR328" s="67"/>
      <c r="BS328" s="54" t="s">
        <v>110</v>
      </c>
      <c r="BT328" s="68"/>
      <c r="BU328" s="69"/>
      <c r="BV328" s="3"/>
      <c r="BW328" s="3"/>
      <c r="BX328" s="70"/>
      <c r="BY328" s="70"/>
      <c r="BZ328" s="59"/>
      <c r="CA328" s="59"/>
      <c r="CB328" s="59" t="s">
        <v>110</v>
      </c>
      <c r="CC328" s="59" t="s">
        <v>110</v>
      </c>
      <c r="CD328" s="60"/>
      <c r="CE328" s="60"/>
      <c r="CF328" s="61"/>
      <c r="CG328" s="61"/>
      <c r="CH328" s="61"/>
      <c r="CI328" s="139"/>
      <c r="CJ328" s="40"/>
      <c r="CK328" s="3"/>
      <c r="CL328" s="62"/>
      <c r="CM328" s="62"/>
      <c r="CN328" s="3"/>
      <c r="CO328" s="3"/>
      <c r="CP328" s="41">
        <v>14.955555555555556</v>
      </c>
      <c r="CQ328" s="3" t="s">
        <v>110</v>
      </c>
      <c r="CR328" s="40" t="s">
        <v>110</v>
      </c>
      <c r="CS328" s="40" t="s">
        <v>110</v>
      </c>
      <c r="CT328" s="40" t="s">
        <v>110</v>
      </c>
      <c r="CU328" s="40"/>
      <c r="CV328" s="40"/>
      <c r="CW328" s="40"/>
      <c r="CX328" s="40"/>
      <c r="CY328" s="40" t="s">
        <v>125</v>
      </c>
      <c r="CZ328" s="40"/>
      <c r="DA328" s="40"/>
    </row>
    <row r="329" spans="1:105" ht="15.75" customHeight="1">
      <c r="A329" s="3">
        <v>671</v>
      </c>
      <c r="B329" s="92" t="s">
        <v>199</v>
      </c>
      <c r="C329" s="3" t="s">
        <v>104</v>
      </c>
      <c r="D329" s="3" t="s">
        <v>105</v>
      </c>
      <c r="E329" s="39">
        <v>44874</v>
      </c>
      <c r="F329" s="3" t="s">
        <v>106</v>
      </c>
      <c r="G329" s="3" t="s">
        <v>122</v>
      </c>
      <c r="H329" s="3">
        <v>2007</v>
      </c>
      <c r="I329" s="40" t="s">
        <v>116</v>
      </c>
      <c r="J329" s="39" t="s">
        <v>157</v>
      </c>
      <c r="K329" s="3"/>
      <c r="L329" s="3"/>
      <c r="M329" s="3"/>
      <c r="N329" s="3"/>
      <c r="O329" s="3"/>
      <c r="P329" s="3"/>
      <c r="Q329" s="3"/>
      <c r="R329" s="3"/>
      <c r="S329" s="3"/>
      <c r="T329" s="125">
        <v>173.5</v>
      </c>
      <c r="U329" s="126">
        <v>90.4</v>
      </c>
      <c r="V329" s="12">
        <f>paper3[[#This Row],[height]]-paper3[[#This Row],[sittingheight]]</f>
        <v>83.1</v>
      </c>
      <c r="W329" s="127">
        <v>53.2</v>
      </c>
      <c r="X329" s="43" cm="1">
        <f t="array" ref="X329">INDEX([1]!phvny[yphv], MATCH(1, (paper3[[#This Row],[id]]=[1]!phvny[id])*(paper3[[#This Row],[time]]=[1]!phvny[time]), 0))</f>
        <v>1.4715667147801788</v>
      </c>
      <c r="Y329" s="3"/>
      <c r="Z329" s="3"/>
      <c r="AA329" s="3"/>
      <c r="AB329" s="3"/>
      <c r="AC329" s="3"/>
      <c r="AD329" s="3"/>
      <c r="AE329" s="3"/>
      <c r="AF329" s="3"/>
      <c r="AG329" s="3"/>
      <c r="AH329" s="130">
        <v>1.855</v>
      </c>
      <c r="AI329" s="130">
        <v>3.16</v>
      </c>
      <c r="AJ329" s="130">
        <v>4.4379999999999997</v>
      </c>
      <c r="AK329" s="45">
        <v>7.8247261345852923</v>
      </c>
      <c r="AL329" s="3"/>
      <c r="AM329" s="3"/>
      <c r="AN329" s="3"/>
      <c r="AO329" s="3"/>
      <c r="AP329" s="137">
        <v>10.5</v>
      </c>
      <c r="AQ329" s="132"/>
      <c r="AR329" s="132"/>
      <c r="AS329" s="3"/>
      <c r="AT329" s="3"/>
      <c r="AU329" s="3"/>
      <c r="AV329" s="3"/>
      <c r="AW329" s="3"/>
      <c r="AX329" s="133">
        <v>36.06</v>
      </c>
      <c r="AY329" s="134"/>
      <c r="AZ329" s="40"/>
      <c r="BA329" s="40"/>
      <c r="BB329" s="40"/>
      <c r="BC329" s="40"/>
      <c r="BD329" s="135">
        <v>953.70280365146891</v>
      </c>
      <c r="BE329" s="135">
        <v>884.28354908133429</v>
      </c>
      <c r="BF329" s="40"/>
      <c r="BG329" s="135">
        <v>398.32889610389697</v>
      </c>
      <c r="BH329" s="135">
        <v>396.54782930979786</v>
      </c>
      <c r="BI329" s="49">
        <v>1837.9863527328032</v>
      </c>
      <c r="BJ329" s="49">
        <v>794.87672541369488</v>
      </c>
      <c r="BK329" s="66">
        <v>7.8503388016494258E-2</v>
      </c>
      <c r="BL329" s="66">
        <v>4.4914299422571524E-3</v>
      </c>
      <c r="BM329" s="51">
        <v>34.548615652872236</v>
      </c>
      <c r="BN329" s="51">
        <v>14.94129183108449</v>
      </c>
      <c r="BO329" s="136"/>
      <c r="BP329" s="40"/>
      <c r="BQ329" s="40"/>
      <c r="BR329" s="67"/>
      <c r="BS329" s="54" t="s">
        <v>110</v>
      </c>
      <c r="BT329" s="68"/>
      <c r="BU329" s="69"/>
      <c r="BV329" s="3"/>
      <c r="BW329" s="3"/>
      <c r="BX329" s="70"/>
      <c r="BY329" s="70"/>
      <c r="BZ329" s="59"/>
      <c r="CA329" s="59"/>
      <c r="CB329" s="59" t="s">
        <v>110</v>
      </c>
      <c r="CC329" s="59" t="s">
        <v>110</v>
      </c>
      <c r="CD329" s="60"/>
      <c r="CE329" s="60"/>
      <c r="CF329" s="61"/>
      <c r="CG329" s="61"/>
      <c r="CH329" s="61"/>
      <c r="CI329" s="139">
        <v>16.8</v>
      </c>
      <c r="CJ329" s="40">
        <f>VLOOKUP(paper3[[#This Row],[YYIR nivå]],$DB:$DC,2)</f>
        <v>1400</v>
      </c>
      <c r="CK329" s="3"/>
      <c r="CL329" s="62"/>
      <c r="CM329" s="62"/>
      <c r="CN329" s="3"/>
      <c r="CO329" s="3"/>
      <c r="CP329" s="41">
        <v>15.502777777777778</v>
      </c>
      <c r="CQ329" s="3" t="s">
        <v>110</v>
      </c>
      <c r="CR329" s="40" t="s">
        <v>110</v>
      </c>
      <c r="CS329" s="40" t="s">
        <v>110</v>
      </c>
      <c r="CT329" s="40" t="s">
        <v>110</v>
      </c>
      <c r="CU329" s="40"/>
      <c r="CV329" s="40"/>
      <c r="CW329" s="40"/>
      <c r="CX329" s="40"/>
      <c r="CY329" s="40" t="s">
        <v>201</v>
      </c>
      <c r="CZ329" s="40"/>
      <c r="DA329" s="40"/>
    </row>
    <row r="330" spans="1:105" ht="15.75" customHeight="1">
      <c r="A330" s="3">
        <v>672</v>
      </c>
      <c r="B330" s="92" t="s">
        <v>199</v>
      </c>
      <c r="C330" s="3" t="s">
        <v>104</v>
      </c>
      <c r="D330" s="3" t="s">
        <v>105</v>
      </c>
      <c r="E330" s="39">
        <v>44874</v>
      </c>
      <c r="F330" s="3" t="s">
        <v>106</v>
      </c>
      <c r="G330" s="3" t="s">
        <v>122</v>
      </c>
      <c r="H330" s="3">
        <v>2007</v>
      </c>
      <c r="I330" s="40" t="s">
        <v>116</v>
      </c>
      <c r="J330" s="39" t="s">
        <v>157</v>
      </c>
      <c r="K330" s="3"/>
      <c r="L330" s="3"/>
      <c r="M330" s="3"/>
      <c r="N330" s="3"/>
      <c r="O330" s="3"/>
      <c r="P330" s="3"/>
      <c r="Q330" s="3"/>
      <c r="R330" s="3"/>
      <c r="S330" s="3"/>
      <c r="T330" s="125">
        <v>183.5</v>
      </c>
      <c r="U330" s="126">
        <v>90.3</v>
      </c>
      <c r="V330" s="12">
        <f>paper3[[#This Row],[height]]-paper3[[#This Row],[sittingheight]]</f>
        <v>93.2</v>
      </c>
      <c r="W330" s="127">
        <v>53.3</v>
      </c>
      <c r="X330" s="43" cm="1">
        <f t="array" ref="X330">INDEX([1]!phvny[yphv], MATCH(1, (paper3[[#This Row],[id]]=[1]!phvny[id])*(paper3[[#This Row],[time]]=[1]!phvny[time]), 0))</f>
        <v>1.1924686851510735</v>
      </c>
      <c r="Y330" s="3"/>
      <c r="Z330" s="3"/>
      <c r="AA330" s="3"/>
      <c r="AB330" s="3"/>
      <c r="AC330" s="3"/>
      <c r="AD330" s="3"/>
      <c r="AE330" s="3"/>
      <c r="AF330" s="3"/>
      <c r="AG330" s="3"/>
      <c r="AH330" s="130">
        <v>1.861</v>
      </c>
      <c r="AI330" s="130">
        <v>3.24</v>
      </c>
      <c r="AJ330" s="130">
        <v>4.6289999999999996</v>
      </c>
      <c r="AK330" s="45">
        <v>7.1994240460763175</v>
      </c>
      <c r="AL330" s="3"/>
      <c r="AM330" s="3"/>
      <c r="AN330" s="3"/>
      <c r="AO330" s="3"/>
      <c r="AP330" s="137">
        <v>10.61</v>
      </c>
      <c r="AQ330" s="132"/>
      <c r="AR330" s="132"/>
      <c r="AS330" s="3"/>
      <c r="AT330" s="3"/>
      <c r="AU330" s="3"/>
      <c r="AV330" s="3"/>
      <c r="AW330" s="3"/>
      <c r="AX330" s="133">
        <v>37.46</v>
      </c>
      <c r="AY330" s="134"/>
      <c r="AZ330" s="40"/>
      <c r="BA330" s="40"/>
      <c r="BB330" s="40"/>
      <c r="BC330" s="40"/>
      <c r="BD330" s="135">
        <v>817.915066796171</v>
      </c>
      <c r="BE330" s="135">
        <v>815.26817760034078</v>
      </c>
      <c r="BF330" s="40"/>
      <c r="BG330" s="135">
        <v>382.29698402577696</v>
      </c>
      <c r="BH330" s="135">
        <v>398.36326578473825</v>
      </c>
      <c r="BI330" s="49">
        <v>1633.1832443965118</v>
      </c>
      <c r="BJ330" s="49">
        <v>780.66024981051521</v>
      </c>
      <c r="BK330" s="66">
        <v>3.2466484876436663E-3</v>
      </c>
      <c r="BL330" s="66">
        <v>-4.0330731116264507E-2</v>
      </c>
      <c r="BM330" s="51">
        <v>30.641336667852006</v>
      </c>
      <c r="BN330" s="51">
        <v>14.646533767551881</v>
      </c>
      <c r="BO330" s="136"/>
      <c r="BP330" s="40"/>
      <c r="BQ330" s="40"/>
      <c r="BR330" s="67"/>
      <c r="BS330" s="54" t="s">
        <v>110</v>
      </c>
      <c r="BT330" s="68"/>
      <c r="BU330" s="69"/>
      <c r="BV330" s="3"/>
      <c r="BW330" s="3"/>
      <c r="BX330" s="70"/>
      <c r="BY330" s="70"/>
      <c r="BZ330" s="59"/>
      <c r="CA330" s="59"/>
      <c r="CB330" s="59" t="s">
        <v>110</v>
      </c>
      <c r="CC330" s="59" t="s">
        <v>110</v>
      </c>
      <c r="CD330" s="60"/>
      <c r="CE330" s="60"/>
      <c r="CF330" s="61"/>
      <c r="CG330" s="61"/>
      <c r="CH330" s="61"/>
      <c r="CI330" s="138">
        <v>14.7</v>
      </c>
      <c r="CJ330" s="40">
        <f>VLOOKUP(paper3[[#This Row],[YYIR nivå]],$DB:$DC,2)</f>
        <v>720</v>
      </c>
      <c r="CK330" s="3"/>
      <c r="CL330" s="62"/>
      <c r="CM330" s="62"/>
      <c r="CN330" s="3"/>
      <c r="CO330" s="3"/>
      <c r="CP330" s="41">
        <v>15.069444444444445</v>
      </c>
      <c r="CQ330" s="3" t="s">
        <v>110</v>
      </c>
      <c r="CR330" s="40" t="s">
        <v>110</v>
      </c>
      <c r="CS330" s="40" t="s">
        <v>110</v>
      </c>
      <c r="CT330" s="40" t="s">
        <v>110</v>
      </c>
      <c r="CU330" s="40"/>
      <c r="CV330" s="40"/>
      <c r="CW330" s="40"/>
      <c r="CX330" s="40"/>
      <c r="CY330" s="40" t="s">
        <v>200</v>
      </c>
      <c r="CZ330" s="40"/>
      <c r="DA330" s="40"/>
    </row>
    <row r="331" spans="1:105" ht="15.75" customHeight="1">
      <c r="A331" s="3">
        <v>673</v>
      </c>
      <c r="B331" s="92" t="s">
        <v>199</v>
      </c>
      <c r="C331" s="3" t="s">
        <v>104</v>
      </c>
      <c r="D331" s="3" t="s">
        <v>105</v>
      </c>
      <c r="E331" s="39">
        <v>44874</v>
      </c>
      <c r="F331" s="3" t="s">
        <v>106</v>
      </c>
      <c r="G331" s="3" t="s">
        <v>122</v>
      </c>
      <c r="H331" s="3">
        <v>2007</v>
      </c>
      <c r="I331" s="40" t="s">
        <v>116</v>
      </c>
      <c r="J331" s="39" t="s">
        <v>157</v>
      </c>
      <c r="K331" s="3"/>
      <c r="L331" s="3"/>
      <c r="M331" s="3"/>
      <c r="N331" s="3"/>
      <c r="O331" s="3"/>
      <c r="P331" s="3"/>
      <c r="Q331" s="3"/>
      <c r="R331" s="3"/>
      <c r="S331" s="3"/>
      <c r="T331" s="125">
        <v>178.1</v>
      </c>
      <c r="U331" s="126">
        <v>89.9</v>
      </c>
      <c r="V331" s="12">
        <f>paper3[[#This Row],[height]]-paper3[[#This Row],[sittingheight]]</f>
        <v>88.199999999999989</v>
      </c>
      <c r="W331" s="127">
        <v>58.9</v>
      </c>
      <c r="X331" s="43" cm="1">
        <f t="array" ref="X331">INDEX([1]!phvny[yphv], MATCH(1, (paper3[[#This Row],[id]]=[1]!phvny[id])*(paper3[[#This Row],[time]]=[1]!phvny[time]), 0))</f>
        <v>1.2542311908435342</v>
      </c>
      <c r="Y331" s="3"/>
      <c r="Z331" s="3"/>
      <c r="AA331" s="3"/>
      <c r="AB331" s="3"/>
      <c r="AC331" s="3"/>
      <c r="AD331" s="3"/>
      <c r="AE331" s="3"/>
      <c r="AF331" s="3"/>
      <c r="AG331" s="3"/>
      <c r="AH331" s="130">
        <v>1.8779999999999999</v>
      </c>
      <c r="AI331" s="130">
        <v>3.27</v>
      </c>
      <c r="AJ331" s="130">
        <v>4.657</v>
      </c>
      <c r="AK331" s="45">
        <v>7.2098053352559477</v>
      </c>
      <c r="AL331" s="3"/>
      <c r="AM331" s="3"/>
      <c r="AN331" s="3"/>
      <c r="AO331" s="3"/>
      <c r="AP331" s="137">
        <v>11.04</v>
      </c>
      <c r="AQ331" s="132"/>
      <c r="AR331" s="132"/>
      <c r="AS331" s="3"/>
      <c r="AT331" s="3"/>
      <c r="AU331" s="3"/>
      <c r="AV331" s="3"/>
      <c r="AW331" s="3"/>
      <c r="AX331" s="133">
        <v>31.76</v>
      </c>
      <c r="AY331" s="134"/>
      <c r="AZ331" s="40"/>
      <c r="BA331" s="40"/>
      <c r="BB331" s="40"/>
      <c r="BC331" s="40"/>
      <c r="BD331" s="135">
        <v>872.74923489696084</v>
      </c>
      <c r="BE331" s="135">
        <v>854.44855557718802</v>
      </c>
      <c r="BF331" s="40"/>
      <c r="BG331" s="135">
        <v>451.46501811531579</v>
      </c>
      <c r="BH331" s="135">
        <v>446.80791890346961</v>
      </c>
      <c r="BI331" s="49">
        <v>1727.1977904741489</v>
      </c>
      <c r="BJ331" s="49">
        <v>898.27293701878534</v>
      </c>
      <c r="BK331" s="66">
        <v>2.1418117217613553E-2</v>
      </c>
      <c r="BL331" s="66">
        <v>1.0423045373223028E-2</v>
      </c>
      <c r="BM331" s="51">
        <v>29.324240924858216</v>
      </c>
      <c r="BN331" s="51">
        <v>15.250813871286679</v>
      </c>
      <c r="BO331" s="136"/>
      <c r="BP331" s="40"/>
      <c r="BQ331" s="40"/>
      <c r="BR331" s="67"/>
      <c r="BS331" s="54" t="s">
        <v>110</v>
      </c>
      <c r="BT331" s="68"/>
      <c r="BU331" s="69"/>
      <c r="BV331" s="3"/>
      <c r="BW331" s="3"/>
      <c r="BX331" s="70"/>
      <c r="BY331" s="70"/>
      <c r="BZ331" s="59"/>
      <c r="CA331" s="59"/>
      <c r="CB331" s="59" t="s">
        <v>110</v>
      </c>
      <c r="CC331" s="59" t="s">
        <v>110</v>
      </c>
      <c r="CD331" s="60"/>
      <c r="CE331" s="60"/>
      <c r="CF331" s="61"/>
      <c r="CG331" s="61"/>
      <c r="CH331" s="61"/>
      <c r="CI331" s="139">
        <v>15.1</v>
      </c>
      <c r="CJ331" s="40">
        <f>VLOOKUP(paper3[[#This Row],[YYIR nivå]],$DB:$DC,2)</f>
        <v>800</v>
      </c>
      <c r="CK331" s="3"/>
      <c r="CL331" s="62"/>
      <c r="CM331" s="62"/>
      <c r="CN331" s="3"/>
      <c r="CO331" s="3"/>
      <c r="CP331" s="41">
        <v>15.108333333333333</v>
      </c>
      <c r="CQ331" s="3" t="s">
        <v>110</v>
      </c>
      <c r="CR331" s="40" t="s">
        <v>110</v>
      </c>
      <c r="CS331" s="40" t="s">
        <v>110</v>
      </c>
      <c r="CT331" s="40" t="s">
        <v>110</v>
      </c>
      <c r="CU331" s="40"/>
      <c r="CV331" s="40"/>
      <c r="CW331" s="40"/>
      <c r="CX331" s="40"/>
      <c r="CY331" s="40" t="s">
        <v>204</v>
      </c>
      <c r="CZ331" s="40"/>
      <c r="DA331" s="40"/>
    </row>
    <row r="332" spans="1:105" ht="15.75" customHeight="1">
      <c r="A332" s="3">
        <v>674</v>
      </c>
      <c r="B332" s="92" t="s">
        <v>199</v>
      </c>
      <c r="C332" s="3" t="s">
        <v>171</v>
      </c>
      <c r="D332" s="3" t="s">
        <v>105</v>
      </c>
      <c r="E332" s="39">
        <v>44874</v>
      </c>
      <c r="F332" s="3" t="s">
        <v>106</v>
      </c>
      <c r="G332" s="3" t="s">
        <v>122</v>
      </c>
      <c r="H332" s="3">
        <v>2007</v>
      </c>
      <c r="I332" s="40" t="s">
        <v>116</v>
      </c>
      <c r="J332" s="39" t="s">
        <v>157</v>
      </c>
      <c r="K332" s="3"/>
      <c r="L332" s="3"/>
      <c r="M332" s="3"/>
      <c r="N332" s="3"/>
      <c r="O332" s="3"/>
      <c r="P332" s="3"/>
      <c r="Q332" s="3"/>
      <c r="R332" s="3"/>
      <c r="S332" s="3"/>
      <c r="T332" s="125">
        <v>183.9</v>
      </c>
      <c r="U332" s="126">
        <v>93.8</v>
      </c>
      <c r="V332" s="12">
        <f>paper3[[#This Row],[height]]-paper3[[#This Row],[sittingheight]]</f>
        <v>90.100000000000009</v>
      </c>
      <c r="W332" s="127">
        <v>72.3</v>
      </c>
      <c r="X332" s="43" cm="1">
        <f t="array" ref="X332">INDEX([1]!phvny[yphv], MATCH(1, (paper3[[#This Row],[id]]=[1]!phvny[id])*(paper3[[#This Row],[time]]=[1]!phvny[time]), 0))</f>
        <v>2.2616856116830695</v>
      </c>
      <c r="Y332" s="3"/>
      <c r="Z332" s="3"/>
      <c r="AA332" s="3"/>
      <c r="AB332" s="3"/>
      <c r="AC332" s="3"/>
      <c r="AD332" s="3"/>
      <c r="AE332" s="3"/>
      <c r="AF332" s="3"/>
      <c r="AG332" s="3"/>
      <c r="AH332" s="130">
        <v>1.9419999999999999</v>
      </c>
      <c r="AI332" s="130">
        <v>3.3800000000000003</v>
      </c>
      <c r="AJ332" s="130">
        <v>4.7850000000000001</v>
      </c>
      <c r="AK332" s="45">
        <v>7.1174377224199299</v>
      </c>
      <c r="AL332" s="3"/>
      <c r="AM332" s="3"/>
      <c r="AN332" s="3"/>
      <c r="AO332" s="3"/>
      <c r="AP332" s="137">
        <v>11.67</v>
      </c>
      <c r="AQ332" s="132"/>
      <c r="AR332" s="132"/>
      <c r="AS332" s="3"/>
      <c r="AT332" s="3"/>
      <c r="AU332" s="3"/>
      <c r="AV332" s="3"/>
      <c r="AW332" s="3"/>
      <c r="AX332" s="133">
        <v>26.86</v>
      </c>
      <c r="AY332" s="134"/>
      <c r="AZ332" s="40"/>
      <c r="BA332" s="40"/>
      <c r="BB332" s="40"/>
      <c r="BC332" s="40"/>
      <c r="BD332" s="135">
        <v>1097.5905544485652</v>
      </c>
      <c r="BE332" s="135">
        <v>1056.1084661568873</v>
      </c>
      <c r="BF332" s="40"/>
      <c r="BG332" s="135">
        <v>557.8745228673364</v>
      </c>
      <c r="BH332" s="135">
        <v>543.80970301348952</v>
      </c>
      <c r="BI332" s="49">
        <v>2153.6990206054525</v>
      </c>
      <c r="BJ332" s="49">
        <v>1101.684225880826</v>
      </c>
      <c r="BK332" s="66">
        <v>3.9278246147035123E-2</v>
      </c>
      <c r="BL332" s="66">
        <v>2.5863495586613272E-2</v>
      </c>
      <c r="BM332" s="51">
        <v>29.78836819647929</v>
      </c>
      <c r="BN332" s="51">
        <v>15.237679472763846</v>
      </c>
      <c r="BO332" s="136"/>
      <c r="BP332" s="40"/>
      <c r="BQ332" s="40"/>
      <c r="BR332" s="67"/>
      <c r="BS332" s="54" t="s">
        <v>110</v>
      </c>
      <c r="BT332" s="68"/>
      <c r="BU332" s="69"/>
      <c r="BV332" s="3"/>
      <c r="BW332" s="3"/>
      <c r="BX332" s="70"/>
      <c r="BY332" s="70"/>
      <c r="BZ332" s="59"/>
      <c r="CA332" s="59"/>
      <c r="CB332" s="59" t="s">
        <v>110</v>
      </c>
      <c r="CC332" s="59" t="s">
        <v>110</v>
      </c>
      <c r="CD332" s="60"/>
      <c r="CE332" s="60"/>
      <c r="CF332" s="61"/>
      <c r="CG332" s="61"/>
      <c r="CH332" s="61"/>
      <c r="CI332" s="138">
        <v>16.5</v>
      </c>
      <c r="CJ332" s="40">
        <f>VLOOKUP(paper3[[#This Row],[YYIR nivå]],$DB:$DC,2)</f>
        <v>1280</v>
      </c>
      <c r="CK332" s="3"/>
      <c r="CL332" s="62"/>
      <c r="CM332" s="62"/>
      <c r="CN332" s="3"/>
      <c r="CO332" s="3"/>
      <c r="CP332" s="41">
        <v>15.763888888888889</v>
      </c>
      <c r="CQ332" s="3" t="s">
        <v>110</v>
      </c>
      <c r="CR332" s="40" t="s">
        <v>110</v>
      </c>
      <c r="CS332" s="40" t="s">
        <v>110</v>
      </c>
      <c r="CT332" s="40" t="s">
        <v>110</v>
      </c>
      <c r="CU332" s="40"/>
      <c r="CV332" s="40"/>
      <c r="CW332" s="40"/>
      <c r="CX332" s="40"/>
      <c r="CY332" s="40" t="s">
        <v>203</v>
      </c>
      <c r="CZ332" s="40"/>
      <c r="DA332" s="40"/>
    </row>
    <row r="333" spans="1:105" ht="15.75" customHeight="1">
      <c r="A333" s="3">
        <v>675</v>
      </c>
      <c r="B333" s="92" t="s">
        <v>199</v>
      </c>
      <c r="C333" s="3" t="s">
        <v>104</v>
      </c>
      <c r="D333" s="3" t="s">
        <v>105</v>
      </c>
      <c r="E333" s="39">
        <v>44874</v>
      </c>
      <c r="F333" s="3" t="s">
        <v>106</v>
      </c>
      <c r="G333" s="3" t="s">
        <v>122</v>
      </c>
      <c r="H333" s="3">
        <v>2007</v>
      </c>
      <c r="I333" s="40" t="s">
        <v>116</v>
      </c>
      <c r="J333" s="39" t="s">
        <v>157</v>
      </c>
      <c r="K333" s="3"/>
      <c r="L333" s="3"/>
      <c r="M333" s="3"/>
      <c r="N333" s="3"/>
      <c r="O333" s="3"/>
      <c r="P333" s="3"/>
      <c r="Q333" s="3"/>
      <c r="R333" s="3"/>
      <c r="S333" s="3"/>
      <c r="T333" s="125">
        <v>180.4</v>
      </c>
      <c r="U333" s="126">
        <v>91.7</v>
      </c>
      <c r="V333" s="12">
        <f>paper3[[#This Row],[height]]-paper3[[#This Row],[sittingheight]]</f>
        <v>88.7</v>
      </c>
      <c r="W333" s="127">
        <v>49.7</v>
      </c>
      <c r="X333" s="43" cm="1">
        <f t="array" ref="X333">INDEX([1]!phvny[yphv], MATCH(1, (paper3[[#This Row],[id]]=[1]!phvny[id])*(paper3[[#This Row],[time]]=[1]!phvny[time]), 0))</f>
        <v>1.3567668776467114</v>
      </c>
      <c r="Y333" s="3"/>
      <c r="Z333" s="3"/>
      <c r="AA333" s="3"/>
      <c r="AB333" s="3"/>
      <c r="AC333" s="3"/>
      <c r="AD333" s="3"/>
      <c r="AE333" s="3"/>
      <c r="AF333" s="3"/>
      <c r="AG333" s="3"/>
      <c r="AH333" s="130">
        <v>1.8659999999999999</v>
      </c>
      <c r="AI333" s="130">
        <v>3.23</v>
      </c>
      <c r="AJ333" s="130">
        <v>4.5529999999999999</v>
      </c>
      <c r="AK333" s="45">
        <v>7.5585789871504163</v>
      </c>
      <c r="AL333" s="3"/>
      <c r="AM333" s="3"/>
      <c r="AN333" s="3"/>
      <c r="AO333" s="141"/>
      <c r="AP333" s="137"/>
      <c r="AQ333" s="132"/>
      <c r="AR333" s="132"/>
      <c r="AS333" s="3"/>
      <c r="AT333" s="3"/>
      <c r="AU333" s="3"/>
      <c r="AV333" s="3"/>
      <c r="AW333" s="3"/>
      <c r="AX333" s="133">
        <v>34.159999999999997</v>
      </c>
      <c r="AY333" s="134"/>
      <c r="AZ333" s="40"/>
      <c r="BA333" s="40"/>
      <c r="BB333" s="40"/>
      <c r="BC333" s="40"/>
      <c r="BD333" s="135">
        <v>963.13537284719359</v>
      </c>
      <c r="BE333" s="135">
        <v>936.89781709487067</v>
      </c>
      <c r="BF333" s="40"/>
      <c r="BG333" s="135">
        <v>413.76707277997923</v>
      </c>
      <c r="BH333" s="135">
        <v>433.14354952276688</v>
      </c>
      <c r="BI333" s="49">
        <v>1900.0331899420644</v>
      </c>
      <c r="BJ333" s="49">
        <v>846.91062230274611</v>
      </c>
      <c r="BK333" s="66">
        <v>2.8004714360078564E-2</v>
      </c>
      <c r="BL333" s="66">
        <v>-4.4734538386030365E-2</v>
      </c>
      <c r="BM333" s="51">
        <v>38.23004406322061</v>
      </c>
      <c r="BN333" s="51">
        <v>17.040455177117625</v>
      </c>
      <c r="BO333" s="136"/>
      <c r="BP333" s="40"/>
      <c r="BQ333" s="40"/>
      <c r="BR333" s="67"/>
      <c r="BS333" s="54" t="s">
        <v>110</v>
      </c>
      <c r="BT333" s="68"/>
      <c r="BU333" s="69"/>
      <c r="BV333" s="3"/>
      <c r="BW333" s="3"/>
      <c r="BX333" s="70"/>
      <c r="BY333" s="70"/>
      <c r="BZ333" s="59"/>
      <c r="CA333" s="59"/>
      <c r="CB333" s="59" t="s">
        <v>110</v>
      </c>
      <c r="CC333" s="59" t="s">
        <v>110</v>
      </c>
      <c r="CD333" s="60"/>
      <c r="CE333" s="60"/>
      <c r="CF333" s="61"/>
      <c r="CG333" s="61"/>
      <c r="CH333" s="61"/>
      <c r="CI333" s="139"/>
      <c r="CJ333" s="40"/>
      <c r="CK333" s="3"/>
      <c r="CL333" s="62"/>
      <c r="CM333" s="62"/>
      <c r="CN333" s="3"/>
      <c r="CO333" s="3"/>
      <c r="CP333" s="41">
        <v>15.088888888888889</v>
      </c>
      <c r="CQ333" s="3" t="s">
        <v>110</v>
      </c>
      <c r="CR333" s="40" t="s">
        <v>110</v>
      </c>
      <c r="CS333" s="40" t="s">
        <v>110</v>
      </c>
      <c r="CT333" s="40" t="s">
        <v>110</v>
      </c>
      <c r="CU333" s="40"/>
      <c r="CV333" s="40"/>
      <c r="CW333" s="40"/>
      <c r="CX333" s="40"/>
      <c r="CY333" s="40" t="s">
        <v>201</v>
      </c>
      <c r="CZ333" s="40"/>
      <c r="DA333" s="40"/>
    </row>
    <row r="334" spans="1:105" ht="15.75" customHeight="1">
      <c r="A334" s="3">
        <v>676</v>
      </c>
      <c r="B334" s="92" t="s">
        <v>199</v>
      </c>
      <c r="C334" s="3" t="s">
        <v>104</v>
      </c>
      <c r="D334" s="3" t="s">
        <v>105</v>
      </c>
      <c r="E334" s="39">
        <v>44874</v>
      </c>
      <c r="F334" s="3" t="s">
        <v>106</v>
      </c>
      <c r="G334" s="3" t="s">
        <v>122</v>
      </c>
      <c r="H334" s="3">
        <v>2007</v>
      </c>
      <c r="I334" s="40" t="s">
        <v>116</v>
      </c>
      <c r="J334" s="39" t="s">
        <v>157</v>
      </c>
      <c r="K334" s="3"/>
      <c r="L334" s="3"/>
      <c r="M334" s="3"/>
      <c r="N334" s="3"/>
      <c r="O334" s="3"/>
      <c r="P334" s="3"/>
      <c r="Q334" s="3"/>
      <c r="R334" s="3"/>
      <c r="S334" s="3"/>
      <c r="T334" s="125">
        <v>169.2</v>
      </c>
      <c r="U334" s="126">
        <v>89.2</v>
      </c>
      <c r="V334" s="12">
        <f>paper3[[#This Row],[height]]-paper3[[#This Row],[sittingheight]]</f>
        <v>79.999999999999986</v>
      </c>
      <c r="W334" s="127">
        <v>52.9</v>
      </c>
      <c r="X334" s="43" cm="1">
        <f t="array" ref="X334">INDEX([1]!phvny[yphv], MATCH(1, (paper3[[#This Row],[id]]=[1]!phvny[id])*(paper3[[#This Row],[time]]=[1]!phvny[time]), 0))</f>
        <v>1.0156890969267163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130">
        <v>1.825</v>
      </c>
      <c r="AI334" s="130">
        <v>3.1300000000000003</v>
      </c>
      <c r="AJ334" s="130">
        <v>4.4169999999999998</v>
      </c>
      <c r="AK334" s="45">
        <v>7.7700077700077728</v>
      </c>
      <c r="AL334" s="3"/>
      <c r="AM334" s="3"/>
      <c r="AN334" s="3"/>
      <c r="AO334" s="3"/>
      <c r="AP334" s="137">
        <v>10.569999999999999</v>
      </c>
      <c r="AQ334" s="132"/>
      <c r="AR334" s="132"/>
      <c r="AS334" s="3"/>
      <c r="AT334" s="3"/>
      <c r="AU334" s="3"/>
      <c r="AV334" s="3"/>
      <c r="AW334" s="3"/>
      <c r="AX334" s="133">
        <v>36.46</v>
      </c>
      <c r="AY334" s="134"/>
      <c r="AZ334" s="40"/>
      <c r="BA334" s="40"/>
      <c r="BB334" s="40"/>
      <c r="BC334" s="40"/>
      <c r="BD334" s="135">
        <v>1086.4323374596152</v>
      </c>
      <c r="BE334" s="135">
        <v>1009.4407491675485</v>
      </c>
      <c r="BF334" s="40"/>
      <c r="BG334" s="135">
        <v>466.14531055910498</v>
      </c>
      <c r="BH334" s="135">
        <v>422.70170581313232</v>
      </c>
      <c r="BI334" s="49">
        <v>2095.8730866271635</v>
      </c>
      <c r="BJ334" s="49">
        <v>888.84701637223725</v>
      </c>
      <c r="BK334" s="66">
        <v>7.6271527928270189E-2</v>
      </c>
      <c r="BL334" s="66">
        <v>0.10277603366279808</v>
      </c>
      <c r="BM334" s="51">
        <v>39.619529047772467</v>
      </c>
      <c r="BN334" s="51">
        <v>16.802401065637756</v>
      </c>
      <c r="BO334" s="136"/>
      <c r="BP334" s="40"/>
      <c r="BQ334" s="40"/>
      <c r="BR334" s="67"/>
      <c r="BS334" s="54" t="s">
        <v>110</v>
      </c>
      <c r="BT334" s="68"/>
      <c r="BU334" s="69"/>
      <c r="BV334" s="3"/>
      <c r="BW334" s="3"/>
      <c r="BX334" s="70"/>
      <c r="BY334" s="70"/>
      <c r="BZ334" s="59"/>
      <c r="CA334" s="59"/>
      <c r="CB334" s="59" t="s">
        <v>110</v>
      </c>
      <c r="CC334" s="59" t="s">
        <v>110</v>
      </c>
      <c r="CD334" s="60"/>
      <c r="CE334" s="60"/>
      <c r="CF334" s="61"/>
      <c r="CG334" s="61"/>
      <c r="CH334" s="61"/>
      <c r="CI334" s="139"/>
      <c r="CJ334" s="40"/>
      <c r="CK334" s="3"/>
      <c r="CL334" s="62"/>
      <c r="CM334" s="62"/>
      <c r="CN334" s="3"/>
      <c r="CO334" s="3"/>
      <c r="CP334" s="41">
        <v>14.888888888888889</v>
      </c>
      <c r="CQ334" s="3" t="s">
        <v>110</v>
      </c>
      <c r="CR334" s="40" t="s">
        <v>110</v>
      </c>
      <c r="CS334" s="40" t="s">
        <v>110</v>
      </c>
      <c r="CT334" s="40" t="s">
        <v>110</v>
      </c>
      <c r="CU334" s="40"/>
      <c r="CV334" s="40"/>
      <c r="CW334" s="40"/>
      <c r="CX334" s="40"/>
      <c r="CY334" s="40" t="s">
        <v>203</v>
      </c>
      <c r="CZ334" s="40"/>
      <c r="DA334" s="40"/>
    </row>
    <row r="335" spans="1:105" ht="15.75" customHeight="1">
      <c r="A335" s="3">
        <v>681</v>
      </c>
      <c r="B335" s="92" t="s">
        <v>199</v>
      </c>
      <c r="C335" s="143" t="s">
        <v>171</v>
      </c>
      <c r="D335" s="3" t="s">
        <v>105</v>
      </c>
      <c r="E335" s="144">
        <v>44899</v>
      </c>
      <c r="F335" s="3" t="s">
        <v>106</v>
      </c>
      <c r="G335" s="3" t="s">
        <v>122</v>
      </c>
      <c r="H335" s="3">
        <v>2005</v>
      </c>
      <c r="I335" s="40" t="s">
        <v>121</v>
      </c>
      <c r="J335" s="39" t="s">
        <v>160</v>
      </c>
      <c r="K335" s="3"/>
      <c r="L335" s="3"/>
      <c r="M335" s="3"/>
      <c r="N335" s="3"/>
      <c r="O335" s="3">
        <v>162.19999999999999</v>
      </c>
      <c r="P335" s="3"/>
      <c r="Q335" s="3"/>
      <c r="R335" s="3"/>
      <c r="S335" s="3"/>
      <c r="T335" s="125">
        <v>177.7</v>
      </c>
      <c r="U335" s="126">
        <v>91.999999999999986</v>
      </c>
      <c r="V335" s="12">
        <f>paper3[[#This Row],[height]]-paper3[[#This Row],[sittingheight]]</f>
        <v>85.7</v>
      </c>
      <c r="W335" s="127">
        <v>70.099999999999994</v>
      </c>
      <c r="X335" s="43" cm="1">
        <f t="array" ref="X335">INDEX([1]!phvny[yphv], MATCH(1, (paper3[[#This Row],[id]]=[1]!phvny[id])*(paper3[[#This Row],[time]]=[1]!phvny[time]), 0))</f>
        <v>3.019616049921213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130">
        <v>1.8459999999999999</v>
      </c>
      <c r="AI335" s="130">
        <v>3.1100000000000003</v>
      </c>
      <c r="AJ335" s="130">
        <v>4.33</v>
      </c>
      <c r="AK335" s="45">
        <v>8.1967213114754109</v>
      </c>
      <c r="AL335" s="3"/>
      <c r="AM335" s="3"/>
      <c r="AN335" s="3"/>
      <c r="AO335" s="3"/>
      <c r="AP335" s="137">
        <v>10.389999999999999</v>
      </c>
      <c r="AQ335" s="132"/>
      <c r="AR335" s="132"/>
      <c r="AS335" s="3"/>
      <c r="AT335" s="3"/>
      <c r="AU335" s="3"/>
      <c r="AV335" s="3"/>
      <c r="AW335" s="3"/>
      <c r="AX335" s="133">
        <v>36.96</v>
      </c>
      <c r="AY335" s="134"/>
      <c r="AZ335" s="40"/>
      <c r="BA335" s="40"/>
      <c r="BB335" s="40"/>
      <c r="BC335" s="40"/>
      <c r="BD335" s="135">
        <v>1591.7341124367865</v>
      </c>
      <c r="BE335" s="135">
        <v>1499.7561595158568</v>
      </c>
      <c r="BF335" s="40"/>
      <c r="BG335" s="135">
        <v>769.94216755068805</v>
      </c>
      <c r="BH335" s="135">
        <v>790.26290338027206</v>
      </c>
      <c r="BI335" s="49"/>
      <c r="BJ335" s="49"/>
      <c r="BK335" s="66"/>
      <c r="BL335" s="66"/>
      <c r="BM335" s="51"/>
      <c r="BN335" s="51"/>
      <c r="BO335" s="136"/>
      <c r="BP335" s="40"/>
      <c r="BQ335" s="40"/>
      <c r="BR335" s="67"/>
      <c r="BS335" s="54" t="s">
        <v>110</v>
      </c>
      <c r="BT335" s="68"/>
      <c r="BU335" s="69"/>
      <c r="BV335" s="3"/>
      <c r="BW335" s="3"/>
      <c r="BX335" s="70"/>
      <c r="BY335" s="70"/>
      <c r="BZ335" s="59"/>
      <c r="CA335" s="59"/>
      <c r="CB335" s="59" t="s">
        <v>110</v>
      </c>
      <c r="CC335" s="59" t="s">
        <v>110</v>
      </c>
      <c r="CD335" s="60"/>
      <c r="CE335" s="60"/>
      <c r="CF335" s="61"/>
      <c r="CG335" s="61"/>
      <c r="CH335" s="61"/>
      <c r="CI335" s="139"/>
      <c r="CJ335" s="40"/>
      <c r="CK335" s="3"/>
      <c r="CL335" s="62"/>
      <c r="CM335" s="62"/>
      <c r="CN335" s="3"/>
      <c r="CO335" s="3"/>
      <c r="CP335" s="41">
        <v>17.677777777777777</v>
      </c>
      <c r="CQ335" s="3" t="s">
        <v>110</v>
      </c>
      <c r="CR335" s="40" t="s">
        <v>110</v>
      </c>
      <c r="CS335" s="40" t="s">
        <v>110</v>
      </c>
      <c r="CT335" s="40" t="s">
        <v>110</v>
      </c>
      <c r="CU335" s="40"/>
      <c r="CV335" s="40"/>
      <c r="CW335" s="40"/>
      <c r="CX335" s="40"/>
      <c r="CY335" s="40" t="s">
        <v>201</v>
      </c>
      <c r="CZ335" s="40"/>
      <c r="DA335" s="40"/>
    </row>
    <row r="336" spans="1:105" ht="15.75" customHeight="1">
      <c r="A336" s="3">
        <v>682</v>
      </c>
      <c r="B336" s="92" t="s">
        <v>199</v>
      </c>
      <c r="C336" s="143" t="s">
        <v>104</v>
      </c>
      <c r="D336" s="3" t="s">
        <v>105</v>
      </c>
      <c r="E336" s="144">
        <v>44899</v>
      </c>
      <c r="F336" s="3" t="s">
        <v>106</v>
      </c>
      <c r="G336" s="3" t="s">
        <v>122</v>
      </c>
      <c r="H336" s="3">
        <v>2005</v>
      </c>
      <c r="I336" s="40" t="s">
        <v>121</v>
      </c>
      <c r="J336" s="39" t="s">
        <v>160</v>
      </c>
      <c r="K336" s="3"/>
      <c r="L336" s="3"/>
      <c r="M336" s="3"/>
      <c r="N336" s="3"/>
      <c r="O336" s="3">
        <v>169.4</v>
      </c>
      <c r="P336" s="3"/>
      <c r="Q336" s="3"/>
      <c r="R336" s="3"/>
      <c r="S336" s="3"/>
      <c r="T336" s="125">
        <v>195.1</v>
      </c>
      <c r="U336" s="126">
        <v>99.2</v>
      </c>
      <c r="V336" s="12">
        <f>paper3[[#This Row],[height]]-paper3[[#This Row],[sittingheight]]</f>
        <v>95.899999999999991</v>
      </c>
      <c r="W336" s="127">
        <v>76.8</v>
      </c>
      <c r="X336" s="43" cm="1">
        <f t="array" ref="X336">INDEX([1]!phvny[yphv], MATCH(1, (paper3[[#This Row],[id]]=[1]!phvny[id])*(paper3[[#This Row],[time]]=[1]!phvny[time]), 0))</f>
        <v>3.9444762835122171</v>
      </c>
      <c r="Y336" s="3"/>
      <c r="Z336" s="3"/>
      <c r="AA336" s="3"/>
      <c r="AB336" s="3"/>
      <c r="AC336" s="3"/>
      <c r="AD336" s="3"/>
      <c r="AE336" s="3"/>
      <c r="AF336" s="3"/>
      <c r="AG336" s="3"/>
      <c r="AH336" s="130">
        <v>1.8399999999999999</v>
      </c>
      <c r="AI336" s="130">
        <v>3.1300000000000003</v>
      </c>
      <c r="AJ336" s="130">
        <v>4.41</v>
      </c>
      <c r="AK336" s="45">
        <v>7.8125000000000009</v>
      </c>
      <c r="AL336" s="3"/>
      <c r="AM336" s="3"/>
      <c r="AN336" s="3"/>
      <c r="AO336" s="3"/>
      <c r="AP336" s="137">
        <v>10.809999999999999</v>
      </c>
      <c r="AQ336" s="132"/>
      <c r="AR336" s="132"/>
      <c r="AS336" s="3"/>
      <c r="AT336" s="3"/>
      <c r="AU336" s="3"/>
      <c r="AV336" s="3"/>
      <c r="AW336" s="3"/>
      <c r="AX336" s="133">
        <v>28.76</v>
      </c>
      <c r="AY336" s="134"/>
      <c r="AZ336" s="40"/>
      <c r="BA336" s="40"/>
      <c r="BB336" s="40"/>
      <c r="BC336" s="40"/>
      <c r="BD336" s="135">
        <v>1412.6703534630269</v>
      </c>
      <c r="BE336" s="135">
        <v>1201.5270482072401</v>
      </c>
      <c r="BF336" s="40"/>
      <c r="BG336" s="135">
        <v>531.67621587150052</v>
      </c>
      <c r="BH336" s="135">
        <v>636.63219856899923</v>
      </c>
      <c r="BI336" s="105">
        <v>2614.197401670267</v>
      </c>
      <c r="BJ336" s="105">
        <v>1168.3084144404997</v>
      </c>
      <c r="BK336" s="66">
        <v>0.17572913199983886</v>
      </c>
      <c r="BL336" s="66">
        <v>-0.16486125416435937</v>
      </c>
      <c r="BM336" s="51">
        <v>34.039028667581604</v>
      </c>
      <c r="BN336" s="51">
        <v>15.212349146360674</v>
      </c>
      <c r="BO336" s="136"/>
      <c r="BP336" s="40"/>
      <c r="BQ336" s="40"/>
      <c r="BR336" s="67"/>
      <c r="BS336" s="54" t="s">
        <v>110</v>
      </c>
      <c r="BT336" s="68"/>
      <c r="BU336" s="69"/>
      <c r="BV336" s="3"/>
      <c r="BW336" s="3"/>
      <c r="BX336" s="70"/>
      <c r="BY336" s="70"/>
      <c r="BZ336" s="59"/>
      <c r="CA336" s="59"/>
      <c r="CB336" s="59" t="s">
        <v>110</v>
      </c>
      <c r="CC336" s="59" t="s">
        <v>110</v>
      </c>
      <c r="CD336" s="60"/>
      <c r="CE336" s="60"/>
      <c r="CF336" s="61"/>
      <c r="CG336" s="61"/>
      <c r="CH336" s="61"/>
      <c r="CI336" s="139"/>
      <c r="CJ336" s="40"/>
      <c r="CK336" s="3"/>
      <c r="CL336" s="62"/>
      <c r="CM336" s="62"/>
      <c r="CN336" s="3"/>
      <c r="CO336" s="3"/>
      <c r="CP336" s="41">
        <v>17.43888888888889</v>
      </c>
      <c r="CQ336" s="3" t="s">
        <v>110</v>
      </c>
      <c r="CR336" s="40" t="s">
        <v>110</v>
      </c>
      <c r="CS336" s="40" t="s">
        <v>110</v>
      </c>
      <c r="CT336" s="40" t="s">
        <v>110</v>
      </c>
      <c r="CU336" s="40"/>
      <c r="CV336" s="40"/>
      <c r="CW336" s="40"/>
      <c r="CX336" s="40"/>
      <c r="CY336" s="40" t="s">
        <v>200</v>
      </c>
      <c r="CZ336" s="40"/>
      <c r="DA336" s="40"/>
    </row>
    <row r="337" spans="1:105" ht="15.75" customHeight="1">
      <c r="A337" s="3">
        <v>683</v>
      </c>
      <c r="B337" s="92" t="s">
        <v>199</v>
      </c>
      <c r="C337" s="143" t="s">
        <v>104</v>
      </c>
      <c r="D337" s="3" t="s">
        <v>105</v>
      </c>
      <c r="E337" s="144">
        <v>44899</v>
      </c>
      <c r="F337" s="3" t="s">
        <v>106</v>
      </c>
      <c r="G337" s="3" t="s">
        <v>122</v>
      </c>
      <c r="H337" s="3">
        <v>2007</v>
      </c>
      <c r="I337" s="40" t="s">
        <v>116</v>
      </c>
      <c r="J337" s="39" t="s">
        <v>157</v>
      </c>
      <c r="K337" s="3"/>
      <c r="L337" s="3"/>
      <c r="M337" s="3"/>
      <c r="N337" s="3"/>
      <c r="O337" s="3"/>
      <c r="P337" s="3"/>
      <c r="Q337" s="3"/>
      <c r="R337" s="3"/>
      <c r="S337" s="3"/>
      <c r="T337" s="125">
        <v>186.6</v>
      </c>
      <c r="U337" s="126">
        <v>98.3</v>
      </c>
      <c r="V337" s="12">
        <f>paper3[[#This Row],[height]]-paper3[[#This Row],[sittingheight]]</f>
        <v>88.3</v>
      </c>
      <c r="W337" s="127">
        <v>64.900000000000006</v>
      </c>
      <c r="X337" s="43" cm="1">
        <f t="array" ref="X337">INDEX([1]!phvny[yphv], MATCH(1, (paper3[[#This Row],[id]]=[1]!phvny[id])*(paper3[[#This Row],[time]]=[1]!phvny[time]), 0))</f>
        <v>2.4209004085827068</v>
      </c>
      <c r="Y337" s="3"/>
      <c r="Z337" s="3"/>
      <c r="AA337" s="3"/>
      <c r="AB337" s="3"/>
      <c r="AC337" s="3"/>
      <c r="AD337" s="3"/>
      <c r="AE337" s="3"/>
      <c r="AF337" s="3"/>
      <c r="AG337" s="3"/>
      <c r="AH337" s="130">
        <v>1.821</v>
      </c>
      <c r="AI337" s="130">
        <v>3.16</v>
      </c>
      <c r="AJ337" s="130">
        <v>4.4710000000000001</v>
      </c>
      <c r="AK337" s="45">
        <v>7.6277650648360034</v>
      </c>
      <c r="AL337" s="3"/>
      <c r="AM337" s="3"/>
      <c r="AN337" s="3"/>
      <c r="AO337" s="3"/>
      <c r="AP337" s="137">
        <v>10.51</v>
      </c>
      <c r="AQ337" s="132"/>
      <c r="AR337" s="132"/>
      <c r="AS337" s="3"/>
      <c r="AT337" s="3"/>
      <c r="AU337" s="3"/>
      <c r="AV337" s="3"/>
      <c r="AW337" s="3"/>
      <c r="AX337" s="133">
        <v>36.06</v>
      </c>
      <c r="AY337" s="134"/>
      <c r="AZ337" s="40"/>
      <c r="BA337" s="40"/>
      <c r="BB337" s="40"/>
      <c r="BC337" s="40"/>
      <c r="BD337" s="135">
        <v>1107.7985499705414</v>
      </c>
      <c r="BE337" s="135">
        <v>1118.7934940390662</v>
      </c>
      <c r="BF337" s="40"/>
      <c r="BG337" s="135">
        <v>510.72474811057566</v>
      </c>
      <c r="BH337" s="135">
        <v>527.12710902891013</v>
      </c>
      <c r="BI337" s="49">
        <v>2226.5920440096079</v>
      </c>
      <c r="BJ337" s="49">
        <v>1037.8518571394857</v>
      </c>
      <c r="BK337" s="66">
        <v>-9.8275008990540424E-3</v>
      </c>
      <c r="BL337" s="66">
        <v>-3.1116519407532239E-2</v>
      </c>
      <c r="BM337" s="51">
        <v>34.308043821411523</v>
      </c>
      <c r="BN337" s="51">
        <v>15.991554039129207</v>
      </c>
      <c r="BO337" s="136"/>
      <c r="BP337" s="40"/>
      <c r="BQ337" s="40"/>
      <c r="BR337" s="67"/>
      <c r="BS337" s="54" t="s">
        <v>110</v>
      </c>
      <c r="BT337" s="68"/>
      <c r="BU337" s="69"/>
      <c r="BV337" s="3"/>
      <c r="BW337" s="3"/>
      <c r="BX337" s="70"/>
      <c r="BY337" s="70"/>
      <c r="BZ337" s="59"/>
      <c r="CA337" s="59"/>
      <c r="CB337" s="59" t="s">
        <v>110</v>
      </c>
      <c r="CC337" s="59" t="s">
        <v>110</v>
      </c>
      <c r="CD337" s="60"/>
      <c r="CE337" s="60"/>
      <c r="CF337" s="61"/>
      <c r="CG337" s="61"/>
      <c r="CH337" s="61"/>
      <c r="CI337" s="138">
        <v>19.100000000000001</v>
      </c>
      <c r="CJ337" s="40">
        <f>VLOOKUP(paper3[[#This Row],[YYIR nivå]],$DB:$DC,2)</f>
        <v>2080</v>
      </c>
      <c r="CK337" s="3"/>
      <c r="CL337" s="62"/>
      <c r="CM337" s="62"/>
      <c r="CN337" s="3"/>
      <c r="CO337" s="3"/>
      <c r="CP337" s="41">
        <v>15.127777777777778</v>
      </c>
      <c r="CQ337" s="3" t="s">
        <v>110</v>
      </c>
      <c r="CR337" s="40" t="s">
        <v>110</v>
      </c>
      <c r="CS337" s="40" t="s">
        <v>110</v>
      </c>
      <c r="CT337" s="40" t="s">
        <v>110</v>
      </c>
      <c r="CU337" s="40"/>
      <c r="CV337" s="40"/>
      <c r="CW337" s="40"/>
      <c r="CX337" s="40"/>
      <c r="CY337" s="40" t="s">
        <v>203</v>
      </c>
      <c r="CZ337" s="40"/>
      <c r="DA337" s="40"/>
    </row>
    <row r="338" spans="1:105" ht="15.75" customHeight="1">
      <c r="A338" s="3">
        <v>684</v>
      </c>
      <c r="B338" s="92" t="s">
        <v>199</v>
      </c>
      <c r="C338" s="143" t="s">
        <v>104</v>
      </c>
      <c r="D338" s="3" t="s">
        <v>105</v>
      </c>
      <c r="E338" s="144">
        <v>44899</v>
      </c>
      <c r="F338" s="3" t="s">
        <v>106</v>
      </c>
      <c r="G338" s="3" t="s">
        <v>122</v>
      </c>
      <c r="H338" s="3">
        <v>2007</v>
      </c>
      <c r="I338" s="40" t="s">
        <v>116</v>
      </c>
      <c r="J338" s="39" t="s">
        <v>157</v>
      </c>
      <c r="K338" s="3"/>
      <c r="L338" s="3"/>
      <c r="M338" s="3"/>
      <c r="N338" s="3"/>
      <c r="O338" s="3"/>
      <c r="P338" s="3"/>
      <c r="Q338" s="3"/>
      <c r="R338" s="3"/>
      <c r="S338" s="3"/>
      <c r="T338" s="125">
        <v>181.5</v>
      </c>
      <c r="U338" s="126">
        <v>95.3</v>
      </c>
      <c r="V338" s="12">
        <f>paper3[[#This Row],[height]]-paper3[[#This Row],[sittingheight]]</f>
        <v>86.2</v>
      </c>
      <c r="W338" s="127">
        <v>64.5</v>
      </c>
      <c r="X338" s="43" cm="1">
        <f t="array" ref="X338">INDEX([1]!phvny[yphv], MATCH(1, (paper3[[#This Row],[id]]=[1]!phvny[id])*(paper3[[#This Row],[time]]=[1]!phvny[time]), 0))</f>
        <v>2.4338176335831028</v>
      </c>
      <c r="Y338" s="3"/>
      <c r="Z338" s="3"/>
      <c r="AA338" s="3"/>
      <c r="AB338" s="3"/>
      <c r="AC338" s="3"/>
      <c r="AD338" s="3"/>
      <c r="AE338" s="3"/>
      <c r="AF338" s="3"/>
      <c r="AG338" s="3"/>
      <c r="AH338" s="130">
        <v>1.889</v>
      </c>
      <c r="AI338" s="130">
        <v>3.27</v>
      </c>
      <c r="AJ338" s="130">
        <v>4.6529999999999996</v>
      </c>
      <c r="AK338" s="45">
        <v>7.2306579898770815</v>
      </c>
      <c r="AL338" s="3"/>
      <c r="AM338" s="3"/>
      <c r="AN338" s="3"/>
      <c r="AO338" s="3"/>
      <c r="AP338" s="137">
        <v>11.2</v>
      </c>
      <c r="AQ338" s="132"/>
      <c r="AR338" s="132"/>
      <c r="AS338" s="3"/>
      <c r="AT338" s="3"/>
      <c r="AU338" s="3"/>
      <c r="AV338" s="3"/>
      <c r="AW338" s="3"/>
      <c r="AX338" s="133">
        <v>32.86</v>
      </c>
      <c r="AY338" s="134"/>
      <c r="AZ338" s="40"/>
      <c r="BA338" s="40"/>
      <c r="BB338" s="40"/>
      <c r="BC338" s="40"/>
      <c r="BD338" s="135">
        <v>1047.4134529470505</v>
      </c>
      <c r="BE338" s="135">
        <v>1019.886517113008</v>
      </c>
      <c r="BF338" s="40"/>
      <c r="BG338" s="135">
        <v>470.29688740989991</v>
      </c>
      <c r="BH338" s="135">
        <v>487.49637107099352</v>
      </c>
      <c r="BI338" s="49">
        <v>2067.2999700600585</v>
      </c>
      <c r="BJ338" s="49">
        <v>957.79325848089343</v>
      </c>
      <c r="BK338" s="66">
        <v>2.6990194862035244E-2</v>
      </c>
      <c r="BL338" s="66">
        <v>-3.5281254757461245E-2</v>
      </c>
      <c r="BM338" s="51">
        <v>32.051162326512532</v>
      </c>
      <c r="BN338" s="51">
        <v>14.849507883424705</v>
      </c>
      <c r="BO338" s="136"/>
      <c r="BP338" s="40"/>
      <c r="BQ338" s="40"/>
      <c r="BR338" s="67"/>
      <c r="BS338" s="54" t="s">
        <v>110</v>
      </c>
      <c r="BT338" s="68"/>
      <c r="BU338" s="69"/>
      <c r="BV338" s="3"/>
      <c r="BW338" s="3"/>
      <c r="BX338" s="70"/>
      <c r="BY338" s="70"/>
      <c r="BZ338" s="59"/>
      <c r="CA338" s="59"/>
      <c r="CB338" s="59" t="s">
        <v>110</v>
      </c>
      <c r="CC338" s="59" t="s">
        <v>110</v>
      </c>
      <c r="CD338" s="60"/>
      <c r="CE338" s="60"/>
      <c r="CF338" s="61"/>
      <c r="CG338" s="61"/>
      <c r="CH338" s="61"/>
      <c r="CI338" s="139">
        <v>17.2</v>
      </c>
      <c r="CJ338" s="40">
        <f>VLOOKUP(paper3[[#This Row],[YYIR nivå]],$DB:$DC,2)</f>
        <v>1480</v>
      </c>
      <c r="CK338" s="3"/>
      <c r="CL338" s="62"/>
      <c r="CM338" s="62"/>
      <c r="CN338" s="3"/>
      <c r="CO338" s="3"/>
      <c r="CP338" s="41">
        <v>15.855555555555556</v>
      </c>
      <c r="CQ338" s="3" t="s">
        <v>110</v>
      </c>
      <c r="CR338" s="40" t="s">
        <v>110</v>
      </c>
      <c r="CS338" s="40" t="s">
        <v>110</v>
      </c>
      <c r="CT338" s="40" t="s">
        <v>110</v>
      </c>
      <c r="CU338" s="40"/>
      <c r="CV338" s="40"/>
      <c r="CW338" s="40"/>
      <c r="CX338" s="40"/>
      <c r="CY338" s="40" t="s">
        <v>201</v>
      </c>
      <c r="CZ338" s="40"/>
      <c r="DA338" s="40"/>
    </row>
    <row r="339" spans="1:105" ht="15.75" customHeight="1">
      <c r="A339" s="3">
        <v>685</v>
      </c>
      <c r="B339" s="92" t="s">
        <v>199</v>
      </c>
      <c r="C339" s="143" t="s">
        <v>104</v>
      </c>
      <c r="D339" s="3" t="s">
        <v>105</v>
      </c>
      <c r="E339" s="144">
        <v>44899</v>
      </c>
      <c r="F339" s="3" t="s">
        <v>106</v>
      </c>
      <c r="G339" s="3" t="s">
        <v>122</v>
      </c>
      <c r="H339" s="3">
        <v>2007</v>
      </c>
      <c r="I339" s="40" t="s">
        <v>116</v>
      </c>
      <c r="J339" s="39" t="s">
        <v>157</v>
      </c>
      <c r="K339" s="3"/>
      <c r="L339" s="3"/>
      <c r="M339" s="3"/>
      <c r="N339" s="3"/>
      <c r="O339" s="3"/>
      <c r="P339" s="3"/>
      <c r="Q339" s="3"/>
      <c r="R339" s="3"/>
      <c r="S339" s="3"/>
      <c r="T339" s="125">
        <v>176.2</v>
      </c>
      <c r="U339" s="126">
        <v>93.7</v>
      </c>
      <c r="V339" s="12">
        <f>paper3[[#This Row],[height]]-paper3[[#This Row],[sittingheight]]</f>
        <v>82.499999999999986</v>
      </c>
      <c r="W339" s="127">
        <v>64</v>
      </c>
      <c r="X339" s="43" cm="1">
        <f t="array" ref="X339">INDEX([1]!phvny[yphv], MATCH(1, (paper3[[#This Row],[id]]=[1]!phvny[id])*(paper3[[#This Row],[time]]=[1]!phvny[time]), 0))</f>
        <v>2.2186126155533477</v>
      </c>
      <c r="Y339" s="3"/>
      <c r="Z339" s="3"/>
      <c r="AA339" s="3"/>
      <c r="AB339" s="3"/>
      <c r="AC339" s="3"/>
      <c r="AD339" s="3"/>
      <c r="AE339" s="3"/>
      <c r="AF339" s="3"/>
      <c r="AG339" s="3"/>
      <c r="AH339" s="130">
        <v>1.911</v>
      </c>
      <c r="AI339" s="130">
        <v>3.3200000000000003</v>
      </c>
      <c r="AJ339" s="130">
        <v>4.7359999999999998</v>
      </c>
      <c r="AK339" s="45">
        <v>7.0621468926553694</v>
      </c>
      <c r="AL339" s="3"/>
      <c r="AM339" s="3"/>
      <c r="AN339" s="3"/>
      <c r="AO339" s="3"/>
      <c r="AP339" s="137">
        <v>10.69</v>
      </c>
      <c r="AQ339" s="132"/>
      <c r="AR339" s="132"/>
      <c r="AS339" s="3"/>
      <c r="AT339" s="3"/>
      <c r="AU339" s="3"/>
      <c r="AV339" s="3"/>
      <c r="AW339" s="3"/>
      <c r="AX339" s="133">
        <v>28.46</v>
      </c>
      <c r="AY339" s="134"/>
      <c r="AZ339" s="40"/>
      <c r="BA339" s="40"/>
      <c r="BB339" s="40"/>
      <c r="BC339" s="40"/>
      <c r="BD339" s="135">
        <v>1236.2296671035197</v>
      </c>
      <c r="BE339" s="135">
        <v>1120.8629867523086</v>
      </c>
      <c r="BF339" s="40"/>
      <c r="BG339" s="135">
        <v>451.36841010228079</v>
      </c>
      <c r="BH339" s="135">
        <v>458.99082285748113</v>
      </c>
      <c r="BI339" s="49">
        <v>2357.0926538558283</v>
      </c>
      <c r="BJ339" s="49">
        <v>910.35923295976193</v>
      </c>
      <c r="BK339" s="66">
        <v>0.10292665715145533</v>
      </c>
      <c r="BL339" s="66">
        <v>-1.6606895771349994E-2</v>
      </c>
      <c r="BM339" s="51">
        <v>36.829572716497317</v>
      </c>
      <c r="BN339" s="51">
        <v>14.22436301499628</v>
      </c>
      <c r="BO339" s="136"/>
      <c r="BP339" s="40"/>
      <c r="BQ339" s="40"/>
      <c r="BR339" s="67"/>
      <c r="BS339" s="54" t="s">
        <v>110</v>
      </c>
      <c r="BT339" s="68"/>
      <c r="BU339" s="69"/>
      <c r="BV339" s="3"/>
      <c r="BW339" s="3"/>
      <c r="BX339" s="70"/>
      <c r="BY339" s="70"/>
      <c r="BZ339" s="59"/>
      <c r="CA339" s="59"/>
      <c r="CB339" s="59" t="s">
        <v>110</v>
      </c>
      <c r="CC339" s="59" t="s">
        <v>110</v>
      </c>
      <c r="CD339" s="60"/>
      <c r="CE339" s="60"/>
      <c r="CF339" s="61"/>
      <c r="CG339" s="61"/>
      <c r="CH339" s="61"/>
      <c r="CI339" s="138">
        <v>17.600000000000001</v>
      </c>
      <c r="CJ339" s="40">
        <f>VLOOKUP(paper3[[#This Row],[YYIR nivå]],$DB:$DC,2)</f>
        <v>1640</v>
      </c>
      <c r="CK339" s="3"/>
      <c r="CL339" s="62"/>
      <c r="CM339" s="62"/>
      <c r="CN339" s="3"/>
      <c r="CO339" s="3"/>
      <c r="CP339" s="41">
        <v>15.824999999999999</v>
      </c>
      <c r="CQ339" s="3" t="s">
        <v>110</v>
      </c>
      <c r="CR339" s="40" t="s">
        <v>110</v>
      </c>
      <c r="CS339" s="40" t="s">
        <v>110</v>
      </c>
      <c r="CT339" s="40" t="s">
        <v>110</v>
      </c>
      <c r="CU339" s="40"/>
      <c r="CV339" s="40"/>
      <c r="CW339" s="40"/>
      <c r="CX339" s="40"/>
      <c r="CY339" s="40" t="s">
        <v>201</v>
      </c>
      <c r="CZ339" s="40"/>
      <c r="DA339" s="40"/>
    </row>
    <row r="340" spans="1:105" ht="15.75" customHeight="1">
      <c r="A340" s="3">
        <v>686</v>
      </c>
      <c r="B340" s="92" t="s">
        <v>199</v>
      </c>
      <c r="C340" s="143" t="s">
        <v>104</v>
      </c>
      <c r="D340" s="3" t="s">
        <v>105</v>
      </c>
      <c r="E340" s="144">
        <v>44899</v>
      </c>
      <c r="F340" s="3" t="s">
        <v>106</v>
      </c>
      <c r="G340" s="3" t="s">
        <v>122</v>
      </c>
      <c r="H340" s="3">
        <v>2007</v>
      </c>
      <c r="I340" s="40" t="s">
        <v>116</v>
      </c>
      <c r="J340" s="39" t="s">
        <v>157</v>
      </c>
      <c r="K340" s="3"/>
      <c r="L340" s="3"/>
      <c r="M340" s="3"/>
      <c r="N340" s="3"/>
      <c r="O340" s="3"/>
      <c r="P340" s="3"/>
      <c r="Q340" s="3"/>
      <c r="R340" s="3"/>
      <c r="S340" s="3"/>
      <c r="T340" s="125">
        <v>170.1</v>
      </c>
      <c r="U340" s="126">
        <v>90.1</v>
      </c>
      <c r="V340" s="12">
        <f>paper3[[#This Row],[height]]-paper3[[#This Row],[sittingheight]]</f>
        <v>80</v>
      </c>
      <c r="W340" s="127">
        <v>65.8</v>
      </c>
      <c r="X340" s="43" cm="1">
        <f t="array" ref="X340">INDEX([1]!phvny[yphv], MATCH(1, (paper3[[#This Row],[id]]=[1]!phvny[id])*(paper3[[#This Row],[time]]=[1]!phvny[time]), 0))</f>
        <v>1.7874294528395043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130">
        <v>1.921</v>
      </c>
      <c r="AI340" s="130">
        <v>2.6100000000000003</v>
      </c>
      <c r="AJ340" s="130">
        <v>4.5060000000000002</v>
      </c>
      <c r="AK340" s="45">
        <v>5.2742616033755274</v>
      </c>
      <c r="AL340" s="3"/>
      <c r="AM340" s="3"/>
      <c r="AN340" s="3"/>
      <c r="AO340" s="3"/>
      <c r="AP340" s="137">
        <v>11.34</v>
      </c>
      <c r="AQ340" s="132"/>
      <c r="AR340" s="132"/>
      <c r="AS340" s="3"/>
      <c r="AT340" s="3"/>
      <c r="AU340" s="3"/>
      <c r="AV340" s="3"/>
      <c r="AW340" s="3"/>
      <c r="AX340" s="133">
        <v>36.36</v>
      </c>
      <c r="AY340" s="134"/>
      <c r="AZ340" s="40"/>
      <c r="BA340" s="40"/>
      <c r="BB340" s="40"/>
      <c r="BC340" s="40"/>
      <c r="BD340" s="135">
        <v>1343.5469485373169</v>
      </c>
      <c r="BE340" s="135">
        <v>1331.8217836228691</v>
      </c>
      <c r="BF340" s="40"/>
      <c r="BG340" s="135">
        <v>598.97149891432355</v>
      </c>
      <c r="BH340" s="135">
        <v>593.88911395832849</v>
      </c>
      <c r="BI340" s="49">
        <v>2675.368732160186</v>
      </c>
      <c r="BJ340" s="49">
        <v>1192.8606128726519</v>
      </c>
      <c r="BK340" s="66">
        <v>8.8038542833805966E-3</v>
      </c>
      <c r="BL340" s="66">
        <v>8.5578011728830727E-3</v>
      </c>
      <c r="BM340" s="51">
        <v>40.65909927295116</v>
      </c>
      <c r="BN340" s="51">
        <v>18.12858074274547</v>
      </c>
      <c r="BO340" s="136"/>
      <c r="BP340" s="40"/>
      <c r="BQ340" s="40"/>
      <c r="BR340" s="67"/>
      <c r="BS340" s="54" t="s">
        <v>110</v>
      </c>
      <c r="BT340" s="68"/>
      <c r="BU340" s="69"/>
      <c r="BV340" s="3"/>
      <c r="BW340" s="3"/>
      <c r="BX340" s="70"/>
      <c r="BY340" s="70"/>
      <c r="BZ340" s="59"/>
      <c r="CA340" s="59"/>
      <c r="CB340" s="59" t="s">
        <v>110</v>
      </c>
      <c r="CC340" s="59" t="s">
        <v>110</v>
      </c>
      <c r="CD340" s="60"/>
      <c r="CE340" s="60"/>
      <c r="CF340" s="61"/>
      <c r="CG340" s="61"/>
      <c r="CH340" s="61"/>
      <c r="CI340" s="139">
        <v>17.3</v>
      </c>
      <c r="CJ340" s="40">
        <f>VLOOKUP(paper3[[#This Row],[YYIR nivå]],$DB:$DC,2)</f>
        <v>1520</v>
      </c>
      <c r="CK340" s="3"/>
      <c r="CL340" s="62"/>
      <c r="CM340" s="62"/>
      <c r="CN340" s="3"/>
      <c r="CO340" s="3"/>
      <c r="CP340" s="41">
        <v>15.827777777777778</v>
      </c>
      <c r="CQ340" s="3" t="s">
        <v>110</v>
      </c>
      <c r="CR340" s="40" t="s">
        <v>110</v>
      </c>
      <c r="CS340" s="40" t="s">
        <v>110</v>
      </c>
      <c r="CT340" s="40" t="s">
        <v>110</v>
      </c>
      <c r="CU340" s="40"/>
      <c r="CV340" s="40"/>
      <c r="CW340" s="40"/>
      <c r="CX340" s="40"/>
      <c r="CY340" s="40" t="s">
        <v>202</v>
      </c>
      <c r="CZ340" s="40"/>
      <c r="DA340" s="40"/>
    </row>
    <row r="341" spans="1:105" ht="15.75" customHeight="1">
      <c r="A341" s="3">
        <v>687</v>
      </c>
      <c r="B341" s="92" t="s">
        <v>199</v>
      </c>
      <c r="C341" s="143" t="s">
        <v>104</v>
      </c>
      <c r="D341" s="3" t="s">
        <v>105</v>
      </c>
      <c r="E341" s="144">
        <v>44903</v>
      </c>
      <c r="F341" s="3" t="s">
        <v>106</v>
      </c>
      <c r="G341" s="3" t="s">
        <v>122</v>
      </c>
      <c r="H341" s="3">
        <v>2007</v>
      </c>
      <c r="I341" s="40" t="s">
        <v>116</v>
      </c>
      <c r="J341" s="39" t="s">
        <v>157</v>
      </c>
      <c r="K341" s="3"/>
      <c r="L341" s="3"/>
      <c r="M341" s="3"/>
      <c r="N341" s="3"/>
      <c r="O341" s="3"/>
      <c r="P341" s="3"/>
      <c r="Q341" s="3"/>
      <c r="R341" s="3"/>
      <c r="S341" s="3"/>
      <c r="T341" s="125">
        <v>177.5</v>
      </c>
      <c r="U341" s="126">
        <v>89.8</v>
      </c>
      <c r="V341" s="12">
        <f>paper3[[#This Row],[height]]-paper3[[#This Row],[sittingheight]]</f>
        <v>87.7</v>
      </c>
      <c r="W341" s="127">
        <v>59.1</v>
      </c>
      <c r="X341" s="43" cm="1">
        <f t="array" ref="X341">INDEX([1]!phvny[yphv], MATCH(1, (paper3[[#This Row],[id]]=[1]!phvny[id])*(paper3[[#This Row],[time]]=[1]!phvny[time]), 0))</f>
        <v>1.2785709045962435</v>
      </c>
      <c r="Y341" s="3"/>
      <c r="Z341" s="3"/>
      <c r="AA341" s="3"/>
      <c r="AB341" s="3"/>
      <c r="AC341" s="3"/>
      <c r="AD341" s="3"/>
      <c r="AE341" s="3"/>
      <c r="AF341" s="3"/>
      <c r="AG341" s="3"/>
      <c r="AH341" s="130">
        <v>1.9370000000000001</v>
      </c>
      <c r="AI341" s="130">
        <v>3.37</v>
      </c>
      <c r="AJ341" s="130">
        <v>4.8250000000000002</v>
      </c>
      <c r="AK341" s="45">
        <v>6.8728522336769755</v>
      </c>
      <c r="AL341" s="3"/>
      <c r="AM341" s="3"/>
      <c r="AN341" s="3"/>
      <c r="AO341" s="141"/>
      <c r="AP341" s="137"/>
      <c r="AQ341" s="132"/>
      <c r="AR341" s="132"/>
      <c r="AS341" s="3"/>
      <c r="AT341" s="3"/>
      <c r="AU341" s="3"/>
      <c r="AV341" s="3"/>
      <c r="AW341" s="3"/>
      <c r="AX341" s="133">
        <v>31.560000000000002</v>
      </c>
      <c r="AY341" s="134"/>
      <c r="AZ341" s="40"/>
      <c r="BA341" s="40"/>
      <c r="BB341" s="40"/>
      <c r="BC341" s="40"/>
      <c r="BD341" s="135">
        <v>851.68748603574227</v>
      </c>
      <c r="BE341" s="135">
        <v>888.84052969250092</v>
      </c>
      <c r="BF341" s="40"/>
      <c r="BG341" s="135">
        <v>435.76213613454013</v>
      </c>
      <c r="BH341" s="135">
        <v>414.93008433238128</v>
      </c>
      <c r="BI341" s="49">
        <v>1740.5280157282432</v>
      </c>
      <c r="BJ341" s="49">
        <v>850.69222046692141</v>
      </c>
      <c r="BK341" s="66">
        <v>-4.1799448175042109E-2</v>
      </c>
      <c r="BL341" s="66">
        <v>5.0206173494692363E-2</v>
      </c>
      <c r="BM341" s="51">
        <v>29.450558641763845</v>
      </c>
      <c r="BN341" s="51">
        <v>14.394115405531664</v>
      </c>
      <c r="BO341" s="136"/>
      <c r="BP341" s="40"/>
      <c r="BQ341" s="40"/>
      <c r="BR341" s="67"/>
      <c r="BS341" s="54" t="s">
        <v>110</v>
      </c>
      <c r="BT341" s="68"/>
      <c r="BU341" s="69"/>
      <c r="BV341" s="3"/>
      <c r="BW341" s="3"/>
      <c r="BX341" s="70"/>
      <c r="BY341" s="70"/>
      <c r="BZ341" s="59"/>
      <c r="CA341" s="59"/>
      <c r="CB341" s="59" t="s">
        <v>110</v>
      </c>
      <c r="CC341" s="59" t="s">
        <v>110</v>
      </c>
      <c r="CD341" s="60"/>
      <c r="CE341" s="60"/>
      <c r="CF341" s="61"/>
      <c r="CG341" s="61"/>
      <c r="CH341" s="61"/>
      <c r="CI341" s="139"/>
      <c r="CJ341" s="40"/>
      <c r="CK341" s="3"/>
      <c r="CL341" s="62"/>
      <c r="CM341" s="62"/>
      <c r="CN341" s="3"/>
      <c r="CO341" s="3"/>
      <c r="CP341" s="41">
        <v>15.172222222222222</v>
      </c>
      <c r="CQ341" s="3" t="s">
        <v>110</v>
      </c>
      <c r="CR341" s="40" t="s">
        <v>110</v>
      </c>
      <c r="CS341" s="40" t="s">
        <v>110</v>
      </c>
      <c r="CT341" s="40" t="s">
        <v>110</v>
      </c>
      <c r="CU341" s="40"/>
      <c r="CV341" s="40"/>
      <c r="CW341" s="40"/>
      <c r="CX341" s="40"/>
      <c r="CY341" s="40" t="s">
        <v>125</v>
      </c>
      <c r="CZ341" s="40"/>
      <c r="DA341" s="40"/>
    </row>
    <row r="342" spans="1:105" ht="18.75">
      <c r="A342" s="3">
        <v>688</v>
      </c>
      <c r="B342" s="92" t="s">
        <v>199</v>
      </c>
      <c r="C342" s="143" t="s">
        <v>104</v>
      </c>
      <c r="D342" s="3" t="s">
        <v>105</v>
      </c>
      <c r="E342" s="144">
        <v>44903</v>
      </c>
      <c r="F342" s="3" t="s">
        <v>106</v>
      </c>
      <c r="G342" s="3" t="s">
        <v>122</v>
      </c>
      <c r="H342" s="3">
        <v>2007</v>
      </c>
      <c r="I342" s="40" t="s">
        <v>116</v>
      </c>
      <c r="J342" s="39" t="s">
        <v>157</v>
      </c>
      <c r="K342" s="3"/>
      <c r="L342" s="3"/>
      <c r="M342" s="3"/>
      <c r="N342" s="3"/>
      <c r="O342" s="3"/>
      <c r="P342" s="3"/>
      <c r="Q342" s="3"/>
      <c r="R342" s="3"/>
      <c r="S342" s="3"/>
      <c r="T342" s="125">
        <v>165.3</v>
      </c>
      <c r="U342" s="126">
        <v>84.9</v>
      </c>
      <c r="V342" s="12">
        <f>paper3[[#This Row],[height]]-paper3[[#This Row],[sittingheight]]</f>
        <v>80.400000000000006</v>
      </c>
      <c r="W342" s="127">
        <v>53.7</v>
      </c>
      <c r="X342" s="43" cm="1">
        <f t="array" ref="X342">INDEX([1]!phvny[yphv], MATCH(1, (paper3[[#This Row],[id]]=[1]!phvny[id])*(paper3[[#This Row],[time]]=[1]!phvny[time]), 0))</f>
        <v>0.57697597977858428</v>
      </c>
      <c r="Y342" s="3"/>
      <c r="Z342" s="3"/>
      <c r="AA342" s="3"/>
      <c r="AB342" s="3"/>
      <c r="AC342" s="3"/>
      <c r="AD342" s="3"/>
      <c r="AE342" s="3"/>
      <c r="AF342" s="3"/>
      <c r="AG342" s="3"/>
      <c r="AH342" s="130">
        <v>1.9390000000000001</v>
      </c>
      <c r="AI342" s="130">
        <v>3.35</v>
      </c>
      <c r="AJ342" s="130">
        <v>4.734</v>
      </c>
      <c r="AK342" s="45">
        <v>7.2254335260115612</v>
      </c>
      <c r="AL342" s="3"/>
      <c r="AM342" s="3"/>
      <c r="AN342" s="3"/>
      <c r="AO342" s="141"/>
      <c r="AP342" s="137"/>
      <c r="AQ342" s="132"/>
      <c r="AR342" s="132"/>
      <c r="AS342" s="3"/>
      <c r="AT342" s="3"/>
      <c r="AU342" s="3"/>
      <c r="AV342" s="3"/>
      <c r="AW342" s="3"/>
      <c r="AX342" s="133">
        <v>27.86</v>
      </c>
      <c r="AY342" s="134"/>
      <c r="AZ342" s="40"/>
      <c r="BA342" s="40"/>
      <c r="BB342" s="40"/>
      <c r="BC342" s="40"/>
      <c r="BD342" s="135"/>
      <c r="BE342" s="135"/>
      <c r="BF342" s="40"/>
      <c r="BG342" s="135"/>
      <c r="BH342" s="135"/>
      <c r="BI342" s="49"/>
      <c r="BJ342" s="49"/>
      <c r="BK342" s="66"/>
      <c r="BL342" s="66"/>
      <c r="BM342" s="51"/>
      <c r="BN342" s="51"/>
      <c r="BO342" s="136"/>
      <c r="BP342" s="40"/>
      <c r="BQ342" s="40"/>
      <c r="BR342" s="67"/>
      <c r="BS342" s="54" t="s">
        <v>110</v>
      </c>
      <c r="BT342" s="68"/>
      <c r="BU342" s="69"/>
      <c r="BV342" s="3"/>
      <c r="BW342" s="3"/>
      <c r="BX342" s="70"/>
      <c r="BY342" s="70"/>
      <c r="BZ342" s="59"/>
      <c r="CA342" s="59"/>
      <c r="CB342" s="59" t="s">
        <v>110</v>
      </c>
      <c r="CC342" s="59" t="s">
        <v>110</v>
      </c>
      <c r="CD342" s="60"/>
      <c r="CE342" s="60"/>
      <c r="CF342" s="61"/>
      <c r="CG342" s="61"/>
      <c r="CH342" s="61"/>
      <c r="CI342" s="139"/>
      <c r="CJ342" s="40"/>
      <c r="CK342" s="3"/>
      <c r="CL342" s="62"/>
      <c r="CM342" s="62"/>
      <c r="CN342" s="3"/>
      <c r="CO342" s="3"/>
      <c r="CP342" s="41">
        <v>15.074999999999999</v>
      </c>
      <c r="CQ342" s="3" t="s">
        <v>110</v>
      </c>
      <c r="CR342" s="40" t="s">
        <v>110</v>
      </c>
      <c r="CS342" s="40" t="s">
        <v>110</v>
      </c>
      <c r="CT342" s="40" t="s">
        <v>110</v>
      </c>
      <c r="CU342" s="40"/>
      <c r="CV342" s="40"/>
      <c r="CW342" s="40"/>
      <c r="CX342" s="40"/>
      <c r="CY342" s="40" t="s">
        <v>201</v>
      </c>
      <c r="CZ342" s="40"/>
      <c r="DA342" s="40"/>
    </row>
    <row r="343" spans="1:105" ht="15.75" customHeight="1">
      <c r="A343" s="3">
        <v>689</v>
      </c>
      <c r="B343" s="92" t="s">
        <v>199</v>
      </c>
      <c r="C343" s="143" t="s">
        <v>104</v>
      </c>
      <c r="D343" s="3" t="s">
        <v>105</v>
      </c>
      <c r="E343" s="144">
        <v>44903</v>
      </c>
      <c r="F343" s="3" t="s">
        <v>106</v>
      </c>
      <c r="G343" s="3" t="s">
        <v>122</v>
      </c>
      <c r="H343" s="3">
        <v>2007</v>
      </c>
      <c r="I343" s="40" t="s">
        <v>116</v>
      </c>
      <c r="J343" s="39" t="s">
        <v>157</v>
      </c>
      <c r="K343" s="3"/>
      <c r="L343" s="3"/>
      <c r="M343" s="3"/>
      <c r="N343" s="3"/>
      <c r="O343" s="3"/>
      <c r="P343" s="3"/>
      <c r="Q343" s="3"/>
      <c r="R343" s="3"/>
      <c r="S343" s="3"/>
      <c r="T343" s="125">
        <v>186.2</v>
      </c>
      <c r="U343" s="126">
        <v>96</v>
      </c>
      <c r="V343" s="12">
        <f>paper3[[#This Row],[height]]-paper3[[#This Row],[sittingheight]]</f>
        <v>90.199999999999989</v>
      </c>
      <c r="W343" s="127">
        <v>67.7</v>
      </c>
      <c r="X343" s="43" cm="1">
        <f t="array" ref="X343">INDEX([1]!phvny[yphv], MATCH(1, (paper3[[#This Row],[id]]=[1]!phvny[id])*(paper3[[#This Row],[time]]=[1]!phvny[time]), 0))</f>
        <v>2.3531141095423083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130">
        <v>1.877</v>
      </c>
      <c r="AI343" s="130">
        <v>3.2</v>
      </c>
      <c r="AJ343" s="130">
        <v>4.4710000000000001</v>
      </c>
      <c r="AK343" s="45">
        <v>7.8678206136900082</v>
      </c>
      <c r="AL343" s="3"/>
      <c r="AM343" s="3"/>
      <c r="AN343" s="3"/>
      <c r="AO343" s="141"/>
      <c r="AP343" s="137"/>
      <c r="AQ343" s="132"/>
      <c r="AR343" s="132"/>
      <c r="AS343" s="3"/>
      <c r="AT343" s="3"/>
      <c r="AU343" s="3"/>
      <c r="AV343" s="3"/>
      <c r="AW343" s="3"/>
      <c r="AX343" s="133">
        <v>32.06</v>
      </c>
      <c r="AY343" s="134"/>
      <c r="AZ343" s="40"/>
      <c r="BA343" s="40"/>
      <c r="BB343" s="40"/>
      <c r="BC343" s="40"/>
      <c r="BD343" s="135">
        <v>888.13030215290723</v>
      </c>
      <c r="BE343" s="135">
        <v>1013.5905552827459</v>
      </c>
      <c r="BF343" s="40"/>
      <c r="BG343" s="135">
        <v>490.53811119775366</v>
      </c>
      <c r="BH343" s="135">
        <v>446.65946286660346</v>
      </c>
      <c r="BI343" s="49">
        <v>1901.7208574356532</v>
      </c>
      <c r="BJ343" s="49">
        <v>937.19757406435713</v>
      </c>
      <c r="BK343" s="66">
        <v>-0.1237780408232404</v>
      </c>
      <c r="BL343" s="66">
        <v>9.8237364209285083E-2</v>
      </c>
      <c r="BM343" s="51">
        <v>28.090411483539928</v>
      </c>
      <c r="BN343" s="51">
        <v>13.843391049695082</v>
      </c>
      <c r="BO343" s="136"/>
      <c r="BP343" s="40"/>
      <c r="BQ343" s="40"/>
      <c r="BR343" s="67"/>
      <c r="BS343" s="54" t="s">
        <v>110</v>
      </c>
      <c r="BT343" s="68"/>
      <c r="BU343" s="69"/>
      <c r="BV343" s="3"/>
      <c r="BW343" s="3"/>
      <c r="BX343" s="70"/>
      <c r="BY343" s="70"/>
      <c r="BZ343" s="59"/>
      <c r="CA343" s="59"/>
      <c r="CB343" s="59" t="s">
        <v>110</v>
      </c>
      <c r="CC343" s="59" t="s">
        <v>110</v>
      </c>
      <c r="CD343" s="60"/>
      <c r="CE343" s="60"/>
      <c r="CF343" s="61"/>
      <c r="CG343" s="61"/>
      <c r="CH343" s="61"/>
      <c r="CI343" s="139"/>
      <c r="CJ343" s="40"/>
      <c r="CK343" s="3"/>
      <c r="CL343" s="62"/>
      <c r="CM343" s="62"/>
      <c r="CN343" s="3"/>
      <c r="CO343" s="3"/>
      <c r="CP343" s="41">
        <v>15.497222222222222</v>
      </c>
      <c r="CQ343" s="3" t="s">
        <v>110</v>
      </c>
      <c r="CR343" s="40" t="s">
        <v>110</v>
      </c>
      <c r="CS343" s="40" t="s">
        <v>110</v>
      </c>
      <c r="CT343" s="40" t="s">
        <v>110</v>
      </c>
      <c r="CU343" s="40"/>
      <c r="CV343" s="40"/>
      <c r="CW343" s="40"/>
      <c r="CX343" s="40"/>
      <c r="CY343" s="40" t="s">
        <v>200</v>
      </c>
      <c r="CZ343" s="40"/>
      <c r="DA343" s="40"/>
    </row>
    <row r="344" spans="1:105" ht="15.75" customHeight="1">
      <c r="A344" s="3">
        <v>690</v>
      </c>
      <c r="B344" s="92" t="s">
        <v>199</v>
      </c>
      <c r="C344" s="143" t="s">
        <v>104</v>
      </c>
      <c r="D344" s="3" t="s">
        <v>105</v>
      </c>
      <c r="E344" s="144">
        <v>44903</v>
      </c>
      <c r="F344" s="3" t="s">
        <v>106</v>
      </c>
      <c r="G344" s="3" t="s">
        <v>122</v>
      </c>
      <c r="H344" s="3">
        <v>2007</v>
      </c>
      <c r="I344" s="40" t="s">
        <v>116</v>
      </c>
      <c r="J344" s="39" t="s">
        <v>157</v>
      </c>
      <c r="K344" s="3"/>
      <c r="L344" s="3"/>
      <c r="M344" s="3"/>
      <c r="N344" s="3"/>
      <c r="O344" s="3"/>
      <c r="P344" s="3"/>
      <c r="Q344" s="3"/>
      <c r="R344" s="3"/>
      <c r="S344" s="3"/>
      <c r="T344" s="125">
        <v>172.5</v>
      </c>
      <c r="U344" s="126">
        <v>86.3</v>
      </c>
      <c r="V344" s="12">
        <f>paper3[[#This Row],[height]]-paper3[[#This Row],[sittingheight]]</f>
        <v>86.2</v>
      </c>
      <c r="W344" s="127">
        <v>58</v>
      </c>
      <c r="X344" s="43" cm="1">
        <f t="array" ref="X344">INDEX([1]!phvny[yphv], MATCH(1, (paper3[[#This Row],[id]]=[1]!phvny[id])*(paper3[[#This Row],[time]]=[1]!phvny[time]), 0))</f>
        <v>0.92242853014975768</v>
      </c>
      <c r="Y344" s="3"/>
      <c r="Z344" s="3"/>
      <c r="AA344" s="3"/>
      <c r="AB344" s="3"/>
      <c r="AC344" s="3"/>
      <c r="AD344" s="3"/>
      <c r="AE344" s="3"/>
      <c r="AF344" s="3"/>
      <c r="AG344" s="3"/>
      <c r="AH344" s="130">
        <v>1.8639999999999999</v>
      </c>
      <c r="AI344" s="130">
        <v>3.18</v>
      </c>
      <c r="AJ344" s="130">
        <v>4.46</v>
      </c>
      <c r="AK344" s="45">
        <v>7.8125000000000009</v>
      </c>
      <c r="AL344" s="3"/>
      <c r="AM344" s="3"/>
      <c r="AN344" s="3"/>
      <c r="AO344" s="141"/>
      <c r="AP344" s="137"/>
      <c r="AQ344" s="132"/>
      <c r="AR344" s="132"/>
      <c r="AS344" s="3"/>
      <c r="AT344" s="3"/>
      <c r="AU344" s="3"/>
      <c r="AV344" s="3"/>
      <c r="AW344" s="3"/>
      <c r="AX344" s="133">
        <v>33.36</v>
      </c>
      <c r="AY344" s="134"/>
      <c r="AZ344" s="40"/>
      <c r="BA344" s="40"/>
      <c r="BB344" s="40"/>
      <c r="BC344" s="40"/>
      <c r="BD344" s="135">
        <v>967.94458670332347</v>
      </c>
      <c r="BE344" s="135">
        <v>1022.0628759761191</v>
      </c>
      <c r="BF344" s="40"/>
      <c r="BG344" s="135">
        <v>427.032882533855</v>
      </c>
      <c r="BH344" s="135">
        <v>437.27239422732669</v>
      </c>
      <c r="BI344" s="49">
        <v>1990.0074626794426</v>
      </c>
      <c r="BJ344" s="49">
        <v>864.30527676118163</v>
      </c>
      <c r="BK344" s="66">
        <v>-5.2950058694882229E-2</v>
      </c>
      <c r="BL344" s="66">
        <v>-2.3416780543773386E-2</v>
      </c>
      <c r="BM344" s="51">
        <v>34.31047349447315</v>
      </c>
      <c r="BN344" s="51">
        <v>14.901815116572097</v>
      </c>
      <c r="BO344" s="136"/>
      <c r="BP344" s="40"/>
      <c r="BQ344" s="40"/>
      <c r="BR344" s="67"/>
      <c r="BS344" s="54" t="s">
        <v>110</v>
      </c>
      <c r="BT344" s="68"/>
      <c r="BU344" s="69"/>
      <c r="BV344" s="3"/>
      <c r="BW344" s="3"/>
      <c r="BX344" s="70"/>
      <c r="BY344" s="70"/>
      <c r="BZ344" s="59"/>
      <c r="CA344" s="59"/>
      <c r="CB344" s="59" t="s">
        <v>110</v>
      </c>
      <c r="CC344" s="59" t="s">
        <v>110</v>
      </c>
      <c r="CD344" s="60"/>
      <c r="CE344" s="60"/>
      <c r="CF344" s="61"/>
      <c r="CG344" s="61"/>
      <c r="CH344" s="61"/>
      <c r="CI344" s="139"/>
      <c r="CJ344" s="40"/>
      <c r="CK344" s="3"/>
      <c r="CL344" s="62"/>
      <c r="CM344" s="62"/>
      <c r="CN344" s="3"/>
      <c r="CO344" s="3"/>
      <c r="CP344" s="41">
        <v>15.380555555555556</v>
      </c>
      <c r="CQ344" s="3" t="s">
        <v>110</v>
      </c>
      <c r="CR344" s="40" t="s">
        <v>110</v>
      </c>
      <c r="CS344" s="40" t="s">
        <v>110</v>
      </c>
      <c r="CT344" s="40" t="s">
        <v>110</v>
      </c>
      <c r="CU344" s="40"/>
      <c r="CV344" s="40"/>
      <c r="CW344" s="40"/>
      <c r="CX344" s="40"/>
      <c r="CY344" s="40" t="s">
        <v>202</v>
      </c>
      <c r="CZ344" s="40"/>
      <c r="DA344" s="40"/>
    </row>
    <row r="345" spans="1:105" ht="15.75" customHeight="1">
      <c r="A345" s="3">
        <v>691</v>
      </c>
      <c r="B345" s="92" t="s">
        <v>199</v>
      </c>
      <c r="C345" s="143" t="s">
        <v>104</v>
      </c>
      <c r="D345" s="3" t="s">
        <v>105</v>
      </c>
      <c r="E345" s="144">
        <v>44903</v>
      </c>
      <c r="F345" s="3" t="s">
        <v>106</v>
      </c>
      <c r="G345" s="3" t="s">
        <v>122</v>
      </c>
      <c r="H345" s="3">
        <v>2007</v>
      </c>
      <c r="I345" s="40" t="s">
        <v>116</v>
      </c>
      <c r="J345" s="39" t="s">
        <v>157</v>
      </c>
      <c r="K345" s="3"/>
      <c r="L345" s="3"/>
      <c r="M345" s="3"/>
      <c r="N345" s="3"/>
      <c r="O345" s="3"/>
      <c r="P345" s="3"/>
      <c r="Q345" s="3"/>
      <c r="R345" s="3"/>
      <c r="S345" s="3"/>
      <c r="T345" s="125">
        <v>170.8</v>
      </c>
      <c r="U345" s="126">
        <v>88.3</v>
      </c>
      <c r="V345" s="12">
        <f>paper3[[#This Row],[height]]-paper3[[#This Row],[sittingheight]]</f>
        <v>82.500000000000014</v>
      </c>
      <c r="W345" s="127">
        <v>53.3</v>
      </c>
      <c r="X345" s="43" cm="1">
        <f t="array" ref="X345">INDEX([1]!phvny[yphv], MATCH(1, (paper3[[#This Row],[id]]=[1]!phvny[id])*(paper3[[#This Row],[time]]=[1]!phvny[time]), 0))</f>
        <v>1.0654666224967468</v>
      </c>
      <c r="Y345" s="3"/>
      <c r="Z345" s="3"/>
      <c r="AA345" s="3"/>
      <c r="AB345" s="3"/>
      <c r="AC345" s="3"/>
      <c r="AD345" s="3"/>
      <c r="AE345" s="3"/>
      <c r="AF345" s="3"/>
      <c r="AG345" s="3"/>
      <c r="AH345" s="130">
        <v>1.851</v>
      </c>
      <c r="AI345" s="130">
        <v>3.23</v>
      </c>
      <c r="AJ345" s="130">
        <v>4.6219999999999999</v>
      </c>
      <c r="AK345" s="45">
        <v>7.1839080459770122</v>
      </c>
      <c r="AL345" s="3"/>
      <c r="AM345" s="3"/>
      <c r="AN345" s="3"/>
      <c r="AO345" s="141"/>
      <c r="AP345" s="137"/>
      <c r="AQ345" s="132"/>
      <c r="AR345" s="132"/>
      <c r="AS345" s="3"/>
      <c r="AT345" s="3"/>
      <c r="AU345" s="3"/>
      <c r="AV345" s="3"/>
      <c r="AW345" s="3"/>
      <c r="AX345" s="133">
        <v>35.06</v>
      </c>
      <c r="AY345" s="134"/>
      <c r="AZ345" s="40"/>
      <c r="BA345" s="40"/>
      <c r="BB345" s="40"/>
      <c r="BC345" s="40"/>
      <c r="BD345" s="135">
        <v>974.65215129567491</v>
      </c>
      <c r="BE345" s="135">
        <v>1059.4364091140501</v>
      </c>
      <c r="BF345" s="40"/>
      <c r="BG345" s="135">
        <v>411.08542241446298</v>
      </c>
      <c r="BH345" s="135">
        <v>441.78639149326023</v>
      </c>
      <c r="BI345" s="49">
        <v>2034.088560409725</v>
      </c>
      <c r="BJ345" s="49">
        <v>852.87181390772321</v>
      </c>
      <c r="BK345" s="66">
        <v>-8.0027698773610934E-2</v>
      </c>
      <c r="BL345" s="66">
        <v>-6.9492790339300448E-2</v>
      </c>
      <c r="BM345" s="51">
        <v>38.16301239042636</v>
      </c>
      <c r="BN345" s="51">
        <v>16.001347352865352</v>
      </c>
      <c r="BO345" s="136"/>
      <c r="BP345" s="40"/>
      <c r="BQ345" s="40"/>
      <c r="BR345" s="67"/>
      <c r="BS345" s="54" t="s">
        <v>110</v>
      </c>
      <c r="BT345" s="68"/>
      <c r="BU345" s="69"/>
      <c r="BV345" s="3"/>
      <c r="BW345" s="3"/>
      <c r="BX345" s="70"/>
      <c r="BY345" s="70"/>
      <c r="BZ345" s="59"/>
      <c r="CA345" s="59"/>
      <c r="CB345" s="59" t="s">
        <v>110</v>
      </c>
      <c r="CC345" s="59" t="s">
        <v>110</v>
      </c>
      <c r="CD345" s="60"/>
      <c r="CE345" s="60"/>
      <c r="CF345" s="61"/>
      <c r="CG345" s="61"/>
      <c r="CH345" s="61"/>
      <c r="CI345" s="139"/>
      <c r="CJ345" s="40"/>
      <c r="CK345" s="3"/>
      <c r="CL345" s="62"/>
      <c r="CM345" s="62"/>
      <c r="CN345" s="3"/>
      <c r="CO345" s="3"/>
      <c r="CP345" s="41">
        <v>15.227777777777778</v>
      </c>
      <c r="CQ345" s="3" t="s">
        <v>110</v>
      </c>
      <c r="CR345" s="40" t="s">
        <v>110</v>
      </c>
      <c r="CS345" s="40" t="s">
        <v>110</v>
      </c>
      <c r="CT345" s="40" t="s">
        <v>110</v>
      </c>
      <c r="CU345" s="40"/>
      <c r="CV345" s="40"/>
      <c r="CW345" s="40"/>
      <c r="CX345" s="40"/>
      <c r="CY345" s="40" t="s">
        <v>201</v>
      </c>
      <c r="CZ345" s="40"/>
      <c r="DA345" s="40"/>
    </row>
    <row r="346" spans="1:105" ht="18.75" customHeight="1">
      <c r="A346" s="3">
        <v>693</v>
      </c>
      <c r="B346" s="92" t="s">
        <v>199</v>
      </c>
      <c r="C346" s="143" t="s">
        <v>104</v>
      </c>
      <c r="D346" s="3" t="s">
        <v>105</v>
      </c>
      <c r="E346" s="144">
        <v>44913</v>
      </c>
      <c r="F346" s="3" t="s">
        <v>106</v>
      </c>
      <c r="G346" s="3" t="s">
        <v>122</v>
      </c>
      <c r="H346" s="3">
        <v>2007</v>
      </c>
      <c r="I346" s="40" t="s">
        <v>116</v>
      </c>
      <c r="J346" s="39" t="s">
        <v>157</v>
      </c>
      <c r="K346" s="3"/>
      <c r="L346" s="3"/>
      <c r="M346" s="3"/>
      <c r="N346" s="3"/>
      <c r="O346" s="3"/>
      <c r="P346" s="3"/>
      <c r="Q346" s="3"/>
      <c r="R346" s="3"/>
      <c r="S346" s="3"/>
      <c r="T346" s="125">
        <v>178.5</v>
      </c>
      <c r="U346" s="126">
        <v>92.999999999999986</v>
      </c>
      <c r="V346" s="12">
        <f>paper3[[#This Row],[height]]-paper3[[#This Row],[sittingheight]]</f>
        <v>85.500000000000014</v>
      </c>
      <c r="W346" s="127">
        <v>61</v>
      </c>
      <c r="X346" s="43" cm="1">
        <f t="array" ref="X346">INDEX([1]!phvny[yphv], MATCH(1, (paper3[[#This Row],[id]]=[1]!phvny[id])*(paper3[[#This Row],[time]]=[1]!phvny[time]), 0))</f>
        <v>1.8838082458683436</v>
      </c>
      <c r="Y346" s="3"/>
      <c r="Z346" s="3"/>
      <c r="AA346" s="3"/>
      <c r="AB346" s="3"/>
      <c r="AC346" s="3"/>
      <c r="AD346" s="3"/>
      <c r="AE346" s="3"/>
      <c r="AF346" s="3"/>
      <c r="AG346" s="3"/>
      <c r="AH346" s="133"/>
      <c r="AI346" s="133"/>
      <c r="AJ346" s="133"/>
      <c r="AK346" s="45"/>
      <c r="AL346" s="3"/>
      <c r="AM346" s="3"/>
      <c r="AN346" s="3"/>
      <c r="AO346" s="3"/>
      <c r="AP346" s="137">
        <v>10.7</v>
      </c>
      <c r="AQ346" s="132"/>
      <c r="AR346" s="132"/>
      <c r="AS346" s="3"/>
      <c r="AT346" s="3"/>
      <c r="AU346" s="3"/>
      <c r="AV346" s="3"/>
      <c r="AW346" s="3"/>
      <c r="AX346" s="133"/>
      <c r="AY346" s="134"/>
      <c r="AZ346" s="40"/>
      <c r="BA346" s="40"/>
      <c r="BB346" s="40"/>
      <c r="BC346" s="40"/>
      <c r="BD346" s="135">
        <v>1269.0063175788061</v>
      </c>
      <c r="BE346" s="135">
        <v>1305.1431830540578</v>
      </c>
      <c r="BF346" s="40"/>
      <c r="BG346" s="135">
        <v>501.94507419456113</v>
      </c>
      <c r="BH346" s="135">
        <v>503.55935542890973</v>
      </c>
      <c r="BI346" s="49">
        <v>2574.1495006328641</v>
      </c>
      <c r="BJ346" s="49">
        <v>1005.5044296234709</v>
      </c>
      <c r="BK346" s="66">
        <v>-2.7688046755675266E-2</v>
      </c>
      <c r="BL346" s="66">
        <v>-3.2057417203055216E-3</v>
      </c>
      <c r="BM346" s="51">
        <v>42.199172141522361</v>
      </c>
      <c r="BN346" s="51">
        <v>16.48367917415526</v>
      </c>
      <c r="BO346" s="136"/>
      <c r="BP346" s="40"/>
      <c r="BQ346" s="40"/>
      <c r="BR346" s="67"/>
      <c r="BS346" s="54" t="s">
        <v>110</v>
      </c>
      <c r="BT346" s="68"/>
      <c r="BU346" s="69"/>
      <c r="BV346" s="3"/>
      <c r="BW346" s="3"/>
      <c r="BX346" s="70"/>
      <c r="BY346" s="70"/>
      <c r="BZ346" s="59"/>
      <c r="CA346" s="59"/>
      <c r="CB346" s="59" t="s">
        <v>110</v>
      </c>
      <c r="CC346" s="59" t="s">
        <v>110</v>
      </c>
      <c r="CD346" s="60"/>
      <c r="CE346" s="60"/>
      <c r="CF346" s="61"/>
      <c r="CG346" s="61"/>
      <c r="CH346" s="61"/>
      <c r="CI346" s="139">
        <v>16.399999999999999</v>
      </c>
      <c r="CJ346" s="40">
        <f>VLOOKUP(paper3[[#This Row],[YYIR nivå]],$DB:$DC,2)</f>
        <v>1240</v>
      </c>
      <c r="CK346" s="3"/>
      <c r="CL346" s="62"/>
      <c r="CM346" s="62"/>
      <c r="CN346" s="3"/>
      <c r="CO346" s="3"/>
      <c r="CP346" s="41">
        <v>15.472222222222221</v>
      </c>
      <c r="CQ346" s="3" t="s">
        <v>110</v>
      </c>
      <c r="CR346" s="40" t="s">
        <v>110</v>
      </c>
      <c r="CS346" s="40" t="s">
        <v>110</v>
      </c>
      <c r="CT346" s="40" t="s">
        <v>110</v>
      </c>
      <c r="CU346" s="40"/>
      <c r="CV346" s="40"/>
      <c r="CW346" s="40"/>
      <c r="CX346" s="40"/>
      <c r="CY346" s="40" t="s">
        <v>202</v>
      </c>
      <c r="CZ346" s="40"/>
      <c r="DA346" s="40"/>
    </row>
    <row r="347" spans="1:105" ht="18.75" customHeight="1">
      <c r="A347" s="3">
        <v>694</v>
      </c>
      <c r="B347" s="92" t="s">
        <v>199</v>
      </c>
      <c r="C347" s="143" t="s">
        <v>104</v>
      </c>
      <c r="D347" s="3" t="s">
        <v>105</v>
      </c>
      <c r="E347" s="144">
        <v>44913</v>
      </c>
      <c r="F347" s="3" t="s">
        <v>106</v>
      </c>
      <c r="G347" s="3" t="s">
        <v>122</v>
      </c>
      <c r="H347" s="3">
        <v>2007</v>
      </c>
      <c r="I347" s="40" t="s">
        <v>116</v>
      </c>
      <c r="J347" s="39" t="s">
        <v>157</v>
      </c>
      <c r="K347" s="3"/>
      <c r="L347" s="3"/>
      <c r="M347" s="3"/>
      <c r="N347" s="3"/>
      <c r="O347" s="3"/>
      <c r="P347" s="3"/>
      <c r="Q347" s="3"/>
      <c r="R347" s="3"/>
      <c r="S347" s="3"/>
      <c r="T347" s="125">
        <v>159.5</v>
      </c>
      <c r="U347" s="126">
        <v>86.100000000000009</v>
      </c>
      <c r="V347" s="12">
        <f>paper3[[#This Row],[height]]-paper3[[#This Row],[sittingheight]]</f>
        <v>73.399999999999991</v>
      </c>
      <c r="W347" s="127">
        <v>51.8</v>
      </c>
      <c r="X347" s="43" cm="1">
        <f t="array" ref="X347">INDEX([1]!phvny[yphv], MATCH(1, (paper3[[#This Row],[id]]=[1]!phvny[id])*(paper3[[#This Row],[time]]=[1]!phvny[time]), 0))</f>
        <v>1.1007006433044255</v>
      </c>
      <c r="Y347" s="3"/>
      <c r="Z347" s="3"/>
      <c r="AA347" s="3"/>
      <c r="AB347" s="3"/>
      <c r="AC347" s="3"/>
      <c r="AD347" s="3"/>
      <c r="AE347" s="3"/>
      <c r="AF347" s="3"/>
      <c r="AG347" s="3"/>
      <c r="AH347" s="133"/>
      <c r="AI347" s="133"/>
      <c r="AJ347" s="133"/>
      <c r="AK347" s="45"/>
      <c r="AL347" s="3"/>
      <c r="AM347" s="3"/>
      <c r="AN347" s="3"/>
      <c r="AO347" s="3"/>
      <c r="AP347" s="137">
        <v>10.7</v>
      </c>
      <c r="AQ347" s="132"/>
      <c r="AR347" s="132"/>
      <c r="AS347" s="3"/>
      <c r="AT347" s="3"/>
      <c r="AU347" s="3"/>
      <c r="AV347" s="3"/>
      <c r="AW347" s="3"/>
      <c r="AX347" s="133"/>
      <c r="AY347" s="134"/>
      <c r="AZ347" s="40"/>
      <c r="BA347" s="40"/>
      <c r="BB347" s="40"/>
      <c r="BC347" s="40"/>
      <c r="BD347" s="135">
        <v>1251.0302129256825</v>
      </c>
      <c r="BE347" s="135">
        <v>1123.7716859194466</v>
      </c>
      <c r="BF347" s="40"/>
      <c r="BG347" s="135">
        <v>407.18660277173836</v>
      </c>
      <c r="BH347" s="135">
        <v>369.2037656402477</v>
      </c>
      <c r="BI347" s="49">
        <v>2374.801898845129</v>
      </c>
      <c r="BJ347" s="49">
        <v>776.39036841198606</v>
      </c>
      <c r="BK347" s="66">
        <v>0.11324233258476846</v>
      </c>
      <c r="BL347" s="66">
        <v>0.10287770783058914</v>
      </c>
      <c r="BM347" s="51">
        <v>45.845596502801719</v>
      </c>
      <c r="BN347" s="51">
        <v>14.988231050424442</v>
      </c>
      <c r="BO347" s="136"/>
      <c r="BP347" s="40"/>
      <c r="BQ347" s="40"/>
      <c r="BR347" s="67"/>
      <c r="BS347" s="54" t="s">
        <v>110</v>
      </c>
      <c r="BT347" s="68"/>
      <c r="BU347" s="69"/>
      <c r="BV347" s="3"/>
      <c r="BW347" s="3"/>
      <c r="BX347" s="70"/>
      <c r="BY347" s="70"/>
      <c r="BZ347" s="59"/>
      <c r="CA347" s="59"/>
      <c r="CB347" s="59" t="s">
        <v>110</v>
      </c>
      <c r="CC347" s="59" t="s">
        <v>110</v>
      </c>
      <c r="CD347" s="60"/>
      <c r="CE347" s="60"/>
      <c r="CF347" s="61"/>
      <c r="CG347" s="61"/>
      <c r="CH347" s="61"/>
      <c r="CI347" s="138">
        <v>15.4</v>
      </c>
      <c r="CJ347" s="40">
        <f>VLOOKUP(paper3[[#This Row],[YYIR nivå]],$DB:$DC,2)</f>
        <v>920</v>
      </c>
      <c r="CK347" s="3"/>
      <c r="CL347" s="62"/>
      <c r="CM347" s="62"/>
      <c r="CN347" s="3"/>
      <c r="CO347" s="3"/>
      <c r="CP347" s="41">
        <v>15.786111111111111</v>
      </c>
      <c r="CQ347" s="3" t="s">
        <v>110</v>
      </c>
      <c r="CR347" s="40" t="s">
        <v>110</v>
      </c>
      <c r="CS347" s="40" t="s">
        <v>110</v>
      </c>
      <c r="CT347" s="40" t="s">
        <v>110</v>
      </c>
      <c r="CU347" s="40"/>
      <c r="CV347" s="40"/>
      <c r="CW347" s="40"/>
      <c r="CX347" s="40"/>
      <c r="CY347" s="40" t="s">
        <v>201</v>
      </c>
      <c r="CZ347" s="40"/>
      <c r="DA347" s="40"/>
    </row>
    <row r="348" spans="1:105" ht="18.75" customHeight="1">
      <c r="A348" s="3">
        <v>695</v>
      </c>
      <c r="B348" s="92" t="s">
        <v>199</v>
      </c>
      <c r="C348" s="143" t="s">
        <v>171</v>
      </c>
      <c r="D348" s="3" t="s">
        <v>105</v>
      </c>
      <c r="E348" s="144">
        <v>44913</v>
      </c>
      <c r="F348" s="3" t="s">
        <v>106</v>
      </c>
      <c r="G348" s="3" t="s">
        <v>122</v>
      </c>
      <c r="H348" s="3">
        <v>2007</v>
      </c>
      <c r="I348" s="40" t="s">
        <v>116</v>
      </c>
      <c r="J348" s="39" t="s">
        <v>157</v>
      </c>
      <c r="K348" s="3"/>
      <c r="L348" s="3"/>
      <c r="M348" s="3"/>
      <c r="N348" s="3"/>
      <c r="O348" s="3"/>
      <c r="P348" s="3"/>
      <c r="Q348" s="3"/>
      <c r="R348" s="3"/>
      <c r="S348" s="3"/>
      <c r="T348" s="125">
        <v>175</v>
      </c>
      <c r="U348" s="126">
        <v>87.999999999999986</v>
      </c>
      <c r="V348" s="12">
        <f>paper3[[#This Row],[height]]-paper3[[#This Row],[sittingheight]]</f>
        <v>87.000000000000014</v>
      </c>
      <c r="W348" s="127">
        <v>50.2</v>
      </c>
      <c r="X348" s="43" cm="1">
        <f t="array" ref="X348">INDEX([1]!phvny[yphv], MATCH(1, (paper3[[#This Row],[id]]=[1]!phvny[id])*(paper3[[#This Row],[time]]=[1]!phvny[time]), 0))</f>
        <v>1.2187336408730141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133"/>
      <c r="AI348" s="133"/>
      <c r="AJ348" s="133"/>
      <c r="AK348" s="45"/>
      <c r="AL348" s="3"/>
      <c r="AM348" s="3"/>
      <c r="AN348" s="3"/>
      <c r="AO348" s="3"/>
      <c r="AP348" s="137">
        <v>11.04</v>
      </c>
      <c r="AQ348" s="132"/>
      <c r="AR348" s="132"/>
      <c r="AS348" s="3"/>
      <c r="AT348" s="3"/>
      <c r="AU348" s="3"/>
      <c r="AV348" s="3"/>
      <c r="AW348" s="3"/>
      <c r="AX348" s="133"/>
      <c r="AY348" s="134"/>
      <c r="AZ348" s="40"/>
      <c r="BA348" s="40"/>
      <c r="BB348" s="40"/>
      <c r="BC348" s="40"/>
      <c r="BD348" s="135"/>
      <c r="BE348" s="135"/>
      <c r="BF348" s="40"/>
      <c r="BG348" s="135">
        <v>405</v>
      </c>
      <c r="BH348" s="135">
        <v>385</v>
      </c>
      <c r="BI348" s="49"/>
      <c r="BJ348" s="49">
        <v>790</v>
      </c>
      <c r="BK348" s="66"/>
      <c r="BL348" s="66">
        <v>5.1948051948051965E-2</v>
      </c>
      <c r="BM348" s="51"/>
      <c r="BN348" s="51">
        <v>15.737051792828684</v>
      </c>
      <c r="BO348" s="136"/>
      <c r="BP348" s="40"/>
      <c r="BQ348" s="40"/>
      <c r="BR348" s="67"/>
      <c r="BS348" s="54" t="s">
        <v>110</v>
      </c>
      <c r="BT348" s="68"/>
      <c r="BU348" s="69"/>
      <c r="BV348" s="3"/>
      <c r="BW348" s="3"/>
      <c r="BX348" s="70"/>
      <c r="BY348" s="70"/>
      <c r="BZ348" s="59"/>
      <c r="CA348" s="59"/>
      <c r="CB348" s="59" t="s">
        <v>110</v>
      </c>
      <c r="CC348" s="59" t="s">
        <v>110</v>
      </c>
      <c r="CD348" s="60"/>
      <c r="CE348" s="60"/>
      <c r="CF348" s="61"/>
      <c r="CG348" s="61"/>
      <c r="CH348" s="61"/>
      <c r="CI348" s="139">
        <v>14.1</v>
      </c>
      <c r="CJ348" s="40">
        <f>VLOOKUP(paper3[[#This Row],[YYIR nivå]],$DB:$DC,2)</f>
        <v>480</v>
      </c>
      <c r="CK348" s="3"/>
      <c r="CL348" s="62"/>
      <c r="CM348" s="62"/>
      <c r="CN348" s="3"/>
      <c r="CO348" s="3"/>
      <c r="CP348" s="41">
        <v>15.752777777777778</v>
      </c>
      <c r="CQ348" s="3" t="s">
        <v>110</v>
      </c>
      <c r="CR348" s="40" t="s">
        <v>110</v>
      </c>
      <c r="CS348" s="40" t="s">
        <v>110</v>
      </c>
      <c r="CT348" s="40" t="s">
        <v>110</v>
      </c>
      <c r="CU348" s="40"/>
      <c r="CV348" s="40"/>
      <c r="CW348" s="40"/>
      <c r="CX348" s="40"/>
      <c r="CY348" s="40" t="s">
        <v>204</v>
      </c>
      <c r="CZ348" s="40"/>
      <c r="DA348" s="40"/>
    </row>
    <row r="349" spans="1:105" ht="18.75" customHeight="1">
      <c r="A349" s="3">
        <v>801</v>
      </c>
      <c r="B349" s="92" t="s">
        <v>199</v>
      </c>
      <c r="C349" s="143" t="s">
        <v>104</v>
      </c>
      <c r="D349" s="3" t="s">
        <v>105</v>
      </c>
      <c r="E349" s="144">
        <v>45062</v>
      </c>
      <c r="F349" s="3" t="s">
        <v>186</v>
      </c>
      <c r="G349" s="3" t="s">
        <v>107</v>
      </c>
      <c r="H349" s="3">
        <v>2008</v>
      </c>
      <c r="I349" s="40" t="s">
        <v>116</v>
      </c>
      <c r="J349" s="39" t="str">
        <f>paper3[[#This Row],[sex]]&amp;paper3[[#This Row],[ageg]]</f>
        <v>girlsU16</v>
      </c>
      <c r="K349" s="3">
        <v>166</v>
      </c>
      <c r="L349" s="3">
        <v>166</v>
      </c>
      <c r="M349" s="3"/>
      <c r="N349" s="3">
        <v>156.5</v>
      </c>
      <c r="O349" s="3">
        <v>156.5</v>
      </c>
      <c r="P349" s="3"/>
      <c r="Q349" s="3">
        <v>63.3</v>
      </c>
      <c r="R349" s="3"/>
      <c r="S349" s="3"/>
      <c r="T349" s="125">
        <v>166</v>
      </c>
      <c r="U349" s="126">
        <v>86.3</v>
      </c>
      <c r="V349" s="12">
        <f>paper3[[#This Row],[height]]-paper3[[#This Row],[sittingheight]]</f>
        <v>79.7</v>
      </c>
      <c r="W349" s="127">
        <v>63.3</v>
      </c>
      <c r="X349" s="43" cm="1">
        <f t="array" ref="X349">INDEX([1]!phvny[yphv], MATCH(1, (paper3[[#This Row],[id]]=[1]!phvny[id])*(paper3[[#This Row],[time]]=[1]!phvny[time]), 0))</f>
        <v>2.2752751586131188</v>
      </c>
      <c r="Y349" s="3">
        <v>1.8460000000000001</v>
      </c>
      <c r="Z349" s="3">
        <v>3.492</v>
      </c>
      <c r="AA349" s="3">
        <v>5.1120000000000001</v>
      </c>
      <c r="AB349" s="3">
        <v>1.9019999999999999</v>
      </c>
      <c r="AC349" s="3">
        <v>3.5419999999999998</v>
      </c>
      <c r="AD349" s="3">
        <v>5.1360000000000001</v>
      </c>
      <c r="AE349" s="3">
        <v>1.863</v>
      </c>
      <c r="AF349" s="3">
        <v>3.4889999999999999</v>
      </c>
      <c r="AG349" s="3">
        <v>5.0910000000000002</v>
      </c>
      <c r="AH349" s="130">
        <v>2.056</v>
      </c>
      <c r="AI349" s="130">
        <v>3.669</v>
      </c>
      <c r="AJ349" s="130">
        <v>5.3010000000000002</v>
      </c>
      <c r="AK349" s="45">
        <v>6.1274509803921564</v>
      </c>
      <c r="AL349" s="3"/>
      <c r="AM349" s="3"/>
      <c r="AN349" s="3"/>
      <c r="AO349" s="3"/>
      <c r="AP349" s="137"/>
      <c r="AQ349" s="132"/>
      <c r="AR349" s="132"/>
      <c r="AS349" s="3">
        <v>18.100000000000001</v>
      </c>
      <c r="AT349" s="3">
        <v>19.8</v>
      </c>
      <c r="AU349" s="3">
        <v>19</v>
      </c>
      <c r="AV349" s="3"/>
      <c r="AW349" s="3"/>
      <c r="AX349" s="133">
        <v>22.76</v>
      </c>
      <c r="AY349" s="134"/>
      <c r="AZ349" s="40"/>
      <c r="BA349" s="40"/>
      <c r="BB349" s="40"/>
      <c r="BC349" s="40"/>
      <c r="BD349" s="135">
        <v>843.27510310536627</v>
      </c>
      <c r="BE349" s="135">
        <v>923.20493117435217</v>
      </c>
      <c r="BF349" s="40"/>
      <c r="BG349" s="135">
        <v>371.67758372870776</v>
      </c>
      <c r="BH349" s="135">
        <v>360.40282229088837</v>
      </c>
      <c r="BI349" s="49">
        <v>1766.4800342797184</v>
      </c>
      <c r="BJ349" s="49">
        <v>732.08040601959613</v>
      </c>
      <c r="BK349" s="66">
        <v>-8.6578640743731783E-2</v>
      </c>
      <c r="BL349" s="66">
        <v>3.1283776764432059E-2</v>
      </c>
      <c r="BM349" s="51">
        <v>27.906477634750686</v>
      </c>
      <c r="BN349" s="51">
        <v>11.565251279930429</v>
      </c>
      <c r="BO349" s="136"/>
      <c r="BP349" s="40"/>
      <c r="BQ349" s="40"/>
      <c r="BR349" s="67"/>
      <c r="BS349" s="54" t="s">
        <v>110</v>
      </c>
      <c r="BT349" s="68"/>
      <c r="BU349" s="69"/>
      <c r="BV349" s="3"/>
      <c r="BW349" s="3"/>
      <c r="BX349" s="70"/>
      <c r="BY349" s="70"/>
      <c r="BZ349" s="59"/>
      <c r="CA349" s="59"/>
      <c r="CB349" s="59" t="s">
        <v>110</v>
      </c>
      <c r="CC349" s="59" t="s">
        <v>110</v>
      </c>
      <c r="CD349" s="60"/>
      <c r="CE349" s="60"/>
      <c r="CF349" s="61"/>
      <c r="CG349" s="61"/>
      <c r="CH349" s="61"/>
      <c r="CI349" s="138"/>
      <c r="CJ349" s="40"/>
      <c r="CK349" s="3"/>
      <c r="CL349" s="62"/>
      <c r="CM349" s="62"/>
      <c r="CN349" s="3"/>
      <c r="CO349" s="3"/>
      <c r="CP349" s="41">
        <f>VLOOKUP(paper3[[#This Row],[id]],'[1]PHV ny'!B:L,11,FALSE)</f>
        <v>14.522222222222222</v>
      </c>
      <c r="CQ349" s="3"/>
      <c r="CR349" s="40" t="s">
        <v>110</v>
      </c>
      <c r="CS349" s="40" t="s">
        <v>110</v>
      </c>
      <c r="CT349" s="40" t="s">
        <v>110</v>
      </c>
      <c r="CU349" s="40"/>
      <c r="CV349" s="40"/>
      <c r="CW349" s="40"/>
      <c r="CX349" s="40"/>
      <c r="CY349" s="40" t="s">
        <v>205</v>
      </c>
      <c r="CZ349" s="40"/>
      <c r="DA349" s="40"/>
    </row>
    <row r="350" spans="1:105" ht="18.75" customHeight="1">
      <c r="A350" s="3">
        <v>802</v>
      </c>
      <c r="B350" s="92" t="s">
        <v>199</v>
      </c>
      <c r="C350" s="143"/>
      <c r="D350" s="3" t="s">
        <v>105</v>
      </c>
      <c r="E350" s="144">
        <v>45062</v>
      </c>
      <c r="F350" s="3" t="s">
        <v>186</v>
      </c>
      <c r="G350" s="3" t="s">
        <v>107</v>
      </c>
      <c r="H350" s="3">
        <v>2008</v>
      </c>
      <c r="I350" s="40" t="s">
        <v>116</v>
      </c>
      <c r="J350" s="39" t="str">
        <f>paper3[[#This Row],[sex]]&amp;paper3[[#This Row],[ageg]]</f>
        <v>girlsU16</v>
      </c>
      <c r="K350" s="3"/>
      <c r="L350" s="3"/>
      <c r="M350" s="3"/>
      <c r="N350" s="3"/>
      <c r="O350" s="3"/>
      <c r="P350" s="3"/>
      <c r="Q350" s="3"/>
      <c r="R350" s="3"/>
      <c r="S350" s="3"/>
      <c r="T350" s="125"/>
      <c r="U350" s="126"/>
      <c r="V350" s="12"/>
      <c r="W350" s="127"/>
      <c r="X350" s="43"/>
      <c r="Y350" s="3"/>
      <c r="Z350" s="3"/>
      <c r="AA350" s="3"/>
      <c r="AB350" s="3"/>
      <c r="AC350" s="3"/>
      <c r="AD350" s="3"/>
      <c r="AE350" s="3"/>
      <c r="AF350" s="3"/>
      <c r="AG350" s="3"/>
      <c r="AH350" s="133"/>
      <c r="AI350" s="133"/>
      <c r="AJ350" s="133"/>
      <c r="AK350" s="45"/>
      <c r="AL350" s="3">
        <v>11.13</v>
      </c>
      <c r="AM350" s="3">
        <v>11.36</v>
      </c>
      <c r="AN350" s="3">
        <v>11.35</v>
      </c>
      <c r="AO350" s="3">
        <v>12.98</v>
      </c>
      <c r="AP350" s="137">
        <v>12</v>
      </c>
      <c r="AQ350" s="132">
        <v>11.13</v>
      </c>
      <c r="AR350" s="132">
        <v>11.35</v>
      </c>
      <c r="AS350" s="3"/>
      <c r="AT350" s="3"/>
      <c r="AU350" s="3"/>
      <c r="AV350" s="3"/>
      <c r="AW350" s="3"/>
      <c r="AX350" s="133"/>
      <c r="AY350" s="134"/>
      <c r="AZ350" s="40"/>
      <c r="BA350" s="40"/>
      <c r="BB350" s="40"/>
      <c r="BC350" s="40"/>
      <c r="BD350" s="135" t="s">
        <v>110</v>
      </c>
      <c r="BE350" s="135" t="s">
        <v>110</v>
      </c>
      <c r="BF350" s="40"/>
      <c r="BG350" s="135" t="s">
        <v>110</v>
      </c>
      <c r="BH350" s="135" t="s">
        <v>110</v>
      </c>
      <c r="BI350" s="49"/>
      <c r="BJ350" s="49"/>
      <c r="BK350" s="66"/>
      <c r="BL350" s="66"/>
      <c r="BM350" s="51"/>
      <c r="BN350" s="51"/>
      <c r="BO350" s="136"/>
      <c r="BP350" s="40"/>
      <c r="BQ350" s="40"/>
      <c r="BR350" s="67"/>
      <c r="BS350" s="54" t="s">
        <v>110</v>
      </c>
      <c r="BT350" s="68"/>
      <c r="BU350" s="69"/>
      <c r="BV350" s="3"/>
      <c r="BW350" s="3"/>
      <c r="BX350" s="70"/>
      <c r="BY350" s="70"/>
      <c r="BZ350" s="59"/>
      <c r="CA350" s="59"/>
      <c r="CB350" s="59" t="s">
        <v>110</v>
      </c>
      <c r="CC350" s="59" t="s">
        <v>110</v>
      </c>
      <c r="CD350" s="60"/>
      <c r="CE350" s="60"/>
      <c r="CF350" s="61"/>
      <c r="CG350" s="61"/>
      <c r="CH350" s="61"/>
      <c r="CI350" s="138">
        <v>14.2</v>
      </c>
      <c r="CJ350" s="40">
        <f>VLOOKUP(paper3[[#This Row],[YYIR nivå]],$DB:$DC,2)</f>
        <v>520</v>
      </c>
      <c r="CK350" s="3"/>
      <c r="CL350" s="62"/>
      <c r="CM350" s="62"/>
      <c r="CN350" s="3"/>
      <c r="CO350" s="3"/>
      <c r="CP350" s="41">
        <v>15.355555555555556</v>
      </c>
      <c r="CQ350" s="3"/>
      <c r="CR350" s="40" t="s">
        <v>110</v>
      </c>
      <c r="CS350" s="40" t="s">
        <v>110</v>
      </c>
      <c r="CT350" s="40" t="s">
        <v>110</v>
      </c>
      <c r="CU350" s="40"/>
      <c r="CV350" s="40"/>
      <c r="CW350" s="40"/>
      <c r="CX350" s="40"/>
      <c r="CY350" s="40" t="s">
        <v>110</v>
      </c>
      <c r="CZ350" s="40"/>
      <c r="DA350" s="40"/>
    </row>
    <row r="351" spans="1:105" ht="18.75">
      <c r="A351" s="3">
        <v>803</v>
      </c>
      <c r="B351" s="92" t="s">
        <v>199</v>
      </c>
      <c r="C351" s="143"/>
      <c r="D351" s="3" t="s">
        <v>105</v>
      </c>
      <c r="E351" s="144">
        <v>45062</v>
      </c>
      <c r="F351" s="3" t="s">
        <v>186</v>
      </c>
      <c r="G351" s="3" t="s">
        <v>107</v>
      </c>
      <c r="H351" s="3">
        <v>2008</v>
      </c>
      <c r="I351" s="40" t="s">
        <v>116</v>
      </c>
      <c r="J351" s="39" t="str">
        <f>paper3[[#This Row],[sex]]&amp;paper3[[#This Row],[ageg]]</f>
        <v>girlsU16</v>
      </c>
      <c r="K351" s="3"/>
      <c r="L351" s="3"/>
      <c r="M351" s="3"/>
      <c r="N351" s="3"/>
      <c r="O351" s="3"/>
      <c r="P351" s="3"/>
      <c r="Q351" s="3"/>
      <c r="R351" s="3"/>
      <c r="S351" s="3"/>
      <c r="T351" s="125"/>
      <c r="U351" s="126"/>
      <c r="V351" s="12"/>
      <c r="W351" s="127"/>
      <c r="X351" s="43"/>
      <c r="Y351" s="3"/>
      <c r="Z351" s="3"/>
      <c r="AA351" s="3"/>
      <c r="AB351" s="3"/>
      <c r="AC351" s="3"/>
      <c r="AD351" s="3"/>
      <c r="AE351" s="3"/>
      <c r="AF351" s="3"/>
      <c r="AG351" s="3"/>
      <c r="AH351" s="133"/>
      <c r="AI351" s="133"/>
      <c r="AJ351" s="133"/>
      <c r="AK351" s="45"/>
      <c r="AL351" s="3">
        <v>10.93</v>
      </c>
      <c r="AM351" s="3">
        <v>10.67</v>
      </c>
      <c r="AN351" s="3">
        <v>11.61</v>
      </c>
      <c r="AO351" s="3"/>
      <c r="AP351" s="137">
        <v>11.54</v>
      </c>
      <c r="AQ351" s="132">
        <v>10.67</v>
      </c>
      <c r="AR351" s="132">
        <v>11.61</v>
      </c>
      <c r="AS351" s="3"/>
      <c r="AT351" s="3"/>
      <c r="AU351" s="3"/>
      <c r="AV351" s="3"/>
      <c r="AW351" s="3"/>
      <c r="AX351" s="133"/>
      <c r="AY351" s="134"/>
      <c r="AZ351" s="40"/>
      <c r="BA351" s="40"/>
      <c r="BB351" s="40"/>
      <c r="BC351" s="40"/>
      <c r="BD351" s="135" t="s">
        <v>110</v>
      </c>
      <c r="BE351" s="135" t="s">
        <v>110</v>
      </c>
      <c r="BF351" s="40"/>
      <c r="BG351" s="135" t="s">
        <v>110</v>
      </c>
      <c r="BH351" s="135" t="s">
        <v>110</v>
      </c>
      <c r="BI351" s="49"/>
      <c r="BJ351" s="49"/>
      <c r="BK351" s="66"/>
      <c r="BL351" s="66"/>
      <c r="BM351" s="51"/>
      <c r="BN351" s="51"/>
      <c r="BO351" s="136"/>
      <c r="BP351" s="40"/>
      <c r="BQ351" s="40"/>
      <c r="BR351" s="67"/>
      <c r="BS351" s="54" t="s">
        <v>110</v>
      </c>
      <c r="BT351" s="68"/>
      <c r="BU351" s="69"/>
      <c r="BV351" s="3"/>
      <c r="BW351" s="3"/>
      <c r="BX351" s="70"/>
      <c r="BY351" s="70"/>
      <c r="BZ351" s="59"/>
      <c r="CA351" s="59"/>
      <c r="CB351" s="59" t="s">
        <v>110</v>
      </c>
      <c r="CC351" s="59" t="s">
        <v>110</v>
      </c>
      <c r="CD351" s="60"/>
      <c r="CE351" s="60"/>
      <c r="CF351" s="61"/>
      <c r="CG351" s="61"/>
      <c r="CH351" s="61"/>
      <c r="CI351" s="138">
        <v>14.6</v>
      </c>
      <c r="CJ351" s="40">
        <f>VLOOKUP(paper3[[#This Row],[YYIR nivå]],$DB:$DC,2)</f>
        <v>680</v>
      </c>
      <c r="CK351" s="3"/>
      <c r="CL351" s="62"/>
      <c r="CM351" s="62"/>
      <c r="CN351" s="3"/>
      <c r="CO351" s="3"/>
      <c r="CP351" s="41">
        <v>14.838888888888889</v>
      </c>
      <c r="CQ351" s="3"/>
      <c r="CR351" s="40" t="s">
        <v>110</v>
      </c>
      <c r="CS351" s="40" t="s">
        <v>110</v>
      </c>
      <c r="CT351" s="40" t="s">
        <v>110</v>
      </c>
      <c r="CU351" s="40"/>
      <c r="CV351" s="40"/>
      <c r="CW351" s="40"/>
      <c r="CX351" s="40"/>
      <c r="CY351" s="40" t="s">
        <v>110</v>
      </c>
      <c r="CZ351" s="40"/>
      <c r="DA351" s="40"/>
    </row>
    <row r="352" spans="1:105" ht="18.75" customHeight="1">
      <c r="A352" s="3">
        <v>805</v>
      </c>
      <c r="B352" s="92" t="s">
        <v>199</v>
      </c>
      <c r="C352" s="143"/>
      <c r="D352" s="3" t="s">
        <v>105</v>
      </c>
      <c r="E352" s="144">
        <v>45062</v>
      </c>
      <c r="F352" s="3" t="s">
        <v>186</v>
      </c>
      <c r="G352" s="3" t="s">
        <v>107</v>
      </c>
      <c r="H352" s="3">
        <v>2008</v>
      </c>
      <c r="I352" s="40" t="s">
        <v>116</v>
      </c>
      <c r="J352" s="39" t="str">
        <f>paper3[[#This Row],[sex]]&amp;paper3[[#This Row],[ageg]]</f>
        <v>girlsU16</v>
      </c>
      <c r="K352" s="3"/>
      <c r="L352" s="3"/>
      <c r="M352" s="3"/>
      <c r="N352" s="3"/>
      <c r="O352" s="3"/>
      <c r="P352" s="3"/>
      <c r="Q352" s="3"/>
      <c r="R352" s="3"/>
      <c r="S352" s="3"/>
      <c r="T352" s="125"/>
      <c r="U352" s="126"/>
      <c r="V352" s="12"/>
      <c r="W352" s="127"/>
      <c r="X352" s="43"/>
      <c r="Y352" s="3">
        <v>1.7809999999999999</v>
      </c>
      <c r="Z352" s="3">
        <v>3.262</v>
      </c>
      <c r="AA352" s="3">
        <v>4.6769999999999996</v>
      </c>
      <c r="AB352" s="3">
        <v>1.7689999999999999</v>
      </c>
      <c r="AC352" s="3">
        <v>3.226</v>
      </c>
      <c r="AD352" s="3">
        <v>4.6150000000000002</v>
      </c>
      <c r="AE352" s="3">
        <v>1.784</v>
      </c>
      <c r="AF352" s="3">
        <v>3.254</v>
      </c>
      <c r="AG352" s="3">
        <v>4.6550000000000002</v>
      </c>
      <c r="AH352" s="130">
        <v>1.9789999999999999</v>
      </c>
      <c r="AI352" s="130">
        <v>3.4060000000000001</v>
      </c>
      <c r="AJ352" s="130">
        <v>4.8250000000000002</v>
      </c>
      <c r="AK352" s="45">
        <v>7.0472163495419311</v>
      </c>
      <c r="AL352" s="3">
        <v>11.13</v>
      </c>
      <c r="AM352" s="3">
        <v>10.94</v>
      </c>
      <c r="AN352" s="3">
        <v>10.61</v>
      </c>
      <c r="AO352" s="3"/>
      <c r="AP352" s="137">
        <v>11.479999999999999</v>
      </c>
      <c r="AQ352" s="132">
        <v>10.94</v>
      </c>
      <c r="AR352" s="132">
        <v>10.61</v>
      </c>
      <c r="AS352" s="3">
        <v>26.8</v>
      </c>
      <c r="AT352" s="3">
        <v>28.4</v>
      </c>
      <c r="AU352" s="3">
        <v>0</v>
      </c>
      <c r="AV352" s="3"/>
      <c r="AW352" s="3"/>
      <c r="AX352" s="133">
        <v>31.36</v>
      </c>
      <c r="AY352" s="134"/>
      <c r="AZ352" s="40"/>
      <c r="BA352" s="40"/>
      <c r="BB352" s="40"/>
      <c r="BC352" s="40"/>
      <c r="BD352" s="135" t="s">
        <v>110</v>
      </c>
      <c r="BE352" s="135" t="s">
        <v>110</v>
      </c>
      <c r="BF352" s="40"/>
      <c r="BG352" s="135" t="s">
        <v>110</v>
      </c>
      <c r="BH352" s="135" t="s">
        <v>110</v>
      </c>
      <c r="BI352" s="49"/>
      <c r="BJ352" s="49"/>
      <c r="BK352" s="66"/>
      <c r="BL352" s="66"/>
      <c r="BM352" s="51"/>
      <c r="BN352" s="51"/>
      <c r="BO352" s="136"/>
      <c r="BP352" s="40"/>
      <c r="BQ352" s="40"/>
      <c r="BR352" s="67"/>
      <c r="BS352" s="54" t="s">
        <v>110</v>
      </c>
      <c r="BT352" s="68"/>
      <c r="BU352" s="69"/>
      <c r="BV352" s="3"/>
      <c r="BW352" s="3"/>
      <c r="BX352" s="70"/>
      <c r="BY352" s="70"/>
      <c r="BZ352" s="59"/>
      <c r="CA352" s="59"/>
      <c r="CB352" s="59" t="s">
        <v>110</v>
      </c>
      <c r="CC352" s="59" t="s">
        <v>110</v>
      </c>
      <c r="CD352" s="60"/>
      <c r="CE352" s="60"/>
      <c r="CF352" s="61"/>
      <c r="CG352" s="61"/>
      <c r="CH352" s="61"/>
      <c r="CI352" s="138">
        <v>15.2</v>
      </c>
      <c r="CJ352" s="40">
        <f>VLOOKUP(paper3[[#This Row],[YYIR nivå]],$DB:$DC,2)</f>
        <v>840</v>
      </c>
      <c r="CK352" s="3"/>
      <c r="CL352" s="62"/>
      <c r="CM352" s="62"/>
      <c r="CN352" s="3"/>
      <c r="CO352" s="3"/>
      <c r="CP352" s="41">
        <v>14.452777777777778</v>
      </c>
      <c r="CQ352" s="3"/>
      <c r="CR352" s="40" t="s">
        <v>110</v>
      </c>
      <c r="CS352" s="40" t="s">
        <v>110</v>
      </c>
      <c r="CT352" s="40" t="s">
        <v>110</v>
      </c>
      <c r="CU352" s="40"/>
      <c r="CV352" s="40"/>
      <c r="CW352" s="40"/>
      <c r="CX352" s="40"/>
      <c r="CY352" s="40" t="s">
        <v>204</v>
      </c>
      <c r="CZ352" s="40"/>
      <c r="DA352" s="40"/>
    </row>
    <row r="353" spans="1:105" ht="18.75" customHeight="1">
      <c r="A353" s="3">
        <v>808</v>
      </c>
      <c r="B353" s="92" t="s">
        <v>199</v>
      </c>
      <c r="C353" s="143"/>
      <c r="D353" s="3" t="s">
        <v>105</v>
      </c>
      <c r="E353" s="144">
        <v>45062</v>
      </c>
      <c r="F353" s="3" t="s">
        <v>186</v>
      </c>
      <c r="G353" s="3" t="s">
        <v>107</v>
      </c>
      <c r="H353" s="3">
        <v>2008</v>
      </c>
      <c r="I353" s="40" t="s">
        <v>116</v>
      </c>
      <c r="J353" s="39" t="str">
        <f>paper3[[#This Row],[sex]]&amp;paper3[[#This Row],[ageg]]</f>
        <v>girlsU16</v>
      </c>
      <c r="K353" s="3"/>
      <c r="L353" s="3"/>
      <c r="M353" s="3"/>
      <c r="N353" s="3"/>
      <c r="O353" s="3"/>
      <c r="P353" s="3"/>
      <c r="Q353" s="3"/>
      <c r="R353" s="3"/>
      <c r="S353" s="3"/>
      <c r="T353" s="125"/>
      <c r="U353" s="126"/>
      <c r="V353" s="12"/>
      <c r="W353" s="127"/>
      <c r="X353" s="43"/>
      <c r="Y353" s="3"/>
      <c r="Z353" s="3"/>
      <c r="AA353" s="3"/>
      <c r="AB353" s="3"/>
      <c r="AC353" s="3"/>
      <c r="AD353" s="3"/>
      <c r="AE353" s="3"/>
      <c r="AF353" s="3"/>
      <c r="AG353" s="3"/>
      <c r="AH353" s="133"/>
      <c r="AI353" s="133"/>
      <c r="AJ353" s="133"/>
      <c r="AK353" s="45"/>
      <c r="AL353" s="3">
        <v>11.12</v>
      </c>
      <c r="AM353" s="3">
        <v>10.54</v>
      </c>
      <c r="AN353" s="3">
        <v>10.85</v>
      </c>
      <c r="AO353" s="3">
        <v>10.67</v>
      </c>
      <c r="AP353" s="137">
        <v>11.409999999999998</v>
      </c>
      <c r="AQ353" s="132">
        <v>10.54</v>
      </c>
      <c r="AR353" s="132">
        <v>10.67</v>
      </c>
      <c r="AS353" s="3"/>
      <c r="AT353" s="3"/>
      <c r="AU353" s="3"/>
      <c r="AV353" s="3"/>
      <c r="AW353" s="3"/>
      <c r="AX353" s="133"/>
      <c r="AY353" s="134"/>
      <c r="AZ353" s="40"/>
      <c r="BA353" s="40"/>
      <c r="BB353" s="40"/>
      <c r="BC353" s="40"/>
      <c r="BD353" s="135" t="s">
        <v>110</v>
      </c>
      <c r="BE353" s="135" t="s">
        <v>110</v>
      </c>
      <c r="BF353" s="40"/>
      <c r="BG353" s="135" t="s">
        <v>110</v>
      </c>
      <c r="BH353" s="135" t="s">
        <v>110</v>
      </c>
      <c r="BI353" s="49"/>
      <c r="BJ353" s="49"/>
      <c r="BK353" s="66"/>
      <c r="BL353" s="66"/>
      <c r="BM353" s="51"/>
      <c r="BN353" s="51"/>
      <c r="BO353" s="136"/>
      <c r="BP353" s="40"/>
      <c r="BQ353" s="40"/>
      <c r="BR353" s="67"/>
      <c r="BS353" s="54" t="s">
        <v>110</v>
      </c>
      <c r="BT353" s="68"/>
      <c r="BU353" s="69"/>
      <c r="BV353" s="3"/>
      <c r="BW353" s="3"/>
      <c r="BX353" s="70"/>
      <c r="BY353" s="70"/>
      <c r="BZ353" s="59"/>
      <c r="CA353" s="59"/>
      <c r="CB353" s="59" t="s">
        <v>110</v>
      </c>
      <c r="CC353" s="59" t="s">
        <v>110</v>
      </c>
      <c r="CD353" s="60"/>
      <c r="CE353" s="60"/>
      <c r="CF353" s="61"/>
      <c r="CG353" s="61"/>
      <c r="CH353" s="61"/>
      <c r="CI353" s="138">
        <v>14.4</v>
      </c>
      <c r="CJ353" s="40">
        <f>VLOOKUP(paper3[[#This Row],[YYIR nivå]],$DB:$DC,2)</f>
        <v>600</v>
      </c>
      <c r="CK353" s="3"/>
      <c r="CL353" s="62"/>
      <c r="CM353" s="62"/>
      <c r="CN353" s="3"/>
      <c r="CO353" s="3"/>
      <c r="CP353" s="41">
        <v>15.133333333333333</v>
      </c>
      <c r="CQ353" s="3"/>
      <c r="CR353" s="40" t="s">
        <v>110</v>
      </c>
      <c r="CS353" s="40" t="s">
        <v>110</v>
      </c>
      <c r="CT353" s="40" t="s">
        <v>110</v>
      </c>
      <c r="CU353" s="40"/>
      <c r="CV353" s="40"/>
      <c r="CW353" s="40"/>
      <c r="CX353" s="40"/>
      <c r="CY353" s="40" t="s">
        <v>110</v>
      </c>
      <c r="CZ353" s="40"/>
      <c r="DA353" s="40"/>
    </row>
    <row r="354" spans="1:105" ht="18.75">
      <c r="A354" s="3">
        <v>810</v>
      </c>
      <c r="B354" s="92" t="s">
        <v>199</v>
      </c>
      <c r="C354" s="143" t="s">
        <v>104</v>
      </c>
      <c r="D354" s="3" t="s">
        <v>105</v>
      </c>
      <c r="E354" s="144">
        <v>45062</v>
      </c>
      <c r="F354" s="3" t="s">
        <v>186</v>
      </c>
      <c r="G354" s="3" t="s">
        <v>107</v>
      </c>
      <c r="H354" s="3">
        <v>2008</v>
      </c>
      <c r="I354" s="40" t="s">
        <v>116</v>
      </c>
      <c r="J354" s="39" t="str">
        <f>paper3[[#This Row],[sex]]&amp;paper3[[#This Row],[ageg]]</f>
        <v>girlsU16</v>
      </c>
      <c r="K354" s="3">
        <v>163.9</v>
      </c>
      <c r="L354" s="3">
        <v>163.9</v>
      </c>
      <c r="M354" s="3"/>
      <c r="N354" s="3">
        <v>156</v>
      </c>
      <c r="O354" s="3">
        <v>156</v>
      </c>
      <c r="P354" s="3"/>
      <c r="Q354" s="3">
        <v>60.3</v>
      </c>
      <c r="R354" s="3"/>
      <c r="S354" s="3"/>
      <c r="T354" s="125">
        <v>163.9</v>
      </c>
      <c r="U354" s="126">
        <v>85.8</v>
      </c>
      <c r="V354" s="12">
        <f>paper3[[#This Row],[height]]-paper3[[#This Row],[sittingheight]]</f>
        <v>78.100000000000009</v>
      </c>
      <c r="W354" s="127">
        <v>60.3</v>
      </c>
      <c r="X354" s="43" cm="1">
        <f t="array" ref="X354">INDEX([1]!phvny[yphv], MATCH(1, (paper3[[#This Row],[id]]=[1]!phvny[id])*(paper3[[#This Row],[time]]=[1]!phvny[time]), 0))</f>
        <v>2.4486660245499294</v>
      </c>
      <c r="Y354" s="3">
        <v>2.0790000000000002</v>
      </c>
      <c r="Z354" s="3">
        <v>3.726</v>
      </c>
      <c r="AA354" s="3">
        <v>5.3330000000000002</v>
      </c>
      <c r="AB354" s="3">
        <v>1.9390000000000001</v>
      </c>
      <c r="AC354" s="3">
        <v>3.5920000000000001</v>
      </c>
      <c r="AD354" s="3">
        <v>5.22</v>
      </c>
      <c r="AE354" s="3">
        <v>1.9730000000000001</v>
      </c>
      <c r="AF354" s="3">
        <v>3.617</v>
      </c>
      <c r="AG354" s="3">
        <v>5.2089999999999996</v>
      </c>
      <c r="AH354" s="130">
        <v>2.149</v>
      </c>
      <c r="AI354" s="130">
        <v>3.7720000000000002</v>
      </c>
      <c r="AJ354" s="130">
        <v>5.4189999999999996</v>
      </c>
      <c r="AK354" s="45">
        <v>6.0716454159077138</v>
      </c>
      <c r="AL354" s="3">
        <v>11.94</v>
      </c>
      <c r="AM354" s="3">
        <v>11.97</v>
      </c>
      <c r="AN354" s="3">
        <v>12.16</v>
      </c>
      <c r="AO354" s="3">
        <v>12.26</v>
      </c>
      <c r="AP354" s="137">
        <v>12.809999999999999</v>
      </c>
      <c r="AQ354" s="132">
        <v>11.94</v>
      </c>
      <c r="AR354" s="132">
        <v>12.16</v>
      </c>
      <c r="AS354" s="3">
        <v>20.3</v>
      </c>
      <c r="AT354" s="3">
        <v>20.9</v>
      </c>
      <c r="AU354" s="3">
        <v>20.6</v>
      </c>
      <c r="AV354" s="3"/>
      <c r="AW354" s="3"/>
      <c r="AX354" s="133">
        <v>23.86</v>
      </c>
      <c r="AY354" s="134"/>
      <c r="AZ354" s="40"/>
      <c r="BA354" s="40"/>
      <c r="BB354" s="40"/>
      <c r="BC354" s="40"/>
      <c r="BD354" s="135">
        <v>917.42518216665269</v>
      </c>
      <c r="BE354" s="135">
        <v>917.63453272404922</v>
      </c>
      <c r="BF354" s="40"/>
      <c r="BG354" s="135">
        <v>373.72280011904837</v>
      </c>
      <c r="BH354" s="135">
        <v>359.53418330544326</v>
      </c>
      <c r="BI354" s="49">
        <v>1835.0597148907018</v>
      </c>
      <c r="BJ354" s="49">
        <v>733.25698342449164</v>
      </c>
      <c r="BK354" s="66">
        <v>-2.2814154211814319E-4</v>
      </c>
      <c r="BL354" s="66">
        <v>3.946388819877833E-2</v>
      </c>
      <c r="BM354" s="51">
        <v>30.432167742797709</v>
      </c>
      <c r="BN354" s="51">
        <v>12.160148978847291</v>
      </c>
      <c r="BO354" s="136"/>
      <c r="BP354" s="40"/>
      <c r="BQ354" s="40"/>
      <c r="BR354" s="67"/>
      <c r="BS354" s="54" t="s">
        <v>110</v>
      </c>
      <c r="BT354" s="68"/>
      <c r="BU354" s="69"/>
      <c r="BV354" s="3"/>
      <c r="BW354" s="3"/>
      <c r="BX354" s="70"/>
      <c r="BY354" s="70"/>
      <c r="BZ354" s="59"/>
      <c r="CA354" s="59"/>
      <c r="CB354" s="59" t="s">
        <v>110</v>
      </c>
      <c r="CC354" s="59" t="s">
        <v>110</v>
      </c>
      <c r="CD354" s="60"/>
      <c r="CE354" s="60"/>
      <c r="CF354" s="61"/>
      <c r="CG354" s="61"/>
      <c r="CH354" s="61"/>
      <c r="CI354" s="138">
        <v>14.2</v>
      </c>
      <c r="CJ354" s="40">
        <f>VLOOKUP(paper3[[#This Row],[YYIR nivå]],$DB:$DC,2)</f>
        <v>520</v>
      </c>
      <c r="CK354" s="3"/>
      <c r="CL354" s="62"/>
      <c r="CM354" s="62"/>
      <c r="CN354" s="3"/>
      <c r="CO354" s="3"/>
      <c r="CP354" s="41">
        <v>15.083333333333334</v>
      </c>
      <c r="CQ354" s="3"/>
      <c r="CR354" s="40" t="s">
        <v>110</v>
      </c>
      <c r="CS354" s="40" t="s">
        <v>110</v>
      </c>
      <c r="CT354" s="40" t="s">
        <v>110</v>
      </c>
      <c r="CU354" s="40"/>
      <c r="CV354" s="40"/>
      <c r="CW354" s="40"/>
      <c r="CX354" s="40"/>
      <c r="CY354" s="40" t="s">
        <v>204</v>
      </c>
      <c r="CZ354" s="40"/>
      <c r="DA354" s="40"/>
    </row>
    <row r="355" spans="1:105" ht="18.75" customHeight="1">
      <c r="A355" s="3">
        <v>811</v>
      </c>
      <c r="B355" s="92" t="s">
        <v>199</v>
      </c>
      <c r="C355" s="143" t="s">
        <v>104</v>
      </c>
      <c r="D355" s="3" t="s">
        <v>105</v>
      </c>
      <c r="E355" s="144">
        <v>45062</v>
      </c>
      <c r="F355" s="3" t="s">
        <v>186</v>
      </c>
      <c r="G355" s="3" t="s">
        <v>107</v>
      </c>
      <c r="H355" s="3">
        <v>2008</v>
      </c>
      <c r="I355" s="40" t="s">
        <v>116</v>
      </c>
      <c r="J355" s="39" t="str">
        <f>paper3[[#This Row],[sex]]&amp;paper3[[#This Row],[ageg]]</f>
        <v>girlsU16</v>
      </c>
      <c r="K355" s="3">
        <v>176</v>
      </c>
      <c r="L355" s="3">
        <v>176</v>
      </c>
      <c r="M355" s="3"/>
      <c r="N355" s="3">
        <v>160.80000000000001</v>
      </c>
      <c r="O355" s="3">
        <v>160.80000000000001</v>
      </c>
      <c r="P355" s="3"/>
      <c r="Q355" s="3">
        <v>78.599999999999994</v>
      </c>
      <c r="R355" s="3"/>
      <c r="S355" s="3"/>
      <c r="T355" s="125">
        <v>176</v>
      </c>
      <c r="U355" s="126">
        <v>90.600000000000009</v>
      </c>
      <c r="V355" s="12">
        <f>paper3[[#This Row],[height]]-paper3[[#This Row],[sittingheight]]</f>
        <v>85.399999999999991</v>
      </c>
      <c r="W355" s="127">
        <v>78.599999999999994</v>
      </c>
      <c r="X355" s="43" cm="1">
        <f t="array" ref="X355">INDEX([1]!phvny[yphv], MATCH(1, (paper3[[#This Row],[id]]=[1]!phvny[id])*(paper3[[#This Row],[time]]=[1]!phvny[time]), 0))</f>
        <v>2.8642699171919199</v>
      </c>
      <c r="Y355" s="3">
        <v>1.9590000000000001</v>
      </c>
      <c r="Z355" s="3">
        <v>3.6080000000000001</v>
      </c>
      <c r="AA355" s="3">
        <v>5.2110000000000003</v>
      </c>
      <c r="AB355" s="3">
        <v>1.921</v>
      </c>
      <c r="AC355" s="3">
        <v>3.601</v>
      </c>
      <c r="AD355" s="3">
        <v>5.2</v>
      </c>
      <c r="AE355" s="3">
        <v>1.923</v>
      </c>
      <c r="AF355" s="3">
        <v>3.585</v>
      </c>
      <c r="AG355" s="3">
        <v>5.2480000000000002</v>
      </c>
      <c r="AH355" s="130">
        <v>2.1310000000000002</v>
      </c>
      <c r="AI355" s="130">
        <v>3.7650000000000001</v>
      </c>
      <c r="AJ355" s="130">
        <v>5.41</v>
      </c>
      <c r="AK355" s="45">
        <v>6.0790273556230998</v>
      </c>
      <c r="AL355" s="3">
        <v>11.81</v>
      </c>
      <c r="AM355" s="3">
        <v>11.65</v>
      </c>
      <c r="AN355" s="3">
        <v>11.73</v>
      </c>
      <c r="AO355" s="3">
        <v>11.62</v>
      </c>
      <c r="AP355" s="137">
        <v>12.489999999999998</v>
      </c>
      <c r="AQ355" s="132">
        <v>11.65</v>
      </c>
      <c r="AR355" s="132">
        <v>11.62</v>
      </c>
      <c r="AS355" s="3">
        <v>17.5</v>
      </c>
      <c r="AT355" s="3">
        <v>18.399999999999999</v>
      </c>
      <c r="AU355" s="3">
        <v>0</v>
      </c>
      <c r="AV355" s="3"/>
      <c r="AW355" s="3"/>
      <c r="AX355" s="133">
        <v>21.36</v>
      </c>
      <c r="AY355" s="134"/>
      <c r="AZ355" s="40"/>
      <c r="BA355" s="40"/>
      <c r="BB355" s="40"/>
      <c r="BC355" s="40"/>
      <c r="BD355" s="135">
        <v>1054.6655790150076</v>
      </c>
      <c r="BE355" s="135">
        <v>1002.5542936491747</v>
      </c>
      <c r="BF355" s="40"/>
      <c r="BG355" s="135">
        <v>478.33240997584318</v>
      </c>
      <c r="BH355" s="135">
        <v>471.1694070468676</v>
      </c>
      <c r="BI355" s="49">
        <v>2057.2198726641823</v>
      </c>
      <c r="BJ355" s="49">
        <v>949.50181702271084</v>
      </c>
      <c r="BK355" s="66">
        <v>5.1978516970042632E-2</v>
      </c>
      <c r="BL355" s="66">
        <v>1.5202606157880494E-2</v>
      </c>
      <c r="BM355" s="51">
        <v>26.173280822699521</v>
      </c>
      <c r="BN355" s="51">
        <v>12.080175789093014</v>
      </c>
      <c r="BO355" s="136"/>
      <c r="BP355" s="40"/>
      <c r="BQ355" s="40"/>
      <c r="BR355" s="67"/>
      <c r="BS355" s="54" t="s">
        <v>110</v>
      </c>
      <c r="BT355" s="68"/>
      <c r="BU355" s="69"/>
      <c r="BV355" s="3"/>
      <c r="BW355" s="3"/>
      <c r="BX355" s="70"/>
      <c r="BY355" s="70"/>
      <c r="BZ355" s="59"/>
      <c r="CA355" s="59"/>
      <c r="CB355" s="59" t="s">
        <v>110</v>
      </c>
      <c r="CC355" s="59" t="s">
        <v>110</v>
      </c>
      <c r="CD355" s="60"/>
      <c r="CE355" s="60"/>
      <c r="CF355" s="61"/>
      <c r="CG355" s="61"/>
      <c r="CH355" s="61"/>
      <c r="CI355" s="138">
        <v>14.2</v>
      </c>
      <c r="CJ355" s="40">
        <f>VLOOKUP(paper3[[#This Row],[YYIR nivå]],$DB:$DC,2)</f>
        <v>520</v>
      </c>
      <c r="CK355" s="3"/>
      <c r="CL355" s="62"/>
      <c r="CM355" s="62"/>
      <c r="CN355" s="3"/>
      <c r="CO355" s="3"/>
      <c r="CP355" s="41">
        <v>14.46111111111111</v>
      </c>
      <c r="CQ355" s="3"/>
      <c r="CR355" s="40" t="s">
        <v>110</v>
      </c>
      <c r="CS355" s="40" t="s">
        <v>110</v>
      </c>
      <c r="CT355" s="40" t="s">
        <v>110</v>
      </c>
      <c r="CU355" s="40"/>
      <c r="CV355" s="40"/>
      <c r="CW355" s="40"/>
      <c r="CX355" s="40"/>
      <c r="CY355" s="40" t="s">
        <v>206</v>
      </c>
      <c r="CZ355" s="40"/>
      <c r="DA355" s="40"/>
    </row>
    <row r="356" spans="1:105" ht="18.75" customHeight="1">
      <c r="A356" s="3">
        <v>812</v>
      </c>
      <c r="B356" s="92" t="s">
        <v>199</v>
      </c>
      <c r="C356" s="143" t="s">
        <v>171</v>
      </c>
      <c r="D356" s="3" t="s">
        <v>105</v>
      </c>
      <c r="E356" s="144">
        <v>45062</v>
      </c>
      <c r="F356" s="3" t="s">
        <v>186</v>
      </c>
      <c r="G356" s="3" t="s">
        <v>107</v>
      </c>
      <c r="H356" s="3">
        <v>2008</v>
      </c>
      <c r="I356" s="40" t="s">
        <v>116</v>
      </c>
      <c r="J356" s="39" t="str">
        <f>paper3[[#This Row],[sex]]&amp;paper3[[#This Row],[ageg]]</f>
        <v>girlsU16</v>
      </c>
      <c r="K356" s="3">
        <v>172</v>
      </c>
      <c r="L356" s="3">
        <v>172</v>
      </c>
      <c r="M356" s="3"/>
      <c r="N356" s="3">
        <v>159.19999999999999</v>
      </c>
      <c r="O356" s="3">
        <v>159.30000000000001</v>
      </c>
      <c r="P356" s="3"/>
      <c r="Q356" s="3">
        <v>61.4</v>
      </c>
      <c r="R356" s="3"/>
      <c r="S356" s="3"/>
      <c r="T356" s="125">
        <v>172</v>
      </c>
      <c r="U356" s="126">
        <v>89.05</v>
      </c>
      <c r="V356" s="12">
        <f>paper3[[#This Row],[height]]-paper3[[#This Row],[sittingheight]]</f>
        <v>82.95</v>
      </c>
      <c r="W356" s="127">
        <v>61.4</v>
      </c>
      <c r="X356" s="43" cm="1">
        <f t="array" ref="X356">INDEX([1]!phvny[yphv], MATCH(1, (paper3[[#This Row],[id]]=[1]!phvny[id])*(paper3[[#This Row],[time]]=[1]!phvny[time]), 0))</f>
        <v>2.8488494800232549</v>
      </c>
      <c r="Y356" s="3">
        <v>1.8759999999999999</v>
      </c>
      <c r="Z356" s="3">
        <v>3.4369999999999998</v>
      </c>
      <c r="AA356" s="3">
        <v>4.9619999999999997</v>
      </c>
      <c r="AB356" s="3">
        <v>1.91</v>
      </c>
      <c r="AC356" s="3">
        <v>3.5259999999999998</v>
      </c>
      <c r="AD356" s="3">
        <v>5.0730000000000004</v>
      </c>
      <c r="AE356" s="3">
        <v>1.8540000000000001</v>
      </c>
      <c r="AF356" s="3">
        <v>3.4569999999999999</v>
      </c>
      <c r="AG356" s="3">
        <v>4.9859999999999998</v>
      </c>
      <c r="AH356" s="130">
        <v>2.0640000000000001</v>
      </c>
      <c r="AI356" s="130">
        <v>3.617</v>
      </c>
      <c r="AJ356" s="130">
        <v>5.1719999999999997</v>
      </c>
      <c r="AK356" s="45">
        <v>6.4308681672025738</v>
      </c>
      <c r="AL356" s="3">
        <v>10.95</v>
      </c>
      <c r="AM356" s="3">
        <v>11.24</v>
      </c>
      <c r="AN356" s="3">
        <v>11.12</v>
      </c>
      <c r="AO356" s="3">
        <v>11.24</v>
      </c>
      <c r="AP356" s="137">
        <v>11.819999999999999</v>
      </c>
      <c r="AQ356" s="132">
        <v>10.95</v>
      </c>
      <c r="AR356" s="132">
        <v>11.12</v>
      </c>
      <c r="AS356" s="3">
        <v>24.8</v>
      </c>
      <c r="AT356" s="3">
        <v>26.3</v>
      </c>
      <c r="AU356" s="3">
        <v>27.1</v>
      </c>
      <c r="AV356" s="3"/>
      <c r="AW356" s="3"/>
      <c r="AX356" s="133">
        <v>30.060000000000002</v>
      </c>
      <c r="AY356" s="134"/>
      <c r="AZ356" s="40"/>
      <c r="BA356" s="40"/>
      <c r="BB356" s="40"/>
      <c r="BC356" s="40"/>
      <c r="BD356" s="135">
        <v>1329.6043280031176</v>
      </c>
      <c r="BE356" s="135">
        <v>1321.5507628791217</v>
      </c>
      <c r="BF356" s="40"/>
      <c r="BG356" s="135">
        <v>451.44341379027537</v>
      </c>
      <c r="BH356" s="135">
        <v>538.17372229981549</v>
      </c>
      <c r="BI356" s="49">
        <v>2651.1550908822392</v>
      </c>
      <c r="BJ356" s="49">
        <v>989.61713609009087</v>
      </c>
      <c r="BK356" s="66">
        <v>6.0940263137909678E-3</v>
      </c>
      <c r="BL356" s="66">
        <v>-0.16115671374460538</v>
      </c>
      <c r="BM356" s="51">
        <v>43.178421675606501</v>
      </c>
      <c r="BN356" s="51">
        <v>16.117542933063369</v>
      </c>
      <c r="BO356" s="136"/>
      <c r="BP356" s="40"/>
      <c r="BQ356" s="40"/>
      <c r="BR356" s="67"/>
      <c r="BS356" s="54" t="s">
        <v>110</v>
      </c>
      <c r="BT356" s="68"/>
      <c r="BU356" s="69"/>
      <c r="BV356" s="3"/>
      <c r="BW356" s="3"/>
      <c r="BX356" s="70"/>
      <c r="BY356" s="70"/>
      <c r="BZ356" s="59"/>
      <c r="CA356" s="59"/>
      <c r="CB356" s="59" t="s">
        <v>110</v>
      </c>
      <c r="CC356" s="59" t="s">
        <v>110</v>
      </c>
      <c r="CD356" s="60"/>
      <c r="CE356" s="60"/>
      <c r="CF356" s="61"/>
      <c r="CG356" s="61"/>
      <c r="CH356" s="61"/>
      <c r="CI356" s="138">
        <v>14.2</v>
      </c>
      <c r="CJ356" s="40">
        <f>VLOOKUP(paper3[[#This Row],[YYIR nivå]],$DB:$DC,2)</f>
        <v>520</v>
      </c>
      <c r="CK356" s="3"/>
      <c r="CL356" s="62"/>
      <c r="CM356" s="62"/>
      <c r="CN356" s="3"/>
      <c r="CO356" s="3"/>
      <c r="CP356" s="41">
        <v>14.994444444444444</v>
      </c>
      <c r="CQ356" s="3"/>
      <c r="CR356" s="40" t="s">
        <v>110</v>
      </c>
      <c r="CS356" s="40" t="s">
        <v>110</v>
      </c>
      <c r="CT356" s="40" t="s">
        <v>110</v>
      </c>
      <c r="CU356" s="40"/>
      <c r="CV356" s="40"/>
      <c r="CW356" s="40"/>
      <c r="CX356" s="40"/>
      <c r="CY356" s="40" t="s">
        <v>205</v>
      </c>
      <c r="CZ356" s="40"/>
      <c r="DA356" s="40"/>
    </row>
    <row r="357" spans="1:105" ht="18.75" customHeight="1">
      <c r="A357" s="3">
        <v>813</v>
      </c>
      <c r="B357" s="92" t="s">
        <v>199</v>
      </c>
      <c r="C357" s="143" t="s">
        <v>104</v>
      </c>
      <c r="D357" s="3" t="s">
        <v>105</v>
      </c>
      <c r="E357" s="144">
        <v>45062</v>
      </c>
      <c r="F357" s="3" t="s">
        <v>186</v>
      </c>
      <c r="G357" s="3" t="s">
        <v>107</v>
      </c>
      <c r="H357" s="3">
        <v>2008</v>
      </c>
      <c r="I357" s="40" t="s">
        <v>116</v>
      </c>
      <c r="J357" s="39" t="str">
        <f>paper3[[#This Row],[sex]]&amp;paper3[[#This Row],[ageg]]</f>
        <v>girlsU16</v>
      </c>
      <c r="K357" s="3">
        <v>164.5</v>
      </c>
      <c r="L357" s="3">
        <v>164.4</v>
      </c>
      <c r="M357" s="3"/>
      <c r="N357" s="3">
        <v>158.5</v>
      </c>
      <c r="O357" s="3">
        <v>158.5</v>
      </c>
      <c r="P357" s="3"/>
      <c r="Q357" s="3">
        <v>62.8</v>
      </c>
      <c r="R357" s="3"/>
      <c r="S357" s="3"/>
      <c r="T357" s="125">
        <v>164.45</v>
      </c>
      <c r="U357" s="126">
        <v>88.3</v>
      </c>
      <c r="V357" s="12">
        <f>paper3[[#This Row],[height]]-paper3[[#This Row],[sittingheight]]</f>
        <v>76.149999999999991</v>
      </c>
      <c r="W357" s="127">
        <v>62.8</v>
      </c>
      <c r="X357" s="43" cm="1">
        <f t="array" ref="X357">INDEX([1]!phvny[yphv], MATCH(1, (paper3[[#This Row],[id]]=[1]!phvny[id])*(paper3[[#This Row],[time]]=[1]!phvny[time]), 0))</f>
        <v>2.2543519718240597</v>
      </c>
      <c r="Y357" s="3">
        <v>1.9610000000000001</v>
      </c>
      <c r="Z357" s="3">
        <v>3.548</v>
      </c>
      <c r="AA357" s="3">
        <v>5.1379999999999999</v>
      </c>
      <c r="AB357" s="3">
        <v>2.0110000000000001</v>
      </c>
      <c r="AC357" s="3">
        <v>3.6389999999999998</v>
      </c>
      <c r="AD357" s="3">
        <v>5.1929999999999996</v>
      </c>
      <c r="AE357" s="3">
        <v>2.012</v>
      </c>
      <c r="AF357" s="3">
        <v>3.6629999999999998</v>
      </c>
      <c r="AG357" s="3">
        <v>5.3010000000000002</v>
      </c>
      <c r="AH357" s="130">
        <v>2.1710000000000003</v>
      </c>
      <c r="AI357" s="130">
        <v>3.7280000000000002</v>
      </c>
      <c r="AJ357" s="130">
        <v>5.3479999999999999</v>
      </c>
      <c r="AK357" s="45">
        <v>6.1728395061728412</v>
      </c>
      <c r="AL357" s="3"/>
      <c r="AM357" s="3"/>
      <c r="AN357" s="3"/>
      <c r="AO357" s="3"/>
      <c r="AP357" s="137"/>
      <c r="AQ357" s="132"/>
      <c r="AR357" s="132"/>
      <c r="AS357" s="3">
        <v>21</v>
      </c>
      <c r="AT357" s="3">
        <v>0</v>
      </c>
      <c r="AU357" s="3">
        <v>20.9</v>
      </c>
      <c r="AV357" s="3"/>
      <c r="AW357" s="3"/>
      <c r="AX357" s="133">
        <v>23.96</v>
      </c>
      <c r="AY357" s="134"/>
      <c r="AZ357" s="40"/>
      <c r="BA357" s="40"/>
      <c r="BB357" s="40"/>
      <c r="BC357" s="40"/>
      <c r="BD357" s="135">
        <v>954.26423350009895</v>
      </c>
      <c r="BE357" s="135">
        <v>989.66716983589117</v>
      </c>
      <c r="BF357" s="40"/>
      <c r="BG357" s="135">
        <v>326.50131878793775</v>
      </c>
      <c r="BH357" s="135">
        <v>375.54595885394349</v>
      </c>
      <c r="BI357" s="49">
        <v>1943.9314033359901</v>
      </c>
      <c r="BJ357" s="49">
        <v>702.04727764188124</v>
      </c>
      <c r="BK357" s="66">
        <v>-3.577256820761554E-2</v>
      </c>
      <c r="BL357" s="66">
        <v>-0.13059557401622868</v>
      </c>
      <c r="BM357" s="51">
        <v>30.954321709171818</v>
      </c>
      <c r="BN357" s="51">
        <v>11.179096777736962</v>
      </c>
      <c r="BO357" s="136"/>
      <c r="BP357" s="40"/>
      <c r="BQ357" s="40"/>
      <c r="BR357" s="67"/>
      <c r="BS357" s="54" t="s">
        <v>110</v>
      </c>
      <c r="BT357" s="68"/>
      <c r="BU357" s="69"/>
      <c r="BV357" s="3"/>
      <c r="BW357" s="3"/>
      <c r="BX357" s="70"/>
      <c r="BY357" s="70"/>
      <c r="BZ357" s="59"/>
      <c r="CA357" s="59"/>
      <c r="CB357" s="59" t="s">
        <v>110</v>
      </c>
      <c r="CC357" s="59" t="s">
        <v>110</v>
      </c>
      <c r="CD357" s="60"/>
      <c r="CE357" s="60"/>
      <c r="CF357" s="61"/>
      <c r="CG357" s="61"/>
      <c r="CH357" s="61"/>
      <c r="CI357" s="138"/>
      <c r="CJ357" s="40"/>
      <c r="CK357" s="3"/>
      <c r="CL357" s="62"/>
      <c r="CM357" s="62"/>
      <c r="CN357" s="3"/>
      <c r="CO357" s="3"/>
      <c r="CP357" s="41">
        <v>14.383333333333333</v>
      </c>
      <c r="CQ357" s="3"/>
      <c r="CR357" s="40" t="s">
        <v>110</v>
      </c>
      <c r="CS357" s="40" t="s">
        <v>110</v>
      </c>
      <c r="CT357" s="40" t="s">
        <v>110</v>
      </c>
      <c r="CU357" s="40"/>
      <c r="CV357" s="40"/>
      <c r="CW357" s="40"/>
      <c r="CX357" s="40"/>
      <c r="CY357" s="40" t="s">
        <v>207</v>
      </c>
      <c r="CZ357" s="40"/>
      <c r="DA357" s="40"/>
    </row>
    <row r="358" spans="1:105" ht="18.75" customHeight="1">
      <c r="A358" s="3">
        <v>814</v>
      </c>
      <c r="B358" s="92" t="s">
        <v>199</v>
      </c>
      <c r="C358" s="143" t="s">
        <v>104</v>
      </c>
      <c r="D358" s="3" t="s">
        <v>105</v>
      </c>
      <c r="E358" s="144">
        <v>45062</v>
      </c>
      <c r="F358" s="3" t="s">
        <v>186</v>
      </c>
      <c r="G358" s="3" t="s">
        <v>107</v>
      </c>
      <c r="H358" s="3">
        <v>2008</v>
      </c>
      <c r="I358" s="40" t="s">
        <v>116</v>
      </c>
      <c r="J358" s="39" t="str">
        <f>paper3[[#This Row],[sex]]&amp;paper3[[#This Row],[ageg]]</f>
        <v>girlsU16</v>
      </c>
      <c r="K358" s="3">
        <v>167.9</v>
      </c>
      <c r="L358" s="3">
        <v>167.8</v>
      </c>
      <c r="M358" s="3"/>
      <c r="N358" s="3">
        <v>164.5</v>
      </c>
      <c r="O358" s="3">
        <v>164.5</v>
      </c>
      <c r="P358" s="3"/>
      <c r="Q358" s="3">
        <v>63.4</v>
      </c>
      <c r="R358" s="3"/>
      <c r="S358" s="3"/>
      <c r="T358" s="125">
        <v>167.85000000000002</v>
      </c>
      <c r="U358" s="126">
        <v>94.3</v>
      </c>
      <c r="V358" s="12">
        <f>paper3[[#This Row],[height]]-paper3[[#This Row],[sittingheight]]</f>
        <v>73.550000000000026</v>
      </c>
      <c r="W358" s="127">
        <v>63.4</v>
      </c>
      <c r="X358" s="43" cm="1">
        <f t="array" ref="X358">INDEX([1]!phvny[yphv], MATCH(1, (paper3[[#This Row],[id]]=[1]!phvny[id])*(paper3[[#This Row],[time]]=[1]!phvny[time]), 0))</f>
        <v>3.1326083665582378</v>
      </c>
      <c r="Y358" s="3">
        <v>2.278</v>
      </c>
      <c r="Z358" s="3">
        <v>4.0220000000000002</v>
      </c>
      <c r="AA358" s="3">
        <v>5.6849999999999996</v>
      </c>
      <c r="AB358" s="3">
        <v>2.2240000000000002</v>
      </c>
      <c r="AC358" s="3">
        <v>3.9209999999999998</v>
      </c>
      <c r="AD358" s="3">
        <v>5.5519999999999996</v>
      </c>
      <c r="AE358" s="3">
        <v>2.0550000000000002</v>
      </c>
      <c r="AF358" s="3">
        <v>3.7120000000000002</v>
      </c>
      <c r="AG358" s="3">
        <v>5.2949999999999999</v>
      </c>
      <c r="AH358" s="130">
        <v>2.2650000000000001</v>
      </c>
      <c r="AI358" s="130">
        <v>3.8920000000000003</v>
      </c>
      <c r="AJ358" s="130">
        <v>5.5049999999999999</v>
      </c>
      <c r="AK358" s="45">
        <v>6.1996280223186631</v>
      </c>
      <c r="AL358" s="3">
        <v>11.02</v>
      </c>
      <c r="AM358" s="3">
        <v>10.77</v>
      </c>
      <c r="AN358" s="3">
        <v>10.9</v>
      </c>
      <c r="AO358" s="3">
        <v>10.64</v>
      </c>
      <c r="AP358" s="137">
        <v>11.51</v>
      </c>
      <c r="AQ358" s="132">
        <v>10.77</v>
      </c>
      <c r="AR358" s="132">
        <v>10.64</v>
      </c>
      <c r="AS358" s="3">
        <v>23.3</v>
      </c>
      <c r="AT358" s="3">
        <v>28.3</v>
      </c>
      <c r="AU358" s="3">
        <v>19</v>
      </c>
      <c r="AV358" s="3"/>
      <c r="AW358" s="3"/>
      <c r="AX358" s="133">
        <v>31.26</v>
      </c>
      <c r="AY358" s="134"/>
      <c r="AZ358" s="40"/>
      <c r="BA358" s="40"/>
      <c r="BB358" s="40"/>
      <c r="BC358" s="40"/>
      <c r="BD358" s="135">
        <v>963.24278744494052</v>
      </c>
      <c r="BE358" s="135">
        <v>1042.9202272256857</v>
      </c>
      <c r="BF358" s="40"/>
      <c r="BG358" s="135">
        <v>314.46732967939727</v>
      </c>
      <c r="BH358" s="135">
        <v>379.53544573530377</v>
      </c>
      <c r="BI358" s="49">
        <v>2006.1630146706261</v>
      </c>
      <c r="BJ358" s="49">
        <v>694.00277541470109</v>
      </c>
      <c r="BK358" s="66">
        <v>-7.6398402965774603E-2</v>
      </c>
      <c r="BL358" s="66">
        <v>-0.17144147348304961</v>
      </c>
      <c r="BM358" s="51">
        <v>31.64294975821177</v>
      </c>
      <c r="BN358" s="51">
        <v>10.946416016004749</v>
      </c>
      <c r="BO358" s="136"/>
      <c r="BP358" s="40"/>
      <c r="BQ358" s="40"/>
      <c r="BR358" s="67"/>
      <c r="BS358" s="54" t="s">
        <v>110</v>
      </c>
      <c r="BT358" s="68"/>
      <c r="BU358" s="69"/>
      <c r="BV358" s="3"/>
      <c r="BW358" s="3"/>
      <c r="BX358" s="70"/>
      <c r="BY358" s="70"/>
      <c r="BZ358" s="59"/>
      <c r="CA358" s="59"/>
      <c r="CB358" s="59" t="s">
        <v>110</v>
      </c>
      <c r="CC358" s="59" t="s">
        <v>110</v>
      </c>
      <c r="CD358" s="60"/>
      <c r="CE358" s="60"/>
      <c r="CF358" s="61"/>
      <c r="CG358" s="61"/>
      <c r="CH358" s="61"/>
      <c r="CI358" s="138">
        <v>15.5</v>
      </c>
      <c r="CJ358" s="40">
        <f>VLOOKUP(paper3[[#This Row],[YYIR nivå]],$DB:$DC,2)</f>
        <v>960</v>
      </c>
      <c r="CK358" s="3"/>
      <c r="CL358" s="62"/>
      <c r="CM358" s="62"/>
      <c r="CN358" s="3"/>
      <c r="CO358" s="3"/>
      <c r="CP358" s="41">
        <v>15.25</v>
      </c>
      <c r="CQ358" s="3"/>
      <c r="CR358" s="40" t="s">
        <v>110</v>
      </c>
      <c r="CS358" s="40" t="s">
        <v>110</v>
      </c>
      <c r="CT358" s="40" t="s">
        <v>110</v>
      </c>
      <c r="CU358" s="40"/>
      <c r="CV358" s="40"/>
      <c r="CW358" s="40"/>
      <c r="CX358" s="40"/>
      <c r="CY358" s="40" t="s">
        <v>125</v>
      </c>
      <c r="CZ358" s="40"/>
      <c r="DA358" s="40"/>
    </row>
    <row r="359" spans="1:105" ht="18.75" customHeight="1">
      <c r="A359" s="3">
        <v>816</v>
      </c>
      <c r="B359" s="92" t="s">
        <v>199</v>
      </c>
      <c r="C359" s="143"/>
      <c r="D359" s="3" t="s">
        <v>105</v>
      </c>
      <c r="E359" s="144">
        <v>45062</v>
      </c>
      <c r="F359" s="3" t="s">
        <v>186</v>
      </c>
      <c r="G359" s="3" t="s">
        <v>107</v>
      </c>
      <c r="H359" s="3">
        <v>2008</v>
      </c>
      <c r="I359" s="40" t="s">
        <v>116</v>
      </c>
      <c r="J359" s="39" t="str">
        <f>paper3[[#This Row],[sex]]&amp;paper3[[#This Row],[ageg]]</f>
        <v>girlsU16</v>
      </c>
      <c r="K359" s="3"/>
      <c r="L359" s="3"/>
      <c r="M359" s="3"/>
      <c r="N359" s="3"/>
      <c r="O359" s="3"/>
      <c r="P359" s="3"/>
      <c r="Q359" s="3"/>
      <c r="R359" s="3"/>
      <c r="S359" s="3"/>
      <c r="T359" s="125"/>
      <c r="U359" s="126"/>
      <c r="V359" s="12"/>
      <c r="W359" s="127"/>
      <c r="X359" s="43"/>
      <c r="Y359" s="3"/>
      <c r="Z359" s="3"/>
      <c r="AA359" s="3"/>
      <c r="AB359" s="3"/>
      <c r="AC359" s="3"/>
      <c r="AD359" s="3"/>
      <c r="AE359" s="3"/>
      <c r="AF359" s="3"/>
      <c r="AG359" s="3"/>
      <c r="AH359" s="133"/>
      <c r="AI359" s="133"/>
      <c r="AJ359" s="133"/>
      <c r="AK359" s="45"/>
      <c r="AL359" s="3">
        <v>12.57</v>
      </c>
      <c r="AM359" s="3">
        <v>12.42</v>
      </c>
      <c r="AN359" s="3">
        <v>12.72</v>
      </c>
      <c r="AO359" s="3">
        <v>12.49</v>
      </c>
      <c r="AP359" s="137">
        <v>13.29</v>
      </c>
      <c r="AQ359" s="132">
        <v>12.42</v>
      </c>
      <c r="AR359" s="132">
        <v>12.49</v>
      </c>
      <c r="AS359" s="3"/>
      <c r="AT359" s="3"/>
      <c r="AU359" s="3"/>
      <c r="AV359" s="3"/>
      <c r="AW359" s="3"/>
      <c r="AX359" s="133"/>
      <c r="AY359" s="134"/>
      <c r="AZ359" s="40"/>
      <c r="BA359" s="40"/>
      <c r="BB359" s="40"/>
      <c r="BC359" s="40"/>
      <c r="BD359" s="135" t="s">
        <v>110</v>
      </c>
      <c r="BE359" s="135" t="s">
        <v>110</v>
      </c>
      <c r="BF359" s="40"/>
      <c r="BG359" s="135" t="s">
        <v>110</v>
      </c>
      <c r="BH359" s="135" t="s">
        <v>110</v>
      </c>
      <c r="BI359" s="49"/>
      <c r="BJ359" s="49"/>
      <c r="BK359" s="66"/>
      <c r="BL359" s="66"/>
      <c r="BM359" s="51"/>
      <c r="BN359" s="51"/>
      <c r="BO359" s="136"/>
      <c r="BP359" s="40"/>
      <c r="BQ359" s="40"/>
      <c r="BR359" s="67"/>
      <c r="BS359" s="54" t="s">
        <v>110</v>
      </c>
      <c r="BT359" s="68"/>
      <c r="BU359" s="69"/>
      <c r="BV359" s="3"/>
      <c r="BW359" s="3"/>
      <c r="BX359" s="70"/>
      <c r="BY359" s="70"/>
      <c r="BZ359" s="59"/>
      <c r="CA359" s="59"/>
      <c r="CB359" s="59" t="s">
        <v>110</v>
      </c>
      <c r="CC359" s="59" t="s">
        <v>110</v>
      </c>
      <c r="CD359" s="60"/>
      <c r="CE359" s="60"/>
      <c r="CF359" s="61"/>
      <c r="CG359" s="61"/>
      <c r="CH359" s="61"/>
      <c r="CI359" s="138">
        <v>13.2</v>
      </c>
      <c r="CJ359" s="40">
        <f>VLOOKUP(paper3[[#This Row],[YYIR nivå]],$DB:$DC,2)</f>
        <v>360</v>
      </c>
      <c r="CK359" s="3"/>
      <c r="CL359" s="62"/>
      <c r="CM359" s="62"/>
      <c r="CN359" s="3"/>
      <c r="CO359" s="3"/>
      <c r="CP359" s="41">
        <v>15.361111111111111</v>
      </c>
      <c r="CQ359" s="3"/>
      <c r="CR359" s="40" t="s">
        <v>110</v>
      </c>
      <c r="CS359" s="40" t="s">
        <v>110</v>
      </c>
      <c r="CT359" s="40" t="s">
        <v>110</v>
      </c>
      <c r="CU359" s="40"/>
      <c r="CV359" s="40"/>
      <c r="CW359" s="40"/>
      <c r="CX359" s="40"/>
      <c r="CY359" s="40" t="s">
        <v>110</v>
      </c>
      <c r="CZ359" s="40"/>
      <c r="DA359" s="40"/>
    </row>
    <row r="360" spans="1:105" ht="18.75">
      <c r="A360" s="3">
        <v>817</v>
      </c>
      <c r="B360" s="92" t="s">
        <v>199</v>
      </c>
      <c r="C360" s="143" t="s">
        <v>104</v>
      </c>
      <c r="D360" s="3" t="s">
        <v>105</v>
      </c>
      <c r="E360" s="144">
        <v>45062</v>
      </c>
      <c r="F360" s="3" t="s">
        <v>186</v>
      </c>
      <c r="G360" s="3" t="s">
        <v>107</v>
      </c>
      <c r="H360" s="3">
        <v>2008</v>
      </c>
      <c r="I360" s="40" t="s">
        <v>116</v>
      </c>
      <c r="J360" s="39" t="str">
        <f>paper3[[#This Row],[sex]]&amp;paper3[[#This Row],[ageg]]</f>
        <v>girlsU16</v>
      </c>
      <c r="K360" s="3">
        <v>167.6</v>
      </c>
      <c r="L360" s="3">
        <v>167.6</v>
      </c>
      <c r="M360" s="3"/>
      <c r="N360" s="3">
        <v>157.6</v>
      </c>
      <c r="O360" s="3">
        <v>157.6</v>
      </c>
      <c r="P360" s="3"/>
      <c r="Q360" s="3">
        <v>60.1</v>
      </c>
      <c r="R360" s="3"/>
      <c r="S360" s="3"/>
      <c r="T360" s="125">
        <v>167.6</v>
      </c>
      <c r="U360" s="126">
        <v>87.399999999999991</v>
      </c>
      <c r="V360" s="12">
        <f>paper3[[#This Row],[height]]-paper3[[#This Row],[sittingheight]]</f>
        <v>80.2</v>
      </c>
      <c r="W360" s="127">
        <v>60.1</v>
      </c>
      <c r="X360" s="43" cm="1">
        <f t="array" ref="X360">INDEX([1]!phvny[yphv], MATCH(1, (paper3[[#This Row],[id]]=[1]!phvny[id])*(paper3[[#This Row],[time]]=[1]!phvny[time]), 0))</f>
        <v>2.665444146257228</v>
      </c>
      <c r="Y360" s="3">
        <v>1.9179999999999999</v>
      </c>
      <c r="Z360" s="3">
        <v>3.5129999999999999</v>
      </c>
      <c r="AA360" s="3">
        <v>5.0640000000000001</v>
      </c>
      <c r="AB360" s="3">
        <v>1.915</v>
      </c>
      <c r="AC360" s="3">
        <v>3.532</v>
      </c>
      <c r="AD360" s="3">
        <v>5.0819999999999999</v>
      </c>
      <c r="AE360" s="3">
        <v>1.901</v>
      </c>
      <c r="AF360" s="3">
        <v>3.5259999999999998</v>
      </c>
      <c r="AG360" s="3">
        <v>5.0919999999999996</v>
      </c>
      <c r="AH360" s="130">
        <v>2.1110000000000002</v>
      </c>
      <c r="AI360" s="130">
        <v>3.6930000000000001</v>
      </c>
      <c r="AJ360" s="130">
        <v>5.274</v>
      </c>
      <c r="AK360" s="45">
        <v>6.3251106894370652</v>
      </c>
      <c r="AL360" s="3">
        <v>10.91</v>
      </c>
      <c r="AM360" s="3">
        <v>10.91</v>
      </c>
      <c r="AN360" s="3">
        <v>11.07</v>
      </c>
      <c r="AO360" s="3">
        <v>10.96</v>
      </c>
      <c r="AP360" s="137">
        <v>11.78</v>
      </c>
      <c r="AQ360" s="132">
        <v>10.91</v>
      </c>
      <c r="AR360" s="132">
        <v>10.96</v>
      </c>
      <c r="AS360" s="3">
        <v>20.6</v>
      </c>
      <c r="AT360" s="3">
        <v>18.2</v>
      </c>
      <c r="AU360" s="3">
        <v>19.8</v>
      </c>
      <c r="AV360" s="3"/>
      <c r="AW360" s="3"/>
      <c r="AX360" s="133">
        <v>23.560000000000002</v>
      </c>
      <c r="AY360" s="134"/>
      <c r="AZ360" s="40"/>
      <c r="BA360" s="40"/>
      <c r="BB360" s="40"/>
      <c r="BC360" s="40"/>
      <c r="BD360" s="135">
        <v>980.58942576753361</v>
      </c>
      <c r="BE360" s="135">
        <v>950.47014891285176</v>
      </c>
      <c r="BF360" s="40"/>
      <c r="BG360" s="135">
        <v>343.0428567385157</v>
      </c>
      <c r="BH360" s="135">
        <v>363.26296805501363</v>
      </c>
      <c r="BI360" s="49">
        <v>1931.0595746803854</v>
      </c>
      <c r="BJ360" s="49">
        <v>706.30582479352938</v>
      </c>
      <c r="BK360" s="66">
        <v>3.1688819358643094E-2</v>
      </c>
      <c r="BL360" s="66">
        <v>-5.566246244355888E-2</v>
      </c>
      <c r="BM360" s="51">
        <v>32.130774953084611</v>
      </c>
      <c r="BN360" s="51">
        <v>11.752176785250073</v>
      </c>
      <c r="BO360" s="136"/>
      <c r="BP360" s="40"/>
      <c r="BQ360" s="40"/>
      <c r="BR360" s="67"/>
      <c r="BS360" s="54" t="s">
        <v>110</v>
      </c>
      <c r="BT360" s="68"/>
      <c r="BU360" s="69"/>
      <c r="BV360" s="3"/>
      <c r="BW360" s="3"/>
      <c r="BX360" s="70"/>
      <c r="BY360" s="70"/>
      <c r="BZ360" s="59"/>
      <c r="CA360" s="59"/>
      <c r="CB360" s="59" t="s">
        <v>110</v>
      </c>
      <c r="CC360" s="59" t="s">
        <v>110</v>
      </c>
      <c r="CD360" s="60"/>
      <c r="CE360" s="60"/>
      <c r="CF360" s="61"/>
      <c r="CG360" s="61"/>
      <c r="CH360" s="61"/>
      <c r="CI360" s="138">
        <v>15.3</v>
      </c>
      <c r="CJ360" s="40">
        <f>VLOOKUP(paper3[[#This Row],[YYIR nivå]],$DB:$DC,2)</f>
        <v>880</v>
      </c>
      <c r="CK360" s="3"/>
      <c r="CL360" s="62"/>
      <c r="CM360" s="62"/>
      <c r="CN360" s="3"/>
      <c r="CO360" s="3"/>
      <c r="CP360" s="41">
        <v>15.105555555555556</v>
      </c>
      <c r="CQ360" s="3"/>
      <c r="CR360" s="40" t="s">
        <v>110</v>
      </c>
      <c r="CS360" s="40" t="s">
        <v>110</v>
      </c>
      <c r="CT360" s="40" t="s">
        <v>110</v>
      </c>
      <c r="CU360" s="40"/>
      <c r="CV360" s="40"/>
      <c r="CW360" s="40"/>
      <c r="CX360" s="40"/>
      <c r="CY360" s="40" t="s">
        <v>205</v>
      </c>
      <c r="CZ360" s="40"/>
      <c r="DA360" s="40"/>
    </row>
    <row r="361" spans="1:105" ht="18.75" customHeight="1">
      <c r="A361" s="3">
        <v>818</v>
      </c>
      <c r="B361" s="92" t="s">
        <v>199</v>
      </c>
      <c r="C361" s="143" t="s">
        <v>104</v>
      </c>
      <c r="D361" s="3" t="s">
        <v>105</v>
      </c>
      <c r="E361" s="144">
        <v>45062</v>
      </c>
      <c r="F361" s="3" t="s">
        <v>186</v>
      </c>
      <c r="G361" s="3" t="s">
        <v>107</v>
      </c>
      <c r="H361" s="3">
        <v>2008</v>
      </c>
      <c r="I361" s="40" t="s">
        <v>116</v>
      </c>
      <c r="J361" s="39" t="str">
        <f>paper3[[#This Row],[sex]]&amp;paper3[[#This Row],[ageg]]</f>
        <v>girlsU16</v>
      </c>
      <c r="K361" s="3">
        <v>172.1</v>
      </c>
      <c r="L361" s="3">
        <v>172.1</v>
      </c>
      <c r="M361" s="3"/>
      <c r="N361" s="3">
        <v>158.1</v>
      </c>
      <c r="O361" s="3">
        <v>158.1</v>
      </c>
      <c r="P361" s="3"/>
      <c r="Q361" s="3">
        <v>58.5</v>
      </c>
      <c r="R361" s="3"/>
      <c r="S361" s="3"/>
      <c r="T361" s="125">
        <v>172.1</v>
      </c>
      <c r="U361" s="126">
        <v>87.899999999999991</v>
      </c>
      <c r="V361" s="12">
        <f>paper3[[#This Row],[height]]-paper3[[#This Row],[sittingheight]]</f>
        <v>84.2</v>
      </c>
      <c r="W361" s="127">
        <v>58.5</v>
      </c>
      <c r="X361" s="43" cm="1">
        <f t="array" ref="X361">INDEX([1]!phvny[yphv], MATCH(1, (paper3[[#This Row],[id]]=[1]!phvny[id])*(paper3[[#This Row],[time]]=[1]!phvny[time]), 0))</f>
        <v>2.7221250593136421</v>
      </c>
      <c r="Y361" s="3">
        <v>1.794</v>
      </c>
      <c r="Z361" s="3">
        <v>3.2879999999999998</v>
      </c>
      <c r="AA361" s="3">
        <v>4.7069999999999999</v>
      </c>
      <c r="AB361" s="3">
        <v>1.881</v>
      </c>
      <c r="AC361" s="3">
        <v>3.407</v>
      </c>
      <c r="AD361" s="3">
        <v>4.8319999999999999</v>
      </c>
      <c r="AE361" s="3">
        <v>1.2869999999999999</v>
      </c>
      <c r="AF361" s="3">
        <v>2.8929999999999998</v>
      </c>
      <c r="AG361" s="3">
        <v>4.3259999999999996</v>
      </c>
      <c r="AH361" s="130">
        <v>2.004</v>
      </c>
      <c r="AI361" s="130">
        <v>3.073</v>
      </c>
      <c r="AJ361" s="130">
        <v>4.9169999999999998</v>
      </c>
      <c r="AK361" s="45">
        <v>5.4229934924078096</v>
      </c>
      <c r="AL361" s="3">
        <v>11.26</v>
      </c>
      <c r="AM361" s="3">
        <v>11.44</v>
      </c>
      <c r="AN361" s="3">
        <v>11.17</v>
      </c>
      <c r="AO361" s="3">
        <v>11.15</v>
      </c>
      <c r="AP361" s="137">
        <v>12.02</v>
      </c>
      <c r="AQ361" s="132">
        <v>11.26</v>
      </c>
      <c r="AR361" s="132">
        <v>11.15</v>
      </c>
      <c r="AS361" s="3">
        <v>26.4</v>
      </c>
      <c r="AT361" s="3">
        <v>26.9</v>
      </c>
      <c r="AU361" s="3">
        <v>26.2</v>
      </c>
      <c r="AV361" s="3"/>
      <c r="AW361" s="3"/>
      <c r="AX361" s="133">
        <v>29.86</v>
      </c>
      <c r="AY361" s="134"/>
      <c r="AZ361" s="40"/>
      <c r="BA361" s="40"/>
      <c r="BB361" s="40"/>
      <c r="BC361" s="40"/>
      <c r="BD361" s="135">
        <v>1072.4650338951315</v>
      </c>
      <c r="BE361" s="135">
        <v>970.57800631292673</v>
      </c>
      <c r="BF361" s="40"/>
      <c r="BG361" s="135">
        <v>481.36477751833365</v>
      </c>
      <c r="BH361" s="135">
        <v>477.39748119981823</v>
      </c>
      <c r="BI361" s="49">
        <v>2043.0430402080583</v>
      </c>
      <c r="BJ361" s="49">
        <v>958.76225871815188</v>
      </c>
      <c r="BK361" s="66">
        <v>0.10497561959935342</v>
      </c>
      <c r="BL361" s="66">
        <v>8.310258170078022E-3</v>
      </c>
      <c r="BM361" s="51">
        <v>34.923812653129204</v>
      </c>
      <c r="BN361" s="51">
        <v>16.38909843962653</v>
      </c>
      <c r="BO361" s="136"/>
      <c r="BP361" s="40"/>
      <c r="BQ361" s="40"/>
      <c r="BR361" s="67"/>
      <c r="BS361" s="54" t="s">
        <v>110</v>
      </c>
      <c r="BT361" s="68"/>
      <c r="BU361" s="69"/>
      <c r="BV361" s="3"/>
      <c r="BW361" s="3"/>
      <c r="BX361" s="70"/>
      <c r="BY361" s="70"/>
      <c r="BZ361" s="59"/>
      <c r="CA361" s="59"/>
      <c r="CB361" s="59" t="s">
        <v>110</v>
      </c>
      <c r="CC361" s="59" t="s">
        <v>110</v>
      </c>
      <c r="CD361" s="60"/>
      <c r="CE361" s="60"/>
      <c r="CF361" s="61"/>
      <c r="CG361" s="61"/>
      <c r="CH361" s="61"/>
      <c r="CI361" s="138">
        <v>14.2</v>
      </c>
      <c r="CJ361" s="40">
        <f>VLOOKUP(paper3[[#This Row],[YYIR nivå]],$DB:$DC,2)</f>
        <v>520</v>
      </c>
      <c r="CK361" s="3"/>
      <c r="CL361" s="62"/>
      <c r="CM361" s="62"/>
      <c r="CN361" s="3"/>
      <c r="CO361" s="3"/>
      <c r="CP361" s="41">
        <v>14.894444444444444</v>
      </c>
      <c r="CQ361" s="3"/>
      <c r="CR361" s="40" t="s">
        <v>110</v>
      </c>
      <c r="CS361" s="40" t="s">
        <v>110</v>
      </c>
      <c r="CT361" s="40" t="s">
        <v>110</v>
      </c>
      <c r="CU361" s="40"/>
      <c r="CV361" s="40"/>
      <c r="CW361" s="40"/>
      <c r="CX361" s="40"/>
      <c r="CY361" s="40">
        <v>0</v>
      </c>
      <c r="CZ361" s="40"/>
      <c r="DA361" s="40"/>
    </row>
    <row r="362" spans="1:105" ht="18.75" customHeight="1">
      <c r="A362" s="3">
        <v>819</v>
      </c>
      <c r="B362" s="92" t="s">
        <v>199</v>
      </c>
      <c r="C362" s="143" t="s">
        <v>104</v>
      </c>
      <c r="D362" s="3" t="s">
        <v>105</v>
      </c>
      <c r="E362" s="144">
        <v>45062</v>
      </c>
      <c r="F362" s="3" t="s">
        <v>186</v>
      </c>
      <c r="G362" s="3" t="s">
        <v>107</v>
      </c>
      <c r="H362" s="3">
        <v>2008</v>
      </c>
      <c r="I362" s="40" t="s">
        <v>116</v>
      </c>
      <c r="J362" s="39" t="str">
        <f>paper3[[#This Row],[sex]]&amp;paper3[[#This Row],[ageg]]</f>
        <v>girlsU16</v>
      </c>
      <c r="K362" s="3">
        <v>164</v>
      </c>
      <c r="L362" s="3">
        <v>164</v>
      </c>
      <c r="M362" s="3"/>
      <c r="N362" s="3">
        <v>158.1</v>
      </c>
      <c r="O362" s="3">
        <v>158.19999999999999</v>
      </c>
      <c r="P362" s="3"/>
      <c r="Q362" s="3">
        <v>57.1</v>
      </c>
      <c r="R362" s="3"/>
      <c r="S362" s="3"/>
      <c r="T362" s="125">
        <v>164</v>
      </c>
      <c r="U362" s="126">
        <v>87.949999999999974</v>
      </c>
      <c r="V362" s="12">
        <f>paper3[[#This Row],[height]]-paper3[[#This Row],[sittingheight]]</f>
        <v>76.050000000000026</v>
      </c>
      <c r="W362" s="127">
        <v>57.1</v>
      </c>
      <c r="X362" s="43" cm="1">
        <f t="array" ref="X362">INDEX([1]!phvny[yphv], MATCH(1, (paper3[[#This Row],[id]]=[1]!phvny[id])*(paper3[[#This Row],[time]]=[1]!phvny[time]), 0))</f>
        <v>2.3324865910243902</v>
      </c>
      <c r="Y362" s="3">
        <v>1.833</v>
      </c>
      <c r="Z362" s="3">
        <v>3.423</v>
      </c>
      <c r="AA362" s="3">
        <v>4.96</v>
      </c>
      <c r="AB362" s="3">
        <v>1.8580000000000001</v>
      </c>
      <c r="AC362" s="3">
        <v>3.4689999999999999</v>
      </c>
      <c r="AD362" s="3">
        <v>5.0209999999999999</v>
      </c>
      <c r="AE362" s="3">
        <v>1.8879999999999999</v>
      </c>
      <c r="AF362" s="3">
        <v>3.4870000000000001</v>
      </c>
      <c r="AG362" s="3">
        <v>5.0620000000000003</v>
      </c>
      <c r="AH362" s="130">
        <v>2.0430000000000001</v>
      </c>
      <c r="AI362" s="130">
        <v>3.6030000000000002</v>
      </c>
      <c r="AJ362" s="130">
        <v>5.17</v>
      </c>
      <c r="AK362" s="45">
        <v>6.3816209317166575</v>
      </c>
      <c r="AL362" s="3">
        <v>10.32</v>
      </c>
      <c r="AM362" s="3">
        <v>10.11</v>
      </c>
      <c r="AN362" s="3">
        <v>10.37</v>
      </c>
      <c r="AO362" s="3">
        <v>10.19</v>
      </c>
      <c r="AP362" s="137">
        <v>10.979999999999999</v>
      </c>
      <c r="AQ362" s="132">
        <v>10.11</v>
      </c>
      <c r="AR362" s="132">
        <v>10.19</v>
      </c>
      <c r="AS362" s="3">
        <v>21.8</v>
      </c>
      <c r="AT362" s="3">
        <v>18.5</v>
      </c>
      <c r="AU362" s="3">
        <v>22.6</v>
      </c>
      <c r="AV362" s="3"/>
      <c r="AW362" s="3"/>
      <c r="AX362" s="133">
        <v>25.560000000000002</v>
      </c>
      <c r="AY362" s="134"/>
      <c r="AZ362" s="40"/>
      <c r="BA362" s="40"/>
      <c r="BB362" s="40"/>
      <c r="BC362" s="40"/>
      <c r="BD362" s="135"/>
      <c r="BE362" s="135"/>
      <c r="BF362" s="40"/>
      <c r="BG362" s="135">
        <v>324.81908226210311</v>
      </c>
      <c r="BH362" s="135">
        <v>400.71068128252</v>
      </c>
      <c r="BI362" s="49"/>
      <c r="BJ362" s="49">
        <v>725.52976354462317</v>
      </c>
      <c r="BK362" s="66"/>
      <c r="BL362" s="66">
        <v>-0.18939250328320978</v>
      </c>
      <c r="BM362" s="51"/>
      <c r="BN362" s="51">
        <v>12.706300587471508</v>
      </c>
      <c r="BO362" s="136"/>
      <c r="BP362" s="40"/>
      <c r="BQ362" s="40"/>
      <c r="BR362" s="67"/>
      <c r="BS362" s="54" t="s">
        <v>110</v>
      </c>
      <c r="BT362" s="68"/>
      <c r="BU362" s="69"/>
      <c r="BV362" s="3"/>
      <c r="BW362" s="3"/>
      <c r="BX362" s="70"/>
      <c r="BY362" s="70"/>
      <c r="BZ362" s="59"/>
      <c r="CA362" s="59"/>
      <c r="CB362" s="59" t="s">
        <v>110</v>
      </c>
      <c r="CC362" s="59" t="s">
        <v>110</v>
      </c>
      <c r="CD362" s="60"/>
      <c r="CE362" s="60"/>
      <c r="CF362" s="61"/>
      <c r="CG362" s="61"/>
      <c r="CH362" s="61"/>
      <c r="CI362" s="138">
        <v>14.1</v>
      </c>
      <c r="CJ362" s="40">
        <f>VLOOKUP(paper3[[#This Row],[YYIR nivå]],$DB:$DC,2)</f>
        <v>480</v>
      </c>
      <c r="CK362" s="3"/>
      <c r="CL362" s="62"/>
      <c r="CM362" s="62"/>
      <c r="CN362" s="3"/>
      <c r="CO362" s="3"/>
      <c r="CP362" s="41">
        <v>14.683333333333334</v>
      </c>
      <c r="CQ362" s="3"/>
      <c r="CR362" s="40" t="s">
        <v>110</v>
      </c>
      <c r="CS362" s="40" t="s">
        <v>110</v>
      </c>
      <c r="CT362" s="40" t="s">
        <v>110</v>
      </c>
      <c r="CU362" s="40"/>
      <c r="CV362" s="40"/>
      <c r="CW362" s="40"/>
      <c r="CX362" s="40"/>
      <c r="CY362" s="40" t="s">
        <v>206</v>
      </c>
      <c r="CZ362" s="40"/>
      <c r="DA362" s="40"/>
    </row>
    <row r="363" spans="1:105" ht="18.75">
      <c r="A363" s="3">
        <v>820</v>
      </c>
      <c r="B363" s="92" t="s">
        <v>199</v>
      </c>
      <c r="C363" s="143" t="s">
        <v>104</v>
      </c>
      <c r="D363" s="3" t="s">
        <v>105</v>
      </c>
      <c r="E363" s="144">
        <v>45062</v>
      </c>
      <c r="F363" s="3" t="s">
        <v>186</v>
      </c>
      <c r="G363" s="3" t="s">
        <v>107</v>
      </c>
      <c r="H363" s="3">
        <v>2008</v>
      </c>
      <c r="I363" s="40" t="s">
        <v>116</v>
      </c>
      <c r="J363" s="39" t="str">
        <f>paper3[[#This Row],[sex]]&amp;paper3[[#This Row],[ageg]]</f>
        <v>girlsU16</v>
      </c>
      <c r="K363" s="3">
        <v>172.3</v>
      </c>
      <c r="L363" s="3">
        <v>172.4</v>
      </c>
      <c r="M363" s="3"/>
      <c r="N363" s="3">
        <v>158</v>
      </c>
      <c r="O363" s="3">
        <v>158</v>
      </c>
      <c r="P363" s="3"/>
      <c r="Q363" s="3">
        <v>70.8</v>
      </c>
      <c r="R363" s="3"/>
      <c r="S363" s="3"/>
      <c r="T363" s="125">
        <v>172.35000000000002</v>
      </c>
      <c r="U363" s="126">
        <v>87.8</v>
      </c>
      <c r="V363" s="12">
        <f>paper3[[#This Row],[height]]-paper3[[#This Row],[sittingheight]]</f>
        <v>84.550000000000026</v>
      </c>
      <c r="W363" s="127">
        <v>70.8</v>
      </c>
      <c r="X363" s="43" cm="1">
        <f t="array" ref="X363">INDEX([1]!phvny[yphv], MATCH(1, (paper3[[#This Row],[id]]=[1]!phvny[id])*(paper3[[#This Row],[time]]=[1]!phvny[time]), 0))</f>
        <v>2.7121902609924571</v>
      </c>
      <c r="Y363" s="3">
        <v>1.9279999999999999</v>
      </c>
      <c r="Z363" s="3">
        <v>3.5</v>
      </c>
      <c r="AA363" s="3">
        <v>6.0039999999999996</v>
      </c>
      <c r="AB363" s="3">
        <v>1.9650000000000001</v>
      </c>
      <c r="AC363" s="3">
        <v>3.5579999999999998</v>
      </c>
      <c r="AD363" s="3">
        <v>5.1050000000000004</v>
      </c>
      <c r="AE363" s="3">
        <v>1.927</v>
      </c>
      <c r="AF363" s="3">
        <v>3.528</v>
      </c>
      <c r="AG363" s="3">
        <v>5.0650000000000004</v>
      </c>
      <c r="AH363" s="130">
        <v>2.137</v>
      </c>
      <c r="AI363" s="130">
        <v>3.68</v>
      </c>
      <c r="AJ363" s="130">
        <v>5.2750000000000004</v>
      </c>
      <c r="AK363" s="45">
        <v>6.2695924764890272</v>
      </c>
      <c r="AL363" s="3">
        <v>11.57</v>
      </c>
      <c r="AM363" s="3">
        <v>11.57</v>
      </c>
      <c r="AN363" s="3">
        <v>11.63</v>
      </c>
      <c r="AO363" s="3">
        <v>11.46</v>
      </c>
      <c r="AP363" s="137">
        <v>12.33</v>
      </c>
      <c r="AQ363" s="132">
        <v>11.57</v>
      </c>
      <c r="AR363" s="132">
        <v>11.46</v>
      </c>
      <c r="AS363" s="3">
        <v>22.7</v>
      </c>
      <c r="AT363" s="3">
        <v>23.4</v>
      </c>
      <c r="AU363" s="3">
        <v>23.1</v>
      </c>
      <c r="AV363" s="3"/>
      <c r="AW363" s="3"/>
      <c r="AX363" s="133">
        <v>26.36</v>
      </c>
      <c r="AY363" s="134"/>
      <c r="AZ363" s="40"/>
      <c r="BA363" s="40"/>
      <c r="BB363" s="40"/>
      <c r="BC363" s="40"/>
      <c r="BD363" s="135"/>
      <c r="BE363" s="135"/>
      <c r="BF363" s="40"/>
      <c r="BG363" s="135">
        <v>522.25877614439719</v>
      </c>
      <c r="BH363" s="135">
        <v>496.39745573236189</v>
      </c>
      <c r="BI363" s="49"/>
      <c r="BJ363" s="49">
        <v>1018.6562318767591</v>
      </c>
      <c r="BK363" s="66"/>
      <c r="BL363" s="66">
        <v>5.2098011610234085E-2</v>
      </c>
      <c r="BM363" s="51"/>
      <c r="BN363" s="51">
        <v>14.387799885264959</v>
      </c>
      <c r="BO363" s="136"/>
      <c r="BP363" s="40"/>
      <c r="BQ363" s="40"/>
      <c r="BR363" s="67"/>
      <c r="BS363" s="54" t="s">
        <v>110</v>
      </c>
      <c r="BT363" s="68"/>
      <c r="BU363" s="69"/>
      <c r="BV363" s="3"/>
      <c r="BW363" s="3"/>
      <c r="BX363" s="70"/>
      <c r="BY363" s="70"/>
      <c r="BZ363" s="59"/>
      <c r="CA363" s="59"/>
      <c r="CB363" s="59" t="s">
        <v>110</v>
      </c>
      <c r="CC363" s="59" t="s">
        <v>110</v>
      </c>
      <c r="CD363" s="60"/>
      <c r="CE363" s="60"/>
      <c r="CF363" s="61"/>
      <c r="CG363" s="61"/>
      <c r="CH363" s="61"/>
      <c r="CI363" s="138">
        <v>14.4</v>
      </c>
      <c r="CJ363" s="40">
        <f>VLOOKUP(paper3[[#This Row],[YYIR nivå]],$DB:$DC,2)</f>
        <v>600</v>
      </c>
      <c r="CK363" s="3"/>
      <c r="CL363" s="62"/>
      <c r="CM363" s="62"/>
      <c r="CN363" s="3"/>
      <c r="CO363" s="3"/>
      <c r="CP363" s="41">
        <v>14.747222222222222</v>
      </c>
      <c r="CQ363" s="3"/>
      <c r="CR363" s="40" t="s">
        <v>110</v>
      </c>
      <c r="CS363" s="40" t="s">
        <v>110</v>
      </c>
      <c r="CT363" s="40" t="s">
        <v>110</v>
      </c>
      <c r="CU363" s="40"/>
      <c r="CV363" s="40"/>
      <c r="CW363" s="40"/>
      <c r="CX363" s="40"/>
      <c r="CY363" s="40" t="s">
        <v>204</v>
      </c>
      <c r="CZ363" s="40"/>
      <c r="DA363" s="40"/>
    </row>
    <row r="364" spans="1:105" ht="18.75" customHeight="1">
      <c r="A364" s="3">
        <v>821</v>
      </c>
      <c r="B364" s="92" t="s">
        <v>199</v>
      </c>
      <c r="C364" s="143" t="s">
        <v>104</v>
      </c>
      <c r="D364" s="3" t="s">
        <v>105</v>
      </c>
      <c r="E364" s="144">
        <v>45062</v>
      </c>
      <c r="F364" s="3" t="s">
        <v>186</v>
      </c>
      <c r="G364" s="3" t="s">
        <v>107</v>
      </c>
      <c r="H364" s="3">
        <v>2008</v>
      </c>
      <c r="I364" s="40" t="s">
        <v>116</v>
      </c>
      <c r="J364" s="39" t="str">
        <f>paper3[[#This Row],[sex]]&amp;paper3[[#This Row],[ageg]]</f>
        <v>girlsU16</v>
      </c>
      <c r="K364" s="3">
        <v>170</v>
      </c>
      <c r="L364" s="3">
        <v>170</v>
      </c>
      <c r="M364" s="3"/>
      <c r="N364" s="3">
        <v>160</v>
      </c>
      <c r="O364" s="3">
        <v>160</v>
      </c>
      <c r="P364" s="3"/>
      <c r="Q364" s="3">
        <v>65.5</v>
      </c>
      <c r="R364" s="3"/>
      <c r="S364" s="3"/>
      <c r="T364" s="125">
        <v>170</v>
      </c>
      <c r="U364" s="126">
        <v>89.8</v>
      </c>
      <c r="V364" s="12">
        <f>paper3[[#This Row],[height]]-paper3[[#This Row],[sittingheight]]</f>
        <v>80.2</v>
      </c>
      <c r="W364" s="127">
        <v>65.5</v>
      </c>
      <c r="X364" s="43" cm="1">
        <f t="array" ref="X364">INDEX([1]!phvny[yphv], MATCH(1, (paper3[[#This Row],[id]]=[1]!phvny[id])*(paper3[[#This Row],[time]]=[1]!phvny[time]), 0))</f>
        <v>2.9020318146143795</v>
      </c>
      <c r="Y364" s="3">
        <v>1.8680000000000001</v>
      </c>
      <c r="Z364" s="3">
        <v>3.4329999999999998</v>
      </c>
      <c r="AA364" s="3">
        <v>4.9550000000000001</v>
      </c>
      <c r="AB364" s="3">
        <v>1.875</v>
      </c>
      <c r="AC364" s="3">
        <v>3.4689999999999999</v>
      </c>
      <c r="AD364" s="3">
        <v>5.0140000000000002</v>
      </c>
      <c r="AE364" s="3">
        <v>2.0049999999999999</v>
      </c>
      <c r="AF364" s="3">
        <v>3.57</v>
      </c>
      <c r="AG364" s="3">
        <v>5.0910000000000002</v>
      </c>
      <c r="AH364" s="130">
        <v>2.0780000000000003</v>
      </c>
      <c r="AI364" s="130">
        <v>3.613</v>
      </c>
      <c r="AJ364" s="130">
        <v>5.165</v>
      </c>
      <c r="AK364" s="45">
        <v>6.4432989690721651</v>
      </c>
      <c r="AL364" s="3">
        <v>11.17</v>
      </c>
      <c r="AM364" s="3">
        <v>10.95</v>
      </c>
      <c r="AN364" s="3">
        <v>11.22</v>
      </c>
      <c r="AO364" s="3">
        <v>11.09</v>
      </c>
      <c r="AP364" s="137">
        <v>11.819999999999999</v>
      </c>
      <c r="AQ364" s="132">
        <v>10.95</v>
      </c>
      <c r="AR364" s="132">
        <v>11.09</v>
      </c>
      <c r="AS364" s="3">
        <v>28</v>
      </c>
      <c r="AT364" s="3">
        <v>25.6</v>
      </c>
      <c r="AU364" s="3">
        <v>22.9</v>
      </c>
      <c r="AV364" s="3"/>
      <c r="AW364" s="3"/>
      <c r="AX364" s="133">
        <v>30.96</v>
      </c>
      <c r="AY364" s="134"/>
      <c r="AZ364" s="40"/>
      <c r="BA364" s="40"/>
      <c r="BB364" s="40"/>
      <c r="BC364" s="40"/>
      <c r="BD364" s="135">
        <v>1058.2425953259326</v>
      </c>
      <c r="BE364" s="135">
        <v>1105.0277981306767</v>
      </c>
      <c r="BF364" s="40"/>
      <c r="BG364" s="135">
        <v>367.83923717845465</v>
      </c>
      <c r="BH364" s="135">
        <v>406.63601065657241</v>
      </c>
      <c r="BI364" s="49">
        <v>2163.2703934566093</v>
      </c>
      <c r="BJ364" s="49">
        <v>774.47524783502706</v>
      </c>
      <c r="BK364" s="66">
        <v>-4.2338484953852284E-2</v>
      </c>
      <c r="BL364" s="66">
        <v>-9.5409094279364948E-2</v>
      </c>
      <c r="BM364" s="51">
        <v>33.027028907734497</v>
      </c>
      <c r="BN364" s="51">
        <v>11.82404958526759</v>
      </c>
      <c r="BO364" s="136"/>
      <c r="BP364" s="40"/>
      <c r="BQ364" s="40"/>
      <c r="BR364" s="67"/>
      <c r="BS364" s="54" t="s">
        <v>110</v>
      </c>
      <c r="BT364" s="68"/>
      <c r="BU364" s="69"/>
      <c r="BV364" s="3"/>
      <c r="BW364" s="3"/>
      <c r="BX364" s="70"/>
      <c r="BY364" s="70"/>
      <c r="BZ364" s="59"/>
      <c r="CA364" s="59"/>
      <c r="CB364" s="59" t="s">
        <v>110</v>
      </c>
      <c r="CC364" s="59" t="s">
        <v>110</v>
      </c>
      <c r="CD364" s="60"/>
      <c r="CE364" s="60"/>
      <c r="CF364" s="61"/>
      <c r="CG364" s="61"/>
      <c r="CH364" s="61"/>
      <c r="CI364" s="138">
        <v>14.4</v>
      </c>
      <c r="CJ364" s="40">
        <f>VLOOKUP(paper3[[#This Row],[YYIR nivå]],$DB:$DC,2)</f>
        <v>600</v>
      </c>
      <c r="CK364" s="3"/>
      <c r="CL364" s="62"/>
      <c r="CM364" s="62"/>
      <c r="CN364" s="3"/>
      <c r="CO364" s="3"/>
      <c r="CP364" s="41">
        <v>15.105555555555556</v>
      </c>
      <c r="CQ364" s="3"/>
      <c r="CR364" s="40" t="s">
        <v>110</v>
      </c>
      <c r="CS364" s="40" t="s">
        <v>110</v>
      </c>
      <c r="CT364" s="40" t="s">
        <v>110</v>
      </c>
      <c r="CU364" s="40"/>
      <c r="CV364" s="40"/>
      <c r="CW364" s="40"/>
      <c r="CX364" s="40"/>
      <c r="CY364" s="40" t="s">
        <v>204</v>
      </c>
      <c r="CZ364" s="40"/>
      <c r="DA364" s="40"/>
    </row>
    <row r="365" spans="1:105" ht="18.75" customHeight="1">
      <c r="A365" s="3">
        <v>823</v>
      </c>
      <c r="B365" s="92" t="s">
        <v>199</v>
      </c>
      <c r="C365" s="143" t="s">
        <v>104</v>
      </c>
      <c r="D365" s="3" t="s">
        <v>105</v>
      </c>
      <c r="E365" s="144">
        <v>45062</v>
      </c>
      <c r="F365" s="3" t="s">
        <v>186</v>
      </c>
      <c r="G365" s="3" t="s">
        <v>107</v>
      </c>
      <c r="H365" s="3">
        <v>2008</v>
      </c>
      <c r="I365" s="40" t="s">
        <v>116</v>
      </c>
      <c r="J365" s="39" t="str">
        <f>paper3[[#This Row],[sex]]&amp;paper3[[#This Row],[ageg]]</f>
        <v>girlsU16</v>
      </c>
      <c r="K365" s="3">
        <v>172.5</v>
      </c>
      <c r="L365" s="3">
        <v>172.5</v>
      </c>
      <c r="M365" s="3"/>
      <c r="N365" s="3">
        <v>161.9</v>
      </c>
      <c r="O365" s="3">
        <v>161.9</v>
      </c>
      <c r="P365" s="3"/>
      <c r="Q365" s="3">
        <v>69.5</v>
      </c>
      <c r="R365" s="3"/>
      <c r="S365" s="3"/>
      <c r="T365" s="125">
        <v>172.5</v>
      </c>
      <c r="U365" s="126">
        <v>91.7</v>
      </c>
      <c r="V365" s="12">
        <f>paper3[[#This Row],[height]]-paper3[[#This Row],[sittingheight]]</f>
        <v>80.8</v>
      </c>
      <c r="W365" s="127">
        <v>69.5</v>
      </c>
      <c r="X365" s="43" cm="1">
        <f t="array" ref="X365">INDEX([1]!phvny[yphv], MATCH(1, (paper3[[#This Row],[id]]=[1]!phvny[id])*(paper3[[#This Row],[time]]=[1]!phvny[time]), 0))</f>
        <v>3.1901120580024172</v>
      </c>
      <c r="Y365" s="3">
        <v>1.9670000000000001</v>
      </c>
      <c r="Z365" s="3">
        <v>3.694</v>
      </c>
      <c r="AA365" s="3">
        <v>5.3680000000000003</v>
      </c>
      <c r="AB365" s="3">
        <v>2.0369999999999999</v>
      </c>
      <c r="AC365" s="3">
        <v>3.83</v>
      </c>
      <c r="AD365" s="3">
        <v>5.585</v>
      </c>
      <c r="AE365" s="3">
        <v>2.0339999999999998</v>
      </c>
      <c r="AF365" s="3">
        <v>3.794</v>
      </c>
      <c r="AG365" s="3">
        <v>5.5149999999999997</v>
      </c>
      <c r="AH365" s="130">
        <v>2.177</v>
      </c>
      <c r="AI365" s="130">
        <v>3.8740000000000001</v>
      </c>
      <c r="AJ365" s="130">
        <v>5.5780000000000003</v>
      </c>
      <c r="AK365" s="45">
        <v>5.8685446009389661</v>
      </c>
      <c r="AL365" s="3">
        <v>11.53</v>
      </c>
      <c r="AM365" s="3">
        <v>11.44</v>
      </c>
      <c r="AN365" s="3">
        <v>11.17</v>
      </c>
      <c r="AO365" s="3">
        <v>11.21</v>
      </c>
      <c r="AP365" s="137">
        <v>12.04</v>
      </c>
      <c r="AQ365" s="132">
        <v>11.44</v>
      </c>
      <c r="AR365" s="132">
        <v>11.17</v>
      </c>
      <c r="AS365" s="3">
        <v>23.1</v>
      </c>
      <c r="AT365" s="3">
        <v>26.8</v>
      </c>
      <c r="AU365" s="3">
        <v>26.4</v>
      </c>
      <c r="AV365" s="3"/>
      <c r="AW365" s="3"/>
      <c r="AX365" s="133">
        <v>29.76</v>
      </c>
      <c r="AY365" s="134"/>
      <c r="AZ365" s="40"/>
      <c r="BA365" s="40"/>
      <c r="BB365" s="40"/>
      <c r="BC365" s="40"/>
      <c r="BD365" s="135" t="s">
        <v>110</v>
      </c>
      <c r="BE365" s="135" t="s">
        <v>110</v>
      </c>
      <c r="BF365" s="40"/>
      <c r="BG365" s="135" t="s">
        <v>110</v>
      </c>
      <c r="BH365" s="135" t="s">
        <v>110</v>
      </c>
      <c r="BI365" s="49"/>
      <c r="BJ365" s="49"/>
      <c r="BK365" s="66"/>
      <c r="BL365" s="66"/>
      <c r="BM365" s="51"/>
      <c r="BN365" s="51"/>
      <c r="BO365" s="136"/>
      <c r="BP365" s="40"/>
      <c r="BQ365" s="40"/>
      <c r="BR365" s="67"/>
      <c r="BS365" s="54" t="s">
        <v>110</v>
      </c>
      <c r="BT365" s="68"/>
      <c r="BU365" s="69"/>
      <c r="BV365" s="3"/>
      <c r="BW365" s="3"/>
      <c r="BX365" s="70"/>
      <c r="BY365" s="70"/>
      <c r="BZ365" s="59"/>
      <c r="CA365" s="59"/>
      <c r="CB365" s="59" t="s">
        <v>110</v>
      </c>
      <c r="CC365" s="59" t="s">
        <v>110</v>
      </c>
      <c r="CD365" s="60"/>
      <c r="CE365" s="60"/>
      <c r="CF365" s="61"/>
      <c r="CG365" s="61"/>
      <c r="CH365" s="61"/>
      <c r="CI365" s="138">
        <v>13.4</v>
      </c>
      <c r="CJ365" s="40">
        <f>VLOOKUP(paper3[[#This Row],[YYIR nivå]],$DB:$DC,2)</f>
        <v>440</v>
      </c>
      <c r="CK365" s="3"/>
      <c r="CL365" s="62"/>
      <c r="CM365" s="62"/>
      <c r="CN365" s="3"/>
      <c r="CO365" s="3"/>
      <c r="CP365" s="41">
        <v>15.269444444444444</v>
      </c>
      <c r="CQ365" s="3"/>
      <c r="CR365" s="40" t="s">
        <v>110</v>
      </c>
      <c r="CS365" s="40" t="s">
        <v>110</v>
      </c>
      <c r="CT365" s="40" t="s">
        <v>110</v>
      </c>
      <c r="CU365" s="40"/>
      <c r="CV365" s="40"/>
      <c r="CW365" s="40"/>
      <c r="CX365" s="40"/>
      <c r="CY365" s="40" t="s">
        <v>204</v>
      </c>
      <c r="CZ365" s="40"/>
      <c r="DA365" s="40"/>
    </row>
    <row r="366" spans="1:105" ht="18.75">
      <c r="A366" s="3">
        <v>824</v>
      </c>
      <c r="B366" s="92" t="s">
        <v>199</v>
      </c>
      <c r="C366" s="143"/>
      <c r="D366" s="3" t="s">
        <v>105</v>
      </c>
      <c r="E366" s="144">
        <v>45062</v>
      </c>
      <c r="F366" s="3" t="s">
        <v>186</v>
      </c>
      <c r="G366" s="3" t="s">
        <v>107</v>
      </c>
      <c r="H366" s="3">
        <v>2008</v>
      </c>
      <c r="I366" s="40" t="s">
        <v>116</v>
      </c>
      <c r="J366" s="39" t="str">
        <f>paper3[[#This Row],[sex]]&amp;paper3[[#This Row],[ageg]]</f>
        <v>girlsU16</v>
      </c>
      <c r="K366" s="3"/>
      <c r="L366" s="3"/>
      <c r="M366" s="3"/>
      <c r="N366" s="3"/>
      <c r="O366" s="3"/>
      <c r="P366" s="3"/>
      <c r="Q366" s="3"/>
      <c r="R366" s="3"/>
      <c r="S366" s="3"/>
      <c r="T366" s="125"/>
      <c r="U366" s="126"/>
      <c r="V366" s="12"/>
      <c r="W366" s="127"/>
      <c r="X366" s="43"/>
      <c r="Y366" s="3"/>
      <c r="Z366" s="3"/>
      <c r="AA366" s="3"/>
      <c r="AB366" s="3"/>
      <c r="AC366" s="3"/>
      <c r="AD366" s="3"/>
      <c r="AE366" s="3"/>
      <c r="AF366" s="3"/>
      <c r="AG366" s="3"/>
      <c r="AH366" s="133"/>
      <c r="AI366" s="133"/>
      <c r="AJ366" s="133"/>
      <c r="AK366" s="45"/>
      <c r="AL366" s="3">
        <v>10.68</v>
      </c>
      <c r="AM366" s="3">
        <v>11.04</v>
      </c>
      <c r="AN366" s="3">
        <v>11.18</v>
      </c>
      <c r="AO366" s="3"/>
      <c r="AP366" s="137">
        <v>11.549999999999999</v>
      </c>
      <c r="AQ366" s="132">
        <v>10.68</v>
      </c>
      <c r="AR366" s="132">
        <v>11.18</v>
      </c>
      <c r="AS366" s="3"/>
      <c r="AT366" s="3"/>
      <c r="AU366" s="3"/>
      <c r="AV366" s="3"/>
      <c r="AW366" s="3"/>
      <c r="AX366" s="133"/>
      <c r="AY366" s="134"/>
      <c r="AZ366" s="40"/>
      <c r="BA366" s="40"/>
      <c r="BB366" s="40"/>
      <c r="BC366" s="40"/>
      <c r="BD366" s="135" t="s">
        <v>110</v>
      </c>
      <c r="BE366" s="135" t="s">
        <v>110</v>
      </c>
      <c r="BF366" s="40"/>
      <c r="BG366" s="135" t="s">
        <v>110</v>
      </c>
      <c r="BH366" s="135" t="s">
        <v>110</v>
      </c>
      <c r="BI366" s="49"/>
      <c r="BJ366" s="49"/>
      <c r="BK366" s="66"/>
      <c r="BL366" s="66"/>
      <c r="BM366" s="51"/>
      <c r="BN366" s="51"/>
      <c r="BO366" s="136"/>
      <c r="BP366" s="40"/>
      <c r="BQ366" s="40"/>
      <c r="BR366" s="67"/>
      <c r="BS366" s="54" t="s">
        <v>110</v>
      </c>
      <c r="BT366" s="68"/>
      <c r="BU366" s="69"/>
      <c r="BV366" s="3"/>
      <c r="BW366" s="3"/>
      <c r="BX366" s="70"/>
      <c r="BY366" s="70"/>
      <c r="BZ366" s="59"/>
      <c r="CA366" s="59"/>
      <c r="CB366" s="59" t="s">
        <v>110</v>
      </c>
      <c r="CC366" s="59" t="s">
        <v>110</v>
      </c>
      <c r="CD366" s="60"/>
      <c r="CE366" s="60"/>
      <c r="CF366" s="61"/>
      <c r="CG366" s="61"/>
      <c r="CH366" s="61"/>
      <c r="CI366" s="138">
        <v>14.2</v>
      </c>
      <c r="CJ366" s="40">
        <f>VLOOKUP(paper3[[#This Row],[YYIR nivå]],$DB:$DC,2)</f>
        <v>520</v>
      </c>
      <c r="CK366" s="3"/>
      <c r="CL366" s="62"/>
      <c r="CM366" s="62"/>
      <c r="CN366" s="3"/>
      <c r="CO366" s="3"/>
      <c r="CP366" s="41"/>
      <c r="CQ366" s="3"/>
      <c r="CR366" s="40" t="s">
        <v>110</v>
      </c>
      <c r="CS366" s="40" t="s">
        <v>110</v>
      </c>
      <c r="CT366" s="40" t="s">
        <v>110</v>
      </c>
      <c r="CU366" s="40"/>
      <c r="CV366" s="40"/>
      <c r="CW366" s="40"/>
      <c r="CX366" s="40"/>
      <c r="CY366" s="40" t="s">
        <v>110</v>
      </c>
      <c r="CZ366" s="40"/>
      <c r="DA366" s="40"/>
    </row>
    <row r="367" spans="1:105" ht="18.75" customHeight="1">
      <c r="A367" s="3">
        <v>825</v>
      </c>
      <c r="B367" s="92" t="s">
        <v>199</v>
      </c>
      <c r="C367" s="143" t="s">
        <v>104</v>
      </c>
      <c r="D367" s="3" t="s">
        <v>105</v>
      </c>
      <c r="E367" s="144">
        <v>45062</v>
      </c>
      <c r="F367" s="3" t="s">
        <v>186</v>
      </c>
      <c r="G367" s="3" t="s">
        <v>107</v>
      </c>
      <c r="H367" s="3">
        <v>2008</v>
      </c>
      <c r="I367" s="40" t="s">
        <v>116</v>
      </c>
      <c r="J367" s="39" t="str">
        <f>paper3[[#This Row],[sex]]&amp;paper3[[#This Row],[ageg]]</f>
        <v>girlsU16</v>
      </c>
      <c r="K367" s="3">
        <v>169</v>
      </c>
      <c r="L367" s="3">
        <v>169</v>
      </c>
      <c r="M367" s="3"/>
      <c r="N367" s="3">
        <v>160.5</v>
      </c>
      <c r="O367" s="3">
        <v>160.5</v>
      </c>
      <c r="P367" s="3"/>
      <c r="Q367" s="3">
        <v>64</v>
      </c>
      <c r="R367" s="3"/>
      <c r="S367" s="3"/>
      <c r="T367" s="125">
        <v>169</v>
      </c>
      <c r="U367" s="126">
        <v>90.3</v>
      </c>
      <c r="V367" s="12">
        <f>paper3[[#This Row],[height]]-paper3[[#This Row],[sittingheight]]</f>
        <v>78.7</v>
      </c>
      <c r="W367" s="127">
        <v>64</v>
      </c>
      <c r="X367" s="43" cm="1">
        <f t="array" ref="X367">INDEX([1]!phvny[yphv], MATCH(1, (paper3[[#This Row],[id]]=[1]!phvny[id])*(paper3[[#This Row],[time]]=[1]!phvny[time]), 0))</f>
        <v>2.8215292455092036</v>
      </c>
      <c r="Y367" s="3">
        <v>2.0379999999999998</v>
      </c>
      <c r="Z367" s="3">
        <v>3.5859999999999999</v>
      </c>
      <c r="AA367" s="3">
        <v>5.0860000000000003</v>
      </c>
      <c r="AB367" s="3">
        <v>1.988</v>
      </c>
      <c r="AC367" s="3">
        <v>3.605</v>
      </c>
      <c r="AD367" s="3">
        <v>5.141</v>
      </c>
      <c r="AE367" s="3">
        <v>1.9279999999999999</v>
      </c>
      <c r="AF367" s="3">
        <v>3.4950000000000001</v>
      </c>
      <c r="AG367" s="3">
        <v>4.9950000000000001</v>
      </c>
      <c r="AH367" s="130">
        <v>2.1379999999999999</v>
      </c>
      <c r="AI367" s="130">
        <v>3.6750000000000003</v>
      </c>
      <c r="AJ367" s="130">
        <v>5.2050000000000001</v>
      </c>
      <c r="AK367" s="45">
        <v>6.5359477124183014</v>
      </c>
      <c r="AL367" s="3"/>
      <c r="AM367" s="3">
        <v>10.89</v>
      </c>
      <c r="AN367" s="3">
        <v>10.17</v>
      </c>
      <c r="AO367" s="3">
        <v>11.17</v>
      </c>
      <c r="AP367" s="137">
        <v>11.04</v>
      </c>
      <c r="AQ367" s="132">
        <v>10.89</v>
      </c>
      <c r="AR367" s="132">
        <v>10.17</v>
      </c>
      <c r="AS367" s="3">
        <v>21.2</v>
      </c>
      <c r="AT367" s="3">
        <v>21.7</v>
      </c>
      <c r="AU367" s="3">
        <v>23.7</v>
      </c>
      <c r="AV367" s="3"/>
      <c r="AW367" s="3"/>
      <c r="AX367" s="133">
        <v>26.66</v>
      </c>
      <c r="AY367" s="134"/>
      <c r="AZ367" s="40"/>
      <c r="BA367" s="40"/>
      <c r="BB367" s="40"/>
      <c r="BC367" s="40"/>
      <c r="BD367" s="135">
        <v>1038.4190230733577</v>
      </c>
      <c r="BE367" s="135">
        <v>1019.938460155822</v>
      </c>
      <c r="BF367" s="40"/>
      <c r="BG367" s="135">
        <v>432.96538814157054</v>
      </c>
      <c r="BH367" s="135">
        <v>417.66791809747536</v>
      </c>
      <c r="BI367" s="49">
        <v>2058.3574832291797</v>
      </c>
      <c r="BJ367" s="49">
        <v>850.63330623904585</v>
      </c>
      <c r="BK367" s="66">
        <v>1.8119292133284448E-2</v>
      </c>
      <c r="BL367" s="66">
        <v>3.662591590413955E-2</v>
      </c>
      <c r="BM367" s="51">
        <v>32.161835675455933</v>
      </c>
      <c r="BN367" s="51">
        <v>13.291145409985091</v>
      </c>
      <c r="BO367" s="136"/>
      <c r="BP367" s="40"/>
      <c r="BQ367" s="40"/>
      <c r="BR367" s="67"/>
      <c r="BS367" s="54" t="s">
        <v>110</v>
      </c>
      <c r="BT367" s="68"/>
      <c r="BU367" s="69"/>
      <c r="BV367" s="3"/>
      <c r="BW367" s="3"/>
      <c r="BX367" s="70"/>
      <c r="BY367" s="70"/>
      <c r="BZ367" s="59"/>
      <c r="CA367" s="59"/>
      <c r="CB367" s="59" t="s">
        <v>110</v>
      </c>
      <c r="CC367" s="59" t="s">
        <v>110</v>
      </c>
      <c r="CD367" s="60"/>
      <c r="CE367" s="60"/>
      <c r="CF367" s="61"/>
      <c r="CG367" s="61"/>
      <c r="CH367" s="61"/>
      <c r="CI367" s="138">
        <v>14.7</v>
      </c>
      <c r="CJ367" s="40">
        <f>VLOOKUP(paper3[[#This Row],[YYIR nivå]],$DB:$DC,2)</f>
        <v>720</v>
      </c>
      <c r="CK367" s="3"/>
      <c r="CL367" s="62"/>
      <c r="CM367" s="62"/>
      <c r="CN367" s="3"/>
      <c r="CO367" s="3"/>
      <c r="CP367" s="41">
        <v>14.980555555555556</v>
      </c>
      <c r="CQ367" s="3"/>
      <c r="CR367" s="40" t="s">
        <v>110</v>
      </c>
      <c r="CS367" s="40" t="s">
        <v>110</v>
      </c>
      <c r="CT367" s="40" t="s">
        <v>110</v>
      </c>
      <c r="CU367" s="40"/>
      <c r="CV367" s="40"/>
      <c r="CW367" s="40"/>
      <c r="CX367" s="40"/>
      <c r="CY367" s="40" t="s">
        <v>206</v>
      </c>
      <c r="CZ367" s="40"/>
      <c r="DA367" s="40"/>
    </row>
    <row r="368" spans="1:105" ht="18.75" customHeight="1">
      <c r="A368" s="3">
        <v>827</v>
      </c>
      <c r="B368" s="92" t="s">
        <v>199</v>
      </c>
      <c r="C368" s="143" t="s">
        <v>104</v>
      </c>
      <c r="D368" s="3" t="s">
        <v>105</v>
      </c>
      <c r="E368" s="144">
        <v>45062</v>
      </c>
      <c r="F368" s="3" t="s">
        <v>186</v>
      </c>
      <c r="G368" s="3" t="s">
        <v>107</v>
      </c>
      <c r="H368" s="3">
        <v>2008</v>
      </c>
      <c r="I368" s="40" t="s">
        <v>116</v>
      </c>
      <c r="J368" s="39" t="str">
        <f>paper3[[#This Row],[sex]]&amp;paper3[[#This Row],[ageg]]</f>
        <v>girlsU16</v>
      </c>
      <c r="K368" s="3">
        <v>170.2</v>
      </c>
      <c r="L368" s="3">
        <v>170.3</v>
      </c>
      <c r="M368" s="3"/>
      <c r="N368" s="3">
        <v>159.4</v>
      </c>
      <c r="O368" s="3">
        <v>159.4</v>
      </c>
      <c r="P368" s="3"/>
      <c r="Q368" s="3">
        <v>61.7</v>
      </c>
      <c r="R368" s="3"/>
      <c r="S368" s="3"/>
      <c r="T368" s="125">
        <v>170.25</v>
      </c>
      <c r="U368" s="126">
        <v>89.2</v>
      </c>
      <c r="V368" s="12">
        <f>paper3[[#This Row],[height]]-paper3[[#This Row],[sittingheight]]</f>
        <v>81.05</v>
      </c>
      <c r="W368" s="127">
        <v>61.7</v>
      </c>
      <c r="X368" s="43" cm="1">
        <f t="array" ref="X368">INDEX([1]!phvny[yphv], MATCH(1, (paper3[[#This Row],[id]]=[1]!phvny[id])*(paper3[[#This Row],[time]]=[1]!phvny[time]), 0))</f>
        <v>2.9705911725310816</v>
      </c>
      <c r="Y368" s="3">
        <v>1.905</v>
      </c>
      <c r="Z368" s="3">
        <v>3.552</v>
      </c>
      <c r="AA368" s="3">
        <v>5.1529999999999996</v>
      </c>
      <c r="AB368" s="3">
        <v>1.9319999999999999</v>
      </c>
      <c r="AC368" s="3">
        <v>3.5670000000000002</v>
      </c>
      <c r="AD368" s="3">
        <v>5.149</v>
      </c>
      <c r="AE368" s="3">
        <v>1.91</v>
      </c>
      <c r="AF368" s="3">
        <v>3.536</v>
      </c>
      <c r="AG368" s="3">
        <v>5.1210000000000004</v>
      </c>
      <c r="AH368" s="130">
        <v>2.1150000000000002</v>
      </c>
      <c r="AI368" s="130">
        <v>3.7160000000000002</v>
      </c>
      <c r="AJ368" s="130">
        <v>5.3310000000000004</v>
      </c>
      <c r="AK368" s="45">
        <v>6.1919504643962844</v>
      </c>
      <c r="AL368" s="3"/>
      <c r="AM368" s="3"/>
      <c r="AN368" s="3"/>
      <c r="AO368" s="3"/>
      <c r="AP368" s="137"/>
      <c r="AQ368" s="132"/>
      <c r="AR368" s="132"/>
      <c r="AS368" s="3">
        <v>22.9</v>
      </c>
      <c r="AT368" s="3">
        <v>22.2</v>
      </c>
      <c r="AU368" s="3">
        <v>21.9</v>
      </c>
      <c r="AV368" s="3"/>
      <c r="AW368" s="3"/>
      <c r="AX368" s="133">
        <v>25.86</v>
      </c>
      <c r="AY368" s="134"/>
      <c r="AZ368" s="40"/>
      <c r="BA368" s="40"/>
      <c r="BB368" s="40"/>
      <c r="BC368" s="40"/>
      <c r="BD368" s="135" t="s">
        <v>110</v>
      </c>
      <c r="BE368" s="135" t="s">
        <v>110</v>
      </c>
      <c r="BF368" s="40"/>
      <c r="BG368" s="135" t="s">
        <v>110</v>
      </c>
      <c r="BH368" s="135" t="s">
        <v>110</v>
      </c>
      <c r="BI368" s="49"/>
      <c r="BJ368" s="49"/>
      <c r="BK368" s="66"/>
      <c r="BL368" s="66"/>
      <c r="BM368" s="51"/>
      <c r="BN368" s="51"/>
      <c r="BO368" s="136"/>
      <c r="BP368" s="40"/>
      <c r="BQ368" s="40"/>
      <c r="BR368" s="67"/>
      <c r="BS368" s="54" t="s">
        <v>110</v>
      </c>
      <c r="BT368" s="68"/>
      <c r="BU368" s="69"/>
      <c r="BV368" s="3"/>
      <c r="BW368" s="3"/>
      <c r="BX368" s="70"/>
      <c r="BY368" s="70"/>
      <c r="BZ368" s="59"/>
      <c r="CA368" s="59"/>
      <c r="CB368" s="59" t="s">
        <v>110</v>
      </c>
      <c r="CC368" s="59" t="s">
        <v>110</v>
      </c>
      <c r="CD368" s="60"/>
      <c r="CE368" s="60"/>
      <c r="CF368" s="61"/>
      <c r="CG368" s="61"/>
      <c r="CH368" s="61"/>
      <c r="CI368" s="138"/>
      <c r="CJ368" s="40"/>
      <c r="CK368" s="3"/>
      <c r="CL368" s="62"/>
      <c r="CM368" s="62"/>
      <c r="CN368" s="3"/>
      <c r="CO368" s="3"/>
      <c r="CP368" s="41">
        <v>15.313888888888888</v>
      </c>
      <c r="CQ368" s="3"/>
      <c r="CR368" s="40" t="s">
        <v>110</v>
      </c>
      <c r="CS368" s="40" t="s">
        <v>110</v>
      </c>
      <c r="CT368" s="40" t="s">
        <v>110</v>
      </c>
      <c r="CU368" s="40"/>
      <c r="CV368" s="40"/>
      <c r="CW368" s="40"/>
      <c r="CX368" s="40"/>
      <c r="CY368" s="40" t="s">
        <v>125</v>
      </c>
      <c r="CZ368" s="40"/>
      <c r="DA368" s="40"/>
    </row>
    <row r="369" spans="1:105" ht="18.75">
      <c r="A369" s="3">
        <v>828</v>
      </c>
      <c r="B369" s="92" t="s">
        <v>199</v>
      </c>
      <c r="C369" s="143"/>
      <c r="D369" s="3" t="s">
        <v>105</v>
      </c>
      <c r="E369" s="144">
        <v>45062</v>
      </c>
      <c r="F369" s="3" t="s">
        <v>186</v>
      </c>
      <c r="G369" s="3" t="s">
        <v>107</v>
      </c>
      <c r="H369" s="3">
        <v>2008</v>
      </c>
      <c r="I369" s="40" t="s">
        <v>116</v>
      </c>
      <c r="J369" s="39" t="str">
        <f>paper3[[#This Row],[sex]]&amp;paper3[[#This Row],[ageg]]</f>
        <v>girlsU16</v>
      </c>
      <c r="K369" s="3"/>
      <c r="L369" s="3"/>
      <c r="M369" s="3"/>
      <c r="N369" s="3"/>
      <c r="O369" s="3"/>
      <c r="P369" s="3"/>
      <c r="Q369" s="3"/>
      <c r="R369" s="3"/>
      <c r="S369" s="3"/>
      <c r="T369" s="125"/>
      <c r="U369" s="126"/>
      <c r="V369" s="12"/>
      <c r="W369" s="127"/>
      <c r="X369" s="43"/>
      <c r="Y369" s="3"/>
      <c r="Z369" s="3"/>
      <c r="AA369" s="3"/>
      <c r="AB369" s="3"/>
      <c r="AC369" s="3"/>
      <c r="AD369" s="3"/>
      <c r="AE369" s="3"/>
      <c r="AF369" s="3"/>
      <c r="AG369" s="3"/>
      <c r="AH369" s="133"/>
      <c r="AI369" s="133"/>
      <c r="AJ369" s="133"/>
      <c r="AK369" s="45"/>
      <c r="AL369" s="3">
        <v>11.2</v>
      </c>
      <c r="AM369" s="3">
        <v>11.29</v>
      </c>
      <c r="AN369" s="3"/>
      <c r="AO369" s="3">
        <v>11.16</v>
      </c>
      <c r="AP369" s="137">
        <v>12.03</v>
      </c>
      <c r="AQ369" s="132">
        <v>11.2</v>
      </c>
      <c r="AR369" s="132">
        <v>11.16</v>
      </c>
      <c r="AS369" s="3"/>
      <c r="AT369" s="3"/>
      <c r="AU369" s="3"/>
      <c r="AV369" s="3"/>
      <c r="AW369" s="3"/>
      <c r="AX369" s="133"/>
      <c r="AY369" s="134"/>
      <c r="AZ369" s="40"/>
      <c r="BA369" s="40"/>
      <c r="BB369" s="40"/>
      <c r="BC369" s="40"/>
      <c r="BD369" s="135" t="s">
        <v>110</v>
      </c>
      <c r="BE369" s="135" t="s">
        <v>110</v>
      </c>
      <c r="BF369" s="40"/>
      <c r="BG369" s="135" t="s">
        <v>110</v>
      </c>
      <c r="BH369" s="135" t="s">
        <v>110</v>
      </c>
      <c r="BI369" s="49"/>
      <c r="BJ369" s="49"/>
      <c r="BK369" s="66"/>
      <c r="BL369" s="66"/>
      <c r="BM369" s="51"/>
      <c r="BN369" s="51"/>
      <c r="BO369" s="136"/>
      <c r="BP369" s="40"/>
      <c r="BQ369" s="40"/>
      <c r="BR369" s="67"/>
      <c r="BS369" s="54" t="s">
        <v>110</v>
      </c>
      <c r="BT369" s="68"/>
      <c r="BU369" s="69"/>
      <c r="BV369" s="3"/>
      <c r="BW369" s="3"/>
      <c r="BX369" s="70"/>
      <c r="BY369" s="70"/>
      <c r="BZ369" s="59"/>
      <c r="CA369" s="59"/>
      <c r="CB369" s="59" t="s">
        <v>110</v>
      </c>
      <c r="CC369" s="59" t="s">
        <v>110</v>
      </c>
      <c r="CD369" s="60"/>
      <c r="CE369" s="60"/>
      <c r="CF369" s="61"/>
      <c r="CG369" s="61"/>
      <c r="CH369" s="61"/>
      <c r="CI369" s="138">
        <v>14.5</v>
      </c>
      <c r="CJ369" s="40">
        <f>VLOOKUP(paper3[[#This Row],[YYIR nivå]],$DB:$DC,2)</f>
        <v>640</v>
      </c>
      <c r="CK369" s="3"/>
      <c r="CL369" s="62"/>
      <c r="CM369" s="62"/>
      <c r="CN369" s="3"/>
      <c r="CO369" s="3"/>
      <c r="CP369" s="41">
        <v>15.136111111111111</v>
      </c>
      <c r="CQ369" s="3"/>
      <c r="CR369" s="40" t="s">
        <v>110</v>
      </c>
      <c r="CS369" s="40" t="s">
        <v>110</v>
      </c>
      <c r="CT369" s="40" t="s">
        <v>110</v>
      </c>
      <c r="CU369" s="40"/>
      <c r="CV369" s="40"/>
      <c r="CW369" s="40"/>
      <c r="CX369" s="40"/>
      <c r="CY369" s="40" t="s">
        <v>110</v>
      </c>
      <c r="CZ369" s="40"/>
      <c r="DA369" s="40"/>
    </row>
    <row r="370" spans="1:105" ht="18.75" customHeight="1">
      <c r="A370" s="3">
        <v>829</v>
      </c>
      <c r="B370" s="92" t="s">
        <v>199</v>
      </c>
      <c r="C370" s="143" t="s">
        <v>104</v>
      </c>
      <c r="D370" s="3" t="s">
        <v>105</v>
      </c>
      <c r="E370" s="144">
        <v>45062</v>
      </c>
      <c r="F370" s="3" t="s">
        <v>186</v>
      </c>
      <c r="G370" s="3" t="s">
        <v>107</v>
      </c>
      <c r="H370" s="3">
        <v>2008</v>
      </c>
      <c r="I370" s="40" t="s">
        <v>116</v>
      </c>
      <c r="J370" s="39" t="str">
        <f>paper3[[#This Row],[sex]]&amp;paper3[[#This Row],[ageg]]</f>
        <v>girlsU16</v>
      </c>
      <c r="K370" s="3">
        <v>179</v>
      </c>
      <c r="L370" s="3">
        <v>179</v>
      </c>
      <c r="M370" s="3"/>
      <c r="N370" s="3">
        <v>165.6</v>
      </c>
      <c r="O370" s="3">
        <v>165.6</v>
      </c>
      <c r="P370" s="3"/>
      <c r="Q370" s="3">
        <v>74.3</v>
      </c>
      <c r="R370" s="3"/>
      <c r="S370" s="3"/>
      <c r="T370" s="125">
        <v>179</v>
      </c>
      <c r="U370" s="126">
        <v>95.399999999999991</v>
      </c>
      <c r="V370" s="12">
        <f>paper3[[#This Row],[height]]-paper3[[#This Row],[sittingheight]]</f>
        <v>83.600000000000009</v>
      </c>
      <c r="W370" s="127">
        <v>74.3</v>
      </c>
      <c r="X370" s="43" cm="1">
        <f t="array" ref="X370">INDEX([1]!phvny[yphv], MATCH(1, (paper3[[#This Row],[id]]=[1]!phvny[id])*(paper3[[#This Row],[time]]=[1]!phvny[time]), 0))</f>
        <v>3.2496419839155792</v>
      </c>
      <c r="Y370" s="3">
        <v>2.0070000000000001</v>
      </c>
      <c r="Z370" s="3">
        <v>3.5710000000000002</v>
      </c>
      <c r="AA370" s="3">
        <v>5.0549999999999997</v>
      </c>
      <c r="AB370" s="3">
        <v>1.9990000000000001</v>
      </c>
      <c r="AC370" s="3">
        <v>3.5649999999999999</v>
      </c>
      <c r="AD370" s="3">
        <v>3.056</v>
      </c>
      <c r="AE370" s="3">
        <v>2.04</v>
      </c>
      <c r="AF370" s="3">
        <v>3.6379999999999999</v>
      </c>
      <c r="AG370" s="3">
        <v>5.1310000000000002</v>
      </c>
      <c r="AH370" s="130">
        <v>2.2090000000000001</v>
      </c>
      <c r="AI370" s="130">
        <v>3.7450000000000001</v>
      </c>
      <c r="AJ370" s="130">
        <v>5.0549999999999997</v>
      </c>
      <c r="AK370" s="45">
        <v>7.633587786259544</v>
      </c>
      <c r="AL370" s="3">
        <v>11.18</v>
      </c>
      <c r="AM370" s="3">
        <v>11.03</v>
      </c>
      <c r="AN370" s="3">
        <v>11.81</v>
      </c>
      <c r="AO370" s="3">
        <v>10.94</v>
      </c>
      <c r="AP370" s="137">
        <v>11.809999999999999</v>
      </c>
      <c r="AQ370" s="132">
        <v>11.03</v>
      </c>
      <c r="AR370" s="132">
        <v>10.94</v>
      </c>
      <c r="AS370" s="3">
        <v>21.2</v>
      </c>
      <c r="AT370" s="3">
        <v>21.6</v>
      </c>
      <c r="AU370" s="3">
        <v>20.3</v>
      </c>
      <c r="AV370" s="3"/>
      <c r="AW370" s="3"/>
      <c r="AX370" s="133">
        <v>24.560000000000002</v>
      </c>
      <c r="AY370" s="134"/>
      <c r="AZ370" s="40"/>
      <c r="BA370" s="40"/>
      <c r="BB370" s="40"/>
      <c r="BC370" s="40"/>
      <c r="BD370" s="135">
        <v>1112.2276590346</v>
      </c>
      <c r="BE370" s="135">
        <v>1136.6499845269307</v>
      </c>
      <c r="BF370" s="40"/>
      <c r="BG370" s="135">
        <v>507.92117658507817</v>
      </c>
      <c r="BH370" s="135">
        <v>489.71129225273501</v>
      </c>
      <c r="BI370" s="49">
        <v>2248.8776435615309</v>
      </c>
      <c r="BJ370" s="49">
        <v>997.63246883781312</v>
      </c>
      <c r="BK370" s="66">
        <v>-2.148623219530077E-2</v>
      </c>
      <c r="BL370" s="66">
        <v>3.7184938596321437E-2</v>
      </c>
      <c r="BM370" s="51">
        <v>30.267532214825451</v>
      </c>
      <c r="BN370" s="51">
        <v>13.427085717870971</v>
      </c>
      <c r="BO370" s="136"/>
      <c r="BP370" s="40"/>
      <c r="BQ370" s="40"/>
      <c r="BR370" s="67"/>
      <c r="BS370" s="54" t="s">
        <v>110</v>
      </c>
      <c r="BT370" s="68"/>
      <c r="BU370" s="69"/>
      <c r="BV370" s="3"/>
      <c r="BW370" s="3"/>
      <c r="BX370" s="70"/>
      <c r="BY370" s="70"/>
      <c r="BZ370" s="59"/>
      <c r="CA370" s="59"/>
      <c r="CB370" s="59" t="s">
        <v>110</v>
      </c>
      <c r="CC370" s="59" t="s">
        <v>110</v>
      </c>
      <c r="CD370" s="60"/>
      <c r="CE370" s="60"/>
      <c r="CF370" s="61"/>
      <c r="CG370" s="61"/>
      <c r="CH370" s="61"/>
      <c r="CI370" s="138">
        <v>15.2</v>
      </c>
      <c r="CJ370" s="40">
        <f>VLOOKUP(paper3[[#This Row],[YYIR nivå]],$DB:$DC,2)</f>
        <v>840</v>
      </c>
      <c r="CK370" s="3"/>
      <c r="CL370" s="62"/>
      <c r="CM370" s="62"/>
      <c r="CN370" s="3"/>
      <c r="CO370" s="3"/>
      <c r="CP370" s="41">
        <v>14.588888888888889</v>
      </c>
      <c r="CQ370" s="3"/>
      <c r="CR370" s="40" t="s">
        <v>110</v>
      </c>
      <c r="CS370" s="40" t="s">
        <v>110</v>
      </c>
      <c r="CT370" s="40" t="s">
        <v>110</v>
      </c>
      <c r="CU370" s="40"/>
      <c r="CV370" s="40"/>
      <c r="CW370" s="40"/>
      <c r="CX370" s="40"/>
      <c r="CY370" s="40" t="s">
        <v>204</v>
      </c>
      <c r="CZ370" s="40"/>
      <c r="DA370" s="40"/>
    </row>
    <row r="371" spans="1:105" ht="18.75" customHeight="1">
      <c r="A371" s="3">
        <v>830</v>
      </c>
      <c r="B371" s="92" t="s">
        <v>199</v>
      </c>
      <c r="C371" s="143" t="s">
        <v>104</v>
      </c>
      <c r="D371" s="3" t="s">
        <v>105</v>
      </c>
      <c r="E371" s="144">
        <v>45062</v>
      </c>
      <c r="F371" s="3" t="s">
        <v>186</v>
      </c>
      <c r="G371" s="3" t="s">
        <v>107</v>
      </c>
      <c r="H371" s="3">
        <v>2008</v>
      </c>
      <c r="I371" s="40" t="s">
        <v>116</v>
      </c>
      <c r="J371" s="39" t="str">
        <f>paper3[[#This Row],[sex]]&amp;paper3[[#This Row],[ageg]]</f>
        <v>girlsU16</v>
      </c>
      <c r="K371" s="3">
        <v>164.2</v>
      </c>
      <c r="L371" s="3">
        <v>164.2</v>
      </c>
      <c r="M371" s="3"/>
      <c r="N371" s="3">
        <v>155.30000000000001</v>
      </c>
      <c r="O371" s="3">
        <v>155.30000000000001</v>
      </c>
      <c r="P371" s="3"/>
      <c r="Q371" s="3">
        <v>57</v>
      </c>
      <c r="R371" s="3"/>
      <c r="S371" s="3"/>
      <c r="T371" s="125">
        <v>164.2</v>
      </c>
      <c r="U371" s="126">
        <v>85.100000000000009</v>
      </c>
      <c r="V371" s="12">
        <f>paper3[[#This Row],[height]]-paper3[[#This Row],[sittingheight]]</f>
        <v>79.09999999999998</v>
      </c>
      <c r="W371" s="127">
        <v>57</v>
      </c>
      <c r="X371" s="43" cm="1">
        <f t="array" ref="X371">INDEX([1]!phvny[yphv], MATCH(1, (paper3[[#This Row],[id]]=[1]!phvny[id])*(paper3[[#This Row],[time]]=[1]!phvny[time]), 0))</f>
        <v>2.539868361434293</v>
      </c>
      <c r="Y371" s="3">
        <v>1.9350000000000001</v>
      </c>
      <c r="Z371" s="3">
        <v>3.536</v>
      </c>
      <c r="AA371" s="3">
        <v>5.0640000000000001</v>
      </c>
      <c r="AB371" s="3">
        <v>2.0270000000000001</v>
      </c>
      <c r="AC371" s="3">
        <v>3.6680000000000001</v>
      </c>
      <c r="AD371" s="3">
        <v>5.2450000000000001</v>
      </c>
      <c r="AE371" s="3">
        <v>1.9870000000000001</v>
      </c>
      <c r="AF371" s="3">
        <v>3.6320000000000001</v>
      </c>
      <c r="AG371" s="3">
        <v>5.2240000000000002</v>
      </c>
      <c r="AH371" s="130">
        <v>2.145</v>
      </c>
      <c r="AI371" s="130">
        <v>3.7160000000000002</v>
      </c>
      <c r="AJ371" s="130">
        <v>5.274</v>
      </c>
      <c r="AK371" s="45">
        <v>6.4184852374839547</v>
      </c>
      <c r="AL371" s="3">
        <v>10.85</v>
      </c>
      <c r="AM371" s="3">
        <v>10.76</v>
      </c>
      <c r="AN371" s="3">
        <v>10.94</v>
      </c>
      <c r="AO371" s="3">
        <v>10.58</v>
      </c>
      <c r="AP371" s="137">
        <v>11.45</v>
      </c>
      <c r="AQ371" s="132">
        <v>10.76</v>
      </c>
      <c r="AR371" s="132">
        <v>10.58</v>
      </c>
      <c r="AS371" s="3">
        <v>18.600000000000001</v>
      </c>
      <c r="AT371" s="3">
        <v>18.2</v>
      </c>
      <c r="AU371" s="3">
        <v>17.600000000000001</v>
      </c>
      <c r="AV371" s="3"/>
      <c r="AW371" s="3"/>
      <c r="AX371" s="133">
        <v>21.560000000000002</v>
      </c>
      <c r="AY371" s="134"/>
      <c r="AZ371" s="40"/>
      <c r="BA371" s="40"/>
      <c r="BB371" s="40"/>
      <c r="BC371" s="40"/>
      <c r="BD371" s="135"/>
      <c r="BE371" s="135"/>
      <c r="BF371" s="40"/>
      <c r="BG371" s="135">
        <v>385.80610773892818</v>
      </c>
      <c r="BH371" s="135">
        <v>333.68955740266426</v>
      </c>
      <c r="BI371" s="49"/>
      <c r="BJ371" s="49">
        <v>719.49566514159244</v>
      </c>
      <c r="BK371" s="66"/>
      <c r="BL371" s="66">
        <v>0.15618274285213762</v>
      </c>
      <c r="BM371" s="51"/>
      <c r="BN371" s="51">
        <v>12.622730967396359</v>
      </c>
      <c r="BO371" s="136"/>
      <c r="BP371" s="40"/>
      <c r="BQ371" s="40"/>
      <c r="BR371" s="67"/>
      <c r="BS371" s="54" t="s">
        <v>110</v>
      </c>
      <c r="BT371" s="68"/>
      <c r="BU371" s="69"/>
      <c r="BV371" s="3"/>
      <c r="BW371" s="3"/>
      <c r="BX371" s="70"/>
      <c r="BY371" s="70"/>
      <c r="BZ371" s="59"/>
      <c r="CA371" s="59"/>
      <c r="CB371" s="59" t="s">
        <v>110</v>
      </c>
      <c r="CC371" s="59" t="s">
        <v>110</v>
      </c>
      <c r="CD371" s="60"/>
      <c r="CE371" s="60"/>
      <c r="CF371" s="61"/>
      <c r="CG371" s="61"/>
      <c r="CH371" s="61"/>
      <c r="CI371" s="138">
        <v>12.2</v>
      </c>
      <c r="CJ371" s="40">
        <f>VLOOKUP(paper3[[#This Row],[YYIR nivå]],$DB:$DC,2)</f>
        <v>240</v>
      </c>
      <c r="CK371" s="3"/>
      <c r="CL371" s="62"/>
      <c r="CM371" s="62"/>
      <c r="CN371" s="3"/>
      <c r="CO371" s="3"/>
      <c r="CP371" s="41">
        <v>15.355555555555556</v>
      </c>
      <c r="CQ371" s="3"/>
      <c r="CR371" s="40" t="s">
        <v>110</v>
      </c>
      <c r="CS371" s="40" t="s">
        <v>110</v>
      </c>
      <c r="CT371" s="40" t="s">
        <v>110</v>
      </c>
      <c r="CU371" s="40"/>
      <c r="CV371" s="40"/>
      <c r="CW371" s="40"/>
      <c r="CX371" s="40"/>
      <c r="CY371" s="40" t="s">
        <v>207</v>
      </c>
      <c r="CZ371" s="40"/>
      <c r="DA371" s="40"/>
    </row>
    <row r="372" spans="1:105" ht="18.75">
      <c r="A372" s="3">
        <v>835</v>
      </c>
      <c r="B372" s="92" t="s">
        <v>199</v>
      </c>
      <c r="C372" s="143" t="s">
        <v>104</v>
      </c>
      <c r="D372" s="3" t="s">
        <v>105</v>
      </c>
      <c r="E372" s="144">
        <v>45076</v>
      </c>
      <c r="F372" s="3" t="s">
        <v>186</v>
      </c>
      <c r="G372" s="3" t="s">
        <v>107</v>
      </c>
      <c r="H372" s="3">
        <v>2010</v>
      </c>
      <c r="I372" s="40" t="s">
        <v>108</v>
      </c>
      <c r="J372" s="39" t="str">
        <f>paper3[[#This Row],[sex]]&amp;paper3[[#This Row],[ageg]]</f>
        <v>girlsU14</v>
      </c>
      <c r="K372" s="3">
        <v>161</v>
      </c>
      <c r="L372" s="3">
        <v>161</v>
      </c>
      <c r="M372" s="3"/>
      <c r="N372" s="3">
        <v>154.9</v>
      </c>
      <c r="O372" s="3">
        <v>154.9</v>
      </c>
      <c r="P372" s="3"/>
      <c r="Q372" s="3">
        <v>53.9</v>
      </c>
      <c r="R372" s="3"/>
      <c r="S372" s="3"/>
      <c r="T372" s="125">
        <v>161</v>
      </c>
      <c r="U372" s="126">
        <v>84.7</v>
      </c>
      <c r="V372" s="12">
        <f>paper3[[#This Row],[height]]-paper3[[#This Row],[sittingheight]]</f>
        <v>76.3</v>
      </c>
      <c r="W372" s="127">
        <v>53.9</v>
      </c>
      <c r="X372" s="43" cm="1">
        <f t="array" ref="X372">INDEX([1]!phvny[yphv], MATCH(1, (paper3[[#This Row],[id]]=[1]!phvny[id])*(paper3[[#This Row],[time]]=[1]!phvny[time]), 0))</f>
        <v>1.1251556759734307</v>
      </c>
      <c r="Y372" s="3">
        <v>2.1419999999999999</v>
      </c>
      <c r="Z372" s="3">
        <v>3.9409999999999998</v>
      </c>
      <c r="AA372" s="3">
        <v>5.7430000000000003</v>
      </c>
      <c r="AB372" s="3">
        <v>2.1680000000000001</v>
      </c>
      <c r="AC372" s="3">
        <v>3.9729999999999999</v>
      </c>
      <c r="AD372" s="3">
        <v>5.8109999999999999</v>
      </c>
      <c r="AE372" s="3">
        <v>2.0699999999999998</v>
      </c>
      <c r="AF372" s="3">
        <v>3.8540000000000001</v>
      </c>
      <c r="AG372" s="3">
        <v>5.6539999999999999</v>
      </c>
      <c r="AH372" s="130">
        <v>2.2799999999999998</v>
      </c>
      <c r="AI372" s="130">
        <v>4.0339999999999998</v>
      </c>
      <c r="AJ372" s="130">
        <v>5.8639999999999999</v>
      </c>
      <c r="AK372" s="45">
        <v>5.4644808743169397</v>
      </c>
      <c r="AL372" s="3">
        <v>13.06</v>
      </c>
      <c r="AM372" s="3">
        <v>14.61</v>
      </c>
      <c r="AN372" s="3">
        <v>13.19</v>
      </c>
      <c r="AO372" s="3">
        <v>12.12</v>
      </c>
      <c r="AP372" s="137">
        <v>12.989999999999998</v>
      </c>
      <c r="AQ372" s="132">
        <v>13.06</v>
      </c>
      <c r="AR372" s="132">
        <v>12.12</v>
      </c>
      <c r="AS372" s="3">
        <v>22.4</v>
      </c>
      <c r="AT372" s="3">
        <v>26.4</v>
      </c>
      <c r="AU372" s="3">
        <v>30.9</v>
      </c>
      <c r="AV372" s="3"/>
      <c r="AW372" s="3"/>
      <c r="AX372" s="133">
        <v>33.86</v>
      </c>
      <c r="AY372" s="134"/>
      <c r="AZ372" s="40"/>
      <c r="BA372" s="40"/>
      <c r="BB372" s="40"/>
      <c r="BC372" s="40"/>
      <c r="BD372" s="135">
        <v>701.98751100351694</v>
      </c>
      <c r="BE372" s="135">
        <v>435.847130983049</v>
      </c>
      <c r="BF372" s="40"/>
      <c r="BG372" s="135">
        <v>256.49125782497521</v>
      </c>
      <c r="BH372" s="135">
        <v>292.60422205066351</v>
      </c>
      <c r="BI372" s="49">
        <v>1137.8346419865659</v>
      </c>
      <c r="BJ372" s="49">
        <v>549.09547987563872</v>
      </c>
      <c r="BK372" s="66">
        <v>0.61062781214181872</v>
      </c>
      <c r="BL372" s="66">
        <v>-0.12341914950029487</v>
      </c>
      <c r="BM372" s="51">
        <v>21.110104675075434</v>
      </c>
      <c r="BN372" s="51">
        <v>10.187300183221497</v>
      </c>
      <c r="BO372" s="136"/>
      <c r="BP372" s="40"/>
      <c r="BQ372" s="40"/>
      <c r="BR372" s="67"/>
      <c r="BS372" s="54" t="s">
        <v>110</v>
      </c>
      <c r="BT372" s="68"/>
      <c r="BU372" s="69"/>
      <c r="BV372" s="3"/>
      <c r="BW372" s="3"/>
      <c r="BX372" s="70"/>
      <c r="BY372" s="70"/>
      <c r="BZ372" s="59"/>
      <c r="CA372" s="59"/>
      <c r="CB372" s="59" t="s">
        <v>110</v>
      </c>
      <c r="CC372" s="59" t="s">
        <v>110</v>
      </c>
      <c r="CD372" s="60"/>
      <c r="CE372" s="60"/>
      <c r="CF372" s="61"/>
      <c r="CG372" s="61"/>
      <c r="CH372" s="61"/>
      <c r="CI372" s="138">
        <v>12.3</v>
      </c>
      <c r="CJ372" s="40">
        <f>VLOOKUP(paper3[[#This Row],[YYIR nivå]],$DB:$DC,2)</f>
        <v>280</v>
      </c>
      <c r="CK372" s="3"/>
      <c r="CL372" s="62"/>
      <c r="CM372" s="62"/>
      <c r="CN372" s="3"/>
      <c r="CO372" s="3"/>
      <c r="CP372" s="41">
        <v>12.919444444444444</v>
      </c>
      <c r="CQ372" s="3"/>
      <c r="CR372" s="40" t="s">
        <v>110</v>
      </c>
      <c r="CS372" s="40" t="s">
        <v>110</v>
      </c>
      <c r="CT372" s="40" t="s">
        <v>110</v>
      </c>
      <c r="CU372" s="40"/>
      <c r="CV372" s="40"/>
      <c r="CW372" s="40"/>
      <c r="CX372" s="40"/>
      <c r="CY372" s="40" t="s">
        <v>204</v>
      </c>
      <c r="CZ372" s="40"/>
      <c r="DA372" s="40"/>
    </row>
    <row r="373" spans="1:105" ht="18.75" customHeight="1">
      <c r="A373" s="3">
        <v>836</v>
      </c>
      <c r="B373" s="92" t="s">
        <v>199</v>
      </c>
      <c r="C373" s="143" t="s">
        <v>104</v>
      </c>
      <c r="D373" s="3" t="s">
        <v>105</v>
      </c>
      <c r="E373" s="144">
        <v>45076</v>
      </c>
      <c r="F373" s="3" t="s">
        <v>186</v>
      </c>
      <c r="G373" s="3" t="s">
        <v>107</v>
      </c>
      <c r="H373" s="3">
        <v>2010</v>
      </c>
      <c r="I373" s="40" t="s">
        <v>108</v>
      </c>
      <c r="J373" s="39" t="str">
        <f>paper3[[#This Row],[sex]]&amp;paper3[[#This Row],[ageg]]</f>
        <v>girlsU14</v>
      </c>
      <c r="K373" s="3">
        <v>152.69999999999999</v>
      </c>
      <c r="L373" s="3">
        <v>152.69999999999999</v>
      </c>
      <c r="M373" s="3"/>
      <c r="N373" s="3">
        <v>147.4</v>
      </c>
      <c r="O373" s="3">
        <v>147.19999999999999</v>
      </c>
      <c r="P373" s="3"/>
      <c r="Q373" s="3">
        <v>41.3</v>
      </c>
      <c r="R373" s="3"/>
      <c r="S373" s="3"/>
      <c r="T373" s="125">
        <v>152.69999999999999</v>
      </c>
      <c r="U373" s="126">
        <v>77.100000000000009</v>
      </c>
      <c r="V373" s="12">
        <f>paper3[[#This Row],[height]]-paper3[[#This Row],[sittingheight]]</f>
        <v>75.59999999999998</v>
      </c>
      <c r="W373" s="127">
        <v>41.3</v>
      </c>
      <c r="X373" s="43" cm="1">
        <f t="array" ref="X373">INDEX([1]!phvny[yphv], MATCH(1, (paper3[[#This Row],[id]]=[1]!phvny[id])*(paper3[[#This Row],[time]]=[1]!phvny[time]), 0))</f>
        <v>0.49114282407760412</v>
      </c>
      <c r="Y373" s="3">
        <v>2.1320000000000001</v>
      </c>
      <c r="Z373" s="3">
        <v>3.7490000000000001</v>
      </c>
      <c r="AA373" s="3">
        <v>5.319</v>
      </c>
      <c r="AB373" s="3">
        <v>2.161</v>
      </c>
      <c r="AC373" s="3">
        <v>3.8140000000000001</v>
      </c>
      <c r="AD373" s="3">
        <v>5.407</v>
      </c>
      <c r="AE373" s="3">
        <v>2.1160000000000001</v>
      </c>
      <c r="AF373" s="3">
        <v>3.7490000000000001</v>
      </c>
      <c r="AG373" s="3">
        <v>5.3259999999999996</v>
      </c>
      <c r="AH373" s="130">
        <v>2.3260000000000001</v>
      </c>
      <c r="AI373" s="130">
        <v>3.9290000000000003</v>
      </c>
      <c r="AJ373" s="130">
        <v>5.5289999999999999</v>
      </c>
      <c r="AK373" s="45">
        <v>6.2500000000000018</v>
      </c>
      <c r="AL373" s="3">
        <v>11.54</v>
      </c>
      <c r="AM373" s="3">
        <v>11.52</v>
      </c>
      <c r="AN373" s="3">
        <v>11.82</v>
      </c>
      <c r="AO373" s="3">
        <v>12.3</v>
      </c>
      <c r="AP373" s="137">
        <v>12.389999999999999</v>
      </c>
      <c r="AQ373" s="132">
        <v>11.52</v>
      </c>
      <c r="AR373" s="132">
        <v>11.82</v>
      </c>
      <c r="AS373" s="3">
        <v>21.3</v>
      </c>
      <c r="AT373" s="3">
        <v>22.3</v>
      </c>
      <c r="AU373" s="3">
        <v>23.4</v>
      </c>
      <c r="AV373" s="3"/>
      <c r="AW373" s="3"/>
      <c r="AX373" s="133">
        <v>26.36</v>
      </c>
      <c r="AY373" s="134"/>
      <c r="AZ373" s="40"/>
      <c r="BA373" s="40"/>
      <c r="BB373" s="40"/>
      <c r="BC373" s="40"/>
      <c r="BD373" s="135"/>
      <c r="BE373" s="135"/>
      <c r="BF373" s="40"/>
      <c r="BG373" s="135">
        <v>208.52399008989354</v>
      </c>
      <c r="BH373" s="135">
        <v>229.42495279543164</v>
      </c>
      <c r="BI373" s="49"/>
      <c r="BJ373" s="49">
        <v>437.94894288532521</v>
      </c>
      <c r="BK373" s="66"/>
      <c r="BL373" s="66">
        <v>-9.1101523399569229E-2</v>
      </c>
      <c r="BM373" s="51"/>
      <c r="BN373" s="51">
        <v>10.604090626763323</v>
      </c>
      <c r="BO373" s="136"/>
      <c r="BP373" s="40"/>
      <c r="BQ373" s="40"/>
      <c r="BR373" s="67"/>
      <c r="BS373" s="54" t="s">
        <v>110</v>
      </c>
      <c r="BT373" s="68"/>
      <c r="BU373" s="69"/>
      <c r="BV373" s="3"/>
      <c r="BW373" s="3"/>
      <c r="BX373" s="70"/>
      <c r="BY373" s="70"/>
      <c r="BZ373" s="59"/>
      <c r="CA373" s="59"/>
      <c r="CB373" s="59" t="s">
        <v>110</v>
      </c>
      <c r="CC373" s="59" t="s">
        <v>110</v>
      </c>
      <c r="CD373" s="60"/>
      <c r="CE373" s="60"/>
      <c r="CF373" s="61"/>
      <c r="CG373" s="61"/>
      <c r="CH373" s="61"/>
      <c r="CI373" s="138">
        <v>14.8</v>
      </c>
      <c r="CJ373" s="40">
        <f>VLOOKUP(paper3[[#This Row],[YYIR nivå]],$DB:$DC,2)</f>
        <v>760</v>
      </c>
      <c r="CK373" s="3"/>
      <c r="CL373" s="62"/>
      <c r="CM373" s="62"/>
      <c r="CN373" s="3"/>
      <c r="CO373" s="3"/>
      <c r="CP373" s="41">
        <v>13.197222222222223</v>
      </c>
      <c r="CQ373" s="3"/>
      <c r="CR373" s="40" t="s">
        <v>110</v>
      </c>
      <c r="CS373" s="40" t="s">
        <v>110</v>
      </c>
      <c r="CT373" s="40" t="s">
        <v>110</v>
      </c>
      <c r="CU373" s="40"/>
      <c r="CV373" s="40"/>
      <c r="CW373" s="40"/>
      <c r="CX373" s="40"/>
      <c r="CY373" s="40" t="s">
        <v>206</v>
      </c>
      <c r="CZ373" s="40"/>
      <c r="DA373" s="40"/>
    </row>
    <row r="374" spans="1:105" ht="18.75" customHeight="1">
      <c r="A374" s="3">
        <v>837</v>
      </c>
      <c r="B374" s="92" t="s">
        <v>199</v>
      </c>
      <c r="C374" s="143" t="s">
        <v>104</v>
      </c>
      <c r="D374" s="3" t="s">
        <v>105</v>
      </c>
      <c r="E374" s="144">
        <v>45076</v>
      </c>
      <c r="F374" s="3" t="s">
        <v>186</v>
      </c>
      <c r="G374" s="3" t="s">
        <v>107</v>
      </c>
      <c r="H374" s="3">
        <v>2010</v>
      </c>
      <c r="I374" s="40" t="s">
        <v>108</v>
      </c>
      <c r="J374" s="39" t="str">
        <f>paper3[[#This Row],[sex]]&amp;paper3[[#This Row],[ageg]]</f>
        <v>girlsU14</v>
      </c>
      <c r="K374" s="3">
        <v>154.80000000000001</v>
      </c>
      <c r="L374" s="3">
        <v>154.80000000000001</v>
      </c>
      <c r="M374" s="3"/>
      <c r="N374" s="3">
        <v>150</v>
      </c>
      <c r="O374" s="3">
        <v>150</v>
      </c>
      <c r="P374" s="3"/>
      <c r="Q374" s="3">
        <v>38.700000000000003</v>
      </c>
      <c r="R374" s="3"/>
      <c r="S374" s="3"/>
      <c r="T374" s="125">
        <v>154.80000000000001</v>
      </c>
      <c r="U374" s="126">
        <v>79.8</v>
      </c>
      <c r="V374" s="12">
        <f>paper3[[#This Row],[height]]-paper3[[#This Row],[sittingheight]]</f>
        <v>75.000000000000014</v>
      </c>
      <c r="W374" s="127">
        <v>38.700000000000003</v>
      </c>
      <c r="X374" s="43" cm="1">
        <f t="array" ref="X374">INDEX([1]!phvny[yphv], MATCH(1, (paper3[[#This Row],[id]]=[1]!phvny[id])*(paper3[[#This Row],[time]]=[1]!phvny[time]), 0))</f>
        <v>0.35742143333333387</v>
      </c>
      <c r="Y374" s="3">
        <v>1.925</v>
      </c>
      <c r="Z374" s="3">
        <v>3.5409999999999999</v>
      </c>
      <c r="AA374" s="3">
        <v>5.12</v>
      </c>
      <c r="AB374" s="3">
        <v>1.829</v>
      </c>
      <c r="AC374" s="3">
        <v>3.601</v>
      </c>
      <c r="AD374" s="3">
        <v>5.1769999999999996</v>
      </c>
      <c r="AE374" s="3">
        <v>2.0470000000000002</v>
      </c>
      <c r="AF374" s="3">
        <v>3.7069999999999999</v>
      </c>
      <c r="AG374" s="3">
        <v>5.3090000000000002</v>
      </c>
      <c r="AH374" s="130">
        <v>2.0390000000000001</v>
      </c>
      <c r="AI374" s="130">
        <v>3.7210000000000001</v>
      </c>
      <c r="AJ374" s="130">
        <v>5.33</v>
      </c>
      <c r="AK374" s="45">
        <v>6.2150403977625857</v>
      </c>
      <c r="AL374" s="3">
        <v>10.85</v>
      </c>
      <c r="AM374" s="3">
        <v>11</v>
      </c>
      <c r="AN374" s="3">
        <v>10.79</v>
      </c>
      <c r="AO374" s="3">
        <v>10.7</v>
      </c>
      <c r="AP374" s="137">
        <v>11.569999999999999</v>
      </c>
      <c r="AQ374" s="132">
        <v>10.85</v>
      </c>
      <c r="AR374" s="132">
        <v>10.7</v>
      </c>
      <c r="AS374" s="3">
        <v>19.899999999999999</v>
      </c>
      <c r="AT374" s="3">
        <v>22.9</v>
      </c>
      <c r="AU374" s="3">
        <v>21.9</v>
      </c>
      <c r="AV374" s="3"/>
      <c r="AW374" s="3"/>
      <c r="AX374" s="133">
        <v>25.86</v>
      </c>
      <c r="AY374" s="134"/>
      <c r="AZ374" s="40"/>
      <c r="BA374" s="40"/>
      <c r="BB374" s="40"/>
      <c r="BC374" s="40"/>
      <c r="BD374" s="135">
        <v>765.93785612514262</v>
      </c>
      <c r="BE374" s="135">
        <v>720.60176266898952</v>
      </c>
      <c r="BF374" s="40"/>
      <c r="BG374" s="135">
        <v>264.43793138679769</v>
      </c>
      <c r="BH374" s="135">
        <v>259.74203438106616</v>
      </c>
      <c r="BI374" s="49">
        <v>1486.5396187941321</v>
      </c>
      <c r="BJ374" s="49">
        <v>524.17996576786391</v>
      </c>
      <c r="BK374" s="66">
        <v>6.2914213931750229E-2</v>
      </c>
      <c r="BL374" s="66">
        <v>1.8079079949155252E-2</v>
      </c>
      <c r="BM374" s="51">
        <v>38.411876454628732</v>
      </c>
      <c r="BN374" s="51">
        <v>13.544701957825939</v>
      </c>
      <c r="BO374" s="136"/>
      <c r="BP374" s="40"/>
      <c r="BQ374" s="40"/>
      <c r="BR374" s="67"/>
      <c r="BS374" s="54" t="s">
        <v>110</v>
      </c>
      <c r="BT374" s="68"/>
      <c r="BU374" s="69"/>
      <c r="BV374" s="3"/>
      <c r="BW374" s="3"/>
      <c r="BX374" s="70"/>
      <c r="BY374" s="70"/>
      <c r="BZ374" s="59"/>
      <c r="CA374" s="59"/>
      <c r="CB374" s="59" t="s">
        <v>110</v>
      </c>
      <c r="CC374" s="59" t="s">
        <v>110</v>
      </c>
      <c r="CD374" s="60"/>
      <c r="CE374" s="60"/>
      <c r="CF374" s="61"/>
      <c r="CG374" s="61"/>
      <c r="CH374" s="61"/>
      <c r="CI374" s="138">
        <v>15.3</v>
      </c>
      <c r="CJ374" s="40">
        <f>VLOOKUP(paper3[[#This Row],[YYIR nivå]],$DB:$DC,2)</f>
        <v>880</v>
      </c>
      <c r="CK374" s="3"/>
      <c r="CL374" s="62"/>
      <c r="CM374" s="62"/>
      <c r="CN374" s="3"/>
      <c r="CO374" s="3"/>
      <c r="CP374" s="41">
        <v>12.652777777777779</v>
      </c>
      <c r="CQ374" s="3"/>
      <c r="CR374" s="40" t="s">
        <v>110</v>
      </c>
      <c r="CS374" s="40" t="s">
        <v>110</v>
      </c>
      <c r="CT374" s="40" t="s">
        <v>110</v>
      </c>
      <c r="CU374" s="40"/>
      <c r="CV374" s="40"/>
      <c r="CW374" s="40"/>
      <c r="CX374" s="40"/>
      <c r="CY374" s="40" t="s">
        <v>206</v>
      </c>
      <c r="CZ374" s="40"/>
      <c r="DA374" s="40"/>
    </row>
    <row r="375" spans="1:105" ht="18.75">
      <c r="A375" s="3">
        <v>838</v>
      </c>
      <c r="B375" s="92" t="s">
        <v>199</v>
      </c>
      <c r="C375" s="143" t="s">
        <v>104</v>
      </c>
      <c r="D375" s="3" t="s">
        <v>105</v>
      </c>
      <c r="E375" s="144">
        <v>45076</v>
      </c>
      <c r="F375" s="3" t="s">
        <v>186</v>
      </c>
      <c r="G375" s="3" t="s">
        <v>107</v>
      </c>
      <c r="H375" s="3">
        <v>2010</v>
      </c>
      <c r="I375" s="40" t="s">
        <v>108</v>
      </c>
      <c r="J375" s="39" t="str">
        <f>paper3[[#This Row],[sex]]&amp;paper3[[#This Row],[ageg]]</f>
        <v>girlsU14</v>
      </c>
      <c r="K375" s="3">
        <v>157.6</v>
      </c>
      <c r="L375" s="3">
        <v>157.5</v>
      </c>
      <c r="M375" s="3"/>
      <c r="N375" s="3">
        <v>153.4</v>
      </c>
      <c r="O375" s="3">
        <v>153.4</v>
      </c>
      <c r="P375" s="3"/>
      <c r="Q375" s="3">
        <v>49.2</v>
      </c>
      <c r="R375" s="3"/>
      <c r="S375" s="3"/>
      <c r="T375" s="125">
        <v>157.55000000000001</v>
      </c>
      <c r="U375" s="126">
        <v>83.2</v>
      </c>
      <c r="V375" s="12">
        <f>paper3[[#This Row],[height]]-paper3[[#This Row],[sittingheight]]</f>
        <v>74.350000000000009</v>
      </c>
      <c r="W375" s="127">
        <v>49.2</v>
      </c>
      <c r="X375" s="43" cm="1">
        <f t="array" ref="X375">INDEX([1]!phvny[yphv], MATCH(1, (paper3[[#This Row],[id]]=[1]!phvny[id])*(paper3[[#This Row],[time]]=[1]!phvny[time]), 0))</f>
        <v>0.75442531018886605</v>
      </c>
      <c r="Y375" s="3">
        <v>1.956</v>
      </c>
      <c r="Z375" s="3">
        <v>3.4940000000000002</v>
      </c>
      <c r="AA375" s="3">
        <v>4.9850000000000003</v>
      </c>
      <c r="AB375" s="3">
        <v>1.9359999999999999</v>
      </c>
      <c r="AC375" s="3">
        <v>3.5379999999999998</v>
      </c>
      <c r="AD375" s="3">
        <v>5.1139999999999999</v>
      </c>
      <c r="AE375" s="3">
        <v>2.0459999999999998</v>
      </c>
      <c r="AF375" s="3">
        <v>3.6459999999999999</v>
      </c>
      <c r="AG375" s="3">
        <v>5.1840000000000002</v>
      </c>
      <c r="AH375" s="130">
        <v>2.1459999999999999</v>
      </c>
      <c r="AI375" s="130">
        <v>3.6740000000000004</v>
      </c>
      <c r="AJ375" s="130">
        <v>5.1950000000000003</v>
      </c>
      <c r="AK375" s="45">
        <v>6.5746219592373443</v>
      </c>
      <c r="AL375" s="3">
        <v>10.27</v>
      </c>
      <c r="AM375" s="3">
        <v>10.36</v>
      </c>
      <c r="AN375" s="3">
        <v>10.49</v>
      </c>
      <c r="AO375" s="3">
        <v>10.49</v>
      </c>
      <c r="AP375" s="137">
        <v>11.139999999999999</v>
      </c>
      <c r="AQ375" s="132">
        <v>10.27</v>
      </c>
      <c r="AR375" s="132">
        <v>10.49</v>
      </c>
      <c r="AS375" s="3">
        <v>21.3</v>
      </c>
      <c r="AT375" s="3">
        <v>20.9</v>
      </c>
      <c r="AU375" s="3">
        <v>18.7</v>
      </c>
      <c r="AV375" s="3"/>
      <c r="AW375" s="3"/>
      <c r="AX375" s="133">
        <v>24.26</v>
      </c>
      <c r="AY375" s="134"/>
      <c r="AZ375" s="40"/>
      <c r="BA375" s="40"/>
      <c r="BB375" s="40"/>
      <c r="BC375" s="40"/>
      <c r="BD375" s="135"/>
      <c r="BE375" s="135"/>
      <c r="BF375" s="40"/>
      <c r="BG375" s="135">
        <v>384.0844584650448</v>
      </c>
      <c r="BH375" s="135">
        <v>380.31365217855921</v>
      </c>
      <c r="BI375" s="49"/>
      <c r="BJ375" s="49">
        <v>764.39811064360401</v>
      </c>
      <c r="BK375" s="66"/>
      <c r="BL375" s="66">
        <v>9.9149906002196087E-3</v>
      </c>
      <c r="BM375" s="51"/>
      <c r="BN375" s="51">
        <v>15.536546964300893</v>
      </c>
      <c r="BO375" s="136"/>
      <c r="BP375" s="40"/>
      <c r="BQ375" s="40"/>
      <c r="BR375" s="67"/>
      <c r="BS375" s="54" t="s">
        <v>110</v>
      </c>
      <c r="BT375" s="68"/>
      <c r="BU375" s="69"/>
      <c r="BV375" s="3"/>
      <c r="BW375" s="3"/>
      <c r="BX375" s="70"/>
      <c r="BY375" s="70"/>
      <c r="BZ375" s="59"/>
      <c r="CA375" s="59"/>
      <c r="CB375" s="59" t="s">
        <v>110</v>
      </c>
      <c r="CC375" s="59" t="s">
        <v>110</v>
      </c>
      <c r="CD375" s="60"/>
      <c r="CE375" s="60"/>
      <c r="CF375" s="61"/>
      <c r="CG375" s="61"/>
      <c r="CH375" s="61"/>
      <c r="CI375" s="138">
        <v>14.6</v>
      </c>
      <c r="CJ375" s="40">
        <f>VLOOKUP(paper3[[#This Row],[YYIR nivå]],$DB:$DC,2)</f>
        <v>680</v>
      </c>
      <c r="CK375" s="3"/>
      <c r="CL375" s="62"/>
      <c r="CM375" s="62"/>
      <c r="CN375" s="3"/>
      <c r="CO375" s="3"/>
      <c r="CP375" s="41">
        <v>12.652777777777779</v>
      </c>
      <c r="CQ375" s="3"/>
      <c r="CR375" s="40" t="s">
        <v>110</v>
      </c>
      <c r="CS375" s="40" t="s">
        <v>110</v>
      </c>
      <c r="CT375" s="40" t="s">
        <v>110</v>
      </c>
      <c r="CU375" s="40"/>
      <c r="CV375" s="40"/>
      <c r="CW375" s="40"/>
      <c r="CX375" s="40"/>
      <c r="CY375" s="40" t="s">
        <v>206</v>
      </c>
      <c r="CZ375" s="40"/>
      <c r="DA375" s="40"/>
    </row>
    <row r="376" spans="1:105" ht="18.75" customHeight="1">
      <c r="A376" s="3">
        <v>839</v>
      </c>
      <c r="B376" s="92" t="s">
        <v>199</v>
      </c>
      <c r="C376" s="143"/>
      <c r="D376" s="3" t="s">
        <v>105</v>
      </c>
      <c r="E376" s="144">
        <v>45076</v>
      </c>
      <c r="F376" s="3" t="s">
        <v>186</v>
      </c>
      <c r="G376" s="3" t="s">
        <v>107</v>
      </c>
      <c r="H376" s="3">
        <v>2010</v>
      </c>
      <c r="I376" s="40" t="s">
        <v>108</v>
      </c>
      <c r="J376" s="39" t="str">
        <f>paper3[[#This Row],[sex]]&amp;paper3[[#This Row],[ageg]]</f>
        <v>girlsU14</v>
      </c>
      <c r="K376" s="3"/>
      <c r="L376" s="3"/>
      <c r="M376" s="3"/>
      <c r="N376" s="3"/>
      <c r="O376" s="3"/>
      <c r="P376" s="3"/>
      <c r="Q376" s="3"/>
      <c r="R376" s="3"/>
      <c r="S376" s="3"/>
      <c r="T376" s="125"/>
      <c r="U376" s="126"/>
      <c r="V376" s="12"/>
      <c r="W376" s="127"/>
      <c r="X376" s="43"/>
      <c r="Y376" s="3"/>
      <c r="Z376" s="3"/>
      <c r="AA376" s="3"/>
      <c r="AB376" s="3"/>
      <c r="AC376" s="3"/>
      <c r="AD376" s="3"/>
      <c r="AE376" s="3"/>
      <c r="AF376" s="3"/>
      <c r="AG376" s="3"/>
      <c r="AH376" s="133"/>
      <c r="AI376" s="133"/>
      <c r="AJ376" s="133"/>
      <c r="AK376" s="45"/>
      <c r="AL376" s="3">
        <v>10.59</v>
      </c>
      <c r="AM376" s="3">
        <v>10.35</v>
      </c>
      <c r="AN376" s="3">
        <v>10.98</v>
      </c>
      <c r="AO376" s="3">
        <v>11.26</v>
      </c>
      <c r="AP376" s="137">
        <v>11.219999999999999</v>
      </c>
      <c r="AQ376" s="132">
        <v>10.35</v>
      </c>
      <c r="AR376" s="132">
        <v>10.98</v>
      </c>
      <c r="AS376" s="3"/>
      <c r="AT376" s="3"/>
      <c r="AU376" s="3"/>
      <c r="AV376" s="3"/>
      <c r="AW376" s="3"/>
      <c r="AX376" s="133"/>
      <c r="AY376" s="134"/>
      <c r="AZ376" s="40"/>
      <c r="BA376" s="40"/>
      <c r="BB376" s="40"/>
      <c r="BC376" s="40"/>
      <c r="BD376" s="135" t="s">
        <v>110</v>
      </c>
      <c r="BE376" s="135" t="s">
        <v>110</v>
      </c>
      <c r="BF376" s="40"/>
      <c r="BG376" s="135" t="s">
        <v>110</v>
      </c>
      <c r="BH376" s="135" t="s">
        <v>110</v>
      </c>
      <c r="BI376" s="49"/>
      <c r="BJ376" s="49"/>
      <c r="BK376" s="66"/>
      <c r="BL376" s="66"/>
      <c r="BM376" s="51"/>
      <c r="BN376" s="51"/>
      <c r="BO376" s="136"/>
      <c r="BP376" s="40"/>
      <c r="BQ376" s="40"/>
      <c r="BR376" s="67"/>
      <c r="BS376" s="54" t="s">
        <v>110</v>
      </c>
      <c r="BT376" s="68"/>
      <c r="BU376" s="69"/>
      <c r="BV376" s="3"/>
      <c r="BW376" s="3"/>
      <c r="BX376" s="70"/>
      <c r="BY376" s="70"/>
      <c r="BZ376" s="59"/>
      <c r="CA376" s="59"/>
      <c r="CB376" s="59" t="s">
        <v>110</v>
      </c>
      <c r="CC376" s="59" t="s">
        <v>110</v>
      </c>
      <c r="CD376" s="60"/>
      <c r="CE376" s="60"/>
      <c r="CF376" s="61"/>
      <c r="CG376" s="61"/>
      <c r="CH376" s="61"/>
      <c r="CI376" s="138">
        <v>14.2</v>
      </c>
      <c r="CJ376" s="40">
        <f>VLOOKUP(paper3[[#This Row],[YYIR nivå]],$DB:$DC,2)</f>
        <v>520</v>
      </c>
      <c r="CK376" s="3"/>
      <c r="CL376" s="62"/>
      <c r="CM376" s="62"/>
      <c r="CN376" s="3"/>
      <c r="CO376" s="3"/>
      <c r="CP376" s="41">
        <v>12.697222222222223</v>
      </c>
      <c r="CQ376" s="3"/>
      <c r="CR376" s="40" t="s">
        <v>110</v>
      </c>
      <c r="CS376" s="40" t="s">
        <v>110</v>
      </c>
      <c r="CT376" s="40" t="s">
        <v>110</v>
      </c>
      <c r="CU376" s="40"/>
      <c r="CV376" s="40"/>
      <c r="CW376" s="40"/>
      <c r="CX376" s="40"/>
      <c r="CY376" s="40" t="s">
        <v>110</v>
      </c>
      <c r="CZ376" s="40"/>
      <c r="DA376" s="40"/>
    </row>
    <row r="377" spans="1:105" ht="18.75" customHeight="1">
      <c r="A377" s="3">
        <v>840</v>
      </c>
      <c r="B377" s="92" t="s">
        <v>199</v>
      </c>
      <c r="C377" s="143" t="s">
        <v>104</v>
      </c>
      <c r="D377" s="3" t="s">
        <v>105</v>
      </c>
      <c r="E377" s="144">
        <v>45076</v>
      </c>
      <c r="F377" s="3" t="s">
        <v>186</v>
      </c>
      <c r="G377" s="3" t="s">
        <v>107</v>
      </c>
      <c r="H377" s="3">
        <v>2010</v>
      </c>
      <c r="I377" s="40" t="s">
        <v>108</v>
      </c>
      <c r="J377" s="39" t="str">
        <f>paper3[[#This Row],[sex]]&amp;paper3[[#This Row],[ageg]]</f>
        <v>girlsU14</v>
      </c>
      <c r="K377" s="3">
        <v>172.2</v>
      </c>
      <c r="L377" s="3">
        <v>172.2</v>
      </c>
      <c r="M377" s="3"/>
      <c r="N377" s="3">
        <v>159</v>
      </c>
      <c r="O377" s="3">
        <v>159</v>
      </c>
      <c r="P377" s="3"/>
      <c r="Q377" s="3">
        <v>51.5</v>
      </c>
      <c r="R377" s="3"/>
      <c r="S377" s="3"/>
      <c r="T377" s="125">
        <v>172.2</v>
      </c>
      <c r="U377" s="126">
        <v>88.8</v>
      </c>
      <c r="V377" s="12">
        <f>paper3[[#This Row],[height]]-paper3[[#This Row],[sittingheight]]</f>
        <v>83.399999999999991</v>
      </c>
      <c r="W377" s="127">
        <v>51.5</v>
      </c>
      <c r="X377" s="43" cm="1">
        <f t="array" ref="X377">INDEX([1]!phvny[yphv], MATCH(1, (paper3[[#This Row],[id]]=[1]!phvny[id])*(paper3[[#This Row],[time]]=[1]!phvny[time]), 0))</f>
        <v>1.4315748265203265</v>
      </c>
      <c r="Y377" s="3">
        <v>1.964</v>
      </c>
      <c r="Z377" s="3">
        <v>3.6709999999999998</v>
      </c>
      <c r="AA377" s="3">
        <v>5.1470000000000002</v>
      </c>
      <c r="AB377" s="3">
        <v>1.927</v>
      </c>
      <c r="AC377" s="3">
        <v>3.556</v>
      </c>
      <c r="AD377" s="3">
        <v>5.15</v>
      </c>
      <c r="AE377" s="3">
        <v>2.0139999999999998</v>
      </c>
      <c r="AF377" s="3">
        <v>3.6970000000000001</v>
      </c>
      <c r="AG377" s="3">
        <v>5.36</v>
      </c>
      <c r="AH377" s="130">
        <v>2.137</v>
      </c>
      <c r="AI377" s="130">
        <v>3.7360000000000002</v>
      </c>
      <c r="AJ377" s="130">
        <v>5.3570000000000002</v>
      </c>
      <c r="AK377" s="45">
        <v>6.1690314620604569</v>
      </c>
      <c r="AL377" s="3">
        <v>11.07</v>
      </c>
      <c r="AM377" s="3">
        <v>11.21</v>
      </c>
      <c r="AN377" s="3">
        <v>11.24</v>
      </c>
      <c r="AO377" s="3">
        <v>11.33</v>
      </c>
      <c r="AP377" s="137">
        <v>11.94</v>
      </c>
      <c r="AQ377" s="132">
        <v>11.07</v>
      </c>
      <c r="AR377" s="132">
        <v>11.24</v>
      </c>
      <c r="AS377" s="3">
        <v>18.2</v>
      </c>
      <c r="AT377" s="3">
        <v>20.6</v>
      </c>
      <c r="AU377" s="3">
        <v>17.5</v>
      </c>
      <c r="AV377" s="3"/>
      <c r="AW377" s="3"/>
      <c r="AX377" s="133">
        <v>23.560000000000002</v>
      </c>
      <c r="AY377" s="134"/>
      <c r="AZ377" s="40"/>
      <c r="BA377" s="40"/>
      <c r="BB377" s="40"/>
      <c r="BC377" s="40"/>
      <c r="BD377" s="135">
        <v>668.80810751431227</v>
      </c>
      <c r="BE377" s="135">
        <v>605.92016482754843</v>
      </c>
      <c r="BF377" s="40"/>
      <c r="BG377" s="135">
        <v>161.12721297107791</v>
      </c>
      <c r="BH377" s="135">
        <v>165.02485066767031</v>
      </c>
      <c r="BI377" s="49">
        <v>1274.7282723418607</v>
      </c>
      <c r="BJ377" s="49">
        <v>326.15206363874825</v>
      </c>
      <c r="BK377" s="66">
        <v>0.10378915629035457</v>
      </c>
      <c r="BL377" s="66">
        <v>-2.3618489462787218E-2</v>
      </c>
      <c r="BM377" s="51">
        <v>24.752005288191469</v>
      </c>
      <c r="BN377" s="51">
        <v>6.3330497793931695</v>
      </c>
      <c r="BO377" s="136"/>
      <c r="BP377" s="40"/>
      <c r="BQ377" s="40"/>
      <c r="BR377" s="67"/>
      <c r="BS377" s="54" t="s">
        <v>110</v>
      </c>
      <c r="BT377" s="68"/>
      <c r="BU377" s="69"/>
      <c r="BV377" s="3"/>
      <c r="BW377" s="3"/>
      <c r="BX377" s="70"/>
      <c r="BY377" s="70"/>
      <c r="BZ377" s="59"/>
      <c r="CA377" s="59"/>
      <c r="CB377" s="59" t="s">
        <v>110</v>
      </c>
      <c r="CC377" s="59" t="s">
        <v>110</v>
      </c>
      <c r="CD377" s="60"/>
      <c r="CE377" s="60"/>
      <c r="CF377" s="61"/>
      <c r="CG377" s="61"/>
      <c r="CH377" s="61"/>
      <c r="CI377" s="138">
        <v>14.4</v>
      </c>
      <c r="CJ377" s="40">
        <f>VLOOKUP(paper3[[#This Row],[YYIR nivå]],$DB:$DC,2)</f>
        <v>600</v>
      </c>
      <c r="CK377" s="3"/>
      <c r="CL377" s="62"/>
      <c r="CM377" s="62"/>
      <c r="CN377" s="3"/>
      <c r="CO377" s="3"/>
      <c r="CP377" s="41">
        <v>12.583333333333334</v>
      </c>
      <c r="CQ377" s="3"/>
      <c r="CR377" s="40" t="s">
        <v>110</v>
      </c>
      <c r="CS377" s="40" t="s">
        <v>110</v>
      </c>
      <c r="CT377" s="40" t="s">
        <v>110</v>
      </c>
      <c r="CU377" s="40"/>
      <c r="CV377" s="40"/>
      <c r="CW377" s="40"/>
      <c r="CX377" s="40"/>
      <c r="CY377" s="40" t="s">
        <v>205</v>
      </c>
      <c r="CZ377" s="40"/>
      <c r="DA377" s="40"/>
    </row>
    <row r="378" spans="1:105" ht="18.75" customHeight="1">
      <c r="A378" s="3">
        <v>841</v>
      </c>
      <c r="B378" s="92" t="s">
        <v>199</v>
      </c>
      <c r="C378" s="143"/>
      <c r="D378" s="3" t="s">
        <v>105</v>
      </c>
      <c r="E378" s="144">
        <v>45076</v>
      </c>
      <c r="F378" s="3" t="s">
        <v>186</v>
      </c>
      <c r="G378" s="3" t="s">
        <v>107</v>
      </c>
      <c r="H378" s="3">
        <v>2010</v>
      </c>
      <c r="I378" s="40" t="s">
        <v>108</v>
      </c>
      <c r="J378" s="39" t="str">
        <f>paper3[[#This Row],[sex]]&amp;paper3[[#This Row],[ageg]]</f>
        <v>girlsU14</v>
      </c>
      <c r="K378" s="3">
        <v>153.4</v>
      </c>
      <c r="L378" s="3">
        <v>153.4</v>
      </c>
      <c r="M378" s="3"/>
      <c r="N378" s="3">
        <v>146.5</v>
      </c>
      <c r="O378" s="3">
        <v>146.6</v>
      </c>
      <c r="P378" s="3"/>
      <c r="Q378" s="3">
        <v>35.4</v>
      </c>
      <c r="R378" s="3"/>
      <c r="S378" s="3"/>
      <c r="T378" s="125">
        <v>153.4</v>
      </c>
      <c r="U378" s="126">
        <v>76.350000000000009</v>
      </c>
      <c r="V378" s="12">
        <f>paper3[[#This Row],[height]]-paper3[[#This Row],[sittingheight]]</f>
        <v>77.05</v>
      </c>
      <c r="W378" s="127">
        <v>35.4</v>
      </c>
      <c r="X378" s="43" cm="1">
        <f t="array" ref="X378">INDEX([1]!phvny[yphv], MATCH(1, (paper3[[#This Row],[id]]=[1]!phvny[id])*(paper3[[#This Row],[time]]=[1]!phvny[time]), 0))</f>
        <v>0.32055423233547042</v>
      </c>
      <c r="Y378" s="3">
        <v>2.2450000000000001</v>
      </c>
      <c r="Z378" s="3">
        <v>4.0839999999999996</v>
      </c>
      <c r="AA378" s="3">
        <v>5.8949999999999996</v>
      </c>
      <c r="AB378" s="3">
        <v>2.2599999999999998</v>
      </c>
      <c r="AC378" s="3">
        <v>4.0430000000000001</v>
      </c>
      <c r="AD378" s="3">
        <v>5.8010000000000002</v>
      </c>
      <c r="AE378" s="3">
        <v>2.3540000000000001</v>
      </c>
      <c r="AF378" s="3">
        <v>4.1959999999999997</v>
      </c>
      <c r="AG378" s="3">
        <v>6.0220000000000002</v>
      </c>
      <c r="AH378" s="130">
        <v>2.4550000000000001</v>
      </c>
      <c r="AI378" s="130">
        <v>4.2229999999999999</v>
      </c>
      <c r="AJ378" s="130">
        <v>6.0110000000000001</v>
      </c>
      <c r="AK378" s="45">
        <v>5.5928411633109612</v>
      </c>
      <c r="AL378" s="3">
        <v>11.38</v>
      </c>
      <c r="AM378" s="3">
        <v>11.3</v>
      </c>
      <c r="AN378" s="3">
        <v>11.66</v>
      </c>
      <c r="AO378" s="3">
        <v>11.7</v>
      </c>
      <c r="AP378" s="137">
        <v>12.17</v>
      </c>
      <c r="AQ378" s="132">
        <v>11.3</v>
      </c>
      <c r="AR378" s="132">
        <v>11.66</v>
      </c>
      <c r="AS378" s="3">
        <v>18.2</v>
      </c>
      <c r="AT378" s="3">
        <v>19.399999999999999</v>
      </c>
      <c r="AU378" s="3">
        <v>21.8</v>
      </c>
      <c r="AV378" s="3"/>
      <c r="AW378" s="3"/>
      <c r="AX378" s="133">
        <v>24.76</v>
      </c>
      <c r="AY378" s="134"/>
      <c r="AZ378" s="40"/>
      <c r="BA378" s="40"/>
      <c r="BB378" s="40"/>
      <c r="BC378" s="40"/>
      <c r="BD378" s="135">
        <v>569.57151724465211</v>
      </c>
      <c r="BE378" s="135">
        <v>556.51037333837553</v>
      </c>
      <c r="BF378" s="40"/>
      <c r="BG378" s="135">
        <v>176.88994831969953</v>
      </c>
      <c r="BH378" s="135">
        <v>171.78472975994626</v>
      </c>
      <c r="BI378" s="49">
        <v>1126.0818905830276</v>
      </c>
      <c r="BJ378" s="49">
        <v>348.67467807964579</v>
      </c>
      <c r="BK378" s="66">
        <v>2.3469722276560301E-2</v>
      </c>
      <c r="BL378" s="66">
        <v>2.9718698320202019E-2</v>
      </c>
      <c r="BM378" s="51">
        <v>31.810222897825639</v>
      </c>
      <c r="BN378" s="51">
        <v>9.8495671773911244</v>
      </c>
      <c r="BO378" s="136"/>
      <c r="BP378" s="40"/>
      <c r="BQ378" s="40"/>
      <c r="BR378" s="67"/>
      <c r="BS378" s="54" t="s">
        <v>110</v>
      </c>
      <c r="BT378" s="68"/>
      <c r="BU378" s="69"/>
      <c r="BV378" s="3"/>
      <c r="BW378" s="3"/>
      <c r="BX378" s="70"/>
      <c r="BY378" s="70"/>
      <c r="BZ378" s="59"/>
      <c r="CA378" s="59"/>
      <c r="CB378" s="59" t="s">
        <v>110</v>
      </c>
      <c r="CC378" s="59" t="s">
        <v>110</v>
      </c>
      <c r="CD378" s="60"/>
      <c r="CE378" s="60"/>
      <c r="CF378" s="61"/>
      <c r="CG378" s="61"/>
      <c r="CH378" s="61"/>
      <c r="CI378" s="138">
        <v>13.3</v>
      </c>
      <c r="CJ378" s="40">
        <f>VLOOKUP(paper3[[#This Row],[YYIR nivå]],$DB:$DC,2)</f>
        <v>400</v>
      </c>
      <c r="CK378" s="3"/>
      <c r="CL378" s="62"/>
      <c r="CM378" s="62"/>
      <c r="CN378" s="3"/>
      <c r="CO378" s="3"/>
      <c r="CP378" s="41">
        <v>13.069444444444445</v>
      </c>
      <c r="CQ378" s="3"/>
      <c r="CR378" s="40" t="s">
        <v>110</v>
      </c>
      <c r="CS378" s="40" t="s">
        <v>110</v>
      </c>
      <c r="CT378" s="40" t="s">
        <v>110</v>
      </c>
      <c r="CU378" s="40"/>
      <c r="CV378" s="40"/>
      <c r="CW378" s="40"/>
      <c r="CX378" s="40"/>
      <c r="CY378" s="40" t="s">
        <v>205</v>
      </c>
      <c r="CZ378" s="40"/>
      <c r="DA378" s="40"/>
    </row>
    <row r="379" spans="1:105" ht="15.75" customHeight="1">
      <c r="A379" s="3">
        <v>842</v>
      </c>
      <c r="B379" s="92" t="s">
        <v>199</v>
      </c>
      <c r="C379" s="143" t="s">
        <v>104</v>
      </c>
      <c r="D379" s="3" t="s">
        <v>105</v>
      </c>
      <c r="E379" s="144">
        <v>45076</v>
      </c>
      <c r="F379" s="3" t="s">
        <v>186</v>
      </c>
      <c r="G379" s="3" t="s">
        <v>107</v>
      </c>
      <c r="H379" s="3">
        <v>2010</v>
      </c>
      <c r="I379" s="40" t="s">
        <v>108</v>
      </c>
      <c r="J379" s="39" t="str">
        <f>paper3[[#This Row],[sex]]&amp;paper3[[#This Row],[ageg]]</f>
        <v>girlsU14</v>
      </c>
      <c r="K379" s="3">
        <v>173.5</v>
      </c>
      <c r="L379" s="3">
        <v>173.5</v>
      </c>
      <c r="M379" s="3"/>
      <c r="N379" s="3">
        <v>159.9</v>
      </c>
      <c r="O379" s="3">
        <v>159.9</v>
      </c>
      <c r="P379" s="3"/>
      <c r="Q379" s="3">
        <v>62.6</v>
      </c>
      <c r="R379" s="3"/>
      <c r="S379" s="3"/>
      <c r="T379" s="125">
        <v>173.5</v>
      </c>
      <c r="U379" s="126">
        <v>89.7</v>
      </c>
      <c r="V379" s="12">
        <f>paper3[[#This Row],[height]]-paper3[[#This Row],[sittingheight]]</f>
        <v>83.8</v>
      </c>
      <c r="W379" s="127">
        <v>62.6</v>
      </c>
      <c r="X379" s="43" cm="1">
        <f t="array" ref="X379">INDEX([1]!phvny[yphv], MATCH(1, (paper3[[#This Row],[id]]=[1]!phvny[id])*(paper3[[#This Row],[time]]=[1]!phvny[time]), 0))</f>
        <v>1.8019490761802754</v>
      </c>
      <c r="Y379" s="3">
        <v>2.133</v>
      </c>
      <c r="Z379" s="3">
        <v>3.8849999999999998</v>
      </c>
      <c r="AA379" s="3">
        <v>5.5259999999999998</v>
      </c>
      <c r="AB379" s="3">
        <v>2.2040000000000002</v>
      </c>
      <c r="AC379" s="3">
        <v>4.032</v>
      </c>
      <c r="AD379" s="3">
        <v>5.8</v>
      </c>
      <c r="AE379" s="3">
        <v>2.2719999999999998</v>
      </c>
      <c r="AF379" s="3">
        <v>4.1349999999999998</v>
      </c>
      <c r="AG379" s="3">
        <v>5.9690000000000003</v>
      </c>
      <c r="AH379" s="130">
        <v>2.343</v>
      </c>
      <c r="AI379" s="130">
        <v>4.0649999999999995</v>
      </c>
      <c r="AJ379" s="130">
        <v>5.7359999999999998</v>
      </c>
      <c r="AK379" s="45">
        <v>5.9844404548174737</v>
      </c>
      <c r="AL379" s="3">
        <v>12.42</v>
      </c>
      <c r="AM379" s="3">
        <v>12.64</v>
      </c>
      <c r="AN379" s="3">
        <v>12.74</v>
      </c>
      <c r="AO379" s="3">
        <v>12.3</v>
      </c>
      <c r="AP379" s="137">
        <v>13.17</v>
      </c>
      <c r="AQ379" s="132">
        <v>12.42</v>
      </c>
      <c r="AR379" s="132">
        <v>12.3</v>
      </c>
      <c r="AS379" s="3">
        <v>0</v>
      </c>
      <c r="AT379" s="3">
        <v>16.8</v>
      </c>
      <c r="AU379" s="3">
        <v>17.8</v>
      </c>
      <c r="AV379" s="3"/>
      <c r="AW379" s="3"/>
      <c r="AX379" s="133">
        <v>20.76</v>
      </c>
      <c r="AY379" s="134"/>
      <c r="AZ379" s="40"/>
      <c r="BA379" s="40"/>
      <c r="BB379" s="40"/>
      <c r="BC379" s="40"/>
      <c r="BD379" s="135">
        <v>627.74261051029316</v>
      </c>
      <c r="BE379" s="135">
        <v>555.24835113245945</v>
      </c>
      <c r="BF379" s="40"/>
      <c r="BG379" s="135">
        <v>218.59755802250845</v>
      </c>
      <c r="BH379" s="135">
        <v>156.79649859943828</v>
      </c>
      <c r="BI379" s="49">
        <v>1182.9909616427526</v>
      </c>
      <c r="BJ379" s="49">
        <v>375.39405662194673</v>
      </c>
      <c r="BK379" s="66">
        <v>0.13056186340756826</v>
      </c>
      <c r="BL379" s="66">
        <v>0.39414821105763886</v>
      </c>
      <c r="BM379" s="51">
        <v>18.897619195571128</v>
      </c>
      <c r="BN379" s="51">
        <v>5.9967101696796599</v>
      </c>
      <c r="BO379" s="136"/>
      <c r="BP379" s="40"/>
      <c r="BQ379" s="40"/>
      <c r="BR379" s="67"/>
      <c r="BS379" s="54" t="s">
        <v>110</v>
      </c>
      <c r="BT379" s="68"/>
      <c r="BU379" s="69"/>
      <c r="BV379" s="3"/>
      <c r="BW379" s="3"/>
      <c r="BX379" s="70"/>
      <c r="BY379" s="70"/>
      <c r="BZ379" s="59"/>
      <c r="CA379" s="59"/>
      <c r="CB379" s="59" t="s">
        <v>110</v>
      </c>
      <c r="CC379" s="59" t="s">
        <v>110</v>
      </c>
      <c r="CD379" s="60"/>
      <c r="CE379" s="60"/>
      <c r="CF379" s="61"/>
      <c r="CG379" s="61"/>
      <c r="CH379" s="61"/>
      <c r="CI379" s="138">
        <v>12.2</v>
      </c>
      <c r="CJ379" s="40">
        <f>VLOOKUP(paper3[[#This Row],[YYIR nivå]],$DB:$DC,2)</f>
        <v>240</v>
      </c>
      <c r="CK379" s="3"/>
      <c r="CL379" s="62"/>
      <c r="CM379" s="62"/>
      <c r="CN379" s="3"/>
      <c r="CO379" s="3"/>
      <c r="CP379" s="41">
        <v>12.894444444444444</v>
      </c>
      <c r="CQ379" s="3"/>
      <c r="CR379" s="40" t="s">
        <v>110</v>
      </c>
      <c r="CS379" s="40" t="s">
        <v>110</v>
      </c>
      <c r="CT379" s="40" t="s">
        <v>110</v>
      </c>
      <c r="CU379" s="40"/>
      <c r="CV379" s="40"/>
      <c r="CW379" s="40"/>
      <c r="CX379" s="40"/>
      <c r="CY379" s="40" t="s">
        <v>125</v>
      </c>
      <c r="CZ379" s="40"/>
      <c r="DA379" s="40"/>
    </row>
    <row r="380" spans="1:105" ht="15.75" customHeight="1">
      <c r="A380" s="3">
        <v>843</v>
      </c>
      <c r="B380" s="92" t="s">
        <v>199</v>
      </c>
      <c r="C380" s="143" t="s">
        <v>104</v>
      </c>
      <c r="D380" s="3" t="s">
        <v>105</v>
      </c>
      <c r="E380" s="144">
        <v>45076</v>
      </c>
      <c r="F380" s="3" t="s">
        <v>186</v>
      </c>
      <c r="G380" s="3" t="s">
        <v>107</v>
      </c>
      <c r="H380" s="3">
        <v>2010</v>
      </c>
      <c r="I380" s="40" t="s">
        <v>108</v>
      </c>
      <c r="J380" s="39" t="str">
        <f>paper3[[#This Row],[sex]]&amp;paper3[[#This Row],[ageg]]</f>
        <v>girlsU14</v>
      </c>
      <c r="K380" s="3">
        <v>171</v>
      </c>
      <c r="L380" s="3">
        <v>171</v>
      </c>
      <c r="M380" s="3"/>
      <c r="N380" s="3">
        <v>157</v>
      </c>
      <c r="O380" s="3">
        <v>157</v>
      </c>
      <c r="P380" s="3"/>
      <c r="Q380" s="3">
        <v>59.6</v>
      </c>
      <c r="R380" s="3"/>
      <c r="S380" s="3"/>
      <c r="T380" s="125">
        <v>171</v>
      </c>
      <c r="U380" s="126">
        <v>86.8</v>
      </c>
      <c r="V380" s="12">
        <f>paper3[[#This Row],[height]]-paper3[[#This Row],[sittingheight]]</f>
        <v>84.2</v>
      </c>
      <c r="W380" s="127">
        <v>59.6</v>
      </c>
      <c r="X380" s="43" cm="1">
        <f t="array" ref="X380">INDEX([1]!phvny[yphv], MATCH(1, (paper3[[#This Row],[id]]=[1]!phvny[id])*(paper3[[#This Row],[time]]=[1]!phvny[time]), 0))</f>
        <v>1.820643165976608</v>
      </c>
      <c r="Y380" s="3">
        <v>1.9419999999999999</v>
      </c>
      <c r="Z380" s="3">
        <v>3.6139999999999999</v>
      </c>
      <c r="AA380" s="3">
        <v>5.2640000000000002</v>
      </c>
      <c r="AB380" s="3">
        <v>1.111</v>
      </c>
      <c r="AC380" s="3">
        <v>2.8839999999999999</v>
      </c>
      <c r="AD380" s="3">
        <v>4.5730000000000004</v>
      </c>
      <c r="AE380" s="3">
        <v>1.9970000000000001</v>
      </c>
      <c r="AF380" s="3">
        <v>3.7050000000000001</v>
      </c>
      <c r="AG380" s="3">
        <v>5.4039999999999999</v>
      </c>
      <c r="AH380" s="130">
        <v>2.1520000000000001</v>
      </c>
      <c r="AI380" s="130">
        <v>3.0640000000000001</v>
      </c>
      <c r="AJ380" s="130">
        <v>5.4740000000000002</v>
      </c>
      <c r="AK380" s="45">
        <v>4.1493775933609953</v>
      </c>
      <c r="AL380" s="3">
        <v>11.89</v>
      </c>
      <c r="AM380" s="3">
        <v>11.86</v>
      </c>
      <c r="AN380" s="3">
        <v>12.08</v>
      </c>
      <c r="AO380" s="3">
        <v>11.66</v>
      </c>
      <c r="AP380" s="137">
        <v>12.53</v>
      </c>
      <c r="AQ380" s="132">
        <v>11.86</v>
      </c>
      <c r="AR380" s="132">
        <v>11.66</v>
      </c>
      <c r="AS380" s="3">
        <v>20.5</v>
      </c>
      <c r="AT380" s="3">
        <v>22.3</v>
      </c>
      <c r="AU380" s="3">
        <v>20.7</v>
      </c>
      <c r="AV380" s="3"/>
      <c r="AW380" s="3"/>
      <c r="AX380" s="133">
        <v>25.26</v>
      </c>
      <c r="AY380" s="134"/>
      <c r="AZ380" s="40"/>
      <c r="BA380" s="40"/>
      <c r="BB380" s="40"/>
      <c r="BC380" s="40"/>
      <c r="BD380" s="135">
        <v>670.12853212116488</v>
      </c>
      <c r="BE380" s="135">
        <v>656.20104074517405</v>
      </c>
      <c r="BF380" s="40"/>
      <c r="BG380" s="135">
        <v>263.4616494526328</v>
      </c>
      <c r="BH380" s="135">
        <v>255.12067333650222</v>
      </c>
      <c r="BI380" s="49">
        <v>1326.3295728663388</v>
      </c>
      <c r="BJ380" s="49">
        <v>518.58232278913499</v>
      </c>
      <c r="BK380" s="66">
        <v>2.1224427440978966E-2</v>
      </c>
      <c r="BL380" s="66">
        <v>3.2694238405089449E-2</v>
      </c>
      <c r="BM380" s="51">
        <v>22.253851893730516</v>
      </c>
      <c r="BN380" s="51">
        <v>8.7010456843814588</v>
      </c>
      <c r="BO380" s="136"/>
      <c r="BP380" s="40"/>
      <c r="BQ380" s="40"/>
      <c r="BR380" s="67"/>
      <c r="BS380" s="54" t="s">
        <v>110</v>
      </c>
      <c r="BT380" s="68"/>
      <c r="BU380" s="69"/>
      <c r="BV380" s="3"/>
      <c r="BW380" s="3"/>
      <c r="BX380" s="70"/>
      <c r="BY380" s="70"/>
      <c r="BZ380" s="59"/>
      <c r="CA380" s="59"/>
      <c r="CB380" s="59" t="s">
        <v>110</v>
      </c>
      <c r="CC380" s="59" t="s">
        <v>110</v>
      </c>
      <c r="CD380" s="60"/>
      <c r="CE380" s="60"/>
      <c r="CF380" s="61"/>
      <c r="CG380" s="61"/>
      <c r="CH380" s="61"/>
      <c r="CI380" s="138">
        <v>13.3</v>
      </c>
      <c r="CJ380" s="40">
        <f>VLOOKUP(paper3[[#This Row],[YYIR nivå]],$DB:$DC,2)</f>
        <v>400</v>
      </c>
      <c r="CK380" s="3"/>
      <c r="CL380" s="62"/>
      <c r="CM380" s="62"/>
      <c r="CN380" s="3"/>
      <c r="CO380" s="3"/>
      <c r="CP380" s="41">
        <v>13.375</v>
      </c>
      <c r="CQ380" s="3"/>
      <c r="CR380" s="40" t="s">
        <v>110</v>
      </c>
      <c r="CS380" s="40" t="s">
        <v>110</v>
      </c>
      <c r="CT380" s="40" t="s">
        <v>110</v>
      </c>
      <c r="CU380" s="40"/>
      <c r="CV380" s="40"/>
      <c r="CW380" s="40"/>
      <c r="CX380" s="40"/>
      <c r="CY380" s="40" t="s">
        <v>204</v>
      </c>
      <c r="CZ380" s="40"/>
      <c r="DA380" s="40"/>
    </row>
    <row r="381" spans="1:105" ht="15.75" customHeight="1">
      <c r="A381" s="3">
        <v>844</v>
      </c>
      <c r="B381" s="92" t="s">
        <v>199</v>
      </c>
      <c r="C381" s="143" t="s">
        <v>104</v>
      </c>
      <c r="D381" s="3" t="s">
        <v>105</v>
      </c>
      <c r="E381" s="144">
        <v>45076</v>
      </c>
      <c r="F381" s="3" t="s">
        <v>186</v>
      </c>
      <c r="G381" s="3" t="s">
        <v>107</v>
      </c>
      <c r="H381" s="3">
        <v>2010</v>
      </c>
      <c r="I381" s="40" t="s">
        <v>108</v>
      </c>
      <c r="J381" s="39" t="str">
        <f>paper3[[#This Row],[sex]]&amp;paper3[[#This Row],[ageg]]</f>
        <v>girlsU14</v>
      </c>
      <c r="K381" s="3">
        <v>171.5</v>
      </c>
      <c r="L381" s="3">
        <v>171.5</v>
      </c>
      <c r="M381" s="3"/>
      <c r="N381" s="3">
        <v>159</v>
      </c>
      <c r="O381" s="3">
        <v>159</v>
      </c>
      <c r="P381" s="3"/>
      <c r="Q381" s="3"/>
      <c r="R381" s="3"/>
      <c r="S381" s="3"/>
      <c r="T381" s="125">
        <v>171.5</v>
      </c>
      <c r="U381" s="126">
        <v>88.8</v>
      </c>
      <c r="V381" s="12">
        <f>paper3[[#This Row],[height]]-paper3[[#This Row],[sittingheight]]</f>
        <v>82.7</v>
      </c>
      <c r="W381" s="127"/>
      <c r="X381" s="43" cm="1">
        <f t="array" ref="X381">INDEX([1]!phvny[yphv], MATCH(1, (paper3[[#This Row],[id]]=[1]!phvny[id])*(paper3[[#This Row],[time]]=[1]!phvny[time]), 0))</f>
        <v>1.394414352000001</v>
      </c>
      <c r="Y381" s="3">
        <v>2.1110000000000002</v>
      </c>
      <c r="Z381" s="3">
        <v>3.7850000000000001</v>
      </c>
      <c r="AA381" s="3">
        <v>5.4370000000000003</v>
      </c>
      <c r="AB381" s="3">
        <v>1.8959999999999999</v>
      </c>
      <c r="AC381" s="3">
        <v>3.5209999999999999</v>
      </c>
      <c r="AD381" s="3">
        <v>5.0990000000000002</v>
      </c>
      <c r="AE381" s="3">
        <v>1.9550000000000001</v>
      </c>
      <c r="AF381" s="3">
        <v>3.573</v>
      </c>
      <c r="AG381" s="3">
        <v>5.1970000000000001</v>
      </c>
      <c r="AH381" s="130">
        <v>2.1059999999999999</v>
      </c>
      <c r="AI381" s="130">
        <v>3.7010000000000001</v>
      </c>
      <c r="AJ381" s="130">
        <v>5.3090000000000002</v>
      </c>
      <c r="AK381" s="45">
        <v>6.2189054726368154</v>
      </c>
      <c r="AL381" s="3">
        <v>11.28</v>
      </c>
      <c r="AM381" s="3">
        <v>11.1</v>
      </c>
      <c r="AN381" s="3">
        <v>11.42</v>
      </c>
      <c r="AO381" s="3">
        <v>11.38</v>
      </c>
      <c r="AP381" s="137">
        <v>11.969999999999999</v>
      </c>
      <c r="AQ381" s="132">
        <v>11.1</v>
      </c>
      <c r="AR381" s="132">
        <v>11.38</v>
      </c>
      <c r="AS381" s="3">
        <v>13</v>
      </c>
      <c r="AT381" s="3">
        <v>16</v>
      </c>
      <c r="AU381" s="3">
        <v>15.2</v>
      </c>
      <c r="AV381" s="3"/>
      <c r="AW381" s="3"/>
      <c r="AX381" s="133">
        <v>18.96</v>
      </c>
      <c r="AY381" s="134"/>
      <c r="AZ381" s="40"/>
      <c r="BA381" s="40"/>
      <c r="BB381" s="40"/>
      <c r="BC381" s="40"/>
      <c r="BD381" s="135" t="s">
        <v>110</v>
      </c>
      <c r="BE381" s="135" t="s">
        <v>110</v>
      </c>
      <c r="BF381" s="40"/>
      <c r="BG381" s="135" t="s">
        <v>110</v>
      </c>
      <c r="BH381" s="135" t="s">
        <v>110</v>
      </c>
      <c r="BI381" s="49"/>
      <c r="BJ381" s="49"/>
      <c r="BK381" s="66"/>
      <c r="BL381" s="66"/>
      <c r="BM381" s="51"/>
      <c r="BN381" s="51"/>
      <c r="BO381" s="136"/>
      <c r="BP381" s="40"/>
      <c r="BQ381" s="40"/>
      <c r="BR381" s="67"/>
      <c r="BS381" s="54" t="s">
        <v>110</v>
      </c>
      <c r="BT381" s="68"/>
      <c r="BU381" s="69"/>
      <c r="BV381" s="3"/>
      <c r="BW381" s="3"/>
      <c r="BX381" s="70"/>
      <c r="BY381" s="70"/>
      <c r="BZ381" s="59"/>
      <c r="CA381" s="59"/>
      <c r="CB381" s="59" t="s">
        <v>110</v>
      </c>
      <c r="CC381" s="59" t="s">
        <v>110</v>
      </c>
      <c r="CD381" s="60"/>
      <c r="CE381" s="60"/>
      <c r="CF381" s="61"/>
      <c r="CG381" s="61"/>
      <c r="CH381" s="61"/>
      <c r="CI381" s="138">
        <v>12.3</v>
      </c>
      <c r="CJ381" s="40">
        <f>VLOOKUP(paper3[[#This Row],[YYIR nivå]],$DB:$DC,2)</f>
        <v>280</v>
      </c>
      <c r="CK381" s="3"/>
      <c r="CL381" s="62"/>
      <c r="CM381" s="62"/>
      <c r="CN381" s="3"/>
      <c r="CO381" s="3"/>
      <c r="CP381" s="41">
        <v>13.4</v>
      </c>
      <c r="CQ381" s="3"/>
      <c r="CR381" s="40" t="s">
        <v>110</v>
      </c>
      <c r="CS381" s="40" t="s">
        <v>110</v>
      </c>
      <c r="CT381" s="40" t="s">
        <v>110</v>
      </c>
      <c r="CU381" s="40"/>
      <c r="CV381" s="40"/>
      <c r="CW381" s="40"/>
      <c r="CX381" s="40"/>
      <c r="CY381" s="40" t="s">
        <v>204</v>
      </c>
      <c r="CZ381" s="40"/>
      <c r="DA381" s="40"/>
    </row>
    <row r="382" spans="1:105" ht="15.75" customHeight="1">
      <c r="A382" s="3">
        <v>845</v>
      </c>
      <c r="B382" s="92" t="s">
        <v>199</v>
      </c>
      <c r="C382" s="143"/>
      <c r="D382" s="3" t="s">
        <v>105</v>
      </c>
      <c r="E382" s="144">
        <v>45076</v>
      </c>
      <c r="F382" s="3" t="s">
        <v>186</v>
      </c>
      <c r="G382" s="3" t="s">
        <v>107</v>
      </c>
      <c r="H382" s="3">
        <v>2010</v>
      </c>
      <c r="I382" s="40" t="s">
        <v>108</v>
      </c>
      <c r="J382" s="39" t="str">
        <f>paper3[[#This Row],[sex]]&amp;paper3[[#This Row],[ageg]]</f>
        <v>girlsU14</v>
      </c>
      <c r="K382" s="3"/>
      <c r="L382" s="3"/>
      <c r="M382" s="3"/>
      <c r="N382" s="3"/>
      <c r="O382" s="3"/>
      <c r="P382" s="3"/>
      <c r="Q382" s="3"/>
      <c r="R382" s="3"/>
      <c r="S382" s="3"/>
      <c r="T382" s="125"/>
      <c r="U382" s="126"/>
      <c r="V382" s="12"/>
      <c r="W382" s="127"/>
      <c r="X382" s="43"/>
      <c r="Y382" s="3"/>
      <c r="Z382" s="3"/>
      <c r="AA382" s="3"/>
      <c r="AB382" s="3"/>
      <c r="AC382" s="3"/>
      <c r="AD382" s="3"/>
      <c r="AE382" s="3"/>
      <c r="AF382" s="3"/>
      <c r="AG382" s="3"/>
      <c r="AH382" s="133"/>
      <c r="AI382" s="133"/>
      <c r="AJ382" s="133"/>
      <c r="AK382" s="45"/>
      <c r="AL382" s="3"/>
      <c r="AM382" s="3"/>
      <c r="AN382" s="3"/>
      <c r="AO382" s="3"/>
      <c r="AP382" s="137"/>
      <c r="AQ382" s="132"/>
      <c r="AR382" s="132"/>
      <c r="AS382" s="3"/>
      <c r="AT382" s="3"/>
      <c r="AU382" s="3"/>
      <c r="AV382" s="3"/>
      <c r="AW382" s="3"/>
      <c r="AX382" s="133"/>
      <c r="AY382" s="134"/>
      <c r="AZ382" s="40"/>
      <c r="BA382" s="40"/>
      <c r="BB382" s="40"/>
      <c r="BC382" s="40"/>
      <c r="BD382" s="135" t="s">
        <v>110</v>
      </c>
      <c r="BE382" s="135" t="s">
        <v>110</v>
      </c>
      <c r="BF382" s="40"/>
      <c r="BG382" s="135" t="s">
        <v>110</v>
      </c>
      <c r="BH382" s="135" t="s">
        <v>110</v>
      </c>
      <c r="BI382" s="49"/>
      <c r="BJ382" s="49"/>
      <c r="BK382" s="66"/>
      <c r="BL382" s="66"/>
      <c r="BM382" s="51"/>
      <c r="BN382" s="51"/>
      <c r="BO382" s="136"/>
      <c r="BP382" s="40"/>
      <c r="BQ382" s="40"/>
      <c r="BR382" s="67"/>
      <c r="BS382" s="54" t="s">
        <v>110</v>
      </c>
      <c r="BT382" s="68"/>
      <c r="BU382" s="69"/>
      <c r="BV382" s="3"/>
      <c r="BW382" s="3"/>
      <c r="BX382" s="70"/>
      <c r="BY382" s="70"/>
      <c r="BZ382" s="59"/>
      <c r="CA382" s="59"/>
      <c r="CB382" s="59" t="s">
        <v>110</v>
      </c>
      <c r="CC382" s="59" t="s">
        <v>110</v>
      </c>
      <c r="CD382" s="60"/>
      <c r="CE382" s="60"/>
      <c r="CF382" s="61"/>
      <c r="CG382" s="61"/>
      <c r="CH382" s="61"/>
      <c r="CI382" s="138"/>
      <c r="CJ382" s="40"/>
      <c r="CK382" s="3"/>
      <c r="CL382" s="62"/>
      <c r="CM382" s="62"/>
      <c r="CN382" s="3"/>
      <c r="CO382" s="3"/>
      <c r="CP382" s="41">
        <v>12.805555555555555</v>
      </c>
      <c r="CQ382" s="3"/>
      <c r="CR382" s="40" t="s">
        <v>110</v>
      </c>
      <c r="CS382" s="40" t="s">
        <v>110</v>
      </c>
      <c r="CT382" s="40" t="s">
        <v>110</v>
      </c>
      <c r="CU382" s="40"/>
      <c r="CV382" s="40"/>
      <c r="CW382" s="40"/>
      <c r="CX382" s="40"/>
      <c r="CY382" s="40" t="s">
        <v>110</v>
      </c>
      <c r="CZ382" s="40"/>
      <c r="DA382" s="40"/>
    </row>
    <row r="383" spans="1:105" ht="15.75" customHeight="1">
      <c r="A383" s="3">
        <v>846</v>
      </c>
      <c r="B383" s="92" t="s">
        <v>199</v>
      </c>
      <c r="C383" s="143" t="s">
        <v>104</v>
      </c>
      <c r="D383" s="3" t="s">
        <v>105</v>
      </c>
      <c r="E383" s="144">
        <v>45076</v>
      </c>
      <c r="F383" s="3" t="s">
        <v>186</v>
      </c>
      <c r="G383" s="3" t="s">
        <v>107</v>
      </c>
      <c r="H383" s="3">
        <v>2010</v>
      </c>
      <c r="I383" s="40" t="s">
        <v>108</v>
      </c>
      <c r="J383" s="39" t="str">
        <f>paper3[[#This Row],[sex]]&amp;paper3[[#This Row],[ageg]]</f>
        <v>girlsU14</v>
      </c>
      <c r="K383" s="3">
        <v>153.5</v>
      </c>
      <c r="L383" s="3">
        <v>153.5</v>
      </c>
      <c r="M383" s="3"/>
      <c r="N383" s="3">
        <v>146.4</v>
      </c>
      <c r="O383" s="3">
        <v>146.4</v>
      </c>
      <c r="P383" s="3"/>
      <c r="Q383" s="3">
        <v>40.799999999999997</v>
      </c>
      <c r="R383" s="3"/>
      <c r="S383" s="3"/>
      <c r="T383" s="125">
        <v>153.5</v>
      </c>
      <c r="U383" s="126">
        <v>76.2</v>
      </c>
      <c r="V383" s="12">
        <f>paper3[[#This Row],[height]]-paper3[[#This Row],[sittingheight]]</f>
        <v>77.3</v>
      </c>
      <c r="W383" s="127">
        <v>40.799999999999997</v>
      </c>
      <c r="X383" s="43" cm="1">
        <f t="array" ref="X383">INDEX([1]!phvny[yphv], MATCH(1, (paper3[[#This Row],[id]]=[1]!phvny[id])*(paper3[[#This Row],[time]]=[1]!phvny[time]), 0))</f>
        <v>0.51922702459862369</v>
      </c>
      <c r="Y383" s="3">
        <v>2.222</v>
      </c>
      <c r="Z383" s="3">
        <v>3.9630000000000001</v>
      </c>
      <c r="AA383" s="3">
        <v>5.657</v>
      </c>
      <c r="AB383" s="3">
        <v>2.0430000000000001</v>
      </c>
      <c r="AC383" s="3">
        <v>3.7629999999999999</v>
      </c>
      <c r="AD383" s="3">
        <v>5.4580000000000002</v>
      </c>
      <c r="AE383" s="3">
        <v>2.113</v>
      </c>
      <c r="AF383" s="3">
        <v>3.9060000000000001</v>
      </c>
      <c r="AG383" s="3">
        <v>5.6470000000000002</v>
      </c>
      <c r="AH383" s="130">
        <v>2.2530000000000001</v>
      </c>
      <c r="AI383" s="130">
        <v>3.9430000000000001</v>
      </c>
      <c r="AJ383" s="130">
        <v>5.6680000000000001</v>
      </c>
      <c r="AK383" s="45">
        <v>5.7971014492753623</v>
      </c>
      <c r="AL383" s="3">
        <v>11.49</v>
      </c>
      <c r="AM383" s="3">
        <v>11.36</v>
      </c>
      <c r="AN383" s="3">
        <v>11.93</v>
      </c>
      <c r="AO383" s="3">
        <v>12.02</v>
      </c>
      <c r="AP383" s="137">
        <v>12.04</v>
      </c>
      <c r="AQ383" s="132"/>
      <c r="AR383" s="132"/>
      <c r="AS383" s="3">
        <v>19</v>
      </c>
      <c r="AT383" s="3">
        <v>21.9</v>
      </c>
      <c r="AU383" s="3">
        <v>20.5</v>
      </c>
      <c r="AV383" s="3"/>
      <c r="AW383" s="3"/>
      <c r="AX383" s="133">
        <v>24.86</v>
      </c>
      <c r="AY383" s="134"/>
      <c r="AZ383" s="40"/>
      <c r="BA383" s="40"/>
      <c r="BB383" s="40"/>
      <c r="BC383" s="40"/>
      <c r="BD383" s="135">
        <v>649.02975888284391</v>
      </c>
      <c r="BE383" s="135">
        <v>696.3930693497648</v>
      </c>
      <c r="BF383" s="40"/>
      <c r="BG383" s="135">
        <v>166.35162498549184</v>
      </c>
      <c r="BH383" s="135">
        <v>185.43921641040561</v>
      </c>
      <c r="BI383" s="49">
        <v>1345.4228282326087</v>
      </c>
      <c r="BJ383" s="49">
        <v>351.79084139589747</v>
      </c>
      <c r="BK383" s="66">
        <v>-6.8012323142654041E-2</v>
      </c>
      <c r="BL383" s="66">
        <v>-0.10293179508842387</v>
      </c>
      <c r="BM383" s="51">
        <v>32.976049711583549</v>
      </c>
      <c r="BN383" s="51">
        <v>8.6223245440170952</v>
      </c>
      <c r="BO383" s="136"/>
      <c r="BP383" s="40"/>
      <c r="BQ383" s="40"/>
      <c r="BR383" s="67"/>
      <c r="BS383" s="54" t="s">
        <v>110</v>
      </c>
      <c r="BT383" s="68"/>
      <c r="BU383" s="69"/>
      <c r="BV383" s="3"/>
      <c r="BW383" s="3"/>
      <c r="BX383" s="70"/>
      <c r="BY383" s="70"/>
      <c r="BZ383" s="59"/>
      <c r="CA383" s="59"/>
      <c r="CB383" s="59" t="s">
        <v>110</v>
      </c>
      <c r="CC383" s="59" t="s">
        <v>110</v>
      </c>
      <c r="CD383" s="60"/>
      <c r="CE383" s="60"/>
      <c r="CF383" s="61"/>
      <c r="CG383" s="61"/>
      <c r="CH383" s="61"/>
      <c r="CI383" s="138">
        <v>13.4</v>
      </c>
      <c r="CJ383" s="40">
        <f>VLOOKUP(paper3[[#This Row],[YYIR nivå]],$DB:$DC,2)</f>
        <v>440</v>
      </c>
      <c r="CK383" s="3"/>
      <c r="CL383" s="62"/>
      <c r="CM383" s="62"/>
      <c r="CN383" s="3"/>
      <c r="CO383" s="3"/>
      <c r="CP383" s="41">
        <v>13.305555555555555</v>
      </c>
      <c r="CQ383" s="3"/>
      <c r="CR383" s="40" t="s">
        <v>110</v>
      </c>
      <c r="CS383" s="40" t="s">
        <v>110</v>
      </c>
      <c r="CT383" s="40" t="s">
        <v>110</v>
      </c>
      <c r="CU383" s="40"/>
      <c r="CV383" s="40"/>
      <c r="CW383" s="40"/>
      <c r="CX383" s="40"/>
      <c r="CY383" s="40" t="s">
        <v>205</v>
      </c>
      <c r="CZ383" s="40"/>
      <c r="DA383" s="40"/>
    </row>
    <row r="384" spans="1:105" ht="15.75" customHeight="1">
      <c r="A384" s="3">
        <v>847</v>
      </c>
      <c r="B384" s="92" t="s">
        <v>199</v>
      </c>
      <c r="C384" s="143" t="s">
        <v>104</v>
      </c>
      <c r="D384" s="3" t="s">
        <v>105</v>
      </c>
      <c r="E384" s="144">
        <v>45076</v>
      </c>
      <c r="F384" s="3" t="s">
        <v>186</v>
      </c>
      <c r="G384" s="3" t="s">
        <v>107</v>
      </c>
      <c r="H384" s="3">
        <v>2010</v>
      </c>
      <c r="I384" s="40" t="s">
        <v>108</v>
      </c>
      <c r="J384" s="39" t="str">
        <f>paper3[[#This Row],[sex]]&amp;paper3[[#This Row],[ageg]]</f>
        <v>girlsU14</v>
      </c>
      <c r="K384" s="3">
        <v>154.5</v>
      </c>
      <c r="L384" s="3">
        <v>154.5</v>
      </c>
      <c r="M384" s="3"/>
      <c r="N384" s="3">
        <v>150.30000000000001</v>
      </c>
      <c r="O384" s="3">
        <v>150.5</v>
      </c>
      <c r="P384" s="3"/>
      <c r="Q384" s="3">
        <v>43</v>
      </c>
      <c r="R384" s="3"/>
      <c r="S384" s="3"/>
      <c r="T384" s="125">
        <v>154.5</v>
      </c>
      <c r="U384" s="126">
        <v>80.2</v>
      </c>
      <c r="V384" s="12">
        <f>paper3[[#This Row],[height]]-paper3[[#This Row],[sittingheight]]</f>
        <v>74.3</v>
      </c>
      <c r="W384" s="127">
        <v>43</v>
      </c>
      <c r="X384" s="43" cm="1">
        <f t="array" ref="X384">INDEX([1]!phvny[yphv], MATCH(1, (paper3[[#This Row],[id]]=[1]!phvny[id])*(paper3[[#This Row],[time]]=[1]!phvny[time]), 0))</f>
        <v>0.71762092591046467</v>
      </c>
      <c r="Y384" s="3">
        <v>1.8260000000000001</v>
      </c>
      <c r="Z384" s="3">
        <v>3.367</v>
      </c>
      <c r="AA384" s="3">
        <v>4.8600000000000003</v>
      </c>
      <c r="AB384" s="3">
        <v>2.0819999999999999</v>
      </c>
      <c r="AC384" s="3">
        <v>3.7789999999999999</v>
      </c>
      <c r="AD384" s="3">
        <v>5.3319999999999999</v>
      </c>
      <c r="AE384" s="3">
        <v>1.6919999999999999</v>
      </c>
      <c r="AF384" s="3">
        <v>3.383</v>
      </c>
      <c r="AG384" s="3">
        <v>4.944</v>
      </c>
      <c r="AH384" s="130">
        <v>1.9019999999999999</v>
      </c>
      <c r="AI384" s="130">
        <v>3.5470000000000002</v>
      </c>
      <c r="AJ384" s="130">
        <v>5.07</v>
      </c>
      <c r="AK384" s="45">
        <v>6.5659881812212735</v>
      </c>
      <c r="AL384" s="3">
        <v>10.45</v>
      </c>
      <c r="AM384" s="3">
        <v>10.61</v>
      </c>
      <c r="AN384" s="3">
        <v>10.66</v>
      </c>
      <c r="AO384" s="3">
        <v>10.68</v>
      </c>
      <c r="AP384" s="137">
        <v>11.129999999999999</v>
      </c>
      <c r="AQ384" s="132"/>
      <c r="AR384" s="132"/>
      <c r="AS384" s="3">
        <v>14.4</v>
      </c>
      <c r="AT384" s="3">
        <v>16.399999999999999</v>
      </c>
      <c r="AU384" s="3">
        <v>18.399999999999999</v>
      </c>
      <c r="AV384" s="3"/>
      <c r="AW384" s="3"/>
      <c r="AX384" s="133">
        <v>21.36</v>
      </c>
      <c r="AY384" s="134"/>
      <c r="AZ384" s="40"/>
      <c r="BA384" s="40"/>
      <c r="BB384" s="40"/>
      <c r="BC384" s="40"/>
      <c r="BD384" s="135">
        <v>992.81155639461463</v>
      </c>
      <c r="BE384" s="135">
        <v>974.54785015034759</v>
      </c>
      <c r="BF384" s="40"/>
      <c r="BG384" s="135">
        <v>228.48830028180788</v>
      </c>
      <c r="BH384" s="135">
        <v>224.79479930360259</v>
      </c>
      <c r="BI384" s="49">
        <v>1967.3594065449622</v>
      </c>
      <c r="BJ384" s="49">
        <v>453.28309958541047</v>
      </c>
      <c r="BK384" s="66">
        <v>1.8740697279717278E-2</v>
      </c>
      <c r="BL384" s="66">
        <v>1.6430544610673836E-2</v>
      </c>
      <c r="BM384" s="51">
        <v>45.752544338254935</v>
      </c>
      <c r="BN384" s="51">
        <v>10.541467432218848</v>
      </c>
      <c r="BO384" s="136"/>
      <c r="BP384" s="40"/>
      <c r="BQ384" s="40"/>
      <c r="BR384" s="67"/>
      <c r="BS384" s="54" t="s">
        <v>110</v>
      </c>
      <c r="BT384" s="68"/>
      <c r="BU384" s="69"/>
      <c r="BV384" s="3"/>
      <c r="BW384" s="3"/>
      <c r="BX384" s="70"/>
      <c r="BY384" s="70"/>
      <c r="BZ384" s="59"/>
      <c r="CA384" s="59"/>
      <c r="CB384" s="59" t="s">
        <v>110</v>
      </c>
      <c r="CC384" s="59" t="s">
        <v>110</v>
      </c>
      <c r="CD384" s="60"/>
      <c r="CE384" s="60"/>
      <c r="CF384" s="61"/>
      <c r="CG384" s="61"/>
      <c r="CH384" s="61"/>
      <c r="CI384" s="138">
        <v>15.3</v>
      </c>
      <c r="CJ384" s="40">
        <f>VLOOKUP(paper3[[#This Row],[YYIR nivå]],$DB:$DC,2)</f>
        <v>880</v>
      </c>
      <c r="CK384" s="3"/>
      <c r="CL384" s="62"/>
      <c r="CM384" s="62"/>
      <c r="CN384" s="3"/>
      <c r="CO384" s="3"/>
      <c r="CP384" s="41">
        <v>13.197222222222223</v>
      </c>
      <c r="CQ384" s="3"/>
      <c r="CR384" s="40" t="s">
        <v>110</v>
      </c>
      <c r="CS384" s="40" t="s">
        <v>110</v>
      </c>
      <c r="CT384" s="40" t="s">
        <v>110</v>
      </c>
      <c r="CU384" s="40"/>
      <c r="CV384" s="40"/>
      <c r="CW384" s="40"/>
      <c r="CX384" s="40"/>
      <c r="CY384" s="40" t="s">
        <v>205</v>
      </c>
      <c r="CZ384" s="40"/>
      <c r="DA384" s="40"/>
    </row>
    <row r="385" spans="1:105" ht="15.75" customHeight="1">
      <c r="A385" s="3">
        <v>848</v>
      </c>
      <c r="B385" s="92" t="s">
        <v>199</v>
      </c>
      <c r="C385" s="143" t="s">
        <v>171</v>
      </c>
      <c r="D385" s="3" t="s">
        <v>105</v>
      </c>
      <c r="E385" s="144">
        <v>45076</v>
      </c>
      <c r="F385" s="3" t="s">
        <v>186</v>
      </c>
      <c r="G385" s="3" t="s">
        <v>107</v>
      </c>
      <c r="H385" s="3">
        <v>2010</v>
      </c>
      <c r="I385" s="40" t="s">
        <v>108</v>
      </c>
      <c r="J385" s="39" t="str">
        <f>paper3[[#This Row],[sex]]&amp;paper3[[#This Row],[ageg]]</f>
        <v>girlsU14</v>
      </c>
      <c r="K385" s="3">
        <v>160.19999999999999</v>
      </c>
      <c r="L385" s="3">
        <v>160.19999999999999</v>
      </c>
      <c r="M385" s="3"/>
      <c r="N385" s="3">
        <v>152</v>
      </c>
      <c r="O385" s="3">
        <v>152</v>
      </c>
      <c r="P385" s="3"/>
      <c r="Q385" s="3">
        <v>53.8</v>
      </c>
      <c r="R385" s="3"/>
      <c r="S385" s="3"/>
      <c r="T385" s="125">
        <v>160.19999999999999</v>
      </c>
      <c r="U385" s="126">
        <v>81.8</v>
      </c>
      <c r="V385" s="12">
        <f>paper3[[#This Row],[height]]-paper3[[#This Row],[sittingheight]]</f>
        <v>78.399999999999991</v>
      </c>
      <c r="W385" s="127">
        <v>53.8</v>
      </c>
      <c r="X385" s="43" cm="1">
        <f t="array" ref="X385">INDEX([1]!phvny[yphv], MATCH(1, (paper3[[#This Row],[id]]=[1]!phvny[id])*(paper3[[#This Row],[time]]=[1]!phvny[time]), 0))</f>
        <v>0.88222685672159695</v>
      </c>
      <c r="Y385" s="3">
        <v>2.06</v>
      </c>
      <c r="Z385" s="3">
        <v>3.7989999999999999</v>
      </c>
      <c r="AA385" s="3">
        <v>5.4820000000000002</v>
      </c>
      <c r="AB385" s="3">
        <v>1.702</v>
      </c>
      <c r="AC385" s="3">
        <v>3.5169999999999999</v>
      </c>
      <c r="AD385" s="3">
        <v>5.2069999999999999</v>
      </c>
      <c r="AE385" s="3">
        <v>1.7649999999999999</v>
      </c>
      <c r="AF385" s="3">
        <v>3.6749999999999998</v>
      </c>
      <c r="AG385" s="3">
        <v>5.4649999999999999</v>
      </c>
      <c r="AH385" s="130">
        <v>1.9119999999999999</v>
      </c>
      <c r="AI385" s="130">
        <v>3.6970000000000001</v>
      </c>
      <c r="AJ385" s="130">
        <v>5.4169999999999998</v>
      </c>
      <c r="AK385" s="45">
        <v>5.8139534883720936</v>
      </c>
      <c r="AL385" s="3">
        <v>11.19</v>
      </c>
      <c r="AM385" s="3">
        <v>11.23</v>
      </c>
      <c r="AN385" s="3">
        <v>11.62</v>
      </c>
      <c r="AO385" s="3">
        <v>11.32</v>
      </c>
      <c r="AP385" s="137">
        <v>11.87</v>
      </c>
      <c r="AQ385" s="132"/>
      <c r="AR385" s="132"/>
      <c r="AS385" s="3">
        <v>16.8</v>
      </c>
      <c r="AT385" s="3">
        <v>16.899999999999999</v>
      </c>
      <c r="AU385" s="3">
        <v>15.2</v>
      </c>
      <c r="AV385" s="3"/>
      <c r="AW385" s="3"/>
      <c r="AX385" s="133">
        <v>19.86</v>
      </c>
      <c r="AY385" s="134"/>
      <c r="AZ385" s="40"/>
      <c r="BA385" s="40"/>
      <c r="BB385" s="40"/>
      <c r="BC385" s="40"/>
      <c r="BD385" s="135">
        <v>875.3881135813358</v>
      </c>
      <c r="BE385" s="135">
        <v>870.1152918685757</v>
      </c>
      <c r="BF385" s="40"/>
      <c r="BG385" s="135">
        <v>269.43003744362903</v>
      </c>
      <c r="BH385" s="135">
        <v>240.07557202924045</v>
      </c>
      <c r="BI385" s="49">
        <v>1745.5034054499115</v>
      </c>
      <c r="BJ385" s="49">
        <v>509.50560947286948</v>
      </c>
      <c r="BK385" s="66">
        <v>6.0599115565900252E-3</v>
      </c>
      <c r="BL385" s="66">
        <v>0.12227177120216681</v>
      </c>
      <c r="BM385" s="51">
        <v>32.444301216541106</v>
      </c>
      <c r="BN385" s="51">
        <v>9.4703644883433</v>
      </c>
      <c r="BO385" s="136"/>
      <c r="BP385" s="40"/>
      <c r="BQ385" s="40"/>
      <c r="BR385" s="67"/>
      <c r="BS385" s="54" t="s">
        <v>110</v>
      </c>
      <c r="BT385" s="68"/>
      <c r="BU385" s="69"/>
      <c r="BV385" s="3"/>
      <c r="BW385" s="3"/>
      <c r="BX385" s="70"/>
      <c r="BY385" s="70"/>
      <c r="BZ385" s="59"/>
      <c r="CA385" s="59"/>
      <c r="CB385" s="59" t="s">
        <v>110</v>
      </c>
      <c r="CC385" s="59" t="s">
        <v>110</v>
      </c>
      <c r="CD385" s="60"/>
      <c r="CE385" s="60"/>
      <c r="CF385" s="61"/>
      <c r="CG385" s="61"/>
      <c r="CH385" s="61"/>
      <c r="CI385" s="138">
        <v>14.8</v>
      </c>
      <c r="CJ385" s="40">
        <f>VLOOKUP(paper3[[#This Row],[YYIR nivå]],$DB:$DC,2)</f>
        <v>760</v>
      </c>
      <c r="CK385" s="3"/>
      <c r="CL385" s="62"/>
      <c r="CM385" s="62"/>
      <c r="CN385" s="3"/>
      <c r="CO385" s="3"/>
      <c r="CP385" s="41">
        <v>12.75</v>
      </c>
      <c r="CQ385" s="3"/>
      <c r="CR385" s="40" t="s">
        <v>110</v>
      </c>
      <c r="CS385" s="40" t="s">
        <v>110</v>
      </c>
      <c r="CT385" s="40" t="s">
        <v>110</v>
      </c>
      <c r="CU385" s="40"/>
      <c r="CV385" s="40"/>
      <c r="CW385" s="40"/>
      <c r="CX385" s="40"/>
      <c r="CY385" s="40" t="s">
        <v>205</v>
      </c>
      <c r="CZ385" s="40"/>
      <c r="DA385" s="40"/>
    </row>
    <row r="386" spans="1:105" ht="15.75" customHeight="1">
      <c r="A386" s="3">
        <v>849</v>
      </c>
      <c r="B386" s="92" t="s">
        <v>199</v>
      </c>
      <c r="C386" s="143">
        <v>0</v>
      </c>
      <c r="D386" s="3" t="s">
        <v>105</v>
      </c>
      <c r="E386" s="144">
        <v>45076</v>
      </c>
      <c r="F386" s="3" t="s">
        <v>186</v>
      </c>
      <c r="G386" s="3" t="s">
        <v>107</v>
      </c>
      <c r="H386" s="3">
        <v>2010</v>
      </c>
      <c r="I386" s="40" t="s">
        <v>108</v>
      </c>
      <c r="J386" s="39" t="str">
        <f>paper3[[#This Row],[sex]]&amp;paper3[[#This Row],[ageg]]</f>
        <v>girlsU14</v>
      </c>
      <c r="K386" s="3"/>
      <c r="L386" s="3"/>
      <c r="M386" s="3"/>
      <c r="N386" s="3"/>
      <c r="O386" s="3"/>
      <c r="P386" s="3"/>
      <c r="Q386" s="3"/>
      <c r="R386" s="3"/>
      <c r="S386" s="3"/>
      <c r="T386" s="125"/>
      <c r="U386" s="126"/>
      <c r="V386" s="12"/>
      <c r="W386" s="127"/>
      <c r="X386" s="43"/>
      <c r="Y386" s="3"/>
      <c r="Z386" s="3"/>
      <c r="AA386" s="3"/>
      <c r="AB386" s="3"/>
      <c r="AC386" s="3"/>
      <c r="AD386" s="3"/>
      <c r="AE386" s="3"/>
      <c r="AF386" s="3"/>
      <c r="AG386" s="3"/>
      <c r="AH386" s="133"/>
      <c r="AI386" s="133"/>
      <c r="AJ386" s="133"/>
      <c r="AK386" s="45"/>
      <c r="AL386" s="3"/>
      <c r="AM386" s="3"/>
      <c r="AN386" s="3"/>
      <c r="AO386" s="3"/>
      <c r="AP386" s="137"/>
      <c r="AQ386" s="132"/>
      <c r="AR386" s="132"/>
      <c r="AS386" s="3"/>
      <c r="AT386" s="3"/>
      <c r="AU386" s="3"/>
      <c r="AV386" s="3"/>
      <c r="AW386" s="3"/>
      <c r="AX386" s="133"/>
      <c r="AY386" s="134"/>
      <c r="AZ386" s="40"/>
      <c r="BA386" s="40"/>
      <c r="BB386" s="40"/>
      <c r="BC386" s="40"/>
      <c r="BD386" s="135" t="s">
        <v>110</v>
      </c>
      <c r="BE386" s="135" t="s">
        <v>110</v>
      </c>
      <c r="BF386" s="40"/>
      <c r="BG386" s="135" t="s">
        <v>110</v>
      </c>
      <c r="BH386" s="135" t="s">
        <v>110</v>
      </c>
      <c r="BI386" s="49"/>
      <c r="BJ386" s="49"/>
      <c r="BK386" s="66"/>
      <c r="BL386" s="66"/>
      <c r="BM386" s="51"/>
      <c r="BN386" s="51"/>
      <c r="BO386" s="136"/>
      <c r="BP386" s="40"/>
      <c r="BQ386" s="40"/>
      <c r="BR386" s="67"/>
      <c r="BS386" s="54" t="s">
        <v>110</v>
      </c>
      <c r="BT386" s="68"/>
      <c r="BU386" s="69"/>
      <c r="BV386" s="3"/>
      <c r="BW386" s="3"/>
      <c r="BX386" s="70"/>
      <c r="BY386" s="70"/>
      <c r="BZ386" s="59"/>
      <c r="CA386" s="59"/>
      <c r="CB386" s="59" t="s">
        <v>110</v>
      </c>
      <c r="CC386" s="59" t="s">
        <v>110</v>
      </c>
      <c r="CD386" s="60"/>
      <c r="CE386" s="60"/>
      <c r="CF386" s="61"/>
      <c r="CG386" s="61"/>
      <c r="CH386" s="61"/>
      <c r="CI386" s="138"/>
      <c r="CJ386" s="40"/>
      <c r="CK386" s="3"/>
      <c r="CL386" s="62"/>
      <c r="CM386" s="62"/>
      <c r="CN386" s="3"/>
      <c r="CO386" s="3"/>
      <c r="CP386" s="41">
        <v>13.122222222222222</v>
      </c>
      <c r="CQ386" s="3"/>
      <c r="CR386" s="40" t="s">
        <v>110</v>
      </c>
      <c r="CS386" s="40" t="s">
        <v>110</v>
      </c>
      <c r="CT386" s="40" t="s">
        <v>110</v>
      </c>
      <c r="CU386" s="40"/>
      <c r="CV386" s="40"/>
      <c r="CW386" s="40"/>
      <c r="CX386" s="40"/>
      <c r="CY386" s="40" t="s">
        <v>110</v>
      </c>
      <c r="CZ386" s="40"/>
      <c r="DA386" s="40"/>
    </row>
    <row r="387" spans="1:105" ht="15.75" customHeight="1">
      <c r="A387" s="3">
        <v>850</v>
      </c>
      <c r="B387" s="92" t="s">
        <v>199</v>
      </c>
      <c r="C387" s="143" t="s">
        <v>104</v>
      </c>
      <c r="D387" s="3" t="s">
        <v>105</v>
      </c>
      <c r="E387" s="144">
        <v>45076</v>
      </c>
      <c r="F387" s="3" t="s">
        <v>186</v>
      </c>
      <c r="G387" s="3" t="s">
        <v>107</v>
      </c>
      <c r="H387" s="3">
        <v>2010</v>
      </c>
      <c r="I387" s="40" t="s">
        <v>108</v>
      </c>
      <c r="J387" s="39" t="str">
        <f>paper3[[#This Row],[sex]]&amp;paper3[[#This Row],[ageg]]</f>
        <v>girlsU14</v>
      </c>
      <c r="K387" s="3">
        <v>156.5</v>
      </c>
      <c r="L387" s="3">
        <v>156.4</v>
      </c>
      <c r="M387" s="3"/>
      <c r="N387" s="3">
        <v>150</v>
      </c>
      <c r="O387" s="3">
        <v>150</v>
      </c>
      <c r="P387" s="3"/>
      <c r="Q387" s="3">
        <v>53.4</v>
      </c>
      <c r="R387" s="3"/>
      <c r="S387" s="3"/>
      <c r="T387" s="125">
        <v>156.44999999999999</v>
      </c>
      <c r="U387" s="126">
        <v>79.8</v>
      </c>
      <c r="V387" s="12">
        <f>paper3[[#This Row],[height]]-paper3[[#This Row],[sittingheight]]</f>
        <v>76.649999999999991</v>
      </c>
      <c r="W387" s="127">
        <v>53.4</v>
      </c>
      <c r="X387" s="43" cm="1">
        <f t="array" ref="X387">INDEX([1]!phvny[yphv], MATCH(1, (paper3[[#This Row],[id]]=[1]!phvny[id])*(paper3[[#This Row],[time]]=[1]!phvny[time]), 0))</f>
        <v>0.71843714338478648</v>
      </c>
      <c r="Y387" s="3">
        <v>2.2949999999999999</v>
      </c>
      <c r="Z387" s="3">
        <v>4.1020000000000003</v>
      </c>
      <c r="AA387" s="3">
        <v>5.8739999999999997</v>
      </c>
      <c r="AB387" s="3">
        <v>2.3610000000000002</v>
      </c>
      <c r="AC387" s="3">
        <v>4.2460000000000004</v>
      </c>
      <c r="AD387" s="3">
        <v>6.1589999999999998</v>
      </c>
      <c r="AE387" s="3">
        <v>2.27</v>
      </c>
      <c r="AF387" s="3">
        <v>4.0869999999999997</v>
      </c>
      <c r="AG387" s="3">
        <v>5.9080000000000004</v>
      </c>
      <c r="AH387" s="130">
        <v>2.48</v>
      </c>
      <c r="AI387" s="130">
        <v>4.2669999999999995</v>
      </c>
      <c r="AJ387" s="130">
        <v>6.0839999999999996</v>
      </c>
      <c r="AK387" s="45">
        <v>5.5035773252614195</v>
      </c>
      <c r="AL387" s="3">
        <v>12.62</v>
      </c>
      <c r="AM387" s="3">
        <v>12.91</v>
      </c>
      <c r="AN387" s="3">
        <v>13.38</v>
      </c>
      <c r="AO387" s="3">
        <v>13.34</v>
      </c>
      <c r="AP387" s="137">
        <v>13.299999999999999</v>
      </c>
      <c r="AQ387" s="132"/>
      <c r="AR387" s="132"/>
      <c r="AS387" s="3">
        <v>20.2</v>
      </c>
      <c r="AT387" s="3">
        <v>21.1</v>
      </c>
      <c r="AU387" s="3">
        <v>21</v>
      </c>
      <c r="AV387" s="3"/>
      <c r="AW387" s="3"/>
      <c r="AX387" s="133">
        <v>24.060000000000002</v>
      </c>
      <c r="AY387" s="134"/>
      <c r="AZ387" s="40"/>
      <c r="BA387" s="40"/>
      <c r="BB387" s="40"/>
      <c r="BC387" s="40"/>
      <c r="BD387" s="135">
        <v>925.3286865493676</v>
      </c>
      <c r="BE387" s="135">
        <v>803.01203864845093</v>
      </c>
      <c r="BF387" s="40"/>
      <c r="BG387" s="135">
        <v>216.43406183978396</v>
      </c>
      <c r="BH387" s="135">
        <v>222.75281064361124</v>
      </c>
      <c r="BI387" s="49">
        <v>1728.3407251978185</v>
      </c>
      <c r="BJ387" s="49">
        <v>439.18687248339518</v>
      </c>
      <c r="BK387" s="66">
        <v>0.15232230902389432</v>
      </c>
      <c r="BL387" s="66">
        <v>-2.8366640068738902E-2</v>
      </c>
      <c r="BM387" s="51">
        <v>32.365931183479752</v>
      </c>
      <c r="BN387" s="51">
        <v>8.2244732674793113</v>
      </c>
      <c r="BO387" s="136"/>
      <c r="BP387" s="40"/>
      <c r="BQ387" s="40"/>
      <c r="BR387" s="67"/>
      <c r="BS387" s="54" t="s">
        <v>110</v>
      </c>
      <c r="BT387" s="68"/>
      <c r="BU387" s="69"/>
      <c r="BV387" s="3"/>
      <c r="BW387" s="3"/>
      <c r="BX387" s="70"/>
      <c r="BY387" s="70"/>
      <c r="BZ387" s="59"/>
      <c r="CA387" s="59"/>
      <c r="CB387" s="59" t="s">
        <v>110</v>
      </c>
      <c r="CC387" s="59" t="s">
        <v>110</v>
      </c>
      <c r="CD387" s="60"/>
      <c r="CE387" s="60"/>
      <c r="CF387" s="61"/>
      <c r="CG387" s="61"/>
      <c r="CH387" s="61"/>
      <c r="CI387" s="138">
        <v>13.1</v>
      </c>
      <c r="CJ387" s="40">
        <f>VLOOKUP(paper3[[#This Row],[YYIR nivå]],$DB:$DC,2)</f>
        <v>320</v>
      </c>
      <c r="CK387" s="3"/>
      <c r="CL387" s="62"/>
      <c r="CM387" s="62"/>
      <c r="CN387" s="3"/>
      <c r="CO387" s="3"/>
      <c r="CP387" s="41">
        <v>12.819444444444445</v>
      </c>
      <c r="CQ387" s="3"/>
      <c r="CR387" s="40" t="s">
        <v>110</v>
      </c>
      <c r="CS387" s="40" t="s">
        <v>110</v>
      </c>
      <c r="CT387" s="40" t="s">
        <v>110</v>
      </c>
      <c r="CU387" s="40"/>
      <c r="CV387" s="40"/>
      <c r="CW387" s="40"/>
      <c r="CX387" s="40"/>
      <c r="CY387" s="40" t="s">
        <v>205</v>
      </c>
      <c r="CZ387" s="40"/>
      <c r="DA387" s="40"/>
    </row>
    <row r="388" spans="1:105" ht="15.75" customHeight="1">
      <c r="A388" s="3">
        <v>851</v>
      </c>
      <c r="B388" s="92" t="s">
        <v>199</v>
      </c>
      <c r="C388" s="143" t="s">
        <v>171</v>
      </c>
      <c r="D388" s="3" t="s">
        <v>105</v>
      </c>
      <c r="E388" s="144">
        <v>45076</v>
      </c>
      <c r="F388" s="3" t="s">
        <v>186</v>
      </c>
      <c r="G388" s="3" t="s">
        <v>107</v>
      </c>
      <c r="H388" s="3">
        <v>2010</v>
      </c>
      <c r="I388" s="40" t="s">
        <v>108</v>
      </c>
      <c r="J388" s="39" t="str">
        <f>paper3[[#This Row],[sex]]&amp;paper3[[#This Row],[ageg]]</f>
        <v>girlsU14</v>
      </c>
      <c r="K388" s="3">
        <v>160.5</v>
      </c>
      <c r="L388" s="3">
        <v>160.5</v>
      </c>
      <c r="M388" s="3"/>
      <c r="N388" s="3">
        <v>152</v>
      </c>
      <c r="O388" s="3">
        <v>152</v>
      </c>
      <c r="P388" s="3"/>
      <c r="Q388" s="3"/>
      <c r="R388" s="3"/>
      <c r="S388" s="3"/>
      <c r="T388" s="125">
        <v>160.5</v>
      </c>
      <c r="U388" s="126">
        <v>81.8</v>
      </c>
      <c r="V388" s="12">
        <f>paper3[[#This Row],[height]]-paper3[[#This Row],[sittingheight]]</f>
        <v>78.7</v>
      </c>
      <c r="W388" s="127"/>
      <c r="X388" s="43" cm="1">
        <f t="array" ref="X388">INDEX([1]!phvny[yphv], MATCH(1, (paper3[[#This Row],[id]]=[1]!phvny[id])*(paper3[[#This Row],[time]]=[1]!phvny[time]), 0))</f>
        <v>0.1512469069999991</v>
      </c>
      <c r="Y388" s="3">
        <v>1.9850000000000001</v>
      </c>
      <c r="Z388" s="3">
        <v>3.6040000000000001</v>
      </c>
      <c r="AA388" s="3">
        <v>5.1749999999999998</v>
      </c>
      <c r="AB388" s="3">
        <v>2.0249999999999999</v>
      </c>
      <c r="AC388" s="3">
        <v>3.8519999999999999</v>
      </c>
      <c r="AD388" s="3">
        <v>5.2869999999999999</v>
      </c>
      <c r="AE388" s="3">
        <v>1.1240000000000001</v>
      </c>
      <c r="AF388" s="3">
        <v>2.903</v>
      </c>
      <c r="AG388" s="3">
        <v>4.5419999999999998</v>
      </c>
      <c r="AH388" s="130">
        <v>2.1950000000000003</v>
      </c>
      <c r="AI388" s="130">
        <v>3.0830000000000002</v>
      </c>
      <c r="AJ388" s="130">
        <v>5.3849999999999998</v>
      </c>
      <c r="AK388" s="45">
        <v>4.3440486533449185</v>
      </c>
      <c r="AL388" s="3">
        <v>10.71</v>
      </c>
      <c r="AM388" s="3">
        <v>10.79</v>
      </c>
      <c r="AN388" s="3">
        <v>10.71</v>
      </c>
      <c r="AO388" s="3">
        <v>11.25</v>
      </c>
      <c r="AP388" s="137">
        <v>11.39</v>
      </c>
      <c r="AQ388" s="132"/>
      <c r="AR388" s="132"/>
      <c r="AS388" s="3">
        <v>18.3</v>
      </c>
      <c r="AT388" s="3">
        <v>18.899999999999999</v>
      </c>
      <c r="AU388" s="3">
        <v>18.3</v>
      </c>
      <c r="AV388" s="3"/>
      <c r="AW388" s="3"/>
      <c r="AX388" s="133">
        <v>21.86</v>
      </c>
      <c r="AY388" s="134"/>
      <c r="AZ388" s="40"/>
      <c r="BA388" s="40"/>
      <c r="BB388" s="40"/>
      <c r="BC388" s="40"/>
      <c r="BD388" s="135" t="s">
        <v>110</v>
      </c>
      <c r="BE388" s="135" t="s">
        <v>110</v>
      </c>
      <c r="BF388" s="40"/>
      <c r="BG388" s="135" t="s">
        <v>110</v>
      </c>
      <c r="BH388" s="135" t="s">
        <v>110</v>
      </c>
      <c r="BI388" s="49"/>
      <c r="BJ388" s="49"/>
      <c r="BK388" s="66"/>
      <c r="BL388" s="66"/>
      <c r="BM388" s="51"/>
      <c r="BN388" s="51"/>
      <c r="BO388" s="136"/>
      <c r="BP388" s="40"/>
      <c r="BQ388" s="40"/>
      <c r="BR388" s="67"/>
      <c r="BS388" s="54" t="s">
        <v>110</v>
      </c>
      <c r="BT388" s="68"/>
      <c r="BU388" s="69"/>
      <c r="BV388" s="3"/>
      <c r="BW388" s="3"/>
      <c r="BX388" s="70"/>
      <c r="BY388" s="70"/>
      <c r="BZ388" s="59"/>
      <c r="CA388" s="59"/>
      <c r="CB388" s="59" t="s">
        <v>110</v>
      </c>
      <c r="CC388" s="59" t="s">
        <v>110</v>
      </c>
      <c r="CD388" s="60"/>
      <c r="CE388" s="60"/>
      <c r="CF388" s="61"/>
      <c r="CG388" s="61"/>
      <c r="CH388" s="61"/>
      <c r="CI388" s="138">
        <v>14.2</v>
      </c>
      <c r="CJ388" s="40">
        <f>VLOOKUP(paper3[[#This Row],[YYIR nivå]],$DB:$DC,2)</f>
        <v>520</v>
      </c>
      <c r="CK388" s="3"/>
      <c r="CL388" s="62"/>
      <c r="CM388" s="62"/>
      <c r="CN388" s="3"/>
      <c r="CO388" s="3"/>
      <c r="CP388" s="41">
        <v>12.775</v>
      </c>
      <c r="CQ388" s="3"/>
      <c r="CR388" s="40" t="s">
        <v>110</v>
      </c>
      <c r="CS388" s="40" t="s">
        <v>110</v>
      </c>
      <c r="CT388" s="40" t="s">
        <v>110</v>
      </c>
      <c r="CU388" s="40"/>
      <c r="CV388" s="40"/>
      <c r="CW388" s="40"/>
      <c r="CX388" s="40"/>
      <c r="CY388" s="40" t="s">
        <v>204</v>
      </c>
      <c r="CZ388" s="40"/>
      <c r="DA388" s="40"/>
    </row>
    <row r="389" spans="1:105" ht="15.75" customHeight="1">
      <c r="A389" s="3">
        <v>852</v>
      </c>
      <c r="B389" s="92" t="s">
        <v>199</v>
      </c>
      <c r="C389" s="143" t="s">
        <v>171</v>
      </c>
      <c r="D389" s="3" t="s">
        <v>105</v>
      </c>
      <c r="E389" s="144">
        <v>45076</v>
      </c>
      <c r="F389" s="3" t="s">
        <v>186</v>
      </c>
      <c r="G389" s="3" t="s">
        <v>107</v>
      </c>
      <c r="H389" s="3">
        <v>2010</v>
      </c>
      <c r="I389" s="40" t="s">
        <v>108</v>
      </c>
      <c r="J389" s="39" t="str">
        <f>paper3[[#This Row],[sex]]&amp;paper3[[#This Row],[ageg]]</f>
        <v>girlsU14</v>
      </c>
      <c r="K389" s="3">
        <v>159</v>
      </c>
      <c r="L389" s="3">
        <v>159</v>
      </c>
      <c r="M389" s="3"/>
      <c r="N389" s="3">
        <v>152.5</v>
      </c>
      <c r="O389" s="3">
        <v>152.5</v>
      </c>
      <c r="P389" s="3"/>
      <c r="Q389" s="3">
        <v>60.4</v>
      </c>
      <c r="R389" s="3"/>
      <c r="S389" s="3"/>
      <c r="T389" s="125">
        <v>159</v>
      </c>
      <c r="U389" s="126">
        <v>82.3</v>
      </c>
      <c r="V389" s="12">
        <f>paper3[[#This Row],[height]]-paper3[[#This Row],[sittingheight]]</f>
        <v>76.7</v>
      </c>
      <c r="W389" s="127">
        <v>60.4</v>
      </c>
      <c r="X389" s="43" cm="1">
        <f t="array" ref="X389">INDEX([1]!phvny[yphv], MATCH(1, (paper3[[#This Row],[id]]=[1]!phvny[id])*(paper3[[#This Row],[time]]=[1]!phvny[time]), 0))</f>
        <v>0.84032429348846893</v>
      </c>
      <c r="Y389" s="3">
        <v>2.1160000000000001</v>
      </c>
      <c r="Z389" s="3">
        <v>3.8319999999999999</v>
      </c>
      <c r="AA389" s="3">
        <v>5.4790000000000001</v>
      </c>
      <c r="AB389" s="3">
        <v>2.194</v>
      </c>
      <c r="AC389" s="3">
        <v>3.98</v>
      </c>
      <c r="AD389" s="3">
        <v>5.7160000000000002</v>
      </c>
      <c r="AE389" s="3">
        <v>2.2549999999999999</v>
      </c>
      <c r="AF389" s="3">
        <v>4.0609999999999999</v>
      </c>
      <c r="AG389" s="3">
        <v>5.8470000000000004</v>
      </c>
      <c r="AH389" s="130">
        <v>2.3260000000000001</v>
      </c>
      <c r="AI389" s="130">
        <v>4.0119999999999996</v>
      </c>
      <c r="AJ389" s="130">
        <v>5.6890000000000001</v>
      </c>
      <c r="AK389" s="45">
        <v>5.9630292188431708</v>
      </c>
      <c r="AL389" s="3">
        <v>11.88</v>
      </c>
      <c r="AM389" s="3">
        <v>12.13</v>
      </c>
      <c r="AN389" s="3">
        <v>13.93</v>
      </c>
      <c r="AO389" s="3">
        <v>12.41</v>
      </c>
      <c r="AP389" s="137">
        <v>12.56</v>
      </c>
      <c r="AQ389" s="132"/>
      <c r="AR389" s="132"/>
      <c r="AS389" s="3" t="s">
        <v>208</v>
      </c>
      <c r="AT389" s="3"/>
      <c r="AU389" s="3"/>
      <c r="AV389" s="3"/>
      <c r="AW389" s="3"/>
      <c r="AX389" s="133"/>
      <c r="AY389" s="134"/>
      <c r="AZ389" s="40"/>
      <c r="BA389" s="40"/>
      <c r="BB389" s="40"/>
      <c r="BC389" s="40"/>
      <c r="BD389" s="135">
        <v>829.35129459436757</v>
      </c>
      <c r="BE389" s="135">
        <v>780.90721174553471</v>
      </c>
      <c r="BF389" s="40"/>
      <c r="BG389" s="135">
        <v>283.12600405497398</v>
      </c>
      <c r="BH389" s="135">
        <v>262.55008773945531</v>
      </c>
      <c r="BI389" s="49">
        <v>1610.2585063399024</v>
      </c>
      <c r="BJ389" s="49">
        <v>545.67609179442934</v>
      </c>
      <c r="BK389" s="66">
        <v>6.2035645362459313E-2</v>
      </c>
      <c r="BL389" s="66">
        <v>7.8369489390296643E-2</v>
      </c>
      <c r="BM389" s="51">
        <v>26.659909045362625</v>
      </c>
      <c r="BN389" s="51">
        <v>9.0343723807024734</v>
      </c>
      <c r="BO389" s="136"/>
      <c r="BP389" s="40"/>
      <c r="BQ389" s="40"/>
      <c r="BR389" s="67"/>
      <c r="BS389" s="54" t="s">
        <v>110</v>
      </c>
      <c r="BT389" s="68"/>
      <c r="BU389" s="69"/>
      <c r="BV389" s="3"/>
      <c r="BW389" s="3"/>
      <c r="BX389" s="70"/>
      <c r="BY389" s="70"/>
      <c r="BZ389" s="59"/>
      <c r="CA389" s="59"/>
      <c r="CB389" s="59" t="s">
        <v>110</v>
      </c>
      <c r="CC389" s="59" t="s">
        <v>110</v>
      </c>
      <c r="CD389" s="60"/>
      <c r="CE389" s="60"/>
      <c r="CF389" s="61"/>
      <c r="CG389" s="61"/>
      <c r="CH389" s="61"/>
      <c r="CI389" s="138">
        <v>12.2</v>
      </c>
      <c r="CJ389" s="40">
        <f>VLOOKUP(paper3[[#This Row],[YYIR nivå]],$DB:$DC,2)</f>
        <v>240</v>
      </c>
      <c r="CK389" s="3"/>
      <c r="CL389" s="62"/>
      <c r="CM389" s="62"/>
      <c r="CN389" s="3"/>
      <c r="CO389" s="3"/>
      <c r="CP389" s="41">
        <v>12.488888888888889</v>
      </c>
      <c r="CQ389" s="3"/>
      <c r="CR389" s="40" t="s">
        <v>110</v>
      </c>
      <c r="CS389" s="40" t="s">
        <v>110</v>
      </c>
      <c r="CT389" s="40" t="s">
        <v>110</v>
      </c>
      <c r="CU389" s="40"/>
      <c r="CV389" s="40"/>
      <c r="CW389" s="40"/>
      <c r="CX389" s="40"/>
      <c r="CY389" s="40" t="s">
        <v>205</v>
      </c>
      <c r="CZ389" s="40"/>
      <c r="DA389" s="40"/>
    </row>
    <row r="390" spans="1:105" ht="15.75" customHeight="1">
      <c r="A390" s="3">
        <v>853</v>
      </c>
      <c r="B390" s="92" t="s">
        <v>199</v>
      </c>
      <c r="C390" s="143">
        <v>0</v>
      </c>
      <c r="D390" s="3" t="s">
        <v>105</v>
      </c>
      <c r="E390" s="144">
        <v>45076</v>
      </c>
      <c r="F390" s="3" t="s">
        <v>186</v>
      </c>
      <c r="G390" s="3" t="s">
        <v>107</v>
      </c>
      <c r="H390" s="3">
        <v>2010</v>
      </c>
      <c r="I390" s="40" t="s">
        <v>108</v>
      </c>
      <c r="J390" s="39" t="str">
        <f>paper3[[#This Row],[sex]]&amp;paper3[[#This Row],[ageg]]</f>
        <v>girlsU14</v>
      </c>
      <c r="K390" s="3"/>
      <c r="L390" s="3"/>
      <c r="M390" s="3"/>
      <c r="N390" s="3"/>
      <c r="O390" s="3"/>
      <c r="P390" s="3"/>
      <c r="Q390" s="3"/>
      <c r="R390" s="3"/>
      <c r="S390" s="3"/>
      <c r="T390" s="125"/>
      <c r="U390" s="126"/>
      <c r="V390" s="12"/>
      <c r="W390" s="127"/>
      <c r="X390" s="43"/>
      <c r="Y390" s="3"/>
      <c r="Z390" s="3"/>
      <c r="AA390" s="3"/>
      <c r="AB390" s="3"/>
      <c r="AC390" s="3"/>
      <c r="AD390" s="3"/>
      <c r="AE390" s="3"/>
      <c r="AF390" s="3"/>
      <c r="AG390" s="3"/>
      <c r="AH390" s="133"/>
      <c r="AI390" s="133"/>
      <c r="AJ390" s="133"/>
      <c r="AK390" s="45"/>
      <c r="AL390" s="3"/>
      <c r="AM390" s="3"/>
      <c r="AN390" s="3"/>
      <c r="AO390" s="3"/>
      <c r="AP390" s="137"/>
      <c r="AQ390" s="132"/>
      <c r="AR390" s="132"/>
      <c r="AS390" s="3"/>
      <c r="AT390" s="3"/>
      <c r="AU390" s="3"/>
      <c r="AV390" s="3"/>
      <c r="AW390" s="3"/>
      <c r="AX390" s="133"/>
      <c r="AY390" s="134"/>
      <c r="AZ390" s="40"/>
      <c r="BA390" s="40"/>
      <c r="BB390" s="40"/>
      <c r="BC390" s="40"/>
      <c r="BD390" s="135" t="s">
        <v>110</v>
      </c>
      <c r="BE390" s="135" t="s">
        <v>110</v>
      </c>
      <c r="BF390" s="40"/>
      <c r="BG390" s="135" t="s">
        <v>110</v>
      </c>
      <c r="BH390" s="135" t="s">
        <v>110</v>
      </c>
      <c r="BI390" s="49"/>
      <c r="BJ390" s="49"/>
      <c r="BK390" s="66"/>
      <c r="BL390" s="66"/>
      <c r="BM390" s="51"/>
      <c r="BN390" s="51"/>
      <c r="BO390" s="136"/>
      <c r="BP390" s="40"/>
      <c r="BQ390" s="40"/>
      <c r="BR390" s="67"/>
      <c r="BS390" s="54" t="s">
        <v>110</v>
      </c>
      <c r="BT390" s="68"/>
      <c r="BU390" s="69"/>
      <c r="BV390" s="3"/>
      <c r="BW390" s="3"/>
      <c r="BX390" s="70"/>
      <c r="BY390" s="70"/>
      <c r="BZ390" s="59"/>
      <c r="CA390" s="59"/>
      <c r="CB390" s="59" t="s">
        <v>110</v>
      </c>
      <c r="CC390" s="59" t="s">
        <v>110</v>
      </c>
      <c r="CD390" s="60"/>
      <c r="CE390" s="60"/>
      <c r="CF390" s="61"/>
      <c r="CG390" s="61"/>
      <c r="CH390" s="61"/>
      <c r="CI390" s="138"/>
      <c r="CJ390" s="40"/>
      <c r="CK390" s="3"/>
      <c r="CL390" s="62"/>
      <c r="CM390" s="62"/>
      <c r="CN390" s="3"/>
      <c r="CO390" s="3"/>
      <c r="CP390" s="41">
        <v>13.097222222222221</v>
      </c>
      <c r="CQ390" s="3"/>
      <c r="CR390" s="40" t="s">
        <v>110</v>
      </c>
      <c r="CS390" s="40" t="s">
        <v>110</v>
      </c>
      <c r="CT390" s="40" t="s">
        <v>110</v>
      </c>
      <c r="CU390" s="40"/>
      <c r="CV390" s="40"/>
      <c r="CW390" s="40"/>
      <c r="CX390" s="40"/>
      <c r="CY390" s="40" t="s">
        <v>110</v>
      </c>
      <c r="CZ390" s="40"/>
      <c r="DA390" s="40"/>
    </row>
    <row r="391" spans="1:105" ht="15.75" customHeight="1">
      <c r="A391" s="3">
        <v>854</v>
      </c>
      <c r="B391" s="92" t="s">
        <v>199</v>
      </c>
      <c r="C391" s="143" t="s">
        <v>104</v>
      </c>
      <c r="D391" s="3" t="s">
        <v>105</v>
      </c>
      <c r="E391" s="144">
        <v>45076</v>
      </c>
      <c r="F391" s="3" t="s">
        <v>186</v>
      </c>
      <c r="G391" s="3" t="s">
        <v>107</v>
      </c>
      <c r="H391" s="3">
        <v>2010</v>
      </c>
      <c r="I391" s="40" t="s">
        <v>108</v>
      </c>
      <c r="J391" s="39" t="str">
        <f>paper3[[#This Row],[sex]]&amp;paper3[[#This Row],[ageg]]</f>
        <v>girlsU14</v>
      </c>
      <c r="K391" s="3">
        <v>165</v>
      </c>
      <c r="L391" s="3">
        <v>165</v>
      </c>
      <c r="M391" s="3"/>
      <c r="N391" s="3">
        <v>154.19999999999999</v>
      </c>
      <c r="O391" s="3">
        <v>154.19999999999999</v>
      </c>
      <c r="P391" s="3"/>
      <c r="Q391" s="3">
        <v>49.6</v>
      </c>
      <c r="R391" s="3"/>
      <c r="S391" s="3"/>
      <c r="T391" s="125">
        <v>165</v>
      </c>
      <c r="U391" s="126">
        <v>83.999999999999986</v>
      </c>
      <c r="V391" s="12">
        <f>paper3[[#This Row],[height]]-paper3[[#This Row],[sittingheight]]</f>
        <v>81.000000000000014</v>
      </c>
      <c r="W391" s="127">
        <v>49.6</v>
      </c>
      <c r="X391" s="43" cm="1">
        <f t="array" ref="X391">INDEX([1]!phvny[yphv], MATCH(1, (paper3[[#This Row],[id]]=[1]!phvny[id])*(paper3[[#This Row],[time]]=[1]!phvny[time]), 0))</f>
        <v>0.99977449757575809</v>
      </c>
      <c r="Y391" s="3">
        <v>2.0489999999999999</v>
      </c>
      <c r="Z391" s="3">
        <v>3.6659999999999999</v>
      </c>
      <c r="AA391" s="3">
        <v>5.2510000000000003</v>
      </c>
      <c r="AB391" s="3">
        <v>2.0070000000000001</v>
      </c>
      <c r="AC391" s="3">
        <v>3.6970000000000001</v>
      </c>
      <c r="AD391" s="3">
        <v>5.3470000000000004</v>
      </c>
      <c r="AE391" s="3">
        <v>2.0630000000000002</v>
      </c>
      <c r="AF391" s="3">
        <v>3.7360000000000002</v>
      </c>
      <c r="AG391" s="3">
        <v>5.3819999999999997</v>
      </c>
      <c r="AH391" s="130">
        <v>2.2170000000000001</v>
      </c>
      <c r="AI391" s="130">
        <v>3.8460000000000001</v>
      </c>
      <c r="AJ391" s="130">
        <v>5.4610000000000003</v>
      </c>
      <c r="AK391" s="45">
        <v>6.1919504643962844</v>
      </c>
      <c r="AL391" s="3">
        <v>10.82</v>
      </c>
      <c r="AM391" s="3">
        <v>10.9</v>
      </c>
      <c r="AN391" s="3">
        <v>11.1</v>
      </c>
      <c r="AO391" s="3">
        <v>11.11</v>
      </c>
      <c r="AP391" s="137">
        <v>11.69</v>
      </c>
      <c r="AQ391" s="132">
        <v>10.82</v>
      </c>
      <c r="AR391" s="132">
        <v>11.1</v>
      </c>
      <c r="AS391" s="3">
        <v>17</v>
      </c>
      <c r="AT391" s="3">
        <v>17.7</v>
      </c>
      <c r="AU391" s="3">
        <v>18</v>
      </c>
      <c r="AV391" s="3"/>
      <c r="AW391" s="3"/>
      <c r="AX391" s="133">
        <v>20.96</v>
      </c>
      <c r="AY391" s="134"/>
      <c r="AZ391" s="40"/>
      <c r="BA391" s="40"/>
      <c r="BB391" s="40"/>
      <c r="BC391" s="40"/>
      <c r="BD391" s="135">
        <v>768.33645559728666</v>
      </c>
      <c r="BE391" s="135">
        <v>729.41597348629034</v>
      </c>
      <c r="BF391" s="40"/>
      <c r="BG391" s="135">
        <v>288.962539490876</v>
      </c>
      <c r="BH391" s="135">
        <v>279.66711690830834</v>
      </c>
      <c r="BI391" s="49">
        <v>1497.752429083577</v>
      </c>
      <c r="BJ391" s="49">
        <v>568.62965639918434</v>
      </c>
      <c r="BK391" s="66">
        <v>5.3358417591231833E-2</v>
      </c>
      <c r="BL391" s="66">
        <v>3.323745274499057E-2</v>
      </c>
      <c r="BM391" s="51">
        <v>30.196621554104375</v>
      </c>
      <c r="BN391" s="51">
        <v>11.464307588693233</v>
      </c>
      <c r="BO391" s="136"/>
      <c r="BP391" s="40"/>
      <c r="BQ391" s="40"/>
      <c r="BR391" s="67"/>
      <c r="BS391" s="54" t="s">
        <v>110</v>
      </c>
      <c r="BT391" s="68"/>
      <c r="BU391" s="69"/>
      <c r="BV391" s="3"/>
      <c r="BW391" s="3"/>
      <c r="BX391" s="70"/>
      <c r="BY391" s="70"/>
      <c r="BZ391" s="59"/>
      <c r="CA391" s="59"/>
      <c r="CB391" s="59" t="s">
        <v>110</v>
      </c>
      <c r="CC391" s="59" t="s">
        <v>110</v>
      </c>
      <c r="CD391" s="60"/>
      <c r="CE391" s="60"/>
      <c r="CF391" s="61"/>
      <c r="CG391" s="61"/>
      <c r="CH391" s="61"/>
      <c r="CI391" s="138">
        <v>14.2</v>
      </c>
      <c r="CJ391" s="40">
        <f>VLOOKUP(paper3[[#This Row],[YYIR nivå]],$DB:$DC,2)</f>
        <v>520</v>
      </c>
      <c r="CK391" s="3"/>
      <c r="CL391" s="62"/>
      <c r="CM391" s="62"/>
      <c r="CN391" s="3"/>
      <c r="CO391" s="3"/>
      <c r="CP391" s="41">
        <v>12.630555555555556</v>
      </c>
      <c r="CQ391" s="3"/>
      <c r="CR391" s="40" t="s">
        <v>110</v>
      </c>
      <c r="CS391" s="40" t="s">
        <v>110</v>
      </c>
      <c r="CT391" s="40" t="s">
        <v>110</v>
      </c>
      <c r="CU391" s="40"/>
      <c r="CV391" s="40"/>
      <c r="CW391" s="40"/>
      <c r="CX391" s="40"/>
      <c r="CY391" s="40" t="s">
        <v>205</v>
      </c>
      <c r="CZ391" s="40"/>
      <c r="DA391" s="40"/>
    </row>
    <row r="392" spans="1:105" ht="15.75" customHeight="1">
      <c r="A392" s="3">
        <v>855</v>
      </c>
      <c r="B392" s="92" t="s">
        <v>199</v>
      </c>
      <c r="C392" s="143" t="s">
        <v>104</v>
      </c>
      <c r="D392" s="3" t="s">
        <v>105</v>
      </c>
      <c r="E392" s="144">
        <v>45076</v>
      </c>
      <c r="F392" s="3" t="s">
        <v>186</v>
      </c>
      <c r="G392" s="3" t="s">
        <v>107</v>
      </c>
      <c r="H392" s="3">
        <v>2010</v>
      </c>
      <c r="I392" s="40" t="s">
        <v>108</v>
      </c>
      <c r="J392" s="39" t="str">
        <f>paper3[[#This Row],[sex]]&amp;paper3[[#This Row],[ageg]]</f>
        <v>girlsU14</v>
      </c>
      <c r="K392" s="3">
        <v>169.5</v>
      </c>
      <c r="L392" s="3">
        <v>169.5</v>
      </c>
      <c r="M392" s="3"/>
      <c r="N392" s="3">
        <v>159.5</v>
      </c>
      <c r="O392" s="3">
        <v>159.5</v>
      </c>
      <c r="P392" s="3"/>
      <c r="Q392" s="3">
        <v>60.2</v>
      </c>
      <c r="R392" s="3"/>
      <c r="S392" s="3"/>
      <c r="T392" s="125">
        <v>169.5</v>
      </c>
      <c r="U392" s="126">
        <v>89.3</v>
      </c>
      <c r="V392" s="12">
        <f>paper3[[#This Row],[height]]-paper3[[#This Row],[sittingheight]]</f>
        <v>80.2</v>
      </c>
      <c r="W392" s="127">
        <v>60.2</v>
      </c>
      <c r="X392" s="43" cm="1">
        <f t="array" ref="X392">INDEX([1]!phvny[yphv], MATCH(1, (paper3[[#This Row],[id]]=[1]!phvny[id])*(paper3[[#This Row],[time]]=[1]!phvny[time]), 0))</f>
        <v>1.7044893866214355</v>
      </c>
      <c r="Y392" s="3">
        <v>2.069</v>
      </c>
      <c r="Z392" s="3">
        <v>3.7759999999999998</v>
      </c>
      <c r="AA392" s="3">
        <v>5.4109999999999996</v>
      </c>
      <c r="AB392" s="3">
        <v>2.0190000000000001</v>
      </c>
      <c r="AC392" s="3">
        <v>3.7160000000000002</v>
      </c>
      <c r="AD392" s="3">
        <v>5.3879999999999999</v>
      </c>
      <c r="AE392" s="3">
        <v>1.5960000000000001</v>
      </c>
      <c r="AF392" s="3">
        <v>3.3769999999999998</v>
      </c>
      <c r="AG392" s="3">
        <v>5.0650000000000004</v>
      </c>
      <c r="AH392" s="130">
        <v>2.2290000000000001</v>
      </c>
      <c r="AI392" s="130">
        <v>3.5569999999999999</v>
      </c>
      <c r="AJ392" s="130">
        <v>5.5979999999999999</v>
      </c>
      <c r="AK392" s="45">
        <v>4.8995590396864284</v>
      </c>
      <c r="AL392" s="3">
        <v>11.51</v>
      </c>
      <c r="AM392" s="3">
        <v>11.38</v>
      </c>
      <c r="AN392" s="3">
        <v>11.61</v>
      </c>
      <c r="AO392" s="3">
        <v>11.85</v>
      </c>
      <c r="AP392" s="137">
        <v>12.25</v>
      </c>
      <c r="AQ392" s="132">
        <v>11.38</v>
      </c>
      <c r="AR392" s="132">
        <v>11.61</v>
      </c>
      <c r="AS392" s="3">
        <v>17</v>
      </c>
      <c r="AT392" s="3">
        <v>18.399999999999999</v>
      </c>
      <c r="AU392" s="3">
        <v>19.3</v>
      </c>
      <c r="AV392" s="3"/>
      <c r="AW392" s="3"/>
      <c r="AX392" s="133">
        <v>22.26</v>
      </c>
      <c r="AY392" s="134"/>
      <c r="AZ392" s="40"/>
      <c r="BA392" s="40"/>
      <c r="BB392" s="40"/>
      <c r="BC392" s="40"/>
      <c r="BD392" s="135">
        <v>1178.450124946133</v>
      </c>
      <c r="BE392" s="135">
        <v>1146.4250440928345</v>
      </c>
      <c r="BF392" s="40"/>
      <c r="BG392" s="135">
        <v>327.05105697204158</v>
      </c>
      <c r="BH392" s="135">
        <v>340.38438657689335</v>
      </c>
      <c r="BI392" s="49">
        <v>2324.8751690389672</v>
      </c>
      <c r="BJ392" s="49">
        <v>667.43544354893493</v>
      </c>
      <c r="BK392" s="66">
        <v>2.7934735915194464E-2</v>
      </c>
      <c r="BL392" s="66">
        <v>-3.9171390142008655E-2</v>
      </c>
      <c r="BM392" s="51">
        <v>38.619188854467893</v>
      </c>
      <c r="BN392" s="51">
        <v>11.086967500812872</v>
      </c>
      <c r="BO392" s="136"/>
      <c r="BP392" s="40"/>
      <c r="BQ392" s="40"/>
      <c r="BR392" s="67"/>
      <c r="BS392" s="54" t="s">
        <v>110</v>
      </c>
      <c r="BT392" s="68"/>
      <c r="BU392" s="69"/>
      <c r="BV392" s="3"/>
      <c r="BW392" s="3"/>
      <c r="BX392" s="70"/>
      <c r="BY392" s="70"/>
      <c r="BZ392" s="59"/>
      <c r="CA392" s="59"/>
      <c r="CB392" s="59" t="s">
        <v>110</v>
      </c>
      <c r="CC392" s="59" t="s">
        <v>110</v>
      </c>
      <c r="CD392" s="60"/>
      <c r="CE392" s="60"/>
      <c r="CF392" s="61"/>
      <c r="CG392" s="61"/>
      <c r="CH392" s="61"/>
      <c r="CI392" s="138">
        <v>14.1</v>
      </c>
      <c r="CJ392" s="40">
        <f>VLOOKUP(paper3[[#This Row],[YYIR nivå]],$DB:$DC,2)</f>
        <v>480</v>
      </c>
      <c r="CK392" s="3"/>
      <c r="CL392" s="62"/>
      <c r="CM392" s="62"/>
      <c r="CN392" s="3"/>
      <c r="CO392" s="3"/>
      <c r="CP392" s="41">
        <v>13.011111111111111</v>
      </c>
      <c r="CQ392" s="3"/>
      <c r="CR392" s="40" t="s">
        <v>110</v>
      </c>
      <c r="CS392" s="40" t="s">
        <v>110</v>
      </c>
      <c r="CT392" s="40" t="s">
        <v>110</v>
      </c>
      <c r="CU392" s="40"/>
      <c r="CV392" s="40"/>
      <c r="CW392" s="40"/>
      <c r="CX392" s="40"/>
      <c r="CY392" s="40" t="s">
        <v>125</v>
      </c>
      <c r="CZ392" s="40"/>
      <c r="DA392" s="40"/>
    </row>
    <row r="393" spans="1:105" ht="15.75" customHeight="1">
      <c r="A393" s="3">
        <v>856</v>
      </c>
      <c r="B393" s="92" t="s">
        <v>199</v>
      </c>
      <c r="C393" s="143" t="s">
        <v>171</v>
      </c>
      <c r="D393" s="3" t="s">
        <v>105</v>
      </c>
      <c r="E393" s="144">
        <v>45076</v>
      </c>
      <c r="F393" s="3" t="s">
        <v>186</v>
      </c>
      <c r="G393" s="3" t="s">
        <v>107</v>
      </c>
      <c r="H393" s="3">
        <v>2010</v>
      </c>
      <c r="I393" s="40" t="s">
        <v>108</v>
      </c>
      <c r="J393" s="39" t="str">
        <f>paper3[[#This Row],[sex]]&amp;paper3[[#This Row],[ageg]]</f>
        <v>girlsU14</v>
      </c>
      <c r="K393" s="3">
        <v>166</v>
      </c>
      <c r="L393" s="3">
        <v>166</v>
      </c>
      <c r="M393" s="3"/>
      <c r="N393" s="3">
        <v>158</v>
      </c>
      <c r="O393" s="3">
        <v>158</v>
      </c>
      <c r="P393" s="3"/>
      <c r="Q393" s="3">
        <v>54.8</v>
      </c>
      <c r="R393" s="3"/>
      <c r="S393" s="3"/>
      <c r="T393" s="125">
        <v>166</v>
      </c>
      <c r="U393" s="126">
        <v>87.8</v>
      </c>
      <c r="V393" s="12">
        <f>paper3[[#This Row],[height]]-paper3[[#This Row],[sittingheight]]</f>
        <v>78.2</v>
      </c>
      <c r="W393" s="127">
        <v>54.8</v>
      </c>
      <c r="X393" s="43" cm="1">
        <f t="array" ref="X393">INDEX([1]!phvny[yphv], MATCH(1, (paper3[[#This Row],[id]]=[1]!phvny[id])*(paper3[[#This Row],[time]]=[1]!phvny[time]), 0))</f>
        <v>1.6169502989143241</v>
      </c>
      <c r="Y393" s="3">
        <v>2.141</v>
      </c>
      <c r="Z393" s="3">
        <v>3.82</v>
      </c>
      <c r="AA393" s="3">
        <v>5.452</v>
      </c>
      <c r="AB393" s="3">
        <v>1.984</v>
      </c>
      <c r="AC393" s="3">
        <v>3.6749999999999998</v>
      </c>
      <c r="AD393" s="3">
        <v>5.3040000000000003</v>
      </c>
      <c r="AE393" s="3">
        <v>1.988</v>
      </c>
      <c r="AF393" s="3">
        <v>3.6440000000000001</v>
      </c>
      <c r="AG393" s="3">
        <v>5.242</v>
      </c>
      <c r="AH393" s="130">
        <v>2.194</v>
      </c>
      <c r="AI393" s="130">
        <v>3.8240000000000003</v>
      </c>
      <c r="AJ393" s="130">
        <v>5.452</v>
      </c>
      <c r="AK393" s="45">
        <v>6.1425061425061438</v>
      </c>
      <c r="AL393" s="3">
        <v>11.08</v>
      </c>
      <c r="AM393" s="3">
        <v>11.27</v>
      </c>
      <c r="AN393" s="3">
        <v>11.35</v>
      </c>
      <c r="AO393" s="3">
        <v>11.68</v>
      </c>
      <c r="AP393" s="137">
        <v>11.95</v>
      </c>
      <c r="AQ393" s="132">
        <v>11.08</v>
      </c>
      <c r="AR393" s="132">
        <v>11.35</v>
      </c>
      <c r="AS393" s="3">
        <v>18.899999999999999</v>
      </c>
      <c r="AT393" s="3">
        <v>20</v>
      </c>
      <c r="AU393" s="3">
        <v>17.600000000000001</v>
      </c>
      <c r="AV393" s="3"/>
      <c r="AW393" s="3"/>
      <c r="AX393" s="133">
        <v>22.96</v>
      </c>
      <c r="AY393" s="134"/>
      <c r="AZ393" s="40"/>
      <c r="BA393" s="40"/>
      <c r="BB393" s="40"/>
      <c r="BC393" s="40"/>
      <c r="BD393" s="135"/>
      <c r="BE393" s="135"/>
      <c r="BF393" s="40"/>
      <c r="BG393" s="135">
        <v>330.15792708472259</v>
      </c>
      <c r="BH393" s="135">
        <v>340.96766994712993</v>
      </c>
      <c r="BI393" s="49"/>
      <c r="BJ393" s="49">
        <v>671.12559703185252</v>
      </c>
      <c r="BK393" s="66"/>
      <c r="BL393" s="66">
        <v>-3.1703131455493971E-2</v>
      </c>
      <c r="BM393" s="51"/>
      <c r="BN393" s="51">
        <v>12.2468174640849</v>
      </c>
      <c r="BO393" s="136"/>
      <c r="BP393" s="40"/>
      <c r="BQ393" s="40"/>
      <c r="BR393" s="67"/>
      <c r="BS393" s="54" t="s">
        <v>110</v>
      </c>
      <c r="BT393" s="68"/>
      <c r="BU393" s="69"/>
      <c r="BV393" s="3"/>
      <c r="BW393" s="3"/>
      <c r="BX393" s="70"/>
      <c r="BY393" s="70"/>
      <c r="BZ393" s="59"/>
      <c r="CA393" s="59"/>
      <c r="CB393" s="59" t="s">
        <v>110</v>
      </c>
      <c r="CC393" s="59" t="s">
        <v>110</v>
      </c>
      <c r="CD393" s="60"/>
      <c r="CE393" s="60"/>
      <c r="CF393" s="61"/>
      <c r="CG393" s="61"/>
      <c r="CH393" s="61"/>
      <c r="CI393" s="138">
        <v>14.3</v>
      </c>
      <c r="CJ393" s="40">
        <f>VLOOKUP(paper3[[#This Row],[YYIR nivå]],$DB:$DC,2)</f>
        <v>560</v>
      </c>
      <c r="CK393" s="3"/>
      <c r="CL393" s="62"/>
      <c r="CM393" s="62"/>
      <c r="CN393" s="3"/>
      <c r="CO393" s="3"/>
      <c r="CP393" s="41">
        <v>13.280555555555555</v>
      </c>
      <c r="CQ393" s="3"/>
      <c r="CR393" s="40" t="s">
        <v>110</v>
      </c>
      <c r="CS393" s="40" t="s">
        <v>110</v>
      </c>
      <c r="CT393" s="40" t="s">
        <v>110</v>
      </c>
      <c r="CU393" s="40"/>
      <c r="CV393" s="40"/>
      <c r="CW393" s="40"/>
      <c r="CX393" s="40"/>
      <c r="CY393" s="40" t="s">
        <v>205</v>
      </c>
      <c r="CZ393" s="40"/>
      <c r="DA393" s="40"/>
    </row>
    <row r="394" spans="1:105" ht="15.75" customHeight="1">
      <c r="A394" s="3">
        <v>857</v>
      </c>
      <c r="B394" s="92" t="s">
        <v>199</v>
      </c>
      <c r="C394" s="143" t="s">
        <v>104</v>
      </c>
      <c r="D394" s="3" t="s">
        <v>105</v>
      </c>
      <c r="E394" s="144">
        <v>45076</v>
      </c>
      <c r="F394" s="3" t="s">
        <v>186</v>
      </c>
      <c r="G394" s="3" t="s">
        <v>107</v>
      </c>
      <c r="H394" s="3">
        <v>2010</v>
      </c>
      <c r="I394" s="40" t="s">
        <v>108</v>
      </c>
      <c r="J394" s="39" t="str">
        <f>paper3[[#This Row],[sex]]&amp;paper3[[#This Row],[ageg]]</f>
        <v>girlsU14</v>
      </c>
      <c r="K394" s="3">
        <v>169</v>
      </c>
      <c r="L394" s="3">
        <v>169</v>
      </c>
      <c r="M394" s="3"/>
      <c r="N394" s="3">
        <v>159.5</v>
      </c>
      <c r="O394" s="3">
        <v>159.5</v>
      </c>
      <c r="P394" s="3"/>
      <c r="Q394" s="3">
        <v>62.3</v>
      </c>
      <c r="R394" s="3"/>
      <c r="S394" s="3"/>
      <c r="T394" s="125">
        <v>169</v>
      </c>
      <c r="U394" s="126">
        <v>89.3</v>
      </c>
      <c r="V394" s="12">
        <f>paper3[[#This Row],[height]]-paper3[[#This Row],[sittingheight]]</f>
        <v>79.7</v>
      </c>
      <c r="W394" s="127">
        <v>62.3</v>
      </c>
      <c r="X394" s="43" cm="1">
        <f t="array" ref="X394">INDEX([1]!phvny[yphv], MATCH(1, (paper3[[#This Row],[id]]=[1]!phvny[id])*(paper3[[#This Row],[time]]=[1]!phvny[time]), 0))</f>
        <v>1.5106183289641697</v>
      </c>
      <c r="Y394" s="3">
        <v>2.1949999999999998</v>
      </c>
      <c r="Z394" s="3">
        <v>3.8610000000000002</v>
      </c>
      <c r="AA394" s="3">
        <v>5.4809999999999999</v>
      </c>
      <c r="AB394" s="3">
        <v>2.0179999999999998</v>
      </c>
      <c r="AC394" s="3">
        <v>3.754</v>
      </c>
      <c r="AD394" s="3">
        <v>5.4450000000000003</v>
      </c>
      <c r="AE394" s="3">
        <v>1.1719999999999999</v>
      </c>
      <c r="AF394" s="3">
        <v>2.9809999999999999</v>
      </c>
      <c r="AG394" s="3">
        <v>4.7119999999999997</v>
      </c>
      <c r="AH394" s="130">
        <v>2.2279999999999998</v>
      </c>
      <c r="AI394" s="130">
        <v>3.161</v>
      </c>
      <c r="AJ394" s="130">
        <v>5.6550000000000002</v>
      </c>
      <c r="AK394" s="45">
        <v>4.0096230954290295</v>
      </c>
      <c r="AL394" s="3">
        <v>11.34</v>
      </c>
      <c r="AM394" s="3">
        <v>11.21</v>
      </c>
      <c r="AN394" s="3">
        <v>11.31</v>
      </c>
      <c r="AO394" s="3">
        <v>11.31</v>
      </c>
      <c r="AP394" s="137">
        <v>12.08</v>
      </c>
      <c r="AQ394" s="132">
        <v>11.21</v>
      </c>
      <c r="AR394" s="132">
        <v>11.31</v>
      </c>
      <c r="AS394" s="3">
        <v>14.4</v>
      </c>
      <c r="AT394" s="3">
        <v>17.3</v>
      </c>
      <c r="AU394" s="3">
        <v>18.7</v>
      </c>
      <c r="AV394" s="3"/>
      <c r="AW394" s="3"/>
      <c r="AX394" s="133">
        <v>21.66</v>
      </c>
      <c r="AY394" s="134"/>
      <c r="AZ394" s="40"/>
      <c r="BA394" s="40"/>
      <c r="BB394" s="40"/>
      <c r="BC394" s="40"/>
      <c r="BD394" s="135">
        <v>673.52918904258763</v>
      </c>
      <c r="BE394" s="135">
        <v>706.03959777080058</v>
      </c>
      <c r="BF394" s="40"/>
      <c r="BG394" s="135">
        <v>301.85767193483343</v>
      </c>
      <c r="BH394" s="135">
        <v>307.5456739414185</v>
      </c>
      <c r="BI394" s="49">
        <v>1379.5687868133882</v>
      </c>
      <c r="BJ394" s="49">
        <v>609.40334587625193</v>
      </c>
      <c r="BK394" s="66">
        <v>-4.6046154961929875E-2</v>
      </c>
      <c r="BL394" s="66">
        <v>-1.8494820407288559E-2</v>
      </c>
      <c r="BM394" s="51">
        <v>22.143961265062412</v>
      </c>
      <c r="BN394" s="51">
        <v>9.7817551505016365</v>
      </c>
      <c r="BO394" s="136"/>
      <c r="BP394" s="40"/>
      <c r="BQ394" s="40"/>
      <c r="BR394" s="67"/>
      <c r="BS394" s="54" t="s">
        <v>110</v>
      </c>
      <c r="BT394" s="68"/>
      <c r="BU394" s="69"/>
      <c r="BV394" s="3"/>
      <c r="BW394" s="3"/>
      <c r="BX394" s="70"/>
      <c r="BY394" s="70"/>
      <c r="BZ394" s="59"/>
      <c r="CA394" s="59"/>
      <c r="CB394" s="59" t="s">
        <v>110</v>
      </c>
      <c r="CC394" s="59" t="s">
        <v>110</v>
      </c>
      <c r="CD394" s="60"/>
      <c r="CE394" s="60"/>
      <c r="CF394" s="61"/>
      <c r="CG394" s="61"/>
      <c r="CH394" s="61"/>
      <c r="CI394" s="138">
        <v>13.2</v>
      </c>
      <c r="CJ394" s="40">
        <f>VLOOKUP(paper3[[#This Row],[YYIR nivå]],$DB:$DC,2)</f>
        <v>360</v>
      </c>
      <c r="CK394" s="3"/>
      <c r="CL394" s="62"/>
      <c r="CM394" s="62"/>
      <c r="CN394" s="3"/>
      <c r="CO394" s="3"/>
      <c r="CP394" s="41">
        <v>12.630555555555556</v>
      </c>
      <c r="CQ394" s="3"/>
      <c r="CR394" s="40" t="s">
        <v>110</v>
      </c>
      <c r="CS394" s="40" t="s">
        <v>110</v>
      </c>
      <c r="CT394" s="40" t="s">
        <v>110</v>
      </c>
      <c r="CU394" s="40"/>
      <c r="CV394" s="40"/>
      <c r="CW394" s="40"/>
      <c r="CX394" s="40"/>
      <c r="CY394" s="40" t="s">
        <v>204</v>
      </c>
      <c r="CZ394" s="40"/>
      <c r="DA394" s="40"/>
    </row>
    <row r="395" spans="1:105" ht="15.75" customHeight="1">
      <c r="A395" s="3">
        <v>858</v>
      </c>
      <c r="B395" s="92" t="s">
        <v>199</v>
      </c>
      <c r="C395" s="143" t="s">
        <v>104</v>
      </c>
      <c r="D395" s="3" t="s">
        <v>105</v>
      </c>
      <c r="E395" s="144">
        <v>45076</v>
      </c>
      <c r="F395" s="3" t="s">
        <v>186</v>
      </c>
      <c r="G395" s="3" t="s">
        <v>107</v>
      </c>
      <c r="H395" s="3">
        <v>2010</v>
      </c>
      <c r="I395" s="40" t="s">
        <v>108</v>
      </c>
      <c r="J395" s="39" t="str">
        <f>paper3[[#This Row],[sex]]&amp;paper3[[#This Row],[ageg]]</f>
        <v>girlsU14</v>
      </c>
      <c r="K395" s="3">
        <v>160.19999999999999</v>
      </c>
      <c r="L395" s="3">
        <v>160.30000000000001</v>
      </c>
      <c r="M395" s="3"/>
      <c r="N395" s="3">
        <v>152.5</v>
      </c>
      <c r="O395" s="3">
        <v>152.30000000000001</v>
      </c>
      <c r="P395" s="3"/>
      <c r="Q395" s="3">
        <v>51.3</v>
      </c>
      <c r="R395" s="3"/>
      <c r="S395" s="3"/>
      <c r="T395" s="125">
        <v>160.25</v>
      </c>
      <c r="U395" s="126">
        <v>82.2</v>
      </c>
      <c r="V395" s="12">
        <f>paper3[[#This Row],[height]]-paper3[[#This Row],[sittingheight]]</f>
        <v>78.05</v>
      </c>
      <c r="W395" s="127">
        <v>51.3</v>
      </c>
      <c r="X395" s="43" cm="1">
        <f t="array" ref="X395">INDEX([1]!phvny[yphv], MATCH(1, (paper3[[#This Row],[id]]=[1]!phvny[id])*(paper3[[#This Row],[time]]=[1]!phvny[time]), 0))</f>
        <v>0.97111680902721398</v>
      </c>
      <c r="Y395" s="3">
        <v>2.105</v>
      </c>
      <c r="Z395" s="3">
        <v>3.8069999999999999</v>
      </c>
      <c r="AA395" s="3">
        <v>5.5380000000000003</v>
      </c>
      <c r="AB395" s="3">
        <v>2.1709999999999998</v>
      </c>
      <c r="AC395" s="3">
        <v>3.8780000000000001</v>
      </c>
      <c r="AD395" s="3">
        <v>5.577</v>
      </c>
      <c r="AE395" s="3">
        <v>2.1920000000000002</v>
      </c>
      <c r="AF395" s="3">
        <v>3.92</v>
      </c>
      <c r="AG395" s="3">
        <v>5.6340000000000003</v>
      </c>
      <c r="AH395" s="130">
        <v>2.3149999999999999</v>
      </c>
      <c r="AI395" s="130">
        <v>3.9870000000000001</v>
      </c>
      <c r="AJ395" s="130">
        <v>5.7480000000000002</v>
      </c>
      <c r="AK395" s="45">
        <v>5.6785917092561045</v>
      </c>
      <c r="AL395" s="3">
        <v>11.48</v>
      </c>
      <c r="AM395" s="3">
        <v>11.4</v>
      </c>
      <c r="AN395" s="3">
        <v>11.63</v>
      </c>
      <c r="AO395" s="3">
        <v>11.29</v>
      </c>
      <c r="AP395" s="137">
        <v>12.159999999999998</v>
      </c>
      <c r="AQ395" s="132">
        <v>11.4</v>
      </c>
      <c r="AR395" s="132">
        <v>11.29</v>
      </c>
      <c r="AS395" s="3">
        <v>0</v>
      </c>
      <c r="AT395" s="3">
        <v>18.600000000000001</v>
      </c>
      <c r="AU395" s="3">
        <v>21.4</v>
      </c>
      <c r="AV395" s="3"/>
      <c r="AW395" s="3"/>
      <c r="AX395" s="133">
        <v>24.36</v>
      </c>
      <c r="AY395" s="134"/>
      <c r="AZ395" s="40"/>
      <c r="BA395" s="40"/>
      <c r="BB395" s="40"/>
      <c r="BC395" s="40"/>
      <c r="BD395" s="135">
        <v>640.52764355037129</v>
      </c>
      <c r="BE395" s="135">
        <v>630.65853212345314</v>
      </c>
      <c r="BF395" s="40"/>
      <c r="BG395" s="135">
        <v>202.85597595963571</v>
      </c>
      <c r="BH395" s="135">
        <v>191.45172192862833</v>
      </c>
      <c r="BI395" s="49">
        <v>1271.1861756738244</v>
      </c>
      <c r="BJ395" s="49">
        <v>394.30769788826404</v>
      </c>
      <c r="BK395" s="66">
        <v>1.564889861029628E-2</v>
      </c>
      <c r="BL395" s="66">
        <v>5.9567257563025722E-2</v>
      </c>
      <c r="BM395" s="51">
        <v>24.779457615474161</v>
      </c>
      <c r="BN395" s="51">
        <v>7.6863099003560249</v>
      </c>
      <c r="BO395" s="136"/>
      <c r="BP395" s="40"/>
      <c r="BQ395" s="40"/>
      <c r="BR395" s="67"/>
      <c r="BS395" s="54" t="s">
        <v>110</v>
      </c>
      <c r="BT395" s="68"/>
      <c r="BU395" s="69"/>
      <c r="BV395" s="3"/>
      <c r="BW395" s="3"/>
      <c r="BX395" s="70"/>
      <c r="BY395" s="70"/>
      <c r="BZ395" s="59"/>
      <c r="CA395" s="59"/>
      <c r="CB395" s="59" t="s">
        <v>110</v>
      </c>
      <c r="CC395" s="59" t="s">
        <v>110</v>
      </c>
      <c r="CD395" s="60"/>
      <c r="CE395" s="60"/>
      <c r="CF395" s="61"/>
      <c r="CG395" s="61"/>
      <c r="CH395" s="61"/>
      <c r="CI395" s="138">
        <v>13.4</v>
      </c>
      <c r="CJ395" s="40">
        <f>VLOOKUP(paper3[[#This Row],[YYIR nivå]],$DB:$DC,2)</f>
        <v>440</v>
      </c>
      <c r="CK395" s="3"/>
      <c r="CL395" s="62"/>
      <c r="CM395" s="62"/>
      <c r="CN395" s="3"/>
      <c r="CO395" s="3"/>
      <c r="CP395" s="41">
        <v>12.952777777777778</v>
      </c>
      <c r="CQ395" s="3"/>
      <c r="CR395" s="40" t="s">
        <v>110</v>
      </c>
      <c r="CS395" s="40" t="s">
        <v>110</v>
      </c>
      <c r="CT395" s="40" t="s">
        <v>110</v>
      </c>
      <c r="CU395" s="40"/>
      <c r="CV395" s="40"/>
      <c r="CW395" s="40"/>
      <c r="CX395" s="40"/>
      <c r="CY395" s="40" t="s">
        <v>204</v>
      </c>
      <c r="CZ395" s="40"/>
      <c r="DA395" s="40"/>
    </row>
    <row r="396" spans="1:105" ht="15.75" customHeight="1">
      <c r="A396" s="3">
        <v>859</v>
      </c>
      <c r="B396" s="92" t="s">
        <v>199</v>
      </c>
      <c r="C396" s="143" t="s">
        <v>104</v>
      </c>
      <c r="D396" s="3" t="s">
        <v>105</v>
      </c>
      <c r="E396" s="144">
        <v>45076</v>
      </c>
      <c r="F396" s="3" t="s">
        <v>186</v>
      </c>
      <c r="G396" s="3" t="s">
        <v>107</v>
      </c>
      <c r="H396" s="3">
        <v>2010</v>
      </c>
      <c r="I396" s="40" t="s">
        <v>108</v>
      </c>
      <c r="J396" s="39" t="str">
        <f>paper3[[#This Row],[sex]]&amp;paper3[[#This Row],[ageg]]</f>
        <v>girlsU14</v>
      </c>
      <c r="K396" s="3">
        <v>165.8</v>
      </c>
      <c r="L396" s="3">
        <v>165.8</v>
      </c>
      <c r="M396" s="3"/>
      <c r="N396" s="3">
        <v>154.1</v>
      </c>
      <c r="O396" s="3">
        <v>154.1</v>
      </c>
      <c r="P396" s="3"/>
      <c r="Q396" s="3">
        <v>52</v>
      </c>
      <c r="R396" s="3"/>
      <c r="S396" s="3"/>
      <c r="T396" s="125">
        <v>165.8</v>
      </c>
      <c r="U396" s="126">
        <v>83.899999999999991</v>
      </c>
      <c r="V396" s="12">
        <f>paper3[[#This Row],[height]]-paper3[[#This Row],[sittingheight]]</f>
        <v>81.90000000000002</v>
      </c>
      <c r="W396" s="127">
        <v>52</v>
      </c>
      <c r="X396" s="43" cm="1">
        <f t="array" ref="X396">INDEX([1]!phvny[yphv], MATCH(1, (paper3[[#This Row],[id]]=[1]!phvny[id])*(paper3[[#This Row],[time]]=[1]!phvny[time]), 0))</f>
        <v>1.365977803794332</v>
      </c>
      <c r="Y396" s="3">
        <v>1.946</v>
      </c>
      <c r="Z396" s="3">
        <v>3.6080000000000001</v>
      </c>
      <c r="AA396" s="3">
        <v>5.2220000000000004</v>
      </c>
      <c r="AB396" s="3">
        <v>2.1419999999999999</v>
      </c>
      <c r="AC396" s="3">
        <v>2.8820000000000001</v>
      </c>
      <c r="AD396" s="3">
        <v>5.5170000000000003</v>
      </c>
      <c r="AE396" s="3">
        <v>2</v>
      </c>
      <c r="AF396" s="3">
        <v>3.706</v>
      </c>
      <c r="AG396" s="3">
        <v>5.3719999999999999</v>
      </c>
      <c r="AH396" s="130">
        <v>2.1560000000000001</v>
      </c>
      <c r="AI396" s="130">
        <v>3.0620000000000003</v>
      </c>
      <c r="AJ396" s="130">
        <v>5.4320000000000004</v>
      </c>
      <c r="AK396" s="45">
        <v>4.2194092827004219</v>
      </c>
      <c r="AL396" s="3">
        <v>11.28</v>
      </c>
      <c r="AM396" s="3">
        <v>11.18</v>
      </c>
      <c r="AN396" s="3">
        <v>11.41</v>
      </c>
      <c r="AO396" s="3">
        <v>11.39</v>
      </c>
      <c r="AP396" s="137">
        <v>12.049999999999999</v>
      </c>
      <c r="AQ396" s="132">
        <v>11.18</v>
      </c>
      <c r="AR396" s="132">
        <v>11.39</v>
      </c>
      <c r="AS396" s="3">
        <v>20.5</v>
      </c>
      <c r="AT396" s="3">
        <v>20.5</v>
      </c>
      <c r="AU396" s="3">
        <v>18.5</v>
      </c>
      <c r="AV396" s="3"/>
      <c r="AW396" s="3"/>
      <c r="AX396" s="133">
        <v>23.46</v>
      </c>
      <c r="AY396" s="134"/>
      <c r="AZ396" s="40"/>
      <c r="BA396" s="40"/>
      <c r="BB396" s="40"/>
      <c r="BC396" s="40"/>
      <c r="BD396" s="135">
        <v>794.98062044343692</v>
      </c>
      <c r="BE396" s="135">
        <v>777.40709582452939</v>
      </c>
      <c r="BF396" s="40"/>
      <c r="BG396" s="135">
        <v>285.45101786017585</v>
      </c>
      <c r="BH396" s="135">
        <v>292.26935918076731</v>
      </c>
      <c r="BI396" s="49">
        <v>1572.3877162679664</v>
      </c>
      <c r="BJ396" s="49">
        <v>577.72037704094316</v>
      </c>
      <c r="BK396" s="66">
        <v>2.2605305139733467E-2</v>
      </c>
      <c r="BL396" s="66">
        <v>-2.3328963869846953E-2</v>
      </c>
      <c r="BM396" s="51">
        <v>30.238225312845508</v>
      </c>
      <c r="BN396" s="51">
        <v>11.110007250787369</v>
      </c>
      <c r="BO396" s="136"/>
      <c r="BP396" s="40"/>
      <c r="BQ396" s="40"/>
      <c r="BR396" s="67"/>
      <c r="BS396" s="54" t="s">
        <v>110</v>
      </c>
      <c r="BT396" s="68"/>
      <c r="BU396" s="69"/>
      <c r="BV396" s="3"/>
      <c r="BW396" s="3"/>
      <c r="BX396" s="70"/>
      <c r="BY396" s="70"/>
      <c r="BZ396" s="59"/>
      <c r="CA396" s="59"/>
      <c r="CB396" s="59" t="s">
        <v>110</v>
      </c>
      <c r="CC396" s="59" t="s">
        <v>110</v>
      </c>
      <c r="CD396" s="60"/>
      <c r="CE396" s="60"/>
      <c r="CF396" s="61"/>
      <c r="CG396" s="61"/>
      <c r="CH396" s="61"/>
      <c r="CI396" s="138">
        <v>13.3</v>
      </c>
      <c r="CJ396" s="40">
        <f>VLOOKUP(paper3[[#This Row],[YYIR nivå]],$DB:$DC,2)</f>
        <v>400</v>
      </c>
      <c r="CK396" s="3"/>
      <c r="CL396" s="62"/>
      <c r="CM396" s="62"/>
      <c r="CN396" s="3"/>
      <c r="CO396" s="3"/>
      <c r="CP396" s="41">
        <v>13.225</v>
      </c>
      <c r="CQ396" s="3"/>
      <c r="CR396" s="40" t="s">
        <v>110</v>
      </c>
      <c r="CS396" s="40" t="s">
        <v>110</v>
      </c>
      <c r="CT396" s="40" t="s">
        <v>110</v>
      </c>
      <c r="CU396" s="40"/>
      <c r="CV396" s="40"/>
      <c r="CW396" s="40"/>
      <c r="CX396" s="40"/>
      <c r="CY396" s="40" t="s">
        <v>204</v>
      </c>
      <c r="CZ396" s="40"/>
      <c r="DA396" s="40"/>
    </row>
    <row r="397" spans="1:105" ht="18.75" customHeight="1">
      <c r="A397" s="3">
        <v>860</v>
      </c>
      <c r="B397" s="92" t="s">
        <v>199</v>
      </c>
      <c r="C397" s="143" t="s">
        <v>104</v>
      </c>
      <c r="D397" s="3" t="s">
        <v>105</v>
      </c>
      <c r="E397" s="144">
        <v>45076</v>
      </c>
      <c r="F397" s="3" t="s">
        <v>186</v>
      </c>
      <c r="G397" s="3" t="s">
        <v>107</v>
      </c>
      <c r="H397" s="3">
        <v>2010</v>
      </c>
      <c r="I397" s="40" t="s">
        <v>108</v>
      </c>
      <c r="J397" s="39" t="str">
        <f>paper3[[#This Row],[sex]]&amp;paper3[[#This Row],[ageg]]</f>
        <v>girlsU14</v>
      </c>
      <c r="K397" s="3">
        <v>158</v>
      </c>
      <c r="L397" s="3">
        <v>158</v>
      </c>
      <c r="M397" s="3"/>
      <c r="N397" s="3">
        <v>152.19999999999999</v>
      </c>
      <c r="O397" s="3">
        <v>152.19999999999999</v>
      </c>
      <c r="P397" s="3"/>
      <c r="Q397" s="3">
        <v>41.5</v>
      </c>
      <c r="R397" s="3"/>
      <c r="S397" s="3"/>
      <c r="T397" s="125">
        <v>158</v>
      </c>
      <c r="U397" s="126">
        <v>81.999999999999986</v>
      </c>
      <c r="V397" s="12">
        <f>paper3[[#This Row],[height]]-paper3[[#This Row],[sittingheight]]</f>
        <v>76.000000000000014</v>
      </c>
      <c r="W397" s="127">
        <v>41.5</v>
      </c>
      <c r="X397" s="43" cm="1">
        <f t="array" ref="X397">INDEX([1]!phvny[yphv], MATCH(1, (paper3[[#This Row],[id]]=[1]!phvny[id])*(paper3[[#This Row],[time]]=[1]!phvny[time]), 0))</f>
        <v>0.52461056350210922</v>
      </c>
      <c r="Y397" s="3">
        <v>2.0179999999999998</v>
      </c>
      <c r="Z397" s="3">
        <v>3.6669999999999998</v>
      </c>
      <c r="AA397" s="3">
        <v>5.2510000000000003</v>
      </c>
      <c r="AB397" s="3">
        <v>2.056</v>
      </c>
      <c r="AC397" s="3">
        <v>3.7309999999999999</v>
      </c>
      <c r="AD397" s="3">
        <v>5.3719999999999999</v>
      </c>
      <c r="AE397" s="3">
        <v>2.0449999999999999</v>
      </c>
      <c r="AF397" s="3">
        <v>3.702</v>
      </c>
      <c r="AG397" s="3">
        <v>5.3150000000000004</v>
      </c>
      <c r="AH397" s="130">
        <v>2.2279999999999998</v>
      </c>
      <c r="AI397" s="130">
        <v>3.847</v>
      </c>
      <c r="AJ397" s="130">
        <v>5.4610000000000003</v>
      </c>
      <c r="AK397" s="45">
        <v>6.1957868649318453</v>
      </c>
      <c r="AL397" s="3">
        <v>10.8</v>
      </c>
      <c r="AM397" s="3">
        <v>11.25</v>
      </c>
      <c r="AN397" s="3">
        <v>11.27</v>
      </c>
      <c r="AO397" s="3">
        <v>11.35</v>
      </c>
      <c r="AP397" s="137">
        <v>11.67</v>
      </c>
      <c r="AQ397" s="132">
        <v>10.8</v>
      </c>
      <c r="AR397" s="132">
        <v>11.27</v>
      </c>
      <c r="AS397" s="3">
        <v>18.5</v>
      </c>
      <c r="AT397" s="3">
        <v>12.1</v>
      </c>
      <c r="AU397" s="3">
        <v>16.7</v>
      </c>
      <c r="AV397" s="3"/>
      <c r="AW397" s="3"/>
      <c r="AX397" s="133">
        <v>21.46</v>
      </c>
      <c r="AY397" s="134"/>
      <c r="AZ397" s="40"/>
      <c r="BA397" s="40"/>
      <c r="BB397" s="40"/>
      <c r="BC397" s="40"/>
      <c r="BD397" s="135">
        <v>737.29348333564644</v>
      </c>
      <c r="BE397" s="135">
        <v>685.05245263554934</v>
      </c>
      <c r="BF397" s="40"/>
      <c r="BG397" s="135">
        <v>209.72778515676265</v>
      </c>
      <c r="BH397" s="135">
        <v>220.15101893664726</v>
      </c>
      <c r="BI397" s="49">
        <v>1422.3459359711958</v>
      </c>
      <c r="BJ397" s="49">
        <v>429.87880409340994</v>
      </c>
      <c r="BK397" s="66">
        <v>7.6258439042315995E-2</v>
      </c>
      <c r="BL397" s="66">
        <v>-4.7345834828427913E-2</v>
      </c>
      <c r="BM397" s="51">
        <v>34.273396047498693</v>
      </c>
      <c r="BN397" s="51">
        <v>10.358525399841204</v>
      </c>
      <c r="BO397" s="136"/>
      <c r="BP397" s="40"/>
      <c r="BQ397" s="40"/>
      <c r="BR397" s="67"/>
      <c r="BS397" s="54" t="s">
        <v>110</v>
      </c>
      <c r="BT397" s="68"/>
      <c r="BU397" s="69"/>
      <c r="BV397" s="3"/>
      <c r="BW397" s="3"/>
      <c r="BX397" s="70"/>
      <c r="BY397" s="70"/>
      <c r="BZ397" s="59"/>
      <c r="CA397" s="59"/>
      <c r="CB397" s="59" t="s">
        <v>110</v>
      </c>
      <c r="CC397" s="59" t="s">
        <v>110</v>
      </c>
      <c r="CD397" s="60"/>
      <c r="CE397" s="60"/>
      <c r="CF397" s="61"/>
      <c r="CG397" s="61"/>
      <c r="CH397" s="61"/>
      <c r="CI397" s="138">
        <v>13.2</v>
      </c>
      <c r="CJ397" s="40">
        <f>VLOOKUP(paper3[[#This Row],[YYIR nivå]],$DB:$DC,2)</f>
        <v>360</v>
      </c>
      <c r="CK397" s="3"/>
      <c r="CL397" s="62"/>
      <c r="CM397" s="62"/>
      <c r="CN397" s="3"/>
      <c r="CO397" s="3"/>
      <c r="CP397" s="41">
        <v>12.516666666666667</v>
      </c>
      <c r="CQ397" s="3"/>
      <c r="CR397" s="40" t="s">
        <v>110</v>
      </c>
      <c r="CS397" s="40" t="s">
        <v>110</v>
      </c>
      <c r="CT397" s="40" t="s">
        <v>110</v>
      </c>
      <c r="CU397" s="40"/>
      <c r="CV397" s="40"/>
      <c r="CW397" s="40"/>
      <c r="CX397" s="40"/>
      <c r="CY397" s="40" t="s">
        <v>206</v>
      </c>
      <c r="CZ397" s="40"/>
      <c r="DA397" s="40"/>
    </row>
    <row r="398" spans="1:105" ht="18.75" customHeight="1">
      <c r="A398" s="3">
        <v>861</v>
      </c>
      <c r="B398" s="92" t="s">
        <v>199</v>
      </c>
      <c r="C398" s="143" t="s">
        <v>104</v>
      </c>
      <c r="D398" s="3" t="s">
        <v>105</v>
      </c>
      <c r="E398" s="144">
        <v>45076</v>
      </c>
      <c r="F398" s="3" t="s">
        <v>186</v>
      </c>
      <c r="G398" s="3" t="s">
        <v>107</v>
      </c>
      <c r="H398" s="3">
        <v>2010</v>
      </c>
      <c r="I398" s="40" t="s">
        <v>108</v>
      </c>
      <c r="J398" s="39" t="str">
        <f>paper3[[#This Row],[sex]]&amp;paper3[[#This Row],[ageg]]</f>
        <v>girlsU14</v>
      </c>
      <c r="K398" s="3">
        <v>153.9</v>
      </c>
      <c r="L398" s="3">
        <v>153.9</v>
      </c>
      <c r="M398" s="3"/>
      <c r="N398" s="3">
        <v>148.5</v>
      </c>
      <c r="O398" s="3">
        <v>148.5</v>
      </c>
      <c r="P398" s="3"/>
      <c r="Q398" s="3">
        <v>43.2</v>
      </c>
      <c r="R398" s="3"/>
      <c r="S398" s="3"/>
      <c r="T398" s="125">
        <v>153.9</v>
      </c>
      <c r="U398" s="126">
        <v>78.3</v>
      </c>
      <c r="V398" s="12">
        <f>paper3[[#This Row],[height]]-paper3[[#This Row],[sittingheight]]</f>
        <v>75.600000000000009</v>
      </c>
      <c r="W398" s="127">
        <v>43.2</v>
      </c>
      <c r="X398" s="43" cm="1">
        <f t="array" ref="X398">INDEX([1]!phvny[yphv], MATCH(1, (paper3[[#This Row],[id]]=[1]!phvny[id])*(paper3[[#This Row],[time]]=[1]!phvny[time]), 0))</f>
        <v>0.31882215499122823</v>
      </c>
      <c r="Y398" s="3">
        <v>2.0329999999999999</v>
      </c>
      <c r="Z398" s="3">
        <v>3.746</v>
      </c>
      <c r="AA398" s="3">
        <v>5.3879999999999999</v>
      </c>
      <c r="AB398" s="3">
        <v>2.125</v>
      </c>
      <c r="AC398" s="3">
        <v>3.87</v>
      </c>
      <c r="AD398" s="3">
        <v>5.548</v>
      </c>
      <c r="AE398" s="3">
        <v>2.109</v>
      </c>
      <c r="AF398" s="3">
        <v>3.8490000000000002</v>
      </c>
      <c r="AG398" s="3">
        <v>5.6</v>
      </c>
      <c r="AH398" s="130">
        <v>2.2429999999999999</v>
      </c>
      <c r="AI398" s="130">
        <v>3.9260000000000002</v>
      </c>
      <c r="AJ398" s="130">
        <v>5.5979999999999999</v>
      </c>
      <c r="AK398" s="45">
        <v>5.98086124401914</v>
      </c>
      <c r="AL398" s="3">
        <v>10.98</v>
      </c>
      <c r="AM398" s="3">
        <v>11.03</v>
      </c>
      <c r="AN398" s="3">
        <v>11.02</v>
      </c>
      <c r="AO398" s="3">
        <v>11.23</v>
      </c>
      <c r="AP398" s="137">
        <v>11.85</v>
      </c>
      <c r="AQ398" s="132">
        <v>10.98</v>
      </c>
      <c r="AR398" s="132">
        <v>11.02</v>
      </c>
      <c r="AS398" s="3">
        <v>16.8</v>
      </c>
      <c r="AT398" s="3">
        <v>18.3</v>
      </c>
      <c r="AU398" s="3">
        <v>18.5</v>
      </c>
      <c r="AV398" s="3"/>
      <c r="AW398" s="3"/>
      <c r="AX398" s="133">
        <v>21.46</v>
      </c>
      <c r="AY398" s="134"/>
      <c r="AZ398" s="40"/>
      <c r="BA398" s="40"/>
      <c r="BB398" s="40"/>
      <c r="BC398" s="40"/>
      <c r="BD398" s="135" t="s">
        <v>110</v>
      </c>
      <c r="BE398" s="135" t="s">
        <v>110</v>
      </c>
      <c r="BF398" s="40"/>
      <c r="BG398" s="135" t="s">
        <v>110</v>
      </c>
      <c r="BH398" s="135" t="s">
        <v>110</v>
      </c>
      <c r="BI398" s="49"/>
      <c r="BJ398" s="49"/>
      <c r="BK398" s="66"/>
      <c r="BL398" s="66"/>
      <c r="BM398" s="51"/>
      <c r="BN398" s="51"/>
      <c r="BO398" s="136"/>
      <c r="BP398" s="40"/>
      <c r="BQ398" s="40"/>
      <c r="BR398" s="67"/>
      <c r="BS398" s="54" t="s">
        <v>110</v>
      </c>
      <c r="BT398" s="68"/>
      <c r="BU398" s="69"/>
      <c r="BV398" s="3"/>
      <c r="BW398" s="3"/>
      <c r="BX398" s="70"/>
      <c r="BY398" s="70"/>
      <c r="BZ398" s="59"/>
      <c r="CA398" s="59"/>
      <c r="CB398" s="59" t="s">
        <v>110</v>
      </c>
      <c r="CC398" s="59" t="s">
        <v>110</v>
      </c>
      <c r="CD398" s="60"/>
      <c r="CE398" s="60"/>
      <c r="CF398" s="61"/>
      <c r="CG398" s="61"/>
      <c r="CH398" s="61"/>
      <c r="CI398" s="138">
        <v>15.1</v>
      </c>
      <c r="CJ398" s="40">
        <f>VLOOKUP(paper3[[#This Row],[YYIR nivå]],$DB:$DC,2)</f>
        <v>800</v>
      </c>
      <c r="CK398" s="3"/>
      <c r="CL398" s="62"/>
      <c r="CM398" s="62"/>
      <c r="CN398" s="3"/>
      <c r="CO398" s="3"/>
      <c r="CP398" s="41">
        <v>12.619444444444444</v>
      </c>
      <c r="CQ398" s="3"/>
      <c r="CR398" s="40" t="s">
        <v>110</v>
      </c>
      <c r="CS398" s="40" t="s">
        <v>110</v>
      </c>
      <c r="CT398" s="40" t="s">
        <v>110</v>
      </c>
      <c r="CU398" s="40"/>
      <c r="CV398" s="40"/>
      <c r="CW398" s="40"/>
      <c r="CX398" s="40"/>
      <c r="CY398" s="40" t="s">
        <v>205</v>
      </c>
      <c r="CZ398" s="40"/>
      <c r="DA398" s="40"/>
    </row>
    <row r="399" spans="1:105" ht="18.75" customHeight="1">
      <c r="A399" s="3">
        <v>862</v>
      </c>
      <c r="B399" s="92" t="s">
        <v>199</v>
      </c>
      <c r="C399" s="143" t="s">
        <v>104</v>
      </c>
      <c r="D399" s="3" t="s">
        <v>105</v>
      </c>
      <c r="E399" s="144">
        <v>45076</v>
      </c>
      <c r="F399" s="3" t="s">
        <v>186</v>
      </c>
      <c r="G399" s="3" t="s">
        <v>107</v>
      </c>
      <c r="H399" s="3">
        <v>2010</v>
      </c>
      <c r="I399" s="40" t="s">
        <v>108</v>
      </c>
      <c r="J399" s="39" t="str">
        <f>paper3[[#This Row],[sex]]&amp;paper3[[#This Row],[ageg]]</f>
        <v>girlsU14</v>
      </c>
      <c r="K399" s="3">
        <v>165</v>
      </c>
      <c r="L399" s="3">
        <v>165</v>
      </c>
      <c r="M399" s="3"/>
      <c r="N399" s="3">
        <v>151</v>
      </c>
      <c r="O399" s="3">
        <v>151</v>
      </c>
      <c r="P399" s="3"/>
      <c r="Q399" s="3">
        <v>55</v>
      </c>
      <c r="R399" s="3"/>
      <c r="S399" s="3"/>
      <c r="T399" s="125">
        <v>165</v>
      </c>
      <c r="U399" s="126">
        <v>80.8</v>
      </c>
      <c r="V399" s="12">
        <f>paper3[[#This Row],[height]]-paper3[[#This Row],[sittingheight]]</f>
        <v>84.2</v>
      </c>
      <c r="W399" s="127">
        <v>55</v>
      </c>
      <c r="X399" s="43" cm="1">
        <f t="array" ref="X399">INDEX([1]!phvny[yphv], MATCH(1, (paper3[[#This Row],[id]]=[1]!phvny[id])*(paper3[[#This Row],[time]]=[1]!phvny[time]), 0))</f>
        <v>1.3232604664444445</v>
      </c>
      <c r="Y399" s="3">
        <v>2.0619999999999998</v>
      </c>
      <c r="Z399" s="3">
        <v>3.8279999999999998</v>
      </c>
      <c r="AA399" s="3">
        <v>5.5650000000000004</v>
      </c>
      <c r="AB399" s="3">
        <v>2.0459999999999998</v>
      </c>
      <c r="AC399" s="3">
        <v>3.7930000000000001</v>
      </c>
      <c r="AD399" s="3">
        <v>5.532</v>
      </c>
      <c r="AE399" s="3">
        <v>2.085</v>
      </c>
      <c r="AF399" s="3">
        <v>3.8679999999999999</v>
      </c>
      <c r="AG399" s="3">
        <v>5.6109999999999998</v>
      </c>
      <c r="AH399" s="130">
        <v>2.2559999999999998</v>
      </c>
      <c r="AI399" s="130">
        <v>3.9730000000000003</v>
      </c>
      <c r="AJ399" s="130">
        <v>5.742</v>
      </c>
      <c r="AK399" s="45">
        <v>5.6529112492933873</v>
      </c>
      <c r="AL399" s="3">
        <v>11.48</v>
      </c>
      <c r="AM399" s="3">
        <v>11.65</v>
      </c>
      <c r="AN399" s="3">
        <v>11.88</v>
      </c>
      <c r="AO399" s="3">
        <v>11.48</v>
      </c>
      <c r="AP399" s="137">
        <v>12.35</v>
      </c>
      <c r="AQ399" s="132">
        <v>11.48</v>
      </c>
      <c r="AR399" s="132">
        <v>11.48</v>
      </c>
      <c r="AS399" s="3">
        <v>23.1</v>
      </c>
      <c r="AT399" s="3">
        <v>22.3</v>
      </c>
      <c r="AU399" s="3">
        <v>25.3</v>
      </c>
      <c r="AV399" s="3"/>
      <c r="AW399" s="3"/>
      <c r="AX399" s="133">
        <v>28.26</v>
      </c>
      <c r="AY399" s="134"/>
      <c r="AZ399" s="40"/>
      <c r="BA399" s="40"/>
      <c r="BB399" s="40"/>
      <c r="BC399" s="40"/>
      <c r="BD399" s="135">
        <v>620.36645162478862</v>
      </c>
      <c r="BE399" s="135">
        <v>643.58905546564392</v>
      </c>
      <c r="BF399" s="40"/>
      <c r="BG399" s="135">
        <v>271.77915214866448</v>
      </c>
      <c r="BH399" s="135">
        <v>266.89861130043619</v>
      </c>
      <c r="BI399" s="49">
        <v>1263.9555070904325</v>
      </c>
      <c r="BJ399" s="49">
        <v>538.67776344910067</v>
      </c>
      <c r="BK399" s="66">
        <v>-3.6082968850446817E-2</v>
      </c>
      <c r="BL399" s="66">
        <v>1.8286123050428538E-2</v>
      </c>
      <c r="BM399" s="51">
        <v>22.981009219826046</v>
      </c>
      <c r="BN399" s="51">
        <v>9.7941411536200125</v>
      </c>
      <c r="BO399" s="136"/>
      <c r="BP399" s="40"/>
      <c r="BQ399" s="40"/>
      <c r="BR399" s="67"/>
      <c r="BS399" s="54" t="s">
        <v>110</v>
      </c>
      <c r="BT399" s="68"/>
      <c r="BU399" s="69"/>
      <c r="BV399" s="3"/>
      <c r="BW399" s="3"/>
      <c r="BX399" s="70"/>
      <c r="BY399" s="70"/>
      <c r="BZ399" s="59"/>
      <c r="CA399" s="59"/>
      <c r="CB399" s="59" t="s">
        <v>110</v>
      </c>
      <c r="CC399" s="59" t="s">
        <v>110</v>
      </c>
      <c r="CD399" s="60"/>
      <c r="CE399" s="60"/>
      <c r="CF399" s="61"/>
      <c r="CG399" s="61"/>
      <c r="CH399" s="61"/>
      <c r="CI399" s="138">
        <v>14.1</v>
      </c>
      <c r="CJ399" s="40">
        <f>VLOOKUP(paper3[[#This Row],[YYIR nivå]],$DB:$DC,2)</f>
        <v>480</v>
      </c>
      <c r="CK399" s="3"/>
      <c r="CL399" s="62"/>
      <c r="CM399" s="62"/>
      <c r="CN399" s="3"/>
      <c r="CO399" s="3"/>
      <c r="CP399" s="41">
        <v>13.41388888888889</v>
      </c>
      <c r="CQ399" s="3"/>
      <c r="CR399" s="40" t="s">
        <v>110</v>
      </c>
      <c r="CS399" s="40" t="s">
        <v>110</v>
      </c>
      <c r="CT399" s="40" t="s">
        <v>110</v>
      </c>
      <c r="CU399" s="40"/>
      <c r="CV399" s="40"/>
      <c r="CW399" s="40"/>
      <c r="CX399" s="40"/>
      <c r="CY399" s="40" t="s">
        <v>204</v>
      </c>
      <c r="CZ399" s="40"/>
      <c r="DA399" s="40"/>
    </row>
    <row r="400" spans="1:105" ht="18.75" customHeight="1">
      <c r="A400" s="3">
        <v>865</v>
      </c>
      <c r="B400" s="92" t="s">
        <v>199</v>
      </c>
      <c r="C400" s="143" t="s">
        <v>104</v>
      </c>
      <c r="D400" s="3" t="s">
        <v>105</v>
      </c>
      <c r="E400" s="144">
        <v>45077</v>
      </c>
      <c r="F400" s="3" t="s">
        <v>186</v>
      </c>
      <c r="G400" s="3" t="s">
        <v>107</v>
      </c>
      <c r="H400" s="3">
        <v>2008</v>
      </c>
      <c r="I400" s="40" t="s">
        <v>116</v>
      </c>
      <c r="J400" s="39" t="str">
        <f>paper3[[#This Row],[sex]]&amp;paper3[[#This Row],[ageg]]</f>
        <v>girlsU16</v>
      </c>
      <c r="K400" s="3">
        <v>171</v>
      </c>
      <c r="L400" s="3">
        <v>171</v>
      </c>
      <c r="M400" s="3"/>
      <c r="N400" s="3">
        <v>157.6</v>
      </c>
      <c r="O400" s="3">
        <v>157.6</v>
      </c>
      <c r="P400" s="3"/>
      <c r="Q400" s="3">
        <v>63.4</v>
      </c>
      <c r="R400" s="3"/>
      <c r="S400" s="3"/>
      <c r="T400" s="125">
        <v>171</v>
      </c>
      <c r="U400" s="126">
        <v>87.399999999999991</v>
      </c>
      <c r="V400" s="12">
        <f>paper3[[#This Row],[height]]-paper3[[#This Row],[sittingheight]]</f>
        <v>83.600000000000009</v>
      </c>
      <c r="W400" s="127">
        <v>63.4</v>
      </c>
      <c r="X400" s="43" cm="1">
        <f t="array" ref="X400">INDEX([1]!phvny[yphv], MATCH(1, (paper3[[#This Row],[id]]=[1]!phvny[id])*(paper3[[#This Row],[time]]=[1]!phvny[time]), 0))</f>
        <v>2.5646590608654973</v>
      </c>
      <c r="Y400" s="3">
        <v>1.798</v>
      </c>
      <c r="Z400" s="3">
        <v>3.3090000000000002</v>
      </c>
      <c r="AA400" s="3">
        <v>4.7720000000000002</v>
      </c>
      <c r="AB400" s="3">
        <v>1.81</v>
      </c>
      <c r="AC400" s="3">
        <v>3.3079999999999998</v>
      </c>
      <c r="AD400" s="3">
        <v>4.7670000000000003</v>
      </c>
      <c r="AE400" s="3">
        <v>1.8129999999999999</v>
      </c>
      <c r="AF400" s="3">
        <v>3.323</v>
      </c>
      <c r="AG400" s="3">
        <v>4.7990000000000004</v>
      </c>
      <c r="AH400" s="130">
        <v>2.008</v>
      </c>
      <c r="AI400" s="130">
        <v>3.488</v>
      </c>
      <c r="AJ400" s="130">
        <v>4.9770000000000003</v>
      </c>
      <c r="AK400" s="45">
        <v>6.7159167226326382</v>
      </c>
      <c r="AL400" s="3">
        <v>10.84</v>
      </c>
      <c r="AM400" s="3">
        <v>10.55</v>
      </c>
      <c r="AN400" s="3">
        <v>10.8</v>
      </c>
      <c r="AO400" s="3">
        <v>10.76</v>
      </c>
      <c r="AP400" s="137">
        <v>11.42</v>
      </c>
      <c r="AQ400" s="132">
        <v>10.55</v>
      </c>
      <c r="AR400" s="132">
        <v>10.76</v>
      </c>
      <c r="AS400" s="3">
        <v>19.2</v>
      </c>
      <c r="AT400" s="3">
        <v>22.4</v>
      </c>
      <c r="AU400" s="3">
        <v>21.3</v>
      </c>
      <c r="AV400" s="3"/>
      <c r="AW400" s="3"/>
      <c r="AX400" s="133">
        <v>25.36</v>
      </c>
      <c r="AY400" s="134"/>
      <c r="AZ400" s="40"/>
      <c r="BA400" s="40"/>
      <c r="BB400" s="40"/>
      <c r="BC400" s="40"/>
      <c r="BD400" s="135" t="s">
        <v>110</v>
      </c>
      <c r="BE400" s="135" t="s">
        <v>110</v>
      </c>
      <c r="BF400" s="40"/>
      <c r="BG400" s="135" t="s">
        <v>110</v>
      </c>
      <c r="BH400" s="135" t="s">
        <v>110</v>
      </c>
      <c r="BI400" s="49"/>
      <c r="BJ400" s="49"/>
      <c r="BK400" s="66"/>
      <c r="BL400" s="66"/>
      <c r="BM400" s="51"/>
      <c r="BN400" s="51"/>
      <c r="BO400" s="136"/>
      <c r="BP400" s="40"/>
      <c r="BQ400" s="40"/>
      <c r="BR400" s="67"/>
      <c r="BS400" s="54" t="s">
        <v>110</v>
      </c>
      <c r="BT400" s="68"/>
      <c r="BU400" s="69"/>
      <c r="BV400" s="3"/>
      <c r="BW400" s="3"/>
      <c r="BX400" s="70"/>
      <c r="BY400" s="70"/>
      <c r="BZ400" s="59"/>
      <c r="CA400" s="59"/>
      <c r="CB400" s="59" t="s">
        <v>110</v>
      </c>
      <c r="CC400" s="59" t="s">
        <v>110</v>
      </c>
      <c r="CD400" s="60"/>
      <c r="CE400" s="60"/>
      <c r="CF400" s="61"/>
      <c r="CG400" s="61"/>
      <c r="CH400" s="61"/>
      <c r="CI400" s="138">
        <v>13.3</v>
      </c>
      <c r="CJ400" s="40">
        <f>VLOOKUP(paper3[[#This Row],[YYIR nivå]],$DB:$DC,2)</f>
        <v>400</v>
      </c>
      <c r="CK400" s="3"/>
      <c r="CL400" s="62"/>
      <c r="CM400" s="62"/>
      <c r="CN400" s="3"/>
      <c r="CO400" s="3"/>
      <c r="CP400" s="41">
        <v>14.666666666666666</v>
      </c>
      <c r="CQ400" s="3"/>
      <c r="CR400" s="40" t="s">
        <v>110</v>
      </c>
      <c r="CS400" s="40" t="s">
        <v>110</v>
      </c>
      <c r="CT400" s="40" t="s">
        <v>110</v>
      </c>
      <c r="CU400" s="40"/>
      <c r="CV400" s="40"/>
      <c r="CW400" s="40"/>
      <c r="CX400" s="40"/>
      <c r="CY400" s="40" t="s">
        <v>205</v>
      </c>
      <c r="CZ400" s="40"/>
      <c r="DA400" s="40"/>
    </row>
    <row r="401" spans="1:105" ht="18.75">
      <c r="A401" s="3">
        <v>866</v>
      </c>
      <c r="B401" s="92" t="s">
        <v>199</v>
      </c>
      <c r="C401" s="143" t="s">
        <v>104</v>
      </c>
      <c r="D401" s="3" t="s">
        <v>105</v>
      </c>
      <c r="E401" s="144">
        <v>45077</v>
      </c>
      <c r="F401" s="3" t="s">
        <v>186</v>
      </c>
      <c r="G401" s="3" t="s">
        <v>107</v>
      </c>
      <c r="H401" s="3">
        <v>2008</v>
      </c>
      <c r="I401" s="40" t="s">
        <v>116</v>
      </c>
      <c r="J401" s="39" t="str">
        <f>paper3[[#This Row],[sex]]&amp;paper3[[#This Row],[ageg]]</f>
        <v>girlsU16</v>
      </c>
      <c r="K401" s="3"/>
      <c r="L401" s="3"/>
      <c r="M401" s="3"/>
      <c r="N401" s="3"/>
      <c r="O401" s="3"/>
      <c r="P401" s="3"/>
      <c r="Q401" s="3"/>
      <c r="R401" s="3"/>
      <c r="S401" s="3"/>
      <c r="T401" s="125"/>
      <c r="U401" s="126"/>
      <c r="V401" s="12"/>
      <c r="W401" s="127"/>
      <c r="X401" s="43"/>
      <c r="Y401" s="3"/>
      <c r="Z401" s="3"/>
      <c r="AA401" s="3"/>
      <c r="AB401" s="3"/>
      <c r="AC401" s="3"/>
      <c r="AD401" s="3"/>
      <c r="AE401" s="3"/>
      <c r="AF401" s="3"/>
      <c r="AG401" s="3"/>
      <c r="AH401" s="133"/>
      <c r="AI401" s="133"/>
      <c r="AJ401" s="133"/>
      <c r="AK401" s="45"/>
      <c r="AL401" s="3">
        <v>11.34</v>
      </c>
      <c r="AM401" s="3">
        <v>11.18</v>
      </c>
      <c r="AN401" s="3">
        <v>11.65</v>
      </c>
      <c r="AO401" s="3">
        <v>11.65</v>
      </c>
      <c r="AP401" s="137">
        <v>12.049999999999999</v>
      </c>
      <c r="AQ401" s="132">
        <v>11.18</v>
      </c>
      <c r="AR401" s="132">
        <v>11.65</v>
      </c>
      <c r="AS401" s="3"/>
      <c r="AT401" s="3"/>
      <c r="AU401" s="3"/>
      <c r="AV401" s="3"/>
      <c r="AW401" s="3"/>
      <c r="AX401" s="133"/>
      <c r="AY401" s="134"/>
      <c r="AZ401" s="40"/>
      <c r="BA401" s="40"/>
      <c r="BB401" s="40"/>
      <c r="BC401" s="40"/>
      <c r="BD401" s="135" t="s">
        <v>110</v>
      </c>
      <c r="BE401" s="135" t="s">
        <v>110</v>
      </c>
      <c r="BF401" s="40"/>
      <c r="BG401" s="135" t="s">
        <v>110</v>
      </c>
      <c r="BH401" s="135" t="s">
        <v>110</v>
      </c>
      <c r="BI401" s="49"/>
      <c r="BJ401" s="49"/>
      <c r="BK401" s="66"/>
      <c r="BL401" s="66"/>
      <c r="BM401" s="51"/>
      <c r="BN401" s="51"/>
      <c r="BO401" s="136"/>
      <c r="BP401" s="40"/>
      <c r="BQ401" s="40"/>
      <c r="BR401" s="67"/>
      <c r="BS401" s="54" t="s">
        <v>110</v>
      </c>
      <c r="BT401" s="68"/>
      <c r="BU401" s="69"/>
      <c r="BV401" s="3"/>
      <c r="BW401" s="3"/>
      <c r="BX401" s="70"/>
      <c r="BY401" s="70"/>
      <c r="BZ401" s="59"/>
      <c r="CA401" s="59"/>
      <c r="CB401" s="59" t="s">
        <v>110</v>
      </c>
      <c r="CC401" s="59" t="s">
        <v>110</v>
      </c>
      <c r="CD401" s="60"/>
      <c r="CE401" s="60"/>
      <c r="CF401" s="61"/>
      <c r="CG401" s="61"/>
      <c r="CH401" s="61"/>
      <c r="CI401" s="138">
        <v>12.2</v>
      </c>
      <c r="CJ401" s="40">
        <f>VLOOKUP(paper3[[#This Row],[YYIR nivå]],$DB:$DC,2)</f>
        <v>240</v>
      </c>
      <c r="CK401" s="3"/>
      <c r="CL401" s="62"/>
      <c r="CM401" s="62"/>
      <c r="CN401" s="3"/>
      <c r="CO401" s="3"/>
      <c r="CP401" s="41">
        <v>14.75</v>
      </c>
      <c r="CQ401" s="3"/>
      <c r="CR401" s="40" t="s">
        <v>110</v>
      </c>
      <c r="CS401" s="40" t="s">
        <v>110</v>
      </c>
      <c r="CT401" s="40" t="s">
        <v>110</v>
      </c>
      <c r="CU401" s="40"/>
      <c r="CV401" s="40"/>
      <c r="CW401" s="40"/>
      <c r="CX401" s="40"/>
      <c r="CY401" s="40" t="s">
        <v>110</v>
      </c>
      <c r="CZ401" s="40"/>
      <c r="DA401" s="40"/>
    </row>
    <row r="402" spans="1:105" ht="18.75" customHeight="1">
      <c r="A402" s="3">
        <v>867</v>
      </c>
      <c r="B402" s="92" t="s">
        <v>199</v>
      </c>
      <c r="C402" s="143"/>
      <c r="D402" s="3" t="s">
        <v>105</v>
      </c>
      <c r="E402" s="144">
        <v>45077</v>
      </c>
      <c r="F402" s="3" t="s">
        <v>186</v>
      </c>
      <c r="G402" s="3" t="s">
        <v>107</v>
      </c>
      <c r="H402" s="3">
        <v>2008</v>
      </c>
      <c r="I402" s="40" t="s">
        <v>116</v>
      </c>
      <c r="J402" s="39" t="str">
        <f>paper3[[#This Row],[sex]]&amp;paper3[[#This Row],[ageg]]</f>
        <v>girlsU16</v>
      </c>
      <c r="K402" s="3"/>
      <c r="L402" s="3"/>
      <c r="M402" s="3"/>
      <c r="N402" s="3"/>
      <c r="O402" s="3"/>
      <c r="P402" s="3"/>
      <c r="Q402" s="3"/>
      <c r="R402" s="3"/>
      <c r="S402" s="3"/>
      <c r="T402" s="125"/>
      <c r="U402" s="126"/>
      <c r="V402" s="12"/>
      <c r="W402" s="127"/>
      <c r="X402" s="43"/>
      <c r="Y402" s="3"/>
      <c r="Z402" s="3"/>
      <c r="AA402" s="3"/>
      <c r="AB402" s="3"/>
      <c r="AC402" s="3"/>
      <c r="AD402" s="3"/>
      <c r="AE402" s="3"/>
      <c r="AF402" s="3"/>
      <c r="AG402" s="3"/>
      <c r="AH402" s="133"/>
      <c r="AI402" s="133"/>
      <c r="AJ402" s="133"/>
      <c r="AK402" s="45"/>
      <c r="AL402" s="3"/>
      <c r="AM402" s="3"/>
      <c r="AN402" s="3"/>
      <c r="AO402" s="3"/>
      <c r="AP402" s="137"/>
      <c r="AQ402" s="132"/>
      <c r="AR402" s="132"/>
      <c r="AS402" s="3"/>
      <c r="AT402" s="3"/>
      <c r="AU402" s="3"/>
      <c r="AV402" s="3"/>
      <c r="AW402" s="3"/>
      <c r="AX402" s="133"/>
      <c r="AY402" s="134"/>
      <c r="AZ402" s="40"/>
      <c r="BA402" s="40"/>
      <c r="BB402" s="40"/>
      <c r="BC402" s="40"/>
      <c r="BD402" s="135" t="s">
        <v>110</v>
      </c>
      <c r="BE402" s="135" t="s">
        <v>110</v>
      </c>
      <c r="BF402" s="40"/>
      <c r="BG402" s="135" t="s">
        <v>110</v>
      </c>
      <c r="BH402" s="135" t="s">
        <v>110</v>
      </c>
      <c r="BI402" s="49"/>
      <c r="BJ402" s="49"/>
      <c r="BK402" s="66"/>
      <c r="BL402" s="66"/>
      <c r="BM402" s="51"/>
      <c r="BN402" s="51"/>
      <c r="BO402" s="136"/>
      <c r="BP402" s="40"/>
      <c r="BQ402" s="40"/>
      <c r="BR402" s="67"/>
      <c r="BS402" s="54" t="s">
        <v>110</v>
      </c>
      <c r="BT402" s="68"/>
      <c r="BU402" s="69"/>
      <c r="BV402" s="3"/>
      <c r="BW402" s="3"/>
      <c r="BX402" s="70"/>
      <c r="BY402" s="70"/>
      <c r="BZ402" s="59"/>
      <c r="CA402" s="59"/>
      <c r="CB402" s="59" t="s">
        <v>110</v>
      </c>
      <c r="CC402" s="59" t="s">
        <v>110</v>
      </c>
      <c r="CD402" s="60"/>
      <c r="CE402" s="60"/>
      <c r="CF402" s="61"/>
      <c r="CG402" s="61"/>
      <c r="CH402" s="61"/>
      <c r="CI402" s="138"/>
      <c r="CJ402" s="40"/>
      <c r="CK402" s="3"/>
      <c r="CL402" s="62"/>
      <c r="CM402" s="62"/>
      <c r="CN402" s="3"/>
      <c r="CO402" s="3"/>
      <c r="CP402" s="41"/>
      <c r="CQ402" s="3"/>
      <c r="CR402" s="40" t="s">
        <v>110</v>
      </c>
      <c r="CS402" s="40" t="s">
        <v>110</v>
      </c>
      <c r="CT402" s="40" t="s">
        <v>110</v>
      </c>
      <c r="CU402" s="40"/>
      <c r="CV402" s="40"/>
      <c r="CW402" s="40"/>
      <c r="CX402" s="40"/>
      <c r="CY402" s="40" t="s">
        <v>110</v>
      </c>
      <c r="CZ402" s="40"/>
      <c r="DA402" s="40"/>
    </row>
    <row r="403" spans="1:105" ht="18.75" customHeight="1">
      <c r="A403" s="3">
        <v>868</v>
      </c>
      <c r="B403" s="92" t="s">
        <v>199</v>
      </c>
      <c r="C403" s="143"/>
      <c r="D403" s="3" t="s">
        <v>105</v>
      </c>
      <c r="E403" s="144">
        <v>45077</v>
      </c>
      <c r="F403" s="3" t="s">
        <v>186</v>
      </c>
      <c r="G403" s="3" t="s">
        <v>107</v>
      </c>
      <c r="H403" s="3">
        <v>2008</v>
      </c>
      <c r="I403" s="40" t="s">
        <v>116</v>
      </c>
      <c r="J403" s="39" t="str">
        <f>paper3[[#This Row],[sex]]&amp;paper3[[#This Row],[ageg]]</f>
        <v>girlsU16</v>
      </c>
      <c r="K403" s="3"/>
      <c r="L403" s="3"/>
      <c r="M403" s="3"/>
      <c r="N403" s="3"/>
      <c r="O403" s="3"/>
      <c r="P403" s="3"/>
      <c r="Q403" s="3"/>
      <c r="R403" s="3"/>
      <c r="S403" s="3"/>
      <c r="T403" s="125"/>
      <c r="U403" s="126"/>
      <c r="V403" s="12"/>
      <c r="W403" s="127"/>
      <c r="X403" s="43"/>
      <c r="Y403" s="3"/>
      <c r="Z403" s="3"/>
      <c r="AA403" s="3"/>
      <c r="AB403" s="3"/>
      <c r="AC403" s="3"/>
      <c r="AD403" s="3"/>
      <c r="AE403" s="3"/>
      <c r="AF403" s="3"/>
      <c r="AG403" s="3"/>
      <c r="AH403" s="133"/>
      <c r="AI403" s="133"/>
      <c r="AJ403" s="133"/>
      <c r="AK403" s="45"/>
      <c r="AL403" s="3">
        <v>11.59</v>
      </c>
      <c r="AM403" s="3">
        <v>11.44</v>
      </c>
      <c r="AN403" s="3">
        <v>11.91</v>
      </c>
      <c r="AO403" s="3">
        <v>12.16</v>
      </c>
      <c r="AP403" s="137">
        <v>12.309999999999999</v>
      </c>
      <c r="AQ403" s="132">
        <v>11.44</v>
      </c>
      <c r="AR403" s="132">
        <v>11.91</v>
      </c>
      <c r="AS403" s="3"/>
      <c r="AT403" s="3"/>
      <c r="AU403" s="3"/>
      <c r="AV403" s="3"/>
      <c r="AW403" s="3"/>
      <c r="AX403" s="133"/>
      <c r="AY403" s="134"/>
      <c r="AZ403" s="40"/>
      <c r="BA403" s="40"/>
      <c r="BB403" s="40"/>
      <c r="BC403" s="40"/>
      <c r="BD403" s="135" t="s">
        <v>110</v>
      </c>
      <c r="BE403" s="135" t="s">
        <v>110</v>
      </c>
      <c r="BF403" s="40"/>
      <c r="BG403" s="135" t="s">
        <v>110</v>
      </c>
      <c r="BH403" s="135" t="s">
        <v>110</v>
      </c>
      <c r="BI403" s="49"/>
      <c r="BJ403" s="49"/>
      <c r="BK403" s="66"/>
      <c r="BL403" s="66"/>
      <c r="BM403" s="51"/>
      <c r="BN403" s="51"/>
      <c r="BO403" s="136"/>
      <c r="BP403" s="40"/>
      <c r="BQ403" s="40"/>
      <c r="BR403" s="67"/>
      <c r="BS403" s="54" t="s">
        <v>110</v>
      </c>
      <c r="BT403" s="68"/>
      <c r="BU403" s="69"/>
      <c r="BV403" s="3"/>
      <c r="BW403" s="3"/>
      <c r="BX403" s="70"/>
      <c r="BY403" s="70"/>
      <c r="BZ403" s="59"/>
      <c r="CA403" s="59"/>
      <c r="CB403" s="59" t="s">
        <v>110</v>
      </c>
      <c r="CC403" s="59" t="s">
        <v>110</v>
      </c>
      <c r="CD403" s="60"/>
      <c r="CE403" s="60"/>
      <c r="CF403" s="61"/>
      <c r="CG403" s="61"/>
      <c r="CH403" s="61"/>
      <c r="CI403" s="138">
        <v>13.4</v>
      </c>
      <c r="CJ403" s="40">
        <f>VLOOKUP(paper3[[#This Row],[YYIR nivå]],$DB:$DC,2)</f>
        <v>440</v>
      </c>
      <c r="CK403" s="3"/>
      <c r="CL403" s="62"/>
      <c r="CM403" s="62"/>
      <c r="CN403" s="3"/>
      <c r="CO403" s="3"/>
      <c r="CP403" s="41">
        <v>14.544444444444444</v>
      </c>
      <c r="CQ403" s="3"/>
      <c r="CR403" s="40" t="s">
        <v>110</v>
      </c>
      <c r="CS403" s="40" t="s">
        <v>110</v>
      </c>
      <c r="CT403" s="40" t="s">
        <v>110</v>
      </c>
      <c r="CU403" s="40"/>
      <c r="CV403" s="40"/>
      <c r="CW403" s="40"/>
      <c r="CX403" s="40"/>
      <c r="CY403" s="40" t="s">
        <v>110</v>
      </c>
      <c r="CZ403" s="40"/>
      <c r="DA403" s="40"/>
    </row>
    <row r="404" spans="1:105" ht="18.75" customHeight="1">
      <c r="A404" s="3">
        <v>869</v>
      </c>
      <c r="B404" s="92" t="s">
        <v>199</v>
      </c>
      <c r="C404" s="143"/>
      <c r="D404" s="3" t="s">
        <v>105</v>
      </c>
      <c r="E404" s="144">
        <v>45077</v>
      </c>
      <c r="F404" s="3" t="s">
        <v>186</v>
      </c>
      <c r="G404" s="3" t="s">
        <v>107</v>
      </c>
      <c r="H404" s="3">
        <v>2008</v>
      </c>
      <c r="I404" s="40" t="s">
        <v>116</v>
      </c>
      <c r="J404" s="39" t="str">
        <f>paper3[[#This Row],[sex]]&amp;paper3[[#This Row],[ageg]]</f>
        <v>girlsU16</v>
      </c>
      <c r="K404" s="3"/>
      <c r="L404" s="3"/>
      <c r="M404" s="3"/>
      <c r="N404" s="3"/>
      <c r="O404" s="3"/>
      <c r="P404" s="3"/>
      <c r="Q404" s="3"/>
      <c r="R404" s="3"/>
      <c r="S404" s="3"/>
      <c r="T404" s="125"/>
      <c r="U404" s="126"/>
      <c r="V404" s="12"/>
      <c r="W404" s="127"/>
      <c r="X404" s="43"/>
      <c r="Y404" s="3"/>
      <c r="Z404" s="3"/>
      <c r="AA404" s="3"/>
      <c r="AB404" s="3"/>
      <c r="AC404" s="3"/>
      <c r="AD404" s="3"/>
      <c r="AE404" s="3"/>
      <c r="AF404" s="3"/>
      <c r="AG404" s="3"/>
      <c r="AH404" s="133"/>
      <c r="AI404" s="133"/>
      <c r="AJ404" s="133"/>
      <c r="AK404" s="45"/>
      <c r="AL404" s="3">
        <v>11.59</v>
      </c>
      <c r="AM404" s="3">
        <v>11.16</v>
      </c>
      <c r="AN404" s="3">
        <v>12.1</v>
      </c>
      <c r="AO404" s="3">
        <v>12.02</v>
      </c>
      <c r="AP404" s="137">
        <v>12.03</v>
      </c>
      <c r="AQ404" s="132">
        <v>11.16</v>
      </c>
      <c r="AR404" s="132">
        <v>12.02</v>
      </c>
      <c r="AS404" s="3"/>
      <c r="AT404" s="3"/>
      <c r="AU404" s="3"/>
      <c r="AV404" s="3"/>
      <c r="AW404" s="3"/>
      <c r="AX404" s="133"/>
      <c r="AY404" s="134"/>
      <c r="AZ404" s="40"/>
      <c r="BA404" s="40"/>
      <c r="BB404" s="40"/>
      <c r="BC404" s="40"/>
      <c r="BD404" s="135" t="s">
        <v>110</v>
      </c>
      <c r="BE404" s="135" t="s">
        <v>110</v>
      </c>
      <c r="BF404" s="40"/>
      <c r="BG404" s="135" t="s">
        <v>110</v>
      </c>
      <c r="BH404" s="135" t="s">
        <v>110</v>
      </c>
      <c r="BI404" s="49"/>
      <c r="BJ404" s="49"/>
      <c r="BK404" s="66"/>
      <c r="BL404" s="66"/>
      <c r="BM404" s="51"/>
      <c r="BN404" s="51"/>
      <c r="BO404" s="136"/>
      <c r="BP404" s="40"/>
      <c r="BQ404" s="40"/>
      <c r="BR404" s="67"/>
      <c r="BS404" s="54" t="s">
        <v>110</v>
      </c>
      <c r="BT404" s="68"/>
      <c r="BU404" s="69"/>
      <c r="BV404" s="3"/>
      <c r="BW404" s="3"/>
      <c r="BX404" s="70"/>
      <c r="BY404" s="70"/>
      <c r="BZ404" s="59"/>
      <c r="CA404" s="59"/>
      <c r="CB404" s="59" t="s">
        <v>110</v>
      </c>
      <c r="CC404" s="59" t="s">
        <v>110</v>
      </c>
      <c r="CD404" s="60"/>
      <c r="CE404" s="60"/>
      <c r="CF404" s="61"/>
      <c r="CG404" s="61"/>
      <c r="CH404" s="61"/>
      <c r="CI404" s="138">
        <v>12.3</v>
      </c>
      <c r="CJ404" s="40">
        <f>VLOOKUP(paper3[[#This Row],[YYIR nivå]],$DB:$DC,2)</f>
        <v>280</v>
      </c>
      <c r="CK404" s="3"/>
      <c r="CL404" s="62"/>
      <c r="CM404" s="62"/>
      <c r="CN404" s="3"/>
      <c r="CO404" s="3"/>
      <c r="CP404" s="41">
        <v>14.824999999999999</v>
      </c>
      <c r="CQ404" s="3"/>
      <c r="CR404" s="40" t="s">
        <v>110</v>
      </c>
      <c r="CS404" s="40" t="s">
        <v>110</v>
      </c>
      <c r="CT404" s="40" t="s">
        <v>110</v>
      </c>
      <c r="CU404" s="40"/>
      <c r="CV404" s="40"/>
      <c r="CW404" s="40"/>
      <c r="CX404" s="40"/>
      <c r="CY404" s="40" t="s">
        <v>110</v>
      </c>
      <c r="CZ404" s="40"/>
      <c r="DA404" s="40"/>
    </row>
    <row r="405" spans="1:105" ht="18.75" customHeight="1">
      <c r="A405" s="3">
        <v>870</v>
      </c>
      <c r="B405" s="92" t="s">
        <v>199</v>
      </c>
      <c r="C405" s="143" t="s">
        <v>104</v>
      </c>
      <c r="D405" s="3" t="s">
        <v>105</v>
      </c>
      <c r="E405" s="144">
        <v>45077</v>
      </c>
      <c r="F405" s="3" t="s">
        <v>186</v>
      </c>
      <c r="G405" s="3" t="s">
        <v>107</v>
      </c>
      <c r="H405" s="3">
        <v>2008</v>
      </c>
      <c r="I405" s="40" t="s">
        <v>116</v>
      </c>
      <c r="J405" s="39" t="str">
        <f>paper3[[#This Row],[sex]]&amp;paper3[[#This Row],[ageg]]</f>
        <v>girlsU16</v>
      </c>
      <c r="K405" s="3">
        <v>178.6</v>
      </c>
      <c r="L405" s="3">
        <v>178.4</v>
      </c>
      <c r="M405" s="3"/>
      <c r="N405" s="3">
        <v>160.4</v>
      </c>
      <c r="O405" s="3">
        <v>160.4</v>
      </c>
      <c r="P405" s="3"/>
      <c r="Q405" s="3">
        <v>56.75</v>
      </c>
      <c r="R405" s="3"/>
      <c r="S405" s="3"/>
      <c r="T405" s="125">
        <v>178.5</v>
      </c>
      <c r="U405" s="126">
        <v>90.2</v>
      </c>
      <c r="V405" s="12">
        <f>paper3[[#This Row],[height]]-paper3[[#This Row],[sittingheight]]</f>
        <v>88.3</v>
      </c>
      <c r="W405" s="127">
        <v>56.75</v>
      </c>
      <c r="X405" s="43" cm="1">
        <f t="array" ref="X405">INDEX([1]!phvny[yphv], MATCH(1, (paper3[[#This Row],[id]]=[1]!phvny[id])*(paper3[[#This Row],[time]]=[1]!phvny[time]), 0))</f>
        <v>3.0959835044346407</v>
      </c>
      <c r="Y405" s="3">
        <v>1.724</v>
      </c>
      <c r="Z405" s="3">
        <v>3.2160000000000002</v>
      </c>
      <c r="AA405" s="3">
        <v>4.6289999999999996</v>
      </c>
      <c r="AB405" s="3">
        <v>1.4379999999999999</v>
      </c>
      <c r="AC405" s="3">
        <v>3.0459999999999998</v>
      </c>
      <c r="AD405" s="3">
        <v>4.5</v>
      </c>
      <c r="AE405" s="3">
        <v>1.7629999999999999</v>
      </c>
      <c r="AF405" s="3">
        <v>3.2789999999999999</v>
      </c>
      <c r="AG405" s="3">
        <v>4.7329999999999997</v>
      </c>
      <c r="AH405" s="130">
        <v>1.9339999999999999</v>
      </c>
      <c r="AI405" s="130">
        <v>3.226</v>
      </c>
      <c r="AJ405" s="130">
        <v>4.8389999999999995</v>
      </c>
      <c r="AK405" s="45">
        <v>6.1996280223186631</v>
      </c>
      <c r="AL405" s="3">
        <v>10.6</v>
      </c>
      <c r="AM405" s="3">
        <v>10.41</v>
      </c>
      <c r="AN405" s="3">
        <v>10.44</v>
      </c>
      <c r="AO405" s="3">
        <v>10.59</v>
      </c>
      <c r="AP405" s="137">
        <v>11.28</v>
      </c>
      <c r="AQ405" s="132">
        <v>10.41</v>
      </c>
      <c r="AR405" s="132">
        <v>10.44</v>
      </c>
      <c r="AS405" s="3">
        <v>24.8</v>
      </c>
      <c r="AT405" s="3">
        <v>25.3</v>
      </c>
      <c r="AU405" s="3">
        <v>25.2</v>
      </c>
      <c r="AV405" s="3"/>
      <c r="AW405" s="3"/>
      <c r="AX405" s="133">
        <v>28.26</v>
      </c>
      <c r="AY405" s="134"/>
      <c r="AZ405" s="40"/>
      <c r="BA405" s="40"/>
      <c r="BB405" s="40"/>
      <c r="BC405" s="40"/>
      <c r="BD405" s="135" t="s">
        <v>110</v>
      </c>
      <c r="BE405" s="135" t="s">
        <v>110</v>
      </c>
      <c r="BF405" s="40"/>
      <c r="BG405" s="135" t="s">
        <v>110</v>
      </c>
      <c r="BH405" s="135" t="s">
        <v>110</v>
      </c>
      <c r="BI405" s="49"/>
      <c r="BJ405" s="49"/>
      <c r="BK405" s="66"/>
      <c r="BL405" s="66"/>
      <c r="BM405" s="51"/>
      <c r="BN405" s="51"/>
      <c r="BO405" s="136"/>
      <c r="BP405" s="40"/>
      <c r="BQ405" s="40"/>
      <c r="BR405" s="67"/>
      <c r="BS405" s="54" t="s">
        <v>110</v>
      </c>
      <c r="BT405" s="68"/>
      <c r="BU405" s="69"/>
      <c r="BV405" s="3"/>
      <c r="BW405" s="3"/>
      <c r="BX405" s="70"/>
      <c r="BY405" s="70"/>
      <c r="BZ405" s="59"/>
      <c r="CA405" s="59"/>
      <c r="CB405" s="59" t="s">
        <v>110</v>
      </c>
      <c r="CC405" s="59" t="s">
        <v>110</v>
      </c>
      <c r="CD405" s="60"/>
      <c r="CE405" s="60"/>
      <c r="CF405" s="61"/>
      <c r="CG405" s="61"/>
      <c r="CH405" s="61"/>
      <c r="CI405" s="138">
        <v>14.4</v>
      </c>
      <c r="CJ405" s="40">
        <f>VLOOKUP(paper3[[#This Row],[YYIR nivå]],$DB:$DC,2)</f>
        <v>600</v>
      </c>
      <c r="CK405" s="3"/>
      <c r="CL405" s="62"/>
      <c r="CM405" s="62"/>
      <c r="CN405" s="3"/>
      <c r="CO405" s="3"/>
      <c r="CP405" s="41">
        <v>14.952777777777778</v>
      </c>
      <c r="CQ405" s="3"/>
      <c r="CR405" s="40" t="s">
        <v>110</v>
      </c>
      <c r="CS405" s="40" t="s">
        <v>110</v>
      </c>
      <c r="CT405" s="40" t="s">
        <v>110</v>
      </c>
      <c r="CU405" s="40"/>
      <c r="CV405" s="40"/>
      <c r="CW405" s="40"/>
      <c r="CX405" s="40"/>
      <c r="CY405" s="40" t="s">
        <v>204</v>
      </c>
      <c r="CZ405" s="40"/>
      <c r="DA405" s="40"/>
    </row>
    <row r="406" spans="1:105" ht="18.75" customHeight="1">
      <c r="A406" s="3">
        <v>871</v>
      </c>
      <c r="B406" s="92" t="s">
        <v>199</v>
      </c>
      <c r="C406" s="143" t="s">
        <v>104</v>
      </c>
      <c r="D406" s="3" t="s">
        <v>105</v>
      </c>
      <c r="E406" s="144">
        <v>45077</v>
      </c>
      <c r="F406" s="3" t="s">
        <v>186</v>
      </c>
      <c r="G406" s="3" t="s">
        <v>107</v>
      </c>
      <c r="H406" s="3">
        <v>2008</v>
      </c>
      <c r="I406" s="40" t="s">
        <v>116</v>
      </c>
      <c r="J406" s="39" t="str">
        <f>paper3[[#This Row],[sex]]&amp;paper3[[#This Row],[ageg]]</f>
        <v>girlsU16</v>
      </c>
      <c r="K406" s="3">
        <v>168</v>
      </c>
      <c r="L406" s="3">
        <v>168</v>
      </c>
      <c r="M406" s="3"/>
      <c r="N406" s="3">
        <v>160.4</v>
      </c>
      <c r="O406" s="3">
        <v>160.5</v>
      </c>
      <c r="P406" s="3"/>
      <c r="Q406" s="3">
        <v>71.8</v>
      </c>
      <c r="R406" s="3"/>
      <c r="S406" s="3"/>
      <c r="T406" s="125">
        <v>168</v>
      </c>
      <c r="U406" s="126">
        <v>90.249999999999986</v>
      </c>
      <c r="V406" s="12">
        <f>paper3[[#This Row],[height]]-paper3[[#This Row],[sittingheight]]</f>
        <v>77.750000000000014</v>
      </c>
      <c r="W406" s="127">
        <v>71.8</v>
      </c>
      <c r="X406" s="43" cm="1">
        <f t="array" ref="X406">INDEX([1]!phvny[yphv], MATCH(1, (paper3[[#This Row],[id]]=[1]!phvny[id])*(paper3[[#This Row],[time]]=[1]!phvny[time]), 0))</f>
        <v>2.6708297938888879</v>
      </c>
      <c r="Y406" s="3">
        <v>1.6839999999999999</v>
      </c>
      <c r="Z406" s="3">
        <v>3.3490000000000002</v>
      </c>
      <c r="AA406" s="3">
        <v>4.9119999999999999</v>
      </c>
      <c r="AB406" s="3">
        <v>1.9179999999999999</v>
      </c>
      <c r="AC406" s="3">
        <v>3.5179999999999998</v>
      </c>
      <c r="AD406" s="3">
        <v>5.093</v>
      </c>
      <c r="AE406" s="3">
        <v>1.903</v>
      </c>
      <c r="AF406" s="3">
        <v>3.5270000000000001</v>
      </c>
      <c r="AG406" s="3">
        <v>5.1470000000000002</v>
      </c>
      <c r="AH406" s="130">
        <v>1.8939999999999999</v>
      </c>
      <c r="AI406" s="130">
        <v>3.5290000000000004</v>
      </c>
      <c r="AJ406" s="130">
        <v>5.1219999999999999</v>
      </c>
      <c r="AK406" s="45">
        <v>6.2774639045825502</v>
      </c>
      <c r="AL406" s="3">
        <v>11.26</v>
      </c>
      <c r="AM406" s="3">
        <v>10.97</v>
      </c>
      <c r="AN406" s="3">
        <v>11.3</v>
      </c>
      <c r="AO406" s="3">
        <v>11.18</v>
      </c>
      <c r="AP406" s="137">
        <v>11.84</v>
      </c>
      <c r="AQ406" s="132">
        <v>10.97</v>
      </c>
      <c r="AR406" s="132">
        <v>11.18</v>
      </c>
      <c r="AS406" s="3">
        <v>18.899999999999999</v>
      </c>
      <c r="AT406" s="3">
        <v>18.8</v>
      </c>
      <c r="AU406" s="3">
        <v>18.3</v>
      </c>
      <c r="AV406" s="3"/>
      <c r="AW406" s="3"/>
      <c r="AX406" s="133">
        <v>21.86</v>
      </c>
      <c r="AY406" s="134"/>
      <c r="AZ406" s="40"/>
      <c r="BA406" s="40"/>
      <c r="BB406" s="40"/>
      <c r="BC406" s="40"/>
      <c r="BD406" s="135" t="s">
        <v>110</v>
      </c>
      <c r="BE406" s="135" t="s">
        <v>110</v>
      </c>
      <c r="BF406" s="40"/>
      <c r="BG406" s="135" t="s">
        <v>110</v>
      </c>
      <c r="BH406" s="135" t="s">
        <v>110</v>
      </c>
      <c r="BI406" s="49"/>
      <c r="BJ406" s="49"/>
      <c r="BK406" s="66"/>
      <c r="BL406" s="66"/>
      <c r="BM406" s="51"/>
      <c r="BN406" s="51"/>
      <c r="BO406" s="136"/>
      <c r="BP406" s="40"/>
      <c r="BQ406" s="40"/>
      <c r="BR406" s="67"/>
      <c r="BS406" s="54" t="s">
        <v>110</v>
      </c>
      <c r="BT406" s="68"/>
      <c r="BU406" s="69"/>
      <c r="BV406" s="3"/>
      <c r="BW406" s="3"/>
      <c r="BX406" s="70"/>
      <c r="BY406" s="70"/>
      <c r="BZ406" s="59"/>
      <c r="CA406" s="59"/>
      <c r="CB406" s="59" t="s">
        <v>110</v>
      </c>
      <c r="CC406" s="59" t="s">
        <v>110</v>
      </c>
      <c r="CD406" s="60"/>
      <c r="CE406" s="60"/>
      <c r="CF406" s="61"/>
      <c r="CG406" s="61"/>
      <c r="CH406" s="61"/>
      <c r="CI406" s="138">
        <v>14.4</v>
      </c>
      <c r="CJ406" s="40">
        <f>VLOOKUP(paper3[[#This Row],[YYIR nivå]],$DB:$DC,2)</f>
        <v>600</v>
      </c>
      <c r="CK406" s="3"/>
      <c r="CL406" s="62"/>
      <c r="CM406" s="62"/>
      <c r="CN406" s="3"/>
      <c r="CO406" s="3"/>
      <c r="CP406" s="41">
        <v>14.661111111111111</v>
      </c>
      <c r="CQ406" s="3"/>
      <c r="CR406" s="40" t="s">
        <v>110</v>
      </c>
      <c r="CS406" s="40" t="s">
        <v>110</v>
      </c>
      <c r="CT406" s="40" t="s">
        <v>110</v>
      </c>
      <c r="CU406" s="40"/>
      <c r="CV406" s="40"/>
      <c r="CW406" s="40"/>
      <c r="CX406" s="40"/>
      <c r="CY406" s="40" t="s">
        <v>204</v>
      </c>
      <c r="CZ406" s="40"/>
      <c r="DA406" s="40"/>
    </row>
    <row r="407" spans="1:105" ht="18.75" customHeight="1">
      <c r="A407" s="3">
        <v>872</v>
      </c>
      <c r="B407" s="92" t="s">
        <v>199</v>
      </c>
      <c r="C407" s="143" t="s">
        <v>104</v>
      </c>
      <c r="D407" s="3" t="s">
        <v>105</v>
      </c>
      <c r="E407" s="144">
        <v>45077</v>
      </c>
      <c r="F407" s="3" t="s">
        <v>186</v>
      </c>
      <c r="G407" s="3" t="s">
        <v>107</v>
      </c>
      <c r="H407" s="3">
        <v>2008</v>
      </c>
      <c r="I407" s="40" t="s">
        <v>116</v>
      </c>
      <c r="J407" s="39" t="str">
        <f>paper3[[#This Row],[sex]]&amp;paper3[[#This Row],[ageg]]</f>
        <v>girlsU16</v>
      </c>
      <c r="K407" s="3">
        <v>167</v>
      </c>
      <c r="L407" s="3">
        <v>167</v>
      </c>
      <c r="M407" s="3"/>
      <c r="N407" s="3">
        <v>157</v>
      </c>
      <c r="O407" s="3">
        <v>157</v>
      </c>
      <c r="P407" s="3"/>
      <c r="Q407" s="3">
        <v>53.9</v>
      </c>
      <c r="R407" s="3"/>
      <c r="S407" s="3"/>
      <c r="T407" s="125">
        <v>167</v>
      </c>
      <c r="U407" s="126">
        <v>86.8</v>
      </c>
      <c r="V407" s="12">
        <f>paper3[[#This Row],[height]]-paper3[[#This Row],[sittingheight]]</f>
        <v>80.2</v>
      </c>
      <c r="W407" s="127">
        <v>53.9</v>
      </c>
      <c r="X407" s="43" cm="1">
        <f t="array" ref="X407">INDEX([1]!phvny[yphv], MATCH(1, (paper3[[#This Row],[id]]=[1]!phvny[id])*(paper3[[#This Row],[time]]=[1]!phvny[time]), 0))</f>
        <v>2.557179237512309</v>
      </c>
      <c r="Y407" s="3">
        <v>1.861</v>
      </c>
      <c r="Z407" s="3">
        <v>3.363</v>
      </c>
      <c r="AA407" s="3">
        <v>4.827</v>
      </c>
      <c r="AB407" s="3">
        <v>1.8480000000000001</v>
      </c>
      <c r="AC407" s="3">
        <v>3.37</v>
      </c>
      <c r="AD407" s="3">
        <v>4.8490000000000002</v>
      </c>
      <c r="AE407" s="3">
        <v>1.869</v>
      </c>
      <c r="AF407" s="3">
        <v>3.3879999999999999</v>
      </c>
      <c r="AG407" s="3">
        <v>4.8730000000000002</v>
      </c>
      <c r="AH407" s="130">
        <v>2.0580000000000003</v>
      </c>
      <c r="AI407" s="130">
        <v>3.5430000000000001</v>
      </c>
      <c r="AJ407" s="130">
        <v>5.0369999999999999</v>
      </c>
      <c r="AK407" s="45">
        <v>6.693440428380188</v>
      </c>
      <c r="AL407" s="3"/>
      <c r="AM407" s="3">
        <v>10.81</v>
      </c>
      <c r="AN407" s="3">
        <v>10.77</v>
      </c>
      <c r="AO407" s="3">
        <v>10.93</v>
      </c>
      <c r="AP407" s="137">
        <v>11.639999999999999</v>
      </c>
      <c r="AQ407" s="132">
        <v>10.81</v>
      </c>
      <c r="AR407" s="132">
        <v>10.77</v>
      </c>
      <c r="AS407" s="3">
        <v>22.6</v>
      </c>
      <c r="AT407" s="3">
        <v>20</v>
      </c>
      <c r="AU407" s="3">
        <v>21</v>
      </c>
      <c r="AV407" s="3"/>
      <c r="AW407" s="3"/>
      <c r="AX407" s="133">
        <v>25.560000000000002</v>
      </c>
      <c r="AY407" s="134"/>
      <c r="AZ407" s="40"/>
      <c r="BA407" s="40"/>
      <c r="BB407" s="40"/>
      <c r="BC407" s="40"/>
      <c r="BD407" s="135" t="s">
        <v>110</v>
      </c>
      <c r="BE407" s="135" t="s">
        <v>110</v>
      </c>
      <c r="BF407" s="40"/>
      <c r="BG407" s="135" t="s">
        <v>110</v>
      </c>
      <c r="BH407" s="135" t="s">
        <v>110</v>
      </c>
      <c r="BI407" s="49"/>
      <c r="BJ407" s="49"/>
      <c r="BK407" s="66"/>
      <c r="BL407" s="66"/>
      <c r="BM407" s="51"/>
      <c r="BN407" s="51"/>
      <c r="BO407" s="136"/>
      <c r="BP407" s="40"/>
      <c r="BQ407" s="40"/>
      <c r="BR407" s="67"/>
      <c r="BS407" s="54" t="s">
        <v>110</v>
      </c>
      <c r="BT407" s="68"/>
      <c r="BU407" s="69"/>
      <c r="BV407" s="3"/>
      <c r="BW407" s="3"/>
      <c r="BX407" s="70"/>
      <c r="BY407" s="70"/>
      <c r="BZ407" s="59"/>
      <c r="CA407" s="59"/>
      <c r="CB407" s="59" t="s">
        <v>110</v>
      </c>
      <c r="CC407" s="59" t="s">
        <v>110</v>
      </c>
      <c r="CD407" s="60"/>
      <c r="CE407" s="60"/>
      <c r="CF407" s="61"/>
      <c r="CG407" s="61"/>
      <c r="CH407" s="61"/>
      <c r="CI407" s="138">
        <v>15.5</v>
      </c>
      <c r="CJ407" s="40">
        <f>VLOOKUP(paper3[[#This Row],[YYIR nivå]],$DB:$DC,2)</f>
        <v>960</v>
      </c>
      <c r="CK407" s="3"/>
      <c r="CL407" s="62"/>
      <c r="CM407" s="62"/>
      <c r="CN407" s="3"/>
      <c r="CO407" s="3"/>
      <c r="CP407" s="41">
        <v>15.069444444444445</v>
      </c>
      <c r="CQ407" s="3"/>
      <c r="CR407" s="40" t="s">
        <v>110</v>
      </c>
      <c r="CS407" s="40" t="s">
        <v>110</v>
      </c>
      <c r="CT407" s="40" t="s">
        <v>110</v>
      </c>
      <c r="CU407" s="40"/>
      <c r="CV407" s="40"/>
      <c r="CW407" s="40"/>
      <c r="CX407" s="40"/>
      <c r="CY407" s="40" t="s">
        <v>205</v>
      </c>
      <c r="CZ407" s="40"/>
      <c r="DA407" s="40"/>
    </row>
    <row r="408" spans="1:105" ht="15.75" customHeight="1">
      <c r="A408" s="3">
        <v>873</v>
      </c>
      <c r="B408" s="92" t="s">
        <v>199</v>
      </c>
      <c r="C408" s="143" t="s">
        <v>104</v>
      </c>
      <c r="D408" s="3" t="s">
        <v>105</v>
      </c>
      <c r="E408" s="144">
        <v>45077</v>
      </c>
      <c r="F408" s="3" t="s">
        <v>186</v>
      </c>
      <c r="G408" s="3" t="s">
        <v>107</v>
      </c>
      <c r="H408" s="3">
        <v>2008</v>
      </c>
      <c r="I408" s="40" t="s">
        <v>116</v>
      </c>
      <c r="J408" s="39" t="str">
        <f>paper3[[#This Row],[sex]]&amp;paper3[[#This Row],[ageg]]</f>
        <v>girlsU16</v>
      </c>
      <c r="K408" s="3">
        <v>167.2</v>
      </c>
      <c r="L408" s="3">
        <v>167.2</v>
      </c>
      <c r="M408" s="3"/>
      <c r="N408" s="3">
        <v>157.9</v>
      </c>
      <c r="O408" s="3">
        <v>157.9</v>
      </c>
      <c r="P408" s="3"/>
      <c r="Q408" s="3">
        <v>50.45</v>
      </c>
      <c r="R408" s="3"/>
      <c r="S408" s="3"/>
      <c r="T408" s="125">
        <v>167.2</v>
      </c>
      <c r="U408" s="126">
        <v>87.7</v>
      </c>
      <c r="V408" s="12">
        <f>paper3[[#This Row],[height]]-paper3[[#This Row],[sittingheight]]</f>
        <v>79.499999999999986</v>
      </c>
      <c r="W408" s="127">
        <v>50.45</v>
      </c>
      <c r="X408" s="43" cm="1">
        <f t="array" ref="X408">INDEX([1]!phvny[yphv], MATCH(1, (paper3[[#This Row],[id]]=[1]!phvny[id])*(paper3[[#This Row],[time]]=[1]!phvny[time]), 0))</f>
        <v>2.6761978853429005</v>
      </c>
      <c r="Y408" s="3">
        <v>1.7989999999999999</v>
      </c>
      <c r="Z408" s="3">
        <v>3.246</v>
      </c>
      <c r="AA408" s="3">
        <v>4.6219999999999999</v>
      </c>
      <c r="AB408" s="3">
        <v>1.804</v>
      </c>
      <c r="AC408" s="3">
        <v>3.2360000000000002</v>
      </c>
      <c r="AD408" s="3">
        <v>4.5730000000000004</v>
      </c>
      <c r="AE408" s="3">
        <v>1.7549999999999999</v>
      </c>
      <c r="AF408" s="3">
        <v>3.1960000000000002</v>
      </c>
      <c r="AG408" s="3">
        <v>4.5389999999999997</v>
      </c>
      <c r="AH408" s="130">
        <v>1.9649999999999999</v>
      </c>
      <c r="AI408" s="130">
        <v>3.3760000000000003</v>
      </c>
      <c r="AJ408" s="130">
        <v>4.7489999999999997</v>
      </c>
      <c r="AK408" s="45">
        <v>7.2833211944646798</v>
      </c>
      <c r="AL408" s="3">
        <v>10.34</v>
      </c>
      <c r="AM408" s="3">
        <v>10.18</v>
      </c>
      <c r="AN408" s="3">
        <v>10.34</v>
      </c>
      <c r="AO408" s="3">
        <v>10.34</v>
      </c>
      <c r="AP408" s="137">
        <v>11.049999999999999</v>
      </c>
      <c r="AQ408" s="132">
        <v>10.18</v>
      </c>
      <c r="AR408" s="132">
        <v>10.34</v>
      </c>
      <c r="AS408" s="3">
        <v>26</v>
      </c>
      <c r="AT408" s="3">
        <v>27</v>
      </c>
      <c r="AU408" s="3">
        <v>25</v>
      </c>
      <c r="AV408" s="3"/>
      <c r="AW408" s="3"/>
      <c r="AX408" s="133">
        <v>29.96</v>
      </c>
      <c r="AY408" s="134"/>
      <c r="AZ408" s="40"/>
      <c r="BA408" s="40"/>
      <c r="BB408" s="40"/>
      <c r="BC408" s="40"/>
      <c r="BD408" s="135" t="s">
        <v>110</v>
      </c>
      <c r="BE408" s="135" t="s">
        <v>110</v>
      </c>
      <c r="BF408" s="40"/>
      <c r="BG408" s="135" t="s">
        <v>110</v>
      </c>
      <c r="BH408" s="135" t="s">
        <v>110</v>
      </c>
      <c r="BI408" s="49"/>
      <c r="BJ408" s="49"/>
      <c r="BK408" s="66"/>
      <c r="BL408" s="66"/>
      <c r="BM408" s="51"/>
      <c r="BN408" s="51"/>
      <c r="BO408" s="136"/>
      <c r="BP408" s="40"/>
      <c r="BQ408" s="40"/>
      <c r="BR408" s="67"/>
      <c r="BS408" s="54" t="s">
        <v>110</v>
      </c>
      <c r="BT408" s="68"/>
      <c r="BU408" s="69"/>
      <c r="BV408" s="3"/>
      <c r="BW408" s="3"/>
      <c r="BX408" s="70"/>
      <c r="BY408" s="70"/>
      <c r="BZ408" s="59"/>
      <c r="CA408" s="59"/>
      <c r="CB408" s="59" t="s">
        <v>110</v>
      </c>
      <c r="CC408" s="59" t="s">
        <v>110</v>
      </c>
      <c r="CD408" s="60"/>
      <c r="CE408" s="60"/>
      <c r="CF408" s="61"/>
      <c r="CG408" s="61"/>
      <c r="CH408" s="61"/>
      <c r="CI408" s="138">
        <v>14.7</v>
      </c>
      <c r="CJ408" s="40">
        <f>VLOOKUP(paper3[[#This Row],[YYIR nivå]],$DB:$DC,2)</f>
        <v>720</v>
      </c>
      <c r="CK408" s="3"/>
      <c r="CL408" s="62"/>
      <c r="CM408" s="62"/>
      <c r="CN408" s="3"/>
      <c r="CO408" s="3"/>
      <c r="CP408" s="41">
        <v>15.222222222222221</v>
      </c>
      <c r="CQ408" s="3"/>
      <c r="CR408" s="40" t="s">
        <v>110</v>
      </c>
      <c r="CS408" s="40" t="s">
        <v>110</v>
      </c>
      <c r="CT408" s="40" t="s">
        <v>110</v>
      </c>
      <c r="CU408" s="40"/>
      <c r="CV408" s="40"/>
      <c r="CW408" s="40"/>
      <c r="CX408" s="40"/>
      <c r="CY408" s="40" t="s">
        <v>204</v>
      </c>
      <c r="CZ408" s="40"/>
      <c r="DA408" s="40"/>
    </row>
    <row r="409" spans="1:105" ht="15.75" customHeight="1">
      <c r="A409" s="3">
        <v>874</v>
      </c>
      <c r="B409" s="92" t="s">
        <v>199</v>
      </c>
      <c r="C409" s="143"/>
      <c r="D409" s="3" t="s">
        <v>105</v>
      </c>
      <c r="E409" s="144">
        <v>45077</v>
      </c>
      <c r="F409" s="3" t="s">
        <v>186</v>
      </c>
      <c r="G409" s="3" t="s">
        <v>107</v>
      </c>
      <c r="H409" s="3">
        <v>2008</v>
      </c>
      <c r="I409" s="40" t="s">
        <v>116</v>
      </c>
      <c r="J409" s="39" t="str">
        <f>paper3[[#This Row],[sex]]&amp;paper3[[#This Row],[ageg]]</f>
        <v>girlsU16</v>
      </c>
      <c r="K409" s="3"/>
      <c r="L409" s="3"/>
      <c r="M409" s="3"/>
      <c r="N409" s="3"/>
      <c r="O409" s="3"/>
      <c r="P409" s="3"/>
      <c r="Q409" s="3"/>
      <c r="R409" s="3"/>
      <c r="S409" s="3"/>
      <c r="T409" s="125"/>
      <c r="U409" s="126"/>
      <c r="V409" s="12"/>
      <c r="W409" s="127"/>
      <c r="X409" s="43"/>
      <c r="Y409" s="3"/>
      <c r="Z409" s="3"/>
      <c r="AA409" s="3"/>
      <c r="AB409" s="3"/>
      <c r="AC409" s="3"/>
      <c r="AD409" s="3"/>
      <c r="AE409" s="3"/>
      <c r="AF409" s="3"/>
      <c r="AG409" s="3"/>
      <c r="AH409" s="133"/>
      <c r="AI409" s="133"/>
      <c r="AJ409" s="133"/>
      <c r="AK409" s="45"/>
      <c r="AL409" s="3">
        <v>11.26</v>
      </c>
      <c r="AM409" s="3">
        <v>11.21</v>
      </c>
      <c r="AN409" s="3">
        <v>11.24</v>
      </c>
      <c r="AO409" s="3">
        <v>11.26</v>
      </c>
      <c r="AP409" s="137">
        <v>12.08</v>
      </c>
      <c r="AQ409" s="132">
        <v>11.21</v>
      </c>
      <c r="AR409" s="132">
        <v>11.24</v>
      </c>
      <c r="AS409" s="3"/>
      <c r="AT409" s="3"/>
      <c r="AU409" s="3"/>
      <c r="AV409" s="3"/>
      <c r="AW409" s="3"/>
      <c r="AX409" s="133"/>
      <c r="AY409" s="134"/>
      <c r="AZ409" s="40"/>
      <c r="BA409" s="40"/>
      <c r="BB409" s="40"/>
      <c r="BC409" s="40"/>
      <c r="BD409" s="135" t="s">
        <v>110</v>
      </c>
      <c r="BE409" s="135" t="s">
        <v>110</v>
      </c>
      <c r="BF409" s="40"/>
      <c r="BG409" s="135" t="s">
        <v>110</v>
      </c>
      <c r="BH409" s="135" t="s">
        <v>110</v>
      </c>
      <c r="BI409" s="49"/>
      <c r="BJ409" s="49"/>
      <c r="BK409" s="66"/>
      <c r="BL409" s="66"/>
      <c r="BM409" s="51"/>
      <c r="BN409" s="51"/>
      <c r="BO409" s="136"/>
      <c r="BP409" s="40"/>
      <c r="BQ409" s="40"/>
      <c r="BR409" s="67"/>
      <c r="BS409" s="54" t="s">
        <v>110</v>
      </c>
      <c r="BT409" s="68"/>
      <c r="BU409" s="69"/>
      <c r="BV409" s="3"/>
      <c r="BW409" s="3"/>
      <c r="BX409" s="70"/>
      <c r="BY409" s="70"/>
      <c r="BZ409" s="59"/>
      <c r="CA409" s="59"/>
      <c r="CB409" s="59" t="s">
        <v>110</v>
      </c>
      <c r="CC409" s="59" t="s">
        <v>110</v>
      </c>
      <c r="CD409" s="60"/>
      <c r="CE409" s="60"/>
      <c r="CF409" s="61"/>
      <c r="CG409" s="61"/>
      <c r="CH409" s="61"/>
      <c r="CI409" s="138">
        <v>14.2</v>
      </c>
      <c r="CJ409" s="40">
        <f>VLOOKUP(paper3[[#This Row],[YYIR nivå]],$DB:$DC,2)</f>
        <v>520</v>
      </c>
      <c r="CK409" s="3"/>
      <c r="CL409" s="62"/>
      <c r="CM409" s="62"/>
      <c r="CN409" s="3"/>
      <c r="CO409" s="3"/>
      <c r="CP409" s="41">
        <v>14.744444444444444</v>
      </c>
      <c r="CQ409" s="3"/>
      <c r="CR409" s="40" t="s">
        <v>110</v>
      </c>
      <c r="CS409" s="40" t="s">
        <v>110</v>
      </c>
      <c r="CT409" s="40" t="s">
        <v>110</v>
      </c>
      <c r="CU409" s="40"/>
      <c r="CV409" s="40"/>
      <c r="CW409" s="40"/>
      <c r="CX409" s="40"/>
      <c r="CY409" s="40" t="s">
        <v>110</v>
      </c>
      <c r="CZ409" s="40"/>
      <c r="DA409" s="40"/>
    </row>
    <row r="410" spans="1:105" ht="15.75" customHeight="1">
      <c r="A410" s="3">
        <v>875</v>
      </c>
      <c r="B410" s="92" t="s">
        <v>199</v>
      </c>
      <c r="C410" s="143" t="s">
        <v>104</v>
      </c>
      <c r="D410" s="3" t="s">
        <v>105</v>
      </c>
      <c r="E410" s="144">
        <v>45077</v>
      </c>
      <c r="F410" s="3" t="s">
        <v>186</v>
      </c>
      <c r="G410" s="3" t="s">
        <v>107</v>
      </c>
      <c r="H410" s="3">
        <v>2008</v>
      </c>
      <c r="I410" s="40" t="s">
        <v>116</v>
      </c>
      <c r="J410" s="39" t="str">
        <f>paper3[[#This Row],[sex]]&amp;paper3[[#This Row],[ageg]]</f>
        <v>girlsU16</v>
      </c>
      <c r="K410" s="3">
        <v>170</v>
      </c>
      <c r="L410" s="3">
        <v>170</v>
      </c>
      <c r="M410" s="3"/>
      <c r="N410" s="3">
        <v>156.4</v>
      </c>
      <c r="O410" s="3">
        <v>156.4</v>
      </c>
      <c r="P410" s="3"/>
      <c r="Q410" s="3">
        <v>60.3</v>
      </c>
      <c r="R410" s="3"/>
      <c r="S410" s="3"/>
      <c r="T410" s="125">
        <v>170</v>
      </c>
      <c r="U410" s="126">
        <v>86.2</v>
      </c>
      <c r="V410" s="12">
        <f>paper3[[#This Row],[height]]-paper3[[#This Row],[sittingheight]]</f>
        <v>83.8</v>
      </c>
      <c r="W410" s="127">
        <v>60.3</v>
      </c>
      <c r="X410" s="43" cm="1">
        <f t="array" ref="X410">INDEX([1]!phvny[yphv], MATCH(1, (paper3[[#This Row],[id]]=[1]!phvny[id])*(paper3[[#This Row],[time]]=[1]!phvny[time]), 0))</f>
        <v>2.8413055382745092</v>
      </c>
      <c r="Y410" s="3">
        <v>1.7490000000000001</v>
      </c>
      <c r="Z410" s="3">
        <v>3.2709999999999999</v>
      </c>
      <c r="AA410" s="3">
        <v>4.7489999999999997</v>
      </c>
      <c r="AB410" s="3">
        <v>1.7370000000000001</v>
      </c>
      <c r="AC410" s="3">
        <v>3.286</v>
      </c>
      <c r="AD410" s="3">
        <v>4.7779999999999996</v>
      </c>
      <c r="AE410" s="3">
        <v>1.8049999999999999</v>
      </c>
      <c r="AF410" s="3">
        <v>3.3639999999999999</v>
      </c>
      <c r="AG410" s="3">
        <v>4.899</v>
      </c>
      <c r="AH410" s="130">
        <v>1.9470000000000001</v>
      </c>
      <c r="AI410" s="130">
        <v>3.4510000000000001</v>
      </c>
      <c r="AJ410" s="130">
        <v>4.9589999999999996</v>
      </c>
      <c r="AK410" s="45">
        <v>6.6312997347480129</v>
      </c>
      <c r="AL410" s="3">
        <v>10.47</v>
      </c>
      <c r="AM410" s="3">
        <v>14.14</v>
      </c>
      <c r="AN410" s="3">
        <v>12.02</v>
      </c>
      <c r="AO410" s="3">
        <v>10.41</v>
      </c>
      <c r="AP410" s="137">
        <v>11.28</v>
      </c>
      <c r="AQ410" s="132">
        <v>10.47</v>
      </c>
      <c r="AR410" s="132">
        <v>10.41</v>
      </c>
      <c r="AS410" s="3">
        <v>23</v>
      </c>
      <c r="AT410" s="3">
        <v>22.3</v>
      </c>
      <c r="AU410" s="3">
        <v>23.4</v>
      </c>
      <c r="AV410" s="3"/>
      <c r="AW410" s="3"/>
      <c r="AX410" s="133">
        <v>26.36</v>
      </c>
      <c r="AY410" s="134"/>
      <c r="AZ410" s="40"/>
      <c r="BA410" s="40"/>
      <c r="BB410" s="40"/>
      <c r="BC410" s="40"/>
      <c r="BD410" s="135" t="s">
        <v>110</v>
      </c>
      <c r="BE410" s="135" t="s">
        <v>110</v>
      </c>
      <c r="BF410" s="40"/>
      <c r="BG410" s="135" t="s">
        <v>110</v>
      </c>
      <c r="BH410" s="135" t="s">
        <v>110</v>
      </c>
      <c r="BI410" s="49"/>
      <c r="BJ410" s="49"/>
      <c r="BK410" s="66"/>
      <c r="BL410" s="66"/>
      <c r="BM410" s="51"/>
      <c r="BN410" s="51"/>
      <c r="BO410" s="136"/>
      <c r="BP410" s="40"/>
      <c r="BQ410" s="40"/>
      <c r="BR410" s="67"/>
      <c r="BS410" s="54" t="s">
        <v>110</v>
      </c>
      <c r="BT410" s="68"/>
      <c r="BU410" s="69"/>
      <c r="BV410" s="3"/>
      <c r="BW410" s="3"/>
      <c r="BX410" s="70"/>
      <c r="BY410" s="70"/>
      <c r="BZ410" s="59"/>
      <c r="CA410" s="59"/>
      <c r="CB410" s="59" t="s">
        <v>110</v>
      </c>
      <c r="CC410" s="59" t="s">
        <v>110</v>
      </c>
      <c r="CD410" s="60"/>
      <c r="CE410" s="60"/>
      <c r="CF410" s="61"/>
      <c r="CG410" s="61"/>
      <c r="CH410" s="61"/>
      <c r="CI410" s="138">
        <v>13.4</v>
      </c>
      <c r="CJ410" s="40">
        <f>VLOOKUP(paper3[[#This Row],[YYIR nivå]],$DB:$DC,2)</f>
        <v>440</v>
      </c>
      <c r="CK410" s="3"/>
      <c r="CL410" s="62"/>
      <c r="CM410" s="62"/>
      <c r="CN410" s="3"/>
      <c r="CO410" s="3"/>
      <c r="CP410" s="41">
        <v>15.408333333333333</v>
      </c>
      <c r="CQ410" s="3"/>
      <c r="CR410" s="40" t="s">
        <v>110</v>
      </c>
      <c r="CS410" s="40" t="s">
        <v>110</v>
      </c>
      <c r="CT410" s="40" t="s">
        <v>110</v>
      </c>
      <c r="CU410" s="40"/>
      <c r="CV410" s="40"/>
      <c r="CW410" s="40"/>
      <c r="CX410" s="40"/>
      <c r="CY410" s="40" t="s">
        <v>206</v>
      </c>
      <c r="CZ410" s="40"/>
      <c r="DA410" s="40"/>
    </row>
    <row r="411" spans="1:105" ht="15.75" customHeight="1">
      <c r="A411" s="3">
        <v>876</v>
      </c>
      <c r="B411" s="92" t="s">
        <v>199</v>
      </c>
      <c r="C411" s="143" t="s">
        <v>171</v>
      </c>
      <c r="D411" s="3" t="s">
        <v>105</v>
      </c>
      <c r="E411" s="144">
        <v>45077</v>
      </c>
      <c r="F411" s="3" t="s">
        <v>186</v>
      </c>
      <c r="G411" s="3" t="s">
        <v>107</v>
      </c>
      <c r="H411" s="3">
        <v>2008</v>
      </c>
      <c r="I411" s="40" t="s">
        <v>116</v>
      </c>
      <c r="J411" s="39" t="str">
        <f>paper3[[#This Row],[sex]]&amp;paper3[[#This Row],[ageg]]</f>
        <v>girlsU16</v>
      </c>
      <c r="K411" s="3">
        <v>162.69999999999999</v>
      </c>
      <c r="L411" s="3">
        <v>162.69999999999999</v>
      </c>
      <c r="M411" s="3"/>
      <c r="N411" s="3">
        <v>154.4</v>
      </c>
      <c r="O411" s="3">
        <v>154.4</v>
      </c>
      <c r="P411" s="3"/>
      <c r="Q411" s="3">
        <v>49.8</v>
      </c>
      <c r="R411" s="3"/>
      <c r="S411" s="3"/>
      <c r="T411" s="125">
        <v>162.69999999999999</v>
      </c>
      <c r="U411" s="126">
        <v>84.2</v>
      </c>
      <c r="V411" s="12">
        <f>paper3[[#This Row],[height]]-paper3[[#This Row],[sittingheight]]</f>
        <v>78.499999999999986</v>
      </c>
      <c r="W411" s="127">
        <v>49.8</v>
      </c>
      <c r="X411" s="43" cm="1">
        <f t="array" ref="X411">INDEX([1]!phvny[yphv], MATCH(1, (paper3[[#This Row],[id]]=[1]!phvny[id])*(paper3[[#This Row],[time]]=[1]!phvny[time]), 0))</f>
        <v>2.2048130501413645</v>
      </c>
      <c r="Y411" s="3">
        <v>1.97</v>
      </c>
      <c r="Z411" s="3">
        <v>3.6160000000000001</v>
      </c>
      <c r="AA411" s="3">
        <v>5.2160000000000002</v>
      </c>
      <c r="AB411" s="3">
        <v>2.0390000000000001</v>
      </c>
      <c r="AC411" s="3">
        <v>3.714</v>
      </c>
      <c r="AD411" s="3">
        <v>5.3470000000000004</v>
      </c>
      <c r="AE411" s="3">
        <v>2.0190000000000001</v>
      </c>
      <c r="AF411" s="3">
        <v>3.734</v>
      </c>
      <c r="AG411" s="3">
        <v>5.327</v>
      </c>
      <c r="AH411" s="130">
        <v>2.1800000000000002</v>
      </c>
      <c r="AI411" s="130">
        <v>3.7960000000000003</v>
      </c>
      <c r="AJ411" s="130">
        <v>5.4260000000000002</v>
      </c>
      <c r="AK411" s="45">
        <v>6.1349693251533743</v>
      </c>
      <c r="AL411" s="3">
        <v>10.82</v>
      </c>
      <c r="AM411" s="3">
        <v>10.94</v>
      </c>
      <c r="AN411" s="3">
        <v>11.47</v>
      </c>
      <c r="AO411" s="3">
        <v>11.2</v>
      </c>
      <c r="AP411" s="137">
        <v>11.69</v>
      </c>
      <c r="AQ411" s="132">
        <v>10.82</v>
      </c>
      <c r="AR411" s="132">
        <v>11.2</v>
      </c>
      <c r="AS411" s="3">
        <v>20</v>
      </c>
      <c r="AT411" s="3">
        <v>20.5</v>
      </c>
      <c r="AU411" s="3">
        <v>20.5</v>
      </c>
      <c r="AV411" s="3"/>
      <c r="AW411" s="3"/>
      <c r="AX411" s="133">
        <v>23.46</v>
      </c>
      <c r="AY411" s="134"/>
      <c r="AZ411" s="40"/>
      <c r="BA411" s="40"/>
      <c r="BB411" s="40"/>
      <c r="BC411" s="40"/>
      <c r="BD411" s="135" t="s">
        <v>110</v>
      </c>
      <c r="BE411" s="135" t="s">
        <v>110</v>
      </c>
      <c r="BF411" s="40"/>
      <c r="BG411" s="135" t="s">
        <v>110</v>
      </c>
      <c r="BH411" s="135" t="s">
        <v>110</v>
      </c>
      <c r="BI411" s="49"/>
      <c r="BJ411" s="49"/>
      <c r="BK411" s="66"/>
      <c r="BL411" s="66"/>
      <c r="BM411" s="51"/>
      <c r="BN411" s="51"/>
      <c r="BO411" s="136"/>
      <c r="BP411" s="40"/>
      <c r="BQ411" s="40"/>
      <c r="BR411" s="67"/>
      <c r="BS411" s="54" t="s">
        <v>110</v>
      </c>
      <c r="BT411" s="68"/>
      <c r="BU411" s="69"/>
      <c r="BV411" s="3"/>
      <c r="BW411" s="3"/>
      <c r="BX411" s="70"/>
      <c r="BY411" s="70"/>
      <c r="BZ411" s="59"/>
      <c r="CA411" s="59"/>
      <c r="CB411" s="59" t="s">
        <v>110</v>
      </c>
      <c r="CC411" s="59" t="s">
        <v>110</v>
      </c>
      <c r="CD411" s="60"/>
      <c r="CE411" s="60"/>
      <c r="CF411" s="61"/>
      <c r="CG411" s="61"/>
      <c r="CH411" s="61"/>
      <c r="CI411" s="138">
        <v>13.3</v>
      </c>
      <c r="CJ411" s="40">
        <f>VLOOKUP(paper3[[#This Row],[YYIR nivå]],$DB:$DC,2)</f>
        <v>400</v>
      </c>
      <c r="CK411" s="3"/>
      <c r="CL411" s="62"/>
      <c r="CM411" s="62"/>
      <c r="CN411" s="3"/>
      <c r="CO411" s="3"/>
      <c r="CP411" s="41">
        <v>15</v>
      </c>
      <c r="CQ411" s="3"/>
      <c r="CR411" s="40" t="s">
        <v>110</v>
      </c>
      <c r="CS411" s="40" t="s">
        <v>110</v>
      </c>
      <c r="CT411" s="40" t="s">
        <v>110</v>
      </c>
      <c r="CU411" s="40"/>
      <c r="CV411" s="40"/>
      <c r="CW411" s="40"/>
      <c r="CX411" s="40"/>
      <c r="CY411" s="40" t="s">
        <v>205</v>
      </c>
      <c r="CZ411" s="40"/>
      <c r="DA411" s="40"/>
    </row>
    <row r="412" spans="1:105" ht="15.75" customHeight="1">
      <c r="A412" s="3">
        <v>877</v>
      </c>
      <c r="B412" s="92" t="s">
        <v>199</v>
      </c>
      <c r="C412" s="143" t="s">
        <v>104</v>
      </c>
      <c r="D412" s="3" t="s">
        <v>105</v>
      </c>
      <c r="E412" s="144">
        <v>45077</v>
      </c>
      <c r="F412" s="3" t="s">
        <v>186</v>
      </c>
      <c r="G412" s="3" t="s">
        <v>107</v>
      </c>
      <c r="H412" s="3">
        <v>2008</v>
      </c>
      <c r="I412" s="40" t="s">
        <v>116</v>
      </c>
      <c r="J412" s="39" t="str">
        <f>paper3[[#This Row],[sex]]&amp;paper3[[#This Row],[ageg]]</f>
        <v>girlsU16</v>
      </c>
      <c r="K412" s="3">
        <v>171</v>
      </c>
      <c r="L412" s="3">
        <v>171</v>
      </c>
      <c r="M412" s="3"/>
      <c r="N412" s="3">
        <v>155.80000000000001</v>
      </c>
      <c r="O412" s="3">
        <v>155.9</v>
      </c>
      <c r="P412" s="3"/>
      <c r="Q412" s="3">
        <v>48.7</v>
      </c>
      <c r="R412" s="3"/>
      <c r="S412" s="3"/>
      <c r="T412" s="125">
        <v>171</v>
      </c>
      <c r="U412" s="126">
        <v>85.65000000000002</v>
      </c>
      <c r="V412" s="12">
        <f>paper3[[#This Row],[height]]-paper3[[#This Row],[sittingheight]]</f>
        <v>85.34999999999998</v>
      </c>
      <c r="W412" s="127">
        <v>48.7</v>
      </c>
      <c r="X412" s="43" cm="1">
        <f t="array" ref="X412">INDEX([1]!phvny[yphv], MATCH(1, (paper3[[#This Row],[id]]=[1]!phvny[id])*(paper3[[#This Row],[time]]=[1]!phvny[time]), 0))</f>
        <v>2.6303367386067249</v>
      </c>
      <c r="Y412" s="3">
        <v>1.6259999999999999</v>
      </c>
      <c r="Z412" s="3">
        <v>3.0110000000000001</v>
      </c>
      <c r="AA412" s="3">
        <v>4.3490000000000002</v>
      </c>
      <c r="AB412" s="3">
        <v>1.726</v>
      </c>
      <c r="AC412" s="3">
        <v>3.1070000000000002</v>
      </c>
      <c r="AD412" s="3">
        <v>4.4560000000000004</v>
      </c>
      <c r="AE412" s="3">
        <v>1.7190000000000001</v>
      </c>
      <c r="AF412" s="3">
        <v>3.121</v>
      </c>
      <c r="AG412" s="3">
        <v>4.4850000000000003</v>
      </c>
      <c r="AH412" s="130">
        <v>1.8359999999999999</v>
      </c>
      <c r="AI412" s="130">
        <v>3.1910000000000003</v>
      </c>
      <c r="AJ412" s="130">
        <v>4.5590000000000002</v>
      </c>
      <c r="AK412" s="45">
        <v>7.3099415204678371</v>
      </c>
      <c r="AL412" s="3">
        <v>10.029999999999999</v>
      </c>
      <c r="AM412" s="3">
        <v>10.23</v>
      </c>
      <c r="AN412" s="3">
        <v>11.39</v>
      </c>
      <c r="AO412" s="3">
        <v>10.29</v>
      </c>
      <c r="AP412" s="137">
        <v>10.899999999999999</v>
      </c>
      <c r="AQ412" s="132">
        <v>10.029999999999999</v>
      </c>
      <c r="AR412" s="132">
        <v>10.29</v>
      </c>
      <c r="AS412" s="3">
        <v>26.5</v>
      </c>
      <c r="AT412" s="3">
        <v>26.2</v>
      </c>
      <c r="AU412" s="3">
        <v>26.8</v>
      </c>
      <c r="AV412" s="3"/>
      <c r="AW412" s="3"/>
      <c r="AX412" s="133">
        <v>29.76</v>
      </c>
      <c r="AY412" s="134"/>
      <c r="AZ412" s="40"/>
      <c r="BA412" s="40"/>
      <c r="BB412" s="40"/>
      <c r="BC412" s="40"/>
      <c r="BD412" s="135" t="s">
        <v>110</v>
      </c>
      <c r="BE412" s="135" t="s">
        <v>110</v>
      </c>
      <c r="BF412" s="40"/>
      <c r="BG412" s="135" t="s">
        <v>110</v>
      </c>
      <c r="BH412" s="135" t="s">
        <v>110</v>
      </c>
      <c r="BI412" s="49"/>
      <c r="BJ412" s="49"/>
      <c r="BK412" s="66"/>
      <c r="BL412" s="66"/>
      <c r="BM412" s="51"/>
      <c r="BN412" s="51"/>
      <c r="BO412" s="136"/>
      <c r="BP412" s="40"/>
      <c r="BQ412" s="40"/>
      <c r="BR412" s="67"/>
      <c r="BS412" s="54" t="s">
        <v>110</v>
      </c>
      <c r="BT412" s="68"/>
      <c r="BU412" s="69"/>
      <c r="BV412" s="3"/>
      <c r="BW412" s="3"/>
      <c r="BX412" s="70"/>
      <c r="BY412" s="70"/>
      <c r="BZ412" s="59"/>
      <c r="CA412" s="59"/>
      <c r="CB412" s="59" t="s">
        <v>110</v>
      </c>
      <c r="CC412" s="59" t="s">
        <v>110</v>
      </c>
      <c r="CD412" s="60"/>
      <c r="CE412" s="60"/>
      <c r="CF412" s="61"/>
      <c r="CG412" s="61"/>
      <c r="CH412" s="61"/>
      <c r="CI412" s="138">
        <v>15.2</v>
      </c>
      <c r="CJ412" s="40">
        <f>VLOOKUP(paper3[[#This Row],[YYIR nivå]],$DB:$DC,2)</f>
        <v>840</v>
      </c>
      <c r="CK412" s="3"/>
      <c r="CL412" s="62"/>
      <c r="CM412" s="62"/>
      <c r="CN412" s="3"/>
      <c r="CO412" s="3"/>
      <c r="CP412" s="41">
        <v>15.108333333333333</v>
      </c>
      <c r="CQ412" s="3"/>
      <c r="CR412" s="40" t="s">
        <v>110</v>
      </c>
      <c r="CS412" s="40" t="s">
        <v>110</v>
      </c>
      <c r="CT412" s="40" t="s">
        <v>110</v>
      </c>
      <c r="CU412" s="40"/>
      <c r="CV412" s="40"/>
      <c r="CW412" s="40"/>
      <c r="CX412" s="40"/>
      <c r="CY412" s="40" t="s">
        <v>204</v>
      </c>
      <c r="CZ412" s="40"/>
      <c r="DA412" s="40"/>
    </row>
    <row r="413" spans="1:105" ht="18.75" customHeight="1">
      <c r="A413" s="3">
        <v>878</v>
      </c>
      <c r="B413" s="92" t="s">
        <v>199</v>
      </c>
      <c r="C413" s="143" t="s">
        <v>104</v>
      </c>
      <c r="D413" s="3" t="s">
        <v>105</v>
      </c>
      <c r="E413" s="144">
        <v>45077</v>
      </c>
      <c r="F413" s="3" t="s">
        <v>186</v>
      </c>
      <c r="G413" s="3" t="s">
        <v>107</v>
      </c>
      <c r="H413" s="3">
        <v>2008</v>
      </c>
      <c r="I413" s="40" t="s">
        <v>116</v>
      </c>
      <c r="J413" s="39" t="str">
        <f>paper3[[#This Row],[sex]]&amp;paper3[[#This Row],[ageg]]</f>
        <v>girlsU16</v>
      </c>
      <c r="K413" s="3">
        <v>178.9</v>
      </c>
      <c r="L413" s="3">
        <v>178.9</v>
      </c>
      <c r="M413" s="3"/>
      <c r="N413" s="3">
        <v>161.5</v>
      </c>
      <c r="O413" s="3">
        <v>161.5</v>
      </c>
      <c r="P413" s="3"/>
      <c r="Q413" s="3">
        <v>83.3</v>
      </c>
      <c r="R413" s="3"/>
      <c r="S413" s="3"/>
      <c r="T413" s="125">
        <v>178.9</v>
      </c>
      <c r="U413" s="126">
        <v>91.3</v>
      </c>
      <c r="V413" s="12">
        <f>paper3[[#This Row],[height]]-paper3[[#This Row],[sittingheight]]</f>
        <v>87.600000000000009</v>
      </c>
      <c r="W413" s="127">
        <v>83.3</v>
      </c>
      <c r="X413" s="43" cm="1">
        <f t="array" ref="X413">INDEX([1]!phvny[yphv], MATCH(1, (paper3[[#This Row],[id]]=[1]!phvny[id])*(paper3[[#This Row],[time]]=[1]!phvny[time]), 0))</f>
        <v>3.2857257796426311</v>
      </c>
      <c r="Y413" s="3">
        <v>1.891</v>
      </c>
      <c r="Z413" s="3">
        <v>3.4369999999999998</v>
      </c>
      <c r="AA413" s="3">
        <v>4.9009999999999998</v>
      </c>
      <c r="AB413" s="3">
        <v>1.8740000000000001</v>
      </c>
      <c r="AC413" s="3">
        <v>3.4369999999999998</v>
      </c>
      <c r="AD413" s="3">
        <v>4.9420000000000002</v>
      </c>
      <c r="AE413" s="3">
        <v>1.871</v>
      </c>
      <c r="AF413" s="3">
        <v>3.4359999999999999</v>
      </c>
      <c r="AG413" s="3">
        <v>4.96</v>
      </c>
      <c r="AH413" s="130">
        <v>2.081</v>
      </c>
      <c r="AI413" s="130">
        <v>3.6160000000000001</v>
      </c>
      <c r="AJ413" s="130">
        <v>5.1109999999999998</v>
      </c>
      <c r="AK413" s="45">
        <v>6.6889632107023429</v>
      </c>
      <c r="AL413" s="3">
        <v>10.61</v>
      </c>
      <c r="AM413" s="3">
        <v>10.74</v>
      </c>
      <c r="AN413" s="3">
        <v>10.92</v>
      </c>
      <c r="AO413" s="3">
        <v>10.61</v>
      </c>
      <c r="AP413" s="137">
        <v>11.479999999999999</v>
      </c>
      <c r="AQ413" s="132">
        <v>10.61</v>
      </c>
      <c r="AR413" s="132">
        <v>10.61</v>
      </c>
      <c r="AS413" s="3">
        <v>22.5</v>
      </c>
      <c r="AT413" s="3">
        <v>23.4</v>
      </c>
      <c r="AU413" s="3">
        <v>22.7</v>
      </c>
      <c r="AV413" s="3"/>
      <c r="AW413" s="3"/>
      <c r="AX413" s="133">
        <v>26.36</v>
      </c>
      <c r="AY413" s="134"/>
      <c r="AZ413" s="40"/>
      <c r="BA413" s="40"/>
      <c r="BB413" s="40"/>
      <c r="BC413" s="40"/>
      <c r="BD413" s="135" t="s">
        <v>110</v>
      </c>
      <c r="BE413" s="135" t="s">
        <v>110</v>
      </c>
      <c r="BF413" s="40"/>
      <c r="BG413" s="135" t="s">
        <v>110</v>
      </c>
      <c r="BH413" s="135" t="s">
        <v>110</v>
      </c>
      <c r="BI413" s="49"/>
      <c r="BJ413" s="49"/>
      <c r="BK413" s="66"/>
      <c r="BL413" s="66"/>
      <c r="BM413" s="51"/>
      <c r="BN413" s="51"/>
      <c r="BO413" s="136"/>
      <c r="BP413" s="40"/>
      <c r="BQ413" s="40"/>
      <c r="BR413" s="67"/>
      <c r="BS413" s="54" t="s">
        <v>110</v>
      </c>
      <c r="BT413" s="68"/>
      <c r="BU413" s="69"/>
      <c r="BV413" s="3"/>
      <c r="BW413" s="3"/>
      <c r="BX413" s="70"/>
      <c r="BY413" s="70"/>
      <c r="BZ413" s="59"/>
      <c r="CA413" s="59"/>
      <c r="CB413" s="59" t="s">
        <v>110</v>
      </c>
      <c r="CC413" s="59" t="s">
        <v>110</v>
      </c>
      <c r="CD413" s="60"/>
      <c r="CE413" s="60"/>
      <c r="CF413" s="61"/>
      <c r="CG413" s="61"/>
      <c r="CH413" s="61"/>
      <c r="CI413" s="138">
        <v>14.1</v>
      </c>
      <c r="CJ413" s="40">
        <f>VLOOKUP(paper3[[#This Row],[YYIR nivå]],$DB:$DC,2)</f>
        <v>480</v>
      </c>
      <c r="CK413" s="3"/>
      <c r="CL413" s="62"/>
      <c r="CM413" s="62"/>
      <c r="CN413" s="3"/>
      <c r="CO413" s="3"/>
      <c r="CP413" s="41">
        <v>15.011111111111111</v>
      </c>
      <c r="CQ413" s="3"/>
      <c r="CR413" s="40" t="s">
        <v>110</v>
      </c>
      <c r="CS413" s="40" t="s">
        <v>110</v>
      </c>
      <c r="CT413" s="40" t="s">
        <v>110</v>
      </c>
      <c r="CU413" s="40"/>
      <c r="CV413" s="40"/>
      <c r="CW413" s="40"/>
      <c r="CX413" s="40"/>
      <c r="CY413" s="40" t="s">
        <v>207</v>
      </c>
      <c r="CZ413" s="40"/>
      <c r="DA413" s="40"/>
    </row>
    <row r="414" spans="1:105" ht="18.75" customHeight="1">
      <c r="A414" s="3">
        <v>879</v>
      </c>
      <c r="B414" s="92" t="s">
        <v>199</v>
      </c>
      <c r="C414" s="143" t="s">
        <v>104</v>
      </c>
      <c r="D414" s="3" t="s">
        <v>105</v>
      </c>
      <c r="E414" s="144">
        <v>45077</v>
      </c>
      <c r="F414" s="3" t="s">
        <v>186</v>
      </c>
      <c r="G414" s="3" t="s">
        <v>107</v>
      </c>
      <c r="H414" s="3">
        <v>2008</v>
      </c>
      <c r="I414" s="40" t="s">
        <v>116</v>
      </c>
      <c r="J414" s="39" t="str">
        <f>paper3[[#This Row],[sex]]&amp;paper3[[#This Row],[ageg]]</f>
        <v>girlsU16</v>
      </c>
      <c r="K414" s="3">
        <v>171.4</v>
      </c>
      <c r="L414" s="3">
        <v>171.5</v>
      </c>
      <c r="M414" s="3"/>
      <c r="N414" s="3">
        <v>163.19999999999999</v>
      </c>
      <c r="O414" s="3">
        <v>163.19999999999999</v>
      </c>
      <c r="P414" s="3"/>
      <c r="Q414" s="3">
        <v>68</v>
      </c>
      <c r="R414" s="3"/>
      <c r="S414" s="3"/>
      <c r="T414" s="125">
        <v>171.45</v>
      </c>
      <c r="U414" s="126">
        <v>92.999999999999986</v>
      </c>
      <c r="V414" s="12">
        <f>paper3[[#This Row],[height]]-paper3[[#This Row],[sittingheight]]</f>
        <v>78.45</v>
      </c>
      <c r="W414" s="127">
        <v>68</v>
      </c>
      <c r="X414" s="43" cm="1">
        <f t="array" ref="X414">INDEX([1]!phvny[yphv], MATCH(1, (paper3[[#This Row],[id]]=[1]!phvny[id])*(paper3[[#This Row],[time]]=[1]!phvny[time]), 0))</f>
        <v>3.2614098897579451</v>
      </c>
      <c r="Y414" s="3">
        <v>1.887</v>
      </c>
      <c r="Z414" s="3">
        <v>3.496</v>
      </c>
      <c r="AA414" s="3">
        <v>5.0609999999999999</v>
      </c>
      <c r="AB414" s="3">
        <v>1.917</v>
      </c>
      <c r="AC414" s="3">
        <v>3.5539999999999998</v>
      </c>
      <c r="AD414" s="3">
        <v>5.157</v>
      </c>
      <c r="AE414" s="3">
        <v>1.923</v>
      </c>
      <c r="AF414" s="3">
        <v>3.5960000000000001</v>
      </c>
      <c r="AG414" s="3">
        <v>5.2640000000000002</v>
      </c>
      <c r="AH414" s="130">
        <v>2.097</v>
      </c>
      <c r="AI414" s="130">
        <v>3.6760000000000002</v>
      </c>
      <c r="AJ414" s="130">
        <v>5.2709999999999999</v>
      </c>
      <c r="AK414" s="45">
        <v>6.269592476489029</v>
      </c>
      <c r="AL414" s="3">
        <v>11.81</v>
      </c>
      <c r="AM414" s="3">
        <v>11.34</v>
      </c>
      <c r="AN414" s="3">
        <v>11.44</v>
      </c>
      <c r="AO414" s="3">
        <v>11.49</v>
      </c>
      <c r="AP414" s="137">
        <v>12.209999999999999</v>
      </c>
      <c r="AQ414" s="132">
        <v>11.34</v>
      </c>
      <c r="AR414" s="132">
        <v>11.44</v>
      </c>
      <c r="AS414" s="3">
        <v>21.4</v>
      </c>
      <c r="AT414" s="3">
        <v>22.7</v>
      </c>
      <c r="AU414" s="3">
        <v>20.6</v>
      </c>
      <c r="AV414" s="3"/>
      <c r="AW414" s="3"/>
      <c r="AX414" s="133">
        <v>25.66</v>
      </c>
      <c r="AY414" s="134"/>
      <c r="AZ414" s="40"/>
      <c r="BA414" s="40"/>
      <c r="BB414" s="40"/>
      <c r="BC414" s="40"/>
      <c r="BD414" s="135" t="s">
        <v>110</v>
      </c>
      <c r="BE414" s="135" t="s">
        <v>110</v>
      </c>
      <c r="BF414" s="40"/>
      <c r="BG414" s="135" t="s">
        <v>110</v>
      </c>
      <c r="BH414" s="135" t="s">
        <v>110</v>
      </c>
      <c r="BI414" s="49"/>
      <c r="BJ414" s="49"/>
      <c r="BK414" s="66"/>
      <c r="BL414" s="66"/>
      <c r="BM414" s="51"/>
      <c r="BN414" s="51"/>
      <c r="BO414" s="136"/>
      <c r="BP414" s="40"/>
      <c r="BQ414" s="40"/>
      <c r="BR414" s="67"/>
      <c r="BS414" s="54" t="s">
        <v>110</v>
      </c>
      <c r="BT414" s="68"/>
      <c r="BU414" s="69"/>
      <c r="BV414" s="3"/>
      <c r="BW414" s="3"/>
      <c r="BX414" s="70"/>
      <c r="BY414" s="70"/>
      <c r="BZ414" s="59"/>
      <c r="CA414" s="59"/>
      <c r="CB414" s="59" t="s">
        <v>110</v>
      </c>
      <c r="CC414" s="59" t="s">
        <v>110</v>
      </c>
      <c r="CD414" s="60"/>
      <c r="CE414" s="60"/>
      <c r="CF414" s="61"/>
      <c r="CG414" s="61"/>
      <c r="CH414" s="61"/>
      <c r="CI414" s="138">
        <v>13.4</v>
      </c>
      <c r="CJ414" s="40">
        <f>VLOOKUP(paper3[[#This Row],[YYIR nivå]],$DB:$DC,2)</f>
        <v>440</v>
      </c>
      <c r="CK414" s="3"/>
      <c r="CL414" s="62"/>
      <c r="CM414" s="62"/>
      <c r="CN414" s="3"/>
      <c r="CO414" s="3"/>
      <c r="CP414" s="41">
        <v>15.35</v>
      </c>
      <c r="CQ414" s="3"/>
      <c r="CR414" s="40" t="s">
        <v>110</v>
      </c>
      <c r="CS414" s="40" t="s">
        <v>110</v>
      </c>
      <c r="CT414" s="40" t="s">
        <v>110</v>
      </c>
      <c r="CU414" s="40"/>
      <c r="CV414" s="40"/>
      <c r="CW414" s="40"/>
      <c r="CX414" s="40"/>
      <c r="CY414" s="40" t="s">
        <v>204</v>
      </c>
      <c r="CZ414" s="40"/>
      <c r="DA414" s="40"/>
    </row>
    <row r="415" spans="1:105" ht="18.75" customHeight="1">
      <c r="A415" s="3">
        <v>880</v>
      </c>
      <c r="B415" s="92" t="s">
        <v>199</v>
      </c>
      <c r="C415" s="143" t="s">
        <v>104</v>
      </c>
      <c r="D415" s="3" t="s">
        <v>105</v>
      </c>
      <c r="E415" s="144">
        <v>45077</v>
      </c>
      <c r="F415" s="3" t="s">
        <v>186</v>
      </c>
      <c r="G415" s="3" t="s">
        <v>107</v>
      </c>
      <c r="H415" s="3">
        <v>2008</v>
      </c>
      <c r="I415" s="40" t="s">
        <v>116</v>
      </c>
      <c r="J415" s="39" t="str">
        <f>paper3[[#This Row],[sex]]&amp;paper3[[#This Row],[ageg]]</f>
        <v>girlsU16</v>
      </c>
      <c r="K415" s="3">
        <v>166.5</v>
      </c>
      <c r="L415" s="3">
        <v>166.5</v>
      </c>
      <c r="M415" s="3"/>
      <c r="N415" s="3">
        <v>159.69999999999999</v>
      </c>
      <c r="O415" s="3">
        <v>159.80000000000001</v>
      </c>
      <c r="P415" s="3"/>
      <c r="Q415" s="3">
        <v>69.8</v>
      </c>
      <c r="R415" s="3"/>
      <c r="S415" s="3"/>
      <c r="T415" s="125">
        <v>166.5</v>
      </c>
      <c r="U415" s="126">
        <v>89.55</v>
      </c>
      <c r="V415" s="12">
        <f>paper3[[#This Row],[height]]-paper3[[#This Row],[sittingheight]]</f>
        <v>76.95</v>
      </c>
      <c r="W415" s="127">
        <v>69.8</v>
      </c>
      <c r="X415" s="43" cm="1">
        <f t="array" ref="X415">INDEX([1]!phvny[yphv], MATCH(1, (paper3[[#This Row],[id]]=[1]!phvny[id])*(paper3[[#This Row],[time]]=[1]!phvny[time]), 0))</f>
        <v>2.668015909203453</v>
      </c>
      <c r="Y415" s="3">
        <v>2.0379999999999998</v>
      </c>
      <c r="Z415" s="3">
        <v>3.746</v>
      </c>
      <c r="AA415" s="3">
        <v>5.4589999999999996</v>
      </c>
      <c r="AB415" s="3">
        <v>2.1059999999999999</v>
      </c>
      <c r="AC415" s="3">
        <v>3.863</v>
      </c>
      <c r="AD415" s="3">
        <v>5.5609999999999999</v>
      </c>
      <c r="AE415" s="3">
        <v>2.097</v>
      </c>
      <c r="AF415" s="3">
        <v>3.8780000000000001</v>
      </c>
      <c r="AG415" s="3">
        <v>5.62</v>
      </c>
      <c r="AH415" s="130">
        <v>2.2479999999999998</v>
      </c>
      <c r="AI415" s="130">
        <v>3.9260000000000002</v>
      </c>
      <c r="AJ415" s="130">
        <v>5.6689999999999996</v>
      </c>
      <c r="AK415" s="45">
        <v>5.7372346528973051</v>
      </c>
      <c r="AL415" s="3">
        <v>12.46</v>
      </c>
      <c r="AM415" s="3">
        <v>12.63</v>
      </c>
      <c r="AN415" s="3">
        <v>12.1</v>
      </c>
      <c r="AO415" s="3">
        <v>12.05</v>
      </c>
      <c r="AP415" s="137">
        <v>12.92</v>
      </c>
      <c r="AQ415" s="132">
        <v>12.46</v>
      </c>
      <c r="AR415" s="132">
        <v>12.05</v>
      </c>
      <c r="AS415" s="3">
        <v>16.899999999999999</v>
      </c>
      <c r="AT415" s="3">
        <v>16.600000000000001</v>
      </c>
      <c r="AU415" s="3">
        <v>15.2</v>
      </c>
      <c r="AV415" s="3"/>
      <c r="AW415" s="3"/>
      <c r="AX415" s="133">
        <v>19.86</v>
      </c>
      <c r="AY415" s="134"/>
      <c r="AZ415" s="40"/>
      <c r="BA415" s="40"/>
      <c r="BB415" s="40"/>
      <c r="BC415" s="40"/>
      <c r="BD415" s="135" t="s">
        <v>110</v>
      </c>
      <c r="BE415" s="135" t="s">
        <v>110</v>
      </c>
      <c r="BF415" s="40"/>
      <c r="BG415" s="135" t="s">
        <v>110</v>
      </c>
      <c r="BH415" s="135" t="s">
        <v>110</v>
      </c>
      <c r="BI415" s="49"/>
      <c r="BJ415" s="49"/>
      <c r="BK415" s="66"/>
      <c r="BL415" s="66"/>
      <c r="BM415" s="51"/>
      <c r="BN415" s="51"/>
      <c r="BO415" s="136"/>
      <c r="BP415" s="40"/>
      <c r="BQ415" s="40"/>
      <c r="BR415" s="67"/>
      <c r="BS415" s="54" t="s">
        <v>110</v>
      </c>
      <c r="BT415" s="68"/>
      <c r="BU415" s="69"/>
      <c r="BV415" s="3"/>
      <c r="BW415" s="3"/>
      <c r="BX415" s="70"/>
      <c r="BY415" s="70"/>
      <c r="BZ415" s="59"/>
      <c r="CA415" s="59"/>
      <c r="CB415" s="59" t="s">
        <v>110</v>
      </c>
      <c r="CC415" s="59" t="s">
        <v>110</v>
      </c>
      <c r="CD415" s="60"/>
      <c r="CE415" s="60"/>
      <c r="CF415" s="61"/>
      <c r="CG415" s="61"/>
      <c r="CH415" s="61"/>
      <c r="CI415" s="138">
        <v>12.2</v>
      </c>
      <c r="CJ415" s="40">
        <f>VLOOKUP(paper3[[#This Row],[YYIR nivå]],$DB:$DC,2)</f>
        <v>240</v>
      </c>
      <c r="CK415" s="3"/>
      <c r="CL415" s="62"/>
      <c r="CM415" s="62"/>
      <c r="CN415" s="3"/>
      <c r="CO415" s="3"/>
      <c r="CP415" s="41">
        <v>14.841666666666667</v>
      </c>
      <c r="CQ415" s="3"/>
      <c r="CR415" s="40" t="s">
        <v>110</v>
      </c>
      <c r="CS415" s="40" t="s">
        <v>110</v>
      </c>
      <c r="CT415" s="40" t="s">
        <v>110</v>
      </c>
      <c r="CU415" s="40"/>
      <c r="CV415" s="40"/>
      <c r="CW415" s="40"/>
      <c r="CX415" s="40"/>
      <c r="CY415" s="40" t="s">
        <v>125</v>
      </c>
      <c r="CZ415" s="40"/>
      <c r="DA415" s="40"/>
    </row>
    <row r="416" spans="1:105" ht="18.75" customHeight="1">
      <c r="A416" s="3">
        <v>881</v>
      </c>
      <c r="B416" s="92" t="s">
        <v>199</v>
      </c>
      <c r="C416" s="143" t="s">
        <v>104</v>
      </c>
      <c r="D416" s="3" t="s">
        <v>105</v>
      </c>
      <c r="E416" s="144">
        <v>45077</v>
      </c>
      <c r="F416" s="3" t="s">
        <v>186</v>
      </c>
      <c r="G416" s="3" t="s">
        <v>107</v>
      </c>
      <c r="H416" s="3">
        <v>2008</v>
      </c>
      <c r="I416" s="40" t="s">
        <v>116</v>
      </c>
      <c r="J416" s="39" t="str">
        <f>paper3[[#This Row],[sex]]&amp;paper3[[#This Row],[ageg]]</f>
        <v>girlsU16</v>
      </c>
      <c r="K416" s="3">
        <v>169.6</v>
      </c>
      <c r="L416" s="3">
        <v>169.6</v>
      </c>
      <c r="M416" s="3"/>
      <c r="N416" s="3">
        <v>158</v>
      </c>
      <c r="O416" s="3">
        <v>158</v>
      </c>
      <c r="P416" s="3"/>
      <c r="Q416" s="3">
        <v>59</v>
      </c>
      <c r="R416" s="3"/>
      <c r="S416" s="3"/>
      <c r="T416" s="125">
        <v>169.6</v>
      </c>
      <c r="U416" s="126">
        <v>87.8</v>
      </c>
      <c r="V416" s="12">
        <f>paper3[[#This Row],[height]]-paper3[[#This Row],[sittingheight]]</f>
        <v>81.8</v>
      </c>
      <c r="W416" s="127">
        <v>59</v>
      </c>
      <c r="X416" s="43" cm="1">
        <f t="array" ref="X416">INDEX([1]!phvny[yphv], MATCH(1, (paper3[[#This Row],[id]]=[1]!phvny[id])*(paper3[[#This Row],[time]]=[1]!phvny[time]), 0))</f>
        <v>2.8255418968679247</v>
      </c>
      <c r="Y416" s="3">
        <v>1.841</v>
      </c>
      <c r="Z416" s="3">
        <v>3.4140000000000001</v>
      </c>
      <c r="AA416" s="3">
        <v>4.9370000000000003</v>
      </c>
      <c r="AB416" s="3">
        <v>1.962</v>
      </c>
      <c r="AC416" s="3">
        <v>3.5649999999999999</v>
      </c>
      <c r="AD416" s="3">
        <v>5.1219999999999999</v>
      </c>
      <c r="AE416" s="3">
        <v>1.956</v>
      </c>
      <c r="AF416" s="3">
        <v>3.58</v>
      </c>
      <c r="AG416" s="3">
        <v>5.1849999999999996</v>
      </c>
      <c r="AH416" s="130">
        <v>2.0510000000000002</v>
      </c>
      <c r="AI416" s="130">
        <v>3.5940000000000003</v>
      </c>
      <c r="AJ416" s="130">
        <v>5.1470000000000002</v>
      </c>
      <c r="AK416" s="45">
        <v>6.4391500321957507</v>
      </c>
      <c r="AL416" s="3">
        <v>11.35</v>
      </c>
      <c r="AM416" s="3">
        <v>11.84</v>
      </c>
      <c r="AN416" s="3">
        <v>11.84</v>
      </c>
      <c r="AO416" s="3">
        <v>11.29</v>
      </c>
      <c r="AP416" s="137">
        <v>12.159999999999998</v>
      </c>
      <c r="AQ416" s="132">
        <v>11.35</v>
      </c>
      <c r="AR416" s="132">
        <v>11.29</v>
      </c>
      <c r="AS416" s="3">
        <v>19.3</v>
      </c>
      <c r="AT416" s="3">
        <v>20.8</v>
      </c>
      <c r="AU416" s="3">
        <v>20</v>
      </c>
      <c r="AV416" s="3"/>
      <c r="AW416" s="3"/>
      <c r="AX416" s="133">
        <v>23.76</v>
      </c>
      <c r="AY416" s="134"/>
      <c r="AZ416" s="40"/>
      <c r="BA416" s="40"/>
      <c r="BB416" s="40"/>
      <c r="BC416" s="40"/>
      <c r="BD416" s="135" t="s">
        <v>110</v>
      </c>
      <c r="BE416" s="135" t="s">
        <v>110</v>
      </c>
      <c r="BF416" s="40"/>
      <c r="BG416" s="135" t="s">
        <v>110</v>
      </c>
      <c r="BH416" s="135" t="s">
        <v>110</v>
      </c>
      <c r="BI416" s="49"/>
      <c r="BJ416" s="49"/>
      <c r="BK416" s="66"/>
      <c r="BL416" s="66"/>
      <c r="BM416" s="51"/>
      <c r="BN416" s="51"/>
      <c r="BO416" s="136"/>
      <c r="BP416" s="40"/>
      <c r="BQ416" s="40"/>
      <c r="BR416" s="67"/>
      <c r="BS416" s="54" t="s">
        <v>110</v>
      </c>
      <c r="BT416" s="68"/>
      <c r="BU416" s="69"/>
      <c r="BV416" s="3"/>
      <c r="BW416" s="3"/>
      <c r="BX416" s="70"/>
      <c r="BY416" s="70"/>
      <c r="BZ416" s="59"/>
      <c r="CA416" s="59"/>
      <c r="CB416" s="59" t="s">
        <v>110</v>
      </c>
      <c r="CC416" s="59" t="s">
        <v>110</v>
      </c>
      <c r="CD416" s="60"/>
      <c r="CE416" s="60"/>
      <c r="CF416" s="61"/>
      <c r="CG416" s="61"/>
      <c r="CH416" s="61"/>
      <c r="CI416" s="138">
        <v>13.4</v>
      </c>
      <c r="CJ416" s="40">
        <f>VLOOKUP(paper3[[#This Row],[YYIR nivå]],$DB:$DC,2)</f>
        <v>440</v>
      </c>
      <c r="CK416" s="3"/>
      <c r="CL416" s="62"/>
      <c r="CM416" s="62"/>
      <c r="CN416" s="3"/>
      <c r="CO416" s="3"/>
      <c r="CP416" s="41">
        <v>15.25</v>
      </c>
      <c r="CQ416" s="3"/>
      <c r="CR416" s="40" t="s">
        <v>110</v>
      </c>
      <c r="CS416" s="40" t="s">
        <v>110</v>
      </c>
      <c r="CT416" s="40" t="s">
        <v>110</v>
      </c>
      <c r="CU416" s="40"/>
      <c r="CV416" s="40"/>
      <c r="CW416" s="40"/>
      <c r="CX416" s="40"/>
      <c r="CY416" s="40" t="s">
        <v>125</v>
      </c>
      <c r="CZ416" s="40"/>
      <c r="DA416" s="40"/>
    </row>
    <row r="417" spans="1:105" ht="18.75" customHeight="1">
      <c r="A417" s="3">
        <v>882</v>
      </c>
      <c r="B417" s="92" t="s">
        <v>199</v>
      </c>
      <c r="C417" s="143" t="s">
        <v>104</v>
      </c>
      <c r="D417" s="3" t="s">
        <v>105</v>
      </c>
      <c r="E417" s="144">
        <v>45077</v>
      </c>
      <c r="F417" s="3" t="s">
        <v>186</v>
      </c>
      <c r="G417" s="3" t="s">
        <v>107</v>
      </c>
      <c r="H417" s="3">
        <v>2008</v>
      </c>
      <c r="I417" s="40" t="s">
        <v>116</v>
      </c>
      <c r="J417" s="39" t="str">
        <f>paper3[[#This Row],[sex]]&amp;paper3[[#This Row],[ageg]]</f>
        <v>girlsU16</v>
      </c>
      <c r="K417" s="3">
        <v>169.9</v>
      </c>
      <c r="L417" s="3">
        <v>169.9</v>
      </c>
      <c r="M417" s="3"/>
      <c r="N417" s="3">
        <v>160.6</v>
      </c>
      <c r="O417" s="3">
        <v>160.6</v>
      </c>
      <c r="P417" s="3"/>
      <c r="Q417" s="3">
        <v>77.650000000000006</v>
      </c>
      <c r="R417" s="3"/>
      <c r="S417" s="3"/>
      <c r="T417" s="125">
        <v>169.9</v>
      </c>
      <c r="U417" s="126">
        <v>90.399999999999991</v>
      </c>
      <c r="V417" s="12">
        <f>paper3[[#This Row],[height]]-paper3[[#This Row],[sittingheight]]</f>
        <v>79.500000000000014</v>
      </c>
      <c r="W417" s="127">
        <v>77.650000000000006</v>
      </c>
      <c r="X417" s="43" cm="1">
        <f t="array" ref="X417">INDEX([1]!phvny[yphv], MATCH(1, (paper3[[#This Row],[id]]=[1]!phvny[id])*(paper3[[#This Row],[time]]=[1]!phvny[time]), 0))</f>
        <v>2.8549913885844611</v>
      </c>
      <c r="Y417" s="3">
        <v>1.881</v>
      </c>
      <c r="Z417" s="3">
        <v>3.4889999999999999</v>
      </c>
      <c r="AA417" s="3">
        <v>5.0529999999999999</v>
      </c>
      <c r="AB417" s="3">
        <v>1.9159999999999999</v>
      </c>
      <c r="AC417" s="3">
        <v>3.5920000000000001</v>
      </c>
      <c r="AD417" s="3">
        <v>5.2169999999999996</v>
      </c>
      <c r="AE417" s="3">
        <v>1.994</v>
      </c>
      <c r="AF417" s="3">
        <v>3.65</v>
      </c>
      <c r="AG417" s="3">
        <v>5.258</v>
      </c>
      <c r="AH417" s="130">
        <v>2.0910000000000002</v>
      </c>
      <c r="AI417" s="130">
        <v>3.669</v>
      </c>
      <c r="AJ417" s="130">
        <v>5.2629999999999999</v>
      </c>
      <c r="AK417" s="45">
        <v>6.2735257214554583</v>
      </c>
      <c r="AL417" s="3">
        <v>11.77</v>
      </c>
      <c r="AM417" s="3"/>
      <c r="AN417" s="3">
        <v>11.72</v>
      </c>
      <c r="AO417" s="3">
        <v>11.18</v>
      </c>
      <c r="AP417" s="137">
        <v>12.049999999999999</v>
      </c>
      <c r="AQ417" s="132">
        <v>11.77</v>
      </c>
      <c r="AR417" s="132">
        <v>11.18</v>
      </c>
      <c r="AS417" s="3">
        <v>20.3</v>
      </c>
      <c r="AT417" s="3">
        <v>18.2</v>
      </c>
      <c r="AU417" s="3">
        <v>19.7</v>
      </c>
      <c r="AV417" s="3"/>
      <c r="AW417" s="3"/>
      <c r="AX417" s="133">
        <v>23.26</v>
      </c>
      <c r="AY417" s="134"/>
      <c r="AZ417" s="40"/>
      <c r="BA417" s="40"/>
      <c r="BB417" s="40"/>
      <c r="BC417" s="40"/>
      <c r="BD417" s="135" t="s">
        <v>110</v>
      </c>
      <c r="BE417" s="135" t="s">
        <v>110</v>
      </c>
      <c r="BF417" s="40"/>
      <c r="BG417" s="135" t="s">
        <v>110</v>
      </c>
      <c r="BH417" s="135" t="s">
        <v>110</v>
      </c>
      <c r="BI417" s="49"/>
      <c r="BJ417" s="49"/>
      <c r="BK417" s="66"/>
      <c r="BL417" s="66"/>
      <c r="BM417" s="51"/>
      <c r="BN417" s="51"/>
      <c r="BO417" s="136"/>
      <c r="BP417" s="40"/>
      <c r="BQ417" s="40"/>
      <c r="BR417" s="67"/>
      <c r="BS417" s="54" t="s">
        <v>110</v>
      </c>
      <c r="BT417" s="68"/>
      <c r="BU417" s="69"/>
      <c r="BV417" s="3"/>
      <c r="BW417" s="3"/>
      <c r="BX417" s="70"/>
      <c r="BY417" s="70"/>
      <c r="BZ417" s="59"/>
      <c r="CA417" s="59"/>
      <c r="CB417" s="59" t="s">
        <v>110</v>
      </c>
      <c r="CC417" s="59" t="s">
        <v>110</v>
      </c>
      <c r="CD417" s="60"/>
      <c r="CE417" s="60"/>
      <c r="CF417" s="61"/>
      <c r="CG417" s="61"/>
      <c r="CH417" s="61"/>
      <c r="CI417" s="138">
        <v>13.3</v>
      </c>
      <c r="CJ417" s="40">
        <f>VLOOKUP(paper3[[#This Row],[YYIR nivå]],$DB:$DC,2)</f>
        <v>400</v>
      </c>
      <c r="CK417" s="3"/>
      <c r="CL417" s="62"/>
      <c r="CM417" s="62"/>
      <c r="CN417" s="3"/>
      <c r="CO417" s="3"/>
      <c r="CP417" s="41">
        <v>14.827777777777778</v>
      </c>
      <c r="CQ417" s="3"/>
      <c r="CR417" s="40" t="s">
        <v>110</v>
      </c>
      <c r="CS417" s="40" t="s">
        <v>110</v>
      </c>
      <c r="CT417" s="40" t="s">
        <v>110</v>
      </c>
      <c r="CU417" s="40"/>
      <c r="CV417" s="40"/>
      <c r="CW417" s="40"/>
      <c r="CX417" s="40"/>
      <c r="CY417" s="40" t="s">
        <v>204</v>
      </c>
      <c r="CZ417" s="40"/>
      <c r="DA417" s="40"/>
    </row>
    <row r="418" spans="1:105" ht="18.75" customHeight="1">
      <c r="A418" s="3">
        <v>885</v>
      </c>
      <c r="B418" s="92" t="s">
        <v>199</v>
      </c>
      <c r="C418" s="143" t="s">
        <v>104</v>
      </c>
      <c r="D418" s="3" t="s">
        <v>105</v>
      </c>
      <c r="E418" s="144">
        <v>45103</v>
      </c>
      <c r="F418" s="3" t="s">
        <v>186</v>
      </c>
      <c r="G418" s="3" t="s">
        <v>107</v>
      </c>
      <c r="H418" s="3">
        <v>2010</v>
      </c>
      <c r="I418" s="40" t="s">
        <v>108</v>
      </c>
      <c r="J418" s="39" t="str">
        <f>paper3[[#This Row],[sex]]&amp;paper3[[#This Row],[ageg]]</f>
        <v>girlsU14</v>
      </c>
      <c r="K418" s="3">
        <v>154.1</v>
      </c>
      <c r="L418" s="3">
        <v>154.1</v>
      </c>
      <c r="M418" s="3"/>
      <c r="N418" s="3">
        <v>150</v>
      </c>
      <c r="O418" s="3">
        <v>150</v>
      </c>
      <c r="P418" s="3"/>
      <c r="Q418" s="3">
        <v>46.7</v>
      </c>
      <c r="R418" s="3"/>
      <c r="S418" s="3"/>
      <c r="T418" s="125">
        <v>154.1</v>
      </c>
      <c r="U418" s="126">
        <v>79.8</v>
      </c>
      <c r="V418" s="12">
        <f>paper3[[#This Row],[height]]-paper3[[#This Row],[sittingheight]]</f>
        <v>74.3</v>
      </c>
      <c r="W418" s="127">
        <v>46.7</v>
      </c>
      <c r="X418" s="43" cm="1">
        <f t="array" ref="X418">INDEX([1]!phvny[yphv], MATCH(1, (paper3[[#This Row],[id]]=[1]!phvny[id])*(paper3[[#This Row],[time]]=[1]!phvny[time]), 0))</f>
        <v>0.45385195727824668</v>
      </c>
      <c r="Y418" s="3">
        <v>1.8540000000000001</v>
      </c>
      <c r="Z418" s="3">
        <v>3.431</v>
      </c>
      <c r="AA418" s="3">
        <v>4.9569999999999999</v>
      </c>
      <c r="AB418" s="3">
        <v>1.629</v>
      </c>
      <c r="AC418" s="3">
        <v>3.3410000000000002</v>
      </c>
      <c r="AD418" s="3">
        <v>4.9249999999999998</v>
      </c>
      <c r="AE418" s="3">
        <v>1.9419999999999999</v>
      </c>
      <c r="AF418" s="3">
        <v>3.5609999999999999</v>
      </c>
      <c r="AG418" s="3">
        <v>5.157</v>
      </c>
      <c r="AH418" s="130">
        <v>1.839</v>
      </c>
      <c r="AI418" s="130">
        <v>3.5210000000000004</v>
      </c>
      <c r="AJ418" s="130">
        <v>5.1349999999999998</v>
      </c>
      <c r="AK418" s="45">
        <v>6.1957868649318488</v>
      </c>
      <c r="AL418" s="3">
        <v>10.37</v>
      </c>
      <c r="AM418" s="3">
        <v>10.28</v>
      </c>
      <c r="AN418" s="3">
        <v>10.58</v>
      </c>
      <c r="AO418" s="3">
        <v>10.73</v>
      </c>
      <c r="AP418" s="137">
        <v>11.149999999999999</v>
      </c>
      <c r="AQ418" s="132">
        <v>10.28</v>
      </c>
      <c r="AR418" s="132">
        <v>10.58</v>
      </c>
      <c r="AS418" s="3">
        <v>0</v>
      </c>
      <c r="AT418" s="3">
        <v>21.5</v>
      </c>
      <c r="AU418" s="3">
        <v>28.8</v>
      </c>
      <c r="AV418" s="3"/>
      <c r="AW418" s="3"/>
      <c r="AX418" s="133">
        <v>31.76</v>
      </c>
      <c r="AY418" s="134"/>
      <c r="AZ418" s="40"/>
      <c r="BA418" s="40"/>
      <c r="BB418" s="40"/>
      <c r="BC418" s="40"/>
      <c r="BD418" s="135"/>
      <c r="BE418" s="135"/>
      <c r="BF418" s="40"/>
      <c r="BG418" s="135"/>
      <c r="BH418" s="135"/>
      <c r="BI418" s="49"/>
      <c r="BJ418" s="49"/>
      <c r="BK418" s="66"/>
      <c r="BL418" s="66"/>
      <c r="BM418" s="51"/>
      <c r="BN418" s="51"/>
      <c r="BO418" s="136"/>
      <c r="BP418" s="40"/>
      <c r="BQ418" s="40"/>
      <c r="BR418" s="67"/>
      <c r="BS418" s="54" t="s">
        <v>110</v>
      </c>
      <c r="BT418" s="68"/>
      <c r="BU418" s="69"/>
      <c r="BV418" s="3"/>
      <c r="BW418" s="3"/>
      <c r="BX418" s="70"/>
      <c r="BY418" s="70"/>
      <c r="BZ418" s="59"/>
      <c r="CA418" s="59"/>
      <c r="CB418" s="59" t="s">
        <v>110</v>
      </c>
      <c r="CC418" s="59" t="s">
        <v>110</v>
      </c>
      <c r="CD418" s="60"/>
      <c r="CE418" s="60"/>
      <c r="CF418" s="61"/>
      <c r="CG418" s="61"/>
      <c r="CH418" s="61"/>
      <c r="CI418" s="138">
        <v>14.5</v>
      </c>
      <c r="CJ418" s="40">
        <f>VLOOKUP(paper3[[#This Row],[YYIR nivå]],$DB:$DC,2)</f>
        <v>640</v>
      </c>
      <c r="CK418" s="3"/>
      <c r="CL418" s="62"/>
      <c r="CM418" s="62"/>
      <c r="CN418" s="3"/>
      <c r="CO418" s="3"/>
      <c r="CP418" s="41">
        <v>12.627777777777778</v>
      </c>
      <c r="CQ418" s="3"/>
      <c r="CR418" s="40" t="s">
        <v>110</v>
      </c>
      <c r="CS418" s="40" t="s">
        <v>110</v>
      </c>
      <c r="CT418" s="40" t="s">
        <v>110</v>
      </c>
      <c r="CU418" s="40"/>
      <c r="CV418" s="40"/>
      <c r="CW418" s="40"/>
      <c r="CX418" s="40"/>
      <c r="CY418" s="40" t="s">
        <v>206</v>
      </c>
      <c r="CZ418" s="40"/>
      <c r="DA418" s="40"/>
    </row>
    <row r="419" spans="1:105" ht="18.75">
      <c r="A419" s="3">
        <v>886</v>
      </c>
      <c r="B419" s="92" t="s">
        <v>199</v>
      </c>
      <c r="C419" s="143" t="s">
        <v>104</v>
      </c>
      <c r="D419" s="3" t="s">
        <v>105</v>
      </c>
      <c r="E419" s="144">
        <v>45103</v>
      </c>
      <c r="F419" s="3" t="s">
        <v>186</v>
      </c>
      <c r="G419" s="3" t="s">
        <v>107</v>
      </c>
      <c r="H419" s="3">
        <v>2010</v>
      </c>
      <c r="I419" s="40" t="s">
        <v>108</v>
      </c>
      <c r="J419" s="39" t="str">
        <f>paper3[[#This Row],[sex]]&amp;paper3[[#This Row],[ageg]]</f>
        <v>girlsU14</v>
      </c>
      <c r="K419" s="3">
        <v>162.5</v>
      </c>
      <c r="L419" s="3">
        <v>162.5</v>
      </c>
      <c r="M419" s="3"/>
      <c r="N419" s="3">
        <v>154.5</v>
      </c>
      <c r="O419" s="3">
        <v>154.5</v>
      </c>
      <c r="P419" s="3"/>
      <c r="Q419" s="3">
        <v>60.2</v>
      </c>
      <c r="R419" s="3"/>
      <c r="S419" s="3"/>
      <c r="T419" s="125">
        <v>162.5</v>
      </c>
      <c r="U419" s="126">
        <v>84.3</v>
      </c>
      <c r="V419" s="12">
        <f>paper3[[#This Row],[height]]-paper3[[#This Row],[sittingheight]]</f>
        <v>78.2</v>
      </c>
      <c r="W419" s="127">
        <v>60.2</v>
      </c>
      <c r="X419" s="43" cm="1">
        <f t="array" ref="X419">INDEX([1]!phvny[yphv], MATCH(1, (paper3[[#This Row],[id]]=[1]!phvny[id])*(paper3[[#This Row],[time]]=[1]!phvny[time]), 0))</f>
        <v>1.3309945957179483</v>
      </c>
      <c r="Y419" s="3">
        <v>1.609</v>
      </c>
      <c r="Z419" s="3">
        <v>3.3079999999999998</v>
      </c>
      <c r="AA419" s="3">
        <v>4.8920000000000003</v>
      </c>
      <c r="AB419" s="3">
        <v>1.651</v>
      </c>
      <c r="AC419" s="3">
        <v>3.375</v>
      </c>
      <c r="AD419" s="3">
        <v>4.984</v>
      </c>
      <c r="AE419" s="3">
        <v>1.587</v>
      </c>
      <c r="AF419" s="3">
        <v>3.32</v>
      </c>
      <c r="AG419" s="3">
        <v>4.9379999999999997</v>
      </c>
      <c r="AH419" s="130">
        <v>1.7969999999999999</v>
      </c>
      <c r="AI419" s="130">
        <v>3.488</v>
      </c>
      <c r="AJ419" s="130">
        <v>5.1020000000000003</v>
      </c>
      <c r="AK419" s="45">
        <v>6.1957868649318453</v>
      </c>
      <c r="AL419" s="3">
        <v>10.95</v>
      </c>
      <c r="AM419" s="3">
        <v>11.19</v>
      </c>
      <c r="AN419" s="3">
        <v>10.64</v>
      </c>
      <c r="AO419" s="3">
        <v>10.72</v>
      </c>
      <c r="AP419" s="137">
        <v>11.51</v>
      </c>
      <c r="AQ419" s="132">
        <v>10.95</v>
      </c>
      <c r="AR419" s="132">
        <v>10.64</v>
      </c>
      <c r="AS419" s="3">
        <v>19.3</v>
      </c>
      <c r="AT419" s="3">
        <v>18.100000000000001</v>
      </c>
      <c r="AU419" s="3">
        <v>17.7</v>
      </c>
      <c r="AV419" s="3"/>
      <c r="AW419" s="3"/>
      <c r="AX419" s="133">
        <v>22.26</v>
      </c>
      <c r="AY419" s="134"/>
      <c r="AZ419" s="40"/>
      <c r="BA419" s="40"/>
      <c r="BB419" s="40"/>
      <c r="BC419" s="40"/>
      <c r="BD419" s="135">
        <v>1130.6379983618865</v>
      </c>
      <c r="BE419" s="135">
        <v>1103.7123916714486</v>
      </c>
      <c r="BF419" s="40"/>
      <c r="BG419" s="135">
        <v>332.27948567752264</v>
      </c>
      <c r="BH419" s="135">
        <v>340.25854229870606</v>
      </c>
      <c r="BI419" s="49">
        <v>2234.3503900333353</v>
      </c>
      <c r="BJ419" s="49">
        <v>672.5380279762287</v>
      </c>
      <c r="BK419" s="66">
        <v>2.4395491881414877E-2</v>
      </c>
      <c r="BL419" s="66">
        <v>-2.3449981791136776E-2</v>
      </c>
      <c r="BM419" s="51">
        <v>37.115454983942442</v>
      </c>
      <c r="BN419" s="51">
        <v>11.171728039472237</v>
      </c>
      <c r="BO419" s="136"/>
      <c r="BP419" s="40"/>
      <c r="BQ419" s="40"/>
      <c r="BR419" s="67"/>
      <c r="BS419" s="54" t="s">
        <v>110</v>
      </c>
      <c r="BT419" s="68"/>
      <c r="BU419" s="69"/>
      <c r="BV419" s="3"/>
      <c r="BW419" s="3"/>
      <c r="BX419" s="70"/>
      <c r="BY419" s="70"/>
      <c r="BZ419" s="59"/>
      <c r="CA419" s="59"/>
      <c r="CB419" s="59" t="s">
        <v>110</v>
      </c>
      <c r="CC419" s="59" t="s">
        <v>110</v>
      </c>
      <c r="CD419" s="60"/>
      <c r="CE419" s="60"/>
      <c r="CF419" s="61"/>
      <c r="CG419" s="61"/>
      <c r="CH419" s="61"/>
      <c r="CI419" s="138">
        <v>13.4</v>
      </c>
      <c r="CJ419" s="40">
        <f>VLOOKUP(paper3[[#This Row],[YYIR nivå]],$DB:$DC,2)</f>
        <v>440</v>
      </c>
      <c r="CK419" s="3"/>
      <c r="CL419" s="62"/>
      <c r="CM419" s="62"/>
      <c r="CN419" s="3"/>
      <c r="CO419" s="3"/>
      <c r="CP419" s="41">
        <v>13.116666666666667</v>
      </c>
      <c r="CQ419" s="3"/>
      <c r="CR419" s="40" t="s">
        <v>110</v>
      </c>
      <c r="CS419" s="40" t="s">
        <v>110</v>
      </c>
      <c r="CT419" s="40" t="s">
        <v>110</v>
      </c>
      <c r="CU419" s="40"/>
      <c r="CV419" s="40"/>
      <c r="CW419" s="40"/>
      <c r="CX419" s="40"/>
      <c r="CY419" s="40" t="s">
        <v>204</v>
      </c>
      <c r="CZ419" s="40"/>
      <c r="DA419" s="40"/>
    </row>
    <row r="420" spans="1:105" ht="18.75" customHeight="1">
      <c r="A420" s="3">
        <v>887</v>
      </c>
      <c r="B420" s="92" t="s">
        <v>199</v>
      </c>
      <c r="C420" s="143"/>
      <c r="D420" s="3" t="s">
        <v>105</v>
      </c>
      <c r="E420" s="144">
        <v>45103</v>
      </c>
      <c r="F420" s="3" t="s">
        <v>186</v>
      </c>
      <c r="G420" s="3" t="s">
        <v>107</v>
      </c>
      <c r="H420" s="3">
        <v>2010</v>
      </c>
      <c r="I420" s="40" t="s">
        <v>108</v>
      </c>
      <c r="J420" s="39" t="str">
        <f>paper3[[#This Row],[sex]]&amp;paper3[[#This Row],[ageg]]</f>
        <v>girlsU14</v>
      </c>
      <c r="K420" s="3"/>
      <c r="L420" s="3"/>
      <c r="M420" s="3"/>
      <c r="N420" s="3"/>
      <c r="O420" s="3"/>
      <c r="P420" s="3"/>
      <c r="Q420" s="3"/>
      <c r="R420" s="3"/>
      <c r="S420" s="3"/>
      <c r="T420" s="125"/>
      <c r="U420" s="126"/>
      <c r="V420" s="12"/>
      <c r="W420" s="127"/>
      <c r="X420" s="43"/>
      <c r="Y420" s="3"/>
      <c r="Z420" s="3"/>
      <c r="AA420" s="3"/>
      <c r="AB420" s="3"/>
      <c r="AC420" s="3"/>
      <c r="AD420" s="3"/>
      <c r="AE420" s="3"/>
      <c r="AF420" s="3"/>
      <c r="AG420" s="3"/>
      <c r="AH420" s="133"/>
      <c r="AI420" s="133"/>
      <c r="AJ420" s="133"/>
      <c r="AK420" s="45"/>
      <c r="AL420" s="3">
        <v>11.96</v>
      </c>
      <c r="AM420" s="3">
        <v>11.8</v>
      </c>
      <c r="AN420" s="3">
        <v>11.86</v>
      </c>
      <c r="AO420" s="3">
        <v>12.02</v>
      </c>
      <c r="AP420" s="137">
        <v>12.67</v>
      </c>
      <c r="AQ420" s="132">
        <v>11.8</v>
      </c>
      <c r="AR420" s="132">
        <v>11.86</v>
      </c>
      <c r="AS420" s="3"/>
      <c r="AT420" s="3"/>
      <c r="AU420" s="3"/>
      <c r="AV420" s="3"/>
      <c r="AW420" s="3"/>
      <c r="AX420" s="133"/>
      <c r="AY420" s="134"/>
      <c r="AZ420" s="40"/>
      <c r="BA420" s="40"/>
      <c r="BB420" s="40"/>
      <c r="BC420" s="40"/>
      <c r="BD420" s="135" t="s">
        <v>110</v>
      </c>
      <c r="BE420" s="135" t="s">
        <v>110</v>
      </c>
      <c r="BF420" s="40"/>
      <c r="BG420" s="135" t="s">
        <v>110</v>
      </c>
      <c r="BH420" s="135" t="s">
        <v>110</v>
      </c>
      <c r="BI420" s="49"/>
      <c r="BJ420" s="49"/>
      <c r="BK420" s="66"/>
      <c r="BL420" s="66"/>
      <c r="BM420" s="51"/>
      <c r="BN420" s="51"/>
      <c r="BO420" s="136"/>
      <c r="BP420" s="40"/>
      <c r="BQ420" s="40"/>
      <c r="BR420" s="67"/>
      <c r="BS420" s="54" t="s">
        <v>110</v>
      </c>
      <c r="BT420" s="68"/>
      <c r="BU420" s="69"/>
      <c r="BV420" s="3"/>
      <c r="BW420" s="3"/>
      <c r="BX420" s="70"/>
      <c r="BY420" s="70"/>
      <c r="BZ420" s="59"/>
      <c r="CA420" s="59"/>
      <c r="CB420" s="59" t="s">
        <v>110</v>
      </c>
      <c r="CC420" s="59" t="s">
        <v>110</v>
      </c>
      <c r="CD420" s="60"/>
      <c r="CE420" s="60"/>
      <c r="CF420" s="61"/>
      <c r="CG420" s="61"/>
      <c r="CH420" s="61"/>
      <c r="CI420" s="138">
        <v>13.2</v>
      </c>
      <c r="CJ420" s="40">
        <f>VLOOKUP(paper3[[#This Row],[YYIR nivå]],$DB:$DC,2)</f>
        <v>360</v>
      </c>
      <c r="CK420" s="3"/>
      <c r="CL420" s="62"/>
      <c r="CM420" s="62"/>
      <c r="CN420" s="3"/>
      <c r="CO420" s="3"/>
      <c r="CP420" s="41">
        <v>12.894444444444444</v>
      </c>
      <c r="CQ420" s="3"/>
      <c r="CR420" s="40" t="s">
        <v>110</v>
      </c>
      <c r="CS420" s="40" t="s">
        <v>110</v>
      </c>
      <c r="CT420" s="40" t="s">
        <v>110</v>
      </c>
      <c r="CU420" s="40"/>
      <c r="CV420" s="40"/>
      <c r="CW420" s="40"/>
      <c r="CX420" s="40"/>
      <c r="CY420" s="40" t="s">
        <v>110</v>
      </c>
      <c r="CZ420" s="40"/>
      <c r="DA420" s="40"/>
    </row>
    <row r="421" spans="1:105" ht="18.75" customHeight="1">
      <c r="A421" s="3">
        <v>888</v>
      </c>
      <c r="B421" s="92" t="s">
        <v>199</v>
      </c>
      <c r="C421" s="143" t="s">
        <v>171</v>
      </c>
      <c r="D421" s="3" t="s">
        <v>105</v>
      </c>
      <c r="E421" s="144">
        <v>45103</v>
      </c>
      <c r="F421" s="3" t="s">
        <v>186</v>
      </c>
      <c r="G421" s="3" t="s">
        <v>107</v>
      </c>
      <c r="H421" s="3">
        <v>2010</v>
      </c>
      <c r="I421" s="40" t="s">
        <v>108</v>
      </c>
      <c r="J421" s="39" t="str">
        <f>paper3[[#This Row],[sex]]&amp;paper3[[#This Row],[ageg]]</f>
        <v>girlsU14</v>
      </c>
      <c r="K421" s="3">
        <v>155.5</v>
      </c>
      <c r="L421" s="3">
        <v>155.4</v>
      </c>
      <c r="M421" s="3"/>
      <c r="N421" s="3">
        <v>153.9</v>
      </c>
      <c r="O421" s="3">
        <v>153.9</v>
      </c>
      <c r="P421" s="3"/>
      <c r="Q421" s="3">
        <v>51.4</v>
      </c>
      <c r="R421" s="3"/>
      <c r="S421" s="3"/>
      <c r="T421" s="125">
        <v>155.44999999999999</v>
      </c>
      <c r="U421" s="126">
        <v>83.7</v>
      </c>
      <c r="V421" s="12">
        <f>paper3[[#This Row],[height]]-paper3[[#This Row],[sittingheight]]</f>
        <v>71.749999999999986</v>
      </c>
      <c r="W421" s="127">
        <v>51.4</v>
      </c>
      <c r="X421" s="43" cm="1">
        <f t="array" ref="X421">INDEX([1]!phvny[yphv], MATCH(1, (paper3[[#This Row],[id]]=[1]!phvny[id])*(paper3[[#This Row],[time]]=[1]!phvny[time]), 0))</f>
        <v>1.1505622026927209</v>
      </c>
      <c r="Y421" s="3">
        <v>2.085</v>
      </c>
      <c r="Z421" s="3">
        <v>3.7850000000000001</v>
      </c>
      <c r="AA421" s="3">
        <v>5.476</v>
      </c>
      <c r="AB421" s="3">
        <v>2.1389999999999998</v>
      </c>
      <c r="AC421" s="3">
        <v>3.8690000000000002</v>
      </c>
      <c r="AD421" s="3">
        <v>5.5670000000000002</v>
      </c>
      <c r="AE421" s="3">
        <v>2.1760000000000002</v>
      </c>
      <c r="AF421" s="3">
        <v>3.952</v>
      </c>
      <c r="AG421" s="3">
        <v>5.6879999999999997</v>
      </c>
      <c r="AH421" s="130">
        <v>2.2949999999999999</v>
      </c>
      <c r="AI421" s="130">
        <v>3.9650000000000003</v>
      </c>
      <c r="AJ421" s="130">
        <v>5.6859999999999999</v>
      </c>
      <c r="AK421" s="45">
        <v>5.8105752469494494</v>
      </c>
      <c r="AL421" s="3">
        <v>11.13</v>
      </c>
      <c r="AM421" s="3">
        <v>11.35</v>
      </c>
      <c r="AN421" s="3">
        <v>11.48</v>
      </c>
      <c r="AO421" s="3">
        <v>11.29</v>
      </c>
      <c r="AP421" s="137">
        <v>12</v>
      </c>
      <c r="AQ421" s="132">
        <v>11.13</v>
      </c>
      <c r="AR421" s="132">
        <v>11.29</v>
      </c>
      <c r="AS421" s="3">
        <v>15.5</v>
      </c>
      <c r="AT421" s="3">
        <v>0</v>
      </c>
      <c r="AU421" s="3">
        <v>17.600000000000001</v>
      </c>
      <c r="AV421" s="3"/>
      <c r="AW421" s="3"/>
      <c r="AX421" s="133">
        <v>20.560000000000002</v>
      </c>
      <c r="AY421" s="134"/>
      <c r="AZ421" s="40"/>
      <c r="BA421" s="40"/>
      <c r="BB421" s="40"/>
      <c r="BC421" s="40"/>
      <c r="BD421" s="135"/>
      <c r="BE421" s="135"/>
      <c r="BF421" s="40"/>
      <c r="BG421" s="135"/>
      <c r="BH421" s="135"/>
      <c r="BI421" s="49"/>
      <c r="BJ421" s="49"/>
      <c r="BK421" s="66"/>
      <c r="BL421" s="66"/>
      <c r="BM421" s="51"/>
      <c r="BN421" s="51"/>
      <c r="BO421" s="136"/>
      <c r="BP421" s="40"/>
      <c r="BQ421" s="40"/>
      <c r="BR421" s="67"/>
      <c r="BS421" s="54" t="s">
        <v>110</v>
      </c>
      <c r="BT421" s="68"/>
      <c r="BU421" s="69"/>
      <c r="BV421" s="3"/>
      <c r="BW421" s="3"/>
      <c r="BX421" s="70"/>
      <c r="BY421" s="70"/>
      <c r="BZ421" s="59"/>
      <c r="CA421" s="59"/>
      <c r="CB421" s="59" t="s">
        <v>110</v>
      </c>
      <c r="CC421" s="59" t="s">
        <v>110</v>
      </c>
      <c r="CD421" s="60"/>
      <c r="CE421" s="60"/>
      <c r="CF421" s="61"/>
      <c r="CG421" s="61"/>
      <c r="CH421" s="61"/>
      <c r="CI421" s="138">
        <v>13.4</v>
      </c>
      <c r="CJ421" s="40">
        <f>VLOOKUP(paper3[[#This Row],[YYIR nivå]],$DB:$DC,2)</f>
        <v>440</v>
      </c>
      <c r="CK421" s="3"/>
      <c r="CL421" s="62"/>
      <c r="CM421" s="62"/>
      <c r="CN421" s="3"/>
      <c r="CO421" s="3"/>
      <c r="CP421" s="41">
        <v>13.433333333333334</v>
      </c>
      <c r="CQ421" s="3"/>
      <c r="CR421" s="40" t="s">
        <v>110</v>
      </c>
      <c r="CS421" s="40" t="s">
        <v>110</v>
      </c>
      <c r="CT421" s="40" t="s">
        <v>110</v>
      </c>
      <c r="CU421" s="40"/>
      <c r="CV421" s="40"/>
      <c r="CW421" s="40"/>
      <c r="CX421" s="40"/>
      <c r="CY421" s="40" t="s">
        <v>205</v>
      </c>
      <c r="CZ421" s="40"/>
      <c r="DA421" s="40"/>
    </row>
    <row r="422" spans="1:105" ht="18.75">
      <c r="A422" s="3">
        <v>889</v>
      </c>
      <c r="B422" s="92" t="s">
        <v>199</v>
      </c>
      <c r="C422" s="143" t="s">
        <v>104</v>
      </c>
      <c r="D422" s="3" t="s">
        <v>105</v>
      </c>
      <c r="E422" s="144">
        <v>45103</v>
      </c>
      <c r="F422" s="3" t="s">
        <v>186</v>
      </c>
      <c r="G422" s="3" t="s">
        <v>107</v>
      </c>
      <c r="H422" s="3">
        <v>2010</v>
      </c>
      <c r="I422" s="40" t="s">
        <v>108</v>
      </c>
      <c r="J422" s="39" t="str">
        <f>paper3[[#This Row],[sex]]&amp;paper3[[#This Row],[ageg]]</f>
        <v>girlsU14</v>
      </c>
      <c r="K422" s="3">
        <v>158.80000000000001</v>
      </c>
      <c r="L422" s="3">
        <v>158.80000000000001</v>
      </c>
      <c r="M422" s="3"/>
      <c r="N422" s="3">
        <v>152.19999999999999</v>
      </c>
      <c r="O422" s="3">
        <v>152.1</v>
      </c>
      <c r="P422" s="3"/>
      <c r="Q422" s="3">
        <v>49.3</v>
      </c>
      <c r="R422" s="3"/>
      <c r="S422" s="3"/>
      <c r="T422" s="125">
        <v>158.80000000000001</v>
      </c>
      <c r="U422" s="126">
        <v>81.949999999999974</v>
      </c>
      <c r="V422" s="12">
        <f>paper3[[#This Row],[height]]-paper3[[#This Row],[sittingheight]]</f>
        <v>76.850000000000037</v>
      </c>
      <c r="W422" s="127">
        <v>49.3</v>
      </c>
      <c r="X422" s="43" cm="1">
        <f t="array" ref="X422">INDEX([1]!phvny[yphv], MATCH(1, (paper3[[#This Row],[id]]=[1]!phvny[id])*(paper3[[#This Row],[time]]=[1]!phvny[time]), 0))</f>
        <v>1.0811743410200108</v>
      </c>
      <c r="Y422" s="3">
        <v>2.0019999999999998</v>
      </c>
      <c r="Z422" s="3">
        <v>3.7370000000000001</v>
      </c>
      <c r="AA422" s="3">
        <v>5.4349999999999996</v>
      </c>
      <c r="AB422" s="3">
        <v>1.9950000000000001</v>
      </c>
      <c r="AC422" s="3">
        <v>3.7320000000000002</v>
      </c>
      <c r="AD422" s="3">
        <v>5.21</v>
      </c>
      <c r="AE422" s="3">
        <v>2</v>
      </c>
      <c r="AF422" s="3">
        <v>3.7370000000000001</v>
      </c>
      <c r="AG422" s="3">
        <v>5.4930000000000003</v>
      </c>
      <c r="AH422" s="130">
        <v>2.2050000000000001</v>
      </c>
      <c r="AI422" s="130">
        <v>3.9120000000000004</v>
      </c>
      <c r="AJ422" s="130">
        <v>5.42</v>
      </c>
      <c r="AK422" s="45">
        <v>6.6312997347480129</v>
      </c>
      <c r="AL422" s="3">
        <v>11.39</v>
      </c>
      <c r="AM422" s="3">
        <v>11.25</v>
      </c>
      <c r="AN422" s="3">
        <v>11.33</v>
      </c>
      <c r="AO422" s="3">
        <v>11.54</v>
      </c>
      <c r="AP422" s="137">
        <v>12.12</v>
      </c>
      <c r="AQ422" s="132">
        <v>11.25</v>
      </c>
      <c r="AR422" s="132">
        <v>11.33</v>
      </c>
      <c r="AS422" s="3">
        <v>0</v>
      </c>
      <c r="AT422" s="3">
        <v>19.100000000000001</v>
      </c>
      <c r="AU422" s="3">
        <v>0</v>
      </c>
      <c r="AV422" s="3"/>
      <c r="AW422" s="3"/>
      <c r="AX422" s="133">
        <v>22.060000000000002</v>
      </c>
      <c r="AY422" s="134"/>
      <c r="AZ422" s="40"/>
      <c r="BA422" s="40"/>
      <c r="BB422" s="40"/>
      <c r="BC422" s="40"/>
      <c r="BD422" s="135">
        <v>855.00764994242422</v>
      </c>
      <c r="BE422" s="135">
        <v>758.72305337901958</v>
      </c>
      <c r="BF422" s="40"/>
      <c r="BG422" s="135">
        <v>282.107601575481</v>
      </c>
      <c r="BH422" s="135">
        <v>321.64659978617919</v>
      </c>
      <c r="BI422" s="49">
        <v>1613.7307033214438</v>
      </c>
      <c r="BJ422" s="49">
        <v>603.75420136166019</v>
      </c>
      <c r="BK422" s="66">
        <v>0.12690348096659942</v>
      </c>
      <c r="BL422" s="66">
        <v>-0.12292683409985528</v>
      </c>
      <c r="BM422" s="51">
        <v>32.732874306722998</v>
      </c>
      <c r="BN422" s="51">
        <v>12.246535524577286</v>
      </c>
      <c r="BO422" s="136"/>
      <c r="BP422" s="40"/>
      <c r="BQ422" s="40"/>
      <c r="BR422" s="67"/>
      <c r="BS422" s="54" t="s">
        <v>110</v>
      </c>
      <c r="BT422" s="68"/>
      <c r="BU422" s="69"/>
      <c r="BV422" s="3"/>
      <c r="BW422" s="3"/>
      <c r="BX422" s="70"/>
      <c r="BY422" s="70"/>
      <c r="BZ422" s="59"/>
      <c r="CA422" s="59"/>
      <c r="CB422" s="59" t="s">
        <v>110</v>
      </c>
      <c r="CC422" s="59" t="s">
        <v>110</v>
      </c>
      <c r="CD422" s="60"/>
      <c r="CE422" s="60"/>
      <c r="CF422" s="61"/>
      <c r="CG422" s="61"/>
      <c r="CH422" s="61"/>
      <c r="CI422" s="138">
        <v>13.2</v>
      </c>
      <c r="CJ422" s="40">
        <f>VLOOKUP(paper3[[#This Row],[YYIR nivå]],$DB:$DC,2)</f>
        <v>360</v>
      </c>
      <c r="CK422" s="3"/>
      <c r="CL422" s="62"/>
      <c r="CM422" s="62"/>
      <c r="CN422" s="3"/>
      <c r="CO422" s="3"/>
      <c r="CP422" s="41">
        <v>13.322222222222223</v>
      </c>
      <c r="CQ422" s="3"/>
      <c r="CR422" s="40" t="s">
        <v>110</v>
      </c>
      <c r="CS422" s="40" t="s">
        <v>110</v>
      </c>
      <c r="CT422" s="40" t="s">
        <v>110</v>
      </c>
      <c r="CU422" s="40"/>
      <c r="CV422" s="40"/>
      <c r="CW422" s="40"/>
      <c r="CX422" s="40"/>
      <c r="CY422" s="40" t="s">
        <v>204</v>
      </c>
      <c r="CZ422" s="40"/>
      <c r="DA422" s="40"/>
    </row>
    <row r="423" spans="1:105" ht="18.75" customHeight="1">
      <c r="A423" s="3">
        <v>890</v>
      </c>
      <c r="B423" s="92" t="s">
        <v>199</v>
      </c>
      <c r="C423" s="143" t="s">
        <v>104</v>
      </c>
      <c r="D423" s="3" t="s">
        <v>105</v>
      </c>
      <c r="E423" s="144">
        <v>45103</v>
      </c>
      <c r="F423" s="3" t="s">
        <v>186</v>
      </c>
      <c r="G423" s="3" t="s">
        <v>107</v>
      </c>
      <c r="H423" s="3">
        <v>2010</v>
      </c>
      <c r="I423" s="40" t="s">
        <v>108</v>
      </c>
      <c r="J423" s="39" t="str">
        <f>paper3[[#This Row],[sex]]&amp;paper3[[#This Row],[ageg]]</f>
        <v>girlsU14</v>
      </c>
      <c r="K423" s="3">
        <v>166.4</v>
      </c>
      <c r="L423" s="3">
        <v>166.4</v>
      </c>
      <c r="M423" s="3"/>
      <c r="N423" s="3">
        <v>154.5</v>
      </c>
      <c r="O423" s="3">
        <v>154.5</v>
      </c>
      <c r="P423" s="3"/>
      <c r="Q423" s="3">
        <v>40.299999999999997</v>
      </c>
      <c r="R423" s="3"/>
      <c r="S423" s="3"/>
      <c r="T423" s="125">
        <v>166.4</v>
      </c>
      <c r="U423" s="126">
        <v>84.3</v>
      </c>
      <c r="V423" s="12">
        <f>paper3[[#This Row],[height]]-paper3[[#This Row],[sittingheight]]</f>
        <v>82.100000000000009</v>
      </c>
      <c r="W423" s="127">
        <v>40.299999999999997</v>
      </c>
      <c r="X423" s="43" cm="1">
        <f t="array" ref="X423">INDEX([1]!phvny[yphv], MATCH(1, (paper3[[#This Row],[id]]=[1]!phvny[id])*(paper3[[#This Row],[time]]=[1]!phvny[time]), 0))</f>
        <v>1.3601560123888894</v>
      </c>
      <c r="Y423" s="3">
        <v>1.931</v>
      </c>
      <c r="Z423" s="3">
        <v>3.5619999999999998</v>
      </c>
      <c r="AA423" s="3">
        <v>5.1749999999999998</v>
      </c>
      <c r="AB423" s="3">
        <v>2.0049999999999999</v>
      </c>
      <c r="AC423" s="3">
        <v>3.681</v>
      </c>
      <c r="AD423" s="3">
        <v>5.34</v>
      </c>
      <c r="AE423" s="3">
        <v>2.0329999999999999</v>
      </c>
      <c r="AF423" s="3">
        <v>3.7370000000000001</v>
      </c>
      <c r="AG423" s="3">
        <v>5.4379999999999997</v>
      </c>
      <c r="AH423" s="130">
        <v>2.141</v>
      </c>
      <c r="AI423" s="130">
        <v>3.742</v>
      </c>
      <c r="AJ423" s="130">
        <v>5.3849999999999998</v>
      </c>
      <c r="AK423" s="45">
        <v>6.0864272671941579</v>
      </c>
      <c r="AL423" s="3">
        <v>11.47</v>
      </c>
      <c r="AM423" s="3">
        <v>11.07</v>
      </c>
      <c r="AN423" s="3">
        <v>11.66</v>
      </c>
      <c r="AO423" s="3">
        <v>11.79</v>
      </c>
      <c r="AP423" s="137">
        <v>11.94</v>
      </c>
      <c r="AQ423" s="132">
        <v>11.07</v>
      </c>
      <c r="AR423" s="132">
        <v>11.66</v>
      </c>
      <c r="AS423" s="3">
        <v>22</v>
      </c>
      <c r="AT423" s="3">
        <v>21.6</v>
      </c>
      <c r="AU423" s="3">
        <v>23.6</v>
      </c>
      <c r="AV423" s="3"/>
      <c r="AW423" s="3"/>
      <c r="AX423" s="133">
        <v>26.560000000000002</v>
      </c>
      <c r="AY423" s="134"/>
      <c r="AZ423" s="40"/>
      <c r="BA423" s="40"/>
      <c r="BB423" s="40"/>
      <c r="BC423" s="40"/>
      <c r="BD423" s="135">
        <v>715.35427755692956</v>
      </c>
      <c r="BE423" s="135">
        <v>626.17848666091515</v>
      </c>
      <c r="BF423" s="40"/>
      <c r="BG423" s="135">
        <v>209.99472508751751</v>
      </c>
      <c r="BH423" s="135">
        <v>174.53087644787666</v>
      </c>
      <c r="BI423" s="49">
        <v>1341.5327642178447</v>
      </c>
      <c r="BJ423" s="49">
        <v>384.52560153539417</v>
      </c>
      <c r="BK423" s="66">
        <v>0.14241273501991847</v>
      </c>
      <c r="BL423" s="66">
        <v>0.20319527043819119</v>
      </c>
      <c r="BM423" s="51">
        <v>33.288654198953964</v>
      </c>
      <c r="BN423" s="51">
        <v>9.5415782018708235</v>
      </c>
      <c r="BO423" s="136"/>
      <c r="BP423" s="40"/>
      <c r="BQ423" s="40"/>
      <c r="BR423" s="67"/>
      <c r="BS423" s="54" t="s">
        <v>110</v>
      </c>
      <c r="BT423" s="68"/>
      <c r="BU423" s="69"/>
      <c r="BV423" s="3"/>
      <c r="BW423" s="3"/>
      <c r="BX423" s="70"/>
      <c r="BY423" s="70"/>
      <c r="BZ423" s="59"/>
      <c r="CA423" s="59"/>
      <c r="CB423" s="59" t="s">
        <v>110</v>
      </c>
      <c r="CC423" s="59" t="s">
        <v>110</v>
      </c>
      <c r="CD423" s="60"/>
      <c r="CE423" s="60"/>
      <c r="CF423" s="61"/>
      <c r="CG423" s="61"/>
      <c r="CH423" s="61"/>
      <c r="CI423" s="138">
        <v>14.1</v>
      </c>
      <c r="CJ423" s="40">
        <f>VLOOKUP(paper3[[#This Row],[YYIR nivå]],$DB:$DC,2)</f>
        <v>480</v>
      </c>
      <c r="CK423" s="3"/>
      <c r="CL423" s="62"/>
      <c r="CM423" s="62"/>
      <c r="CN423" s="3"/>
      <c r="CO423" s="3"/>
      <c r="CP423" s="41">
        <v>13.377777777777778</v>
      </c>
      <c r="CQ423" s="3"/>
      <c r="CR423" s="40" t="s">
        <v>110</v>
      </c>
      <c r="CS423" s="40" t="s">
        <v>110</v>
      </c>
      <c r="CT423" s="40" t="s">
        <v>110</v>
      </c>
      <c r="CU423" s="40"/>
      <c r="CV423" s="40"/>
      <c r="CW423" s="40"/>
      <c r="CX423" s="40"/>
      <c r="CY423" s="40" t="s">
        <v>205</v>
      </c>
      <c r="CZ423" s="40"/>
      <c r="DA423" s="40"/>
    </row>
    <row r="424" spans="1:105" ht="15.75" customHeight="1">
      <c r="A424" s="3">
        <v>891</v>
      </c>
      <c r="B424" s="92" t="s">
        <v>199</v>
      </c>
      <c r="C424" s="143" t="s">
        <v>104</v>
      </c>
      <c r="D424" s="3" t="s">
        <v>105</v>
      </c>
      <c r="E424" s="144">
        <v>45103</v>
      </c>
      <c r="F424" s="3" t="s">
        <v>186</v>
      </c>
      <c r="G424" s="3" t="s">
        <v>107</v>
      </c>
      <c r="H424" s="3">
        <v>2010</v>
      </c>
      <c r="I424" s="40" t="s">
        <v>108</v>
      </c>
      <c r="J424" s="39" t="str">
        <f>paper3[[#This Row],[sex]]&amp;paper3[[#This Row],[ageg]]</f>
        <v>girlsU14</v>
      </c>
      <c r="K424" s="3">
        <v>170.5</v>
      </c>
      <c r="L424" s="3">
        <v>170.5</v>
      </c>
      <c r="M424" s="3"/>
      <c r="N424" s="3">
        <v>157.19999999999999</v>
      </c>
      <c r="O424" s="3">
        <v>157.19999999999999</v>
      </c>
      <c r="P424" s="3"/>
      <c r="Q424" s="3">
        <v>54.8</v>
      </c>
      <c r="R424" s="3"/>
      <c r="S424" s="3"/>
      <c r="T424" s="125">
        <v>170.5</v>
      </c>
      <c r="U424" s="126">
        <v>86.999999999999986</v>
      </c>
      <c r="V424" s="12">
        <f>paper3[[#This Row],[height]]-paper3[[#This Row],[sittingheight]]</f>
        <v>83.500000000000014</v>
      </c>
      <c r="W424" s="127">
        <v>54.8</v>
      </c>
      <c r="X424" s="43" cm="1">
        <f t="array" ref="X424">INDEX([1]!phvny[yphv], MATCH(1, (paper3[[#This Row],[id]]=[1]!phvny[id])*(paper3[[#This Row],[time]]=[1]!phvny[time]), 0))</f>
        <v>1.5447553568605417</v>
      </c>
      <c r="Y424" s="3">
        <v>1.8839999999999999</v>
      </c>
      <c r="Z424" s="3">
        <v>3.4710000000000001</v>
      </c>
      <c r="AA424" s="3">
        <v>4.9850000000000003</v>
      </c>
      <c r="AB424" s="3">
        <v>1.8220000000000001</v>
      </c>
      <c r="AC424" s="3">
        <v>3.3879999999999999</v>
      </c>
      <c r="AD424" s="3">
        <v>4.8810000000000002</v>
      </c>
      <c r="AE424" s="3">
        <v>1.833</v>
      </c>
      <c r="AF424" s="3">
        <v>3.4079999999999999</v>
      </c>
      <c r="AG424" s="3">
        <v>4.9119999999999999</v>
      </c>
      <c r="AH424" s="130">
        <v>2.032</v>
      </c>
      <c r="AI424" s="130">
        <v>3.5680000000000001</v>
      </c>
      <c r="AJ424" s="130">
        <v>5.0910000000000002</v>
      </c>
      <c r="AK424" s="45">
        <v>6.5659881812212735</v>
      </c>
      <c r="AL424" s="3">
        <v>11.38</v>
      </c>
      <c r="AM424" s="3">
        <v>10.85</v>
      </c>
      <c r="AN424" s="3">
        <v>10.75</v>
      </c>
      <c r="AO424" s="3">
        <v>10.71</v>
      </c>
      <c r="AP424" s="137">
        <v>11.58</v>
      </c>
      <c r="AQ424" s="132">
        <v>10.85</v>
      </c>
      <c r="AR424" s="132">
        <v>10.71</v>
      </c>
      <c r="AS424" s="3">
        <v>24.1</v>
      </c>
      <c r="AT424" s="3">
        <v>23.2</v>
      </c>
      <c r="AU424" s="3">
        <v>22.3</v>
      </c>
      <c r="AV424" s="3"/>
      <c r="AW424" s="3"/>
      <c r="AX424" s="133">
        <v>27.060000000000002</v>
      </c>
      <c r="AY424" s="134"/>
      <c r="AZ424" s="40"/>
      <c r="BA424" s="40"/>
      <c r="BB424" s="40"/>
      <c r="BC424" s="40"/>
      <c r="BD424" s="135">
        <v>814.59583340627955</v>
      </c>
      <c r="BE424" s="135">
        <v>788.10993901169832</v>
      </c>
      <c r="BF424" s="40"/>
      <c r="BG424" s="135">
        <v>375.50340037019186</v>
      </c>
      <c r="BH424" s="135">
        <v>359.10925429883116</v>
      </c>
      <c r="BI424" s="49">
        <v>1602.7057724179779</v>
      </c>
      <c r="BJ424" s="49">
        <v>734.61265466902296</v>
      </c>
      <c r="BK424" s="66">
        <v>3.3606852399038267E-2</v>
      </c>
      <c r="BL424" s="66">
        <v>4.5652251717574366E-2</v>
      </c>
      <c r="BM424" s="51">
        <v>29.246455701057993</v>
      </c>
      <c r="BN424" s="51">
        <v>13.405340413668302</v>
      </c>
      <c r="BO424" s="136"/>
      <c r="BP424" s="40"/>
      <c r="BQ424" s="40"/>
      <c r="BR424" s="67"/>
      <c r="BS424" s="54" t="s">
        <v>110</v>
      </c>
      <c r="BT424" s="68"/>
      <c r="BU424" s="69"/>
      <c r="BV424" s="3"/>
      <c r="BW424" s="3"/>
      <c r="BX424" s="70"/>
      <c r="BY424" s="70"/>
      <c r="BZ424" s="59"/>
      <c r="CA424" s="59"/>
      <c r="CB424" s="59" t="s">
        <v>110</v>
      </c>
      <c r="CC424" s="59" t="s">
        <v>110</v>
      </c>
      <c r="CD424" s="60"/>
      <c r="CE424" s="60"/>
      <c r="CF424" s="61"/>
      <c r="CG424" s="61"/>
      <c r="CH424" s="61"/>
      <c r="CI424" s="138">
        <v>14.3</v>
      </c>
      <c r="CJ424" s="40">
        <f>VLOOKUP(paper3[[#This Row],[YYIR nivå]],$DB:$DC,2)</f>
        <v>560</v>
      </c>
      <c r="CK424" s="3"/>
      <c r="CL424" s="62"/>
      <c r="CM424" s="62"/>
      <c r="CN424" s="3"/>
      <c r="CO424" s="3"/>
      <c r="CP424" s="41">
        <v>12.963888888888889</v>
      </c>
      <c r="CQ424" s="3"/>
      <c r="CR424" s="40" t="s">
        <v>110</v>
      </c>
      <c r="CS424" s="40" t="s">
        <v>110</v>
      </c>
      <c r="CT424" s="40" t="s">
        <v>110</v>
      </c>
      <c r="CU424" s="40"/>
      <c r="CV424" s="40"/>
      <c r="CW424" s="40"/>
      <c r="CX424" s="40"/>
      <c r="CY424" s="40" t="s">
        <v>204</v>
      </c>
      <c r="CZ424" s="40"/>
      <c r="DA424" s="40"/>
    </row>
    <row r="425" spans="1:105" ht="15.75" customHeight="1">
      <c r="A425" s="3">
        <v>892</v>
      </c>
      <c r="B425" s="92" t="s">
        <v>199</v>
      </c>
      <c r="C425" s="143" t="s">
        <v>104</v>
      </c>
      <c r="D425" s="3" t="s">
        <v>105</v>
      </c>
      <c r="E425" s="144">
        <v>45103</v>
      </c>
      <c r="F425" s="3" t="s">
        <v>186</v>
      </c>
      <c r="G425" s="3" t="s">
        <v>107</v>
      </c>
      <c r="H425" s="3">
        <v>2010</v>
      </c>
      <c r="I425" s="40" t="s">
        <v>108</v>
      </c>
      <c r="J425" s="39" t="str">
        <f>paper3[[#This Row],[sex]]&amp;paper3[[#This Row],[ageg]]</f>
        <v>girlsU14</v>
      </c>
      <c r="K425" s="3">
        <v>164.5</v>
      </c>
      <c r="L425" s="3">
        <v>164.5</v>
      </c>
      <c r="M425" s="3"/>
      <c r="N425" s="3">
        <v>156.4</v>
      </c>
      <c r="O425" s="3">
        <v>156.4</v>
      </c>
      <c r="P425" s="3"/>
      <c r="Q425" s="3">
        <v>50</v>
      </c>
      <c r="R425" s="3"/>
      <c r="S425" s="3"/>
      <c r="T425" s="125">
        <v>164.5</v>
      </c>
      <c r="U425" s="126">
        <v>86.2</v>
      </c>
      <c r="V425" s="12">
        <f>paper3[[#This Row],[height]]-paper3[[#This Row],[sittingheight]]</f>
        <v>78.3</v>
      </c>
      <c r="W425" s="127">
        <v>50</v>
      </c>
      <c r="X425" s="43" cm="1">
        <f t="array" ref="X425">INDEX([1]!phvny[yphv], MATCH(1, (paper3[[#This Row],[id]]=[1]!phvny[id])*(paper3[[#This Row],[time]]=[1]!phvny[time]), 0))</f>
        <v>1.0981439460070921</v>
      </c>
      <c r="Y425" s="3">
        <v>1.82</v>
      </c>
      <c r="Z425" s="3">
        <v>3.38</v>
      </c>
      <c r="AA425" s="3">
        <v>4.9189999999999996</v>
      </c>
      <c r="AB425" s="3">
        <v>1.0740000000000001</v>
      </c>
      <c r="AC425" s="3">
        <v>2.7789999999999999</v>
      </c>
      <c r="AD425" s="3">
        <v>4.375</v>
      </c>
      <c r="AE425" s="3">
        <v>1.923</v>
      </c>
      <c r="AF425" s="3">
        <v>3.5760000000000001</v>
      </c>
      <c r="AG425" s="3">
        <v>5.181</v>
      </c>
      <c r="AH425" s="130">
        <v>2.0300000000000002</v>
      </c>
      <c r="AI425" s="130">
        <v>2.9590000000000001</v>
      </c>
      <c r="AJ425" s="130">
        <v>5.1289999999999996</v>
      </c>
      <c r="AK425" s="45">
        <v>4.6082949308755774</v>
      </c>
      <c r="AL425" s="3">
        <v>10.6</v>
      </c>
      <c r="AM425" s="3">
        <v>10.38</v>
      </c>
      <c r="AN425" s="3">
        <v>10.65</v>
      </c>
      <c r="AO425" s="3">
        <v>10.81</v>
      </c>
      <c r="AP425" s="137">
        <v>11.25</v>
      </c>
      <c r="AQ425" s="132">
        <v>10.38</v>
      </c>
      <c r="AR425" s="132">
        <v>10.65</v>
      </c>
      <c r="AS425" s="3">
        <v>23.6</v>
      </c>
      <c r="AT425" s="3">
        <v>25.6</v>
      </c>
      <c r="AU425" s="3">
        <v>0</v>
      </c>
      <c r="AV425" s="3"/>
      <c r="AW425" s="3"/>
      <c r="AX425" s="133">
        <v>28.560000000000002</v>
      </c>
      <c r="AY425" s="134"/>
      <c r="AZ425" s="40"/>
      <c r="BA425" s="40"/>
      <c r="BB425" s="40"/>
      <c r="BC425" s="40"/>
      <c r="BD425" s="135">
        <v>871.60212160799665</v>
      </c>
      <c r="BE425" s="135">
        <v>872.31360380870603</v>
      </c>
      <c r="BF425" s="40"/>
      <c r="BG425" s="135">
        <v>252.41498152157601</v>
      </c>
      <c r="BH425" s="135">
        <v>292.86777505461828</v>
      </c>
      <c r="BI425" s="49">
        <v>1743.9157254167026</v>
      </c>
      <c r="BJ425" s="49">
        <v>545.28275657619429</v>
      </c>
      <c r="BK425" s="66">
        <v>-8.1562662510692441E-4</v>
      </c>
      <c r="BL425" s="66">
        <v>-0.13812647542222101</v>
      </c>
      <c r="BM425" s="51">
        <v>34.87831450833405</v>
      </c>
      <c r="BN425" s="51">
        <v>10.905655131523886</v>
      </c>
      <c r="BO425" s="136"/>
      <c r="BP425" s="40"/>
      <c r="BQ425" s="40"/>
      <c r="BR425" s="67"/>
      <c r="BS425" s="54" t="s">
        <v>110</v>
      </c>
      <c r="BT425" s="68"/>
      <c r="BU425" s="69"/>
      <c r="BV425" s="3"/>
      <c r="BW425" s="3"/>
      <c r="BX425" s="70"/>
      <c r="BY425" s="70"/>
      <c r="BZ425" s="59"/>
      <c r="CA425" s="59"/>
      <c r="CB425" s="59" t="s">
        <v>110</v>
      </c>
      <c r="CC425" s="59" t="s">
        <v>110</v>
      </c>
      <c r="CD425" s="60"/>
      <c r="CE425" s="60"/>
      <c r="CF425" s="61"/>
      <c r="CG425" s="61"/>
      <c r="CH425" s="61"/>
      <c r="CI425" s="138">
        <v>14.4</v>
      </c>
      <c r="CJ425" s="40">
        <f>VLOOKUP(paper3[[#This Row],[YYIR nivå]],$DB:$DC,2)</f>
        <v>600</v>
      </c>
      <c r="CK425" s="3"/>
      <c r="CL425" s="62"/>
      <c r="CM425" s="62"/>
      <c r="CN425" s="3"/>
      <c r="CO425" s="3"/>
      <c r="CP425" s="41">
        <v>12.647222222222222</v>
      </c>
      <c r="CQ425" s="3"/>
      <c r="CR425" s="40" t="s">
        <v>110</v>
      </c>
      <c r="CS425" s="40" t="s">
        <v>110</v>
      </c>
      <c r="CT425" s="40" t="s">
        <v>110</v>
      </c>
      <c r="CU425" s="40"/>
      <c r="CV425" s="40"/>
      <c r="CW425" s="40"/>
      <c r="CX425" s="40"/>
      <c r="CY425" s="40" t="s">
        <v>204</v>
      </c>
      <c r="CZ425" s="40"/>
      <c r="DA425" s="40"/>
    </row>
    <row r="426" spans="1:105" ht="15.75" customHeight="1">
      <c r="A426" s="3">
        <v>893</v>
      </c>
      <c r="B426" s="92" t="s">
        <v>199</v>
      </c>
      <c r="C426" s="143" t="s">
        <v>104</v>
      </c>
      <c r="D426" s="3" t="s">
        <v>105</v>
      </c>
      <c r="E426" s="144">
        <v>45103</v>
      </c>
      <c r="F426" s="3" t="s">
        <v>186</v>
      </c>
      <c r="G426" s="3" t="s">
        <v>107</v>
      </c>
      <c r="H426" s="3">
        <v>2010</v>
      </c>
      <c r="I426" s="40" t="s">
        <v>108</v>
      </c>
      <c r="J426" s="39" t="str">
        <f>paper3[[#This Row],[sex]]&amp;paper3[[#This Row],[ageg]]</f>
        <v>girlsU14</v>
      </c>
      <c r="K426" s="3">
        <v>157.5</v>
      </c>
      <c r="L426" s="3">
        <v>157.6</v>
      </c>
      <c r="M426" s="3"/>
      <c r="N426" s="3">
        <v>154</v>
      </c>
      <c r="O426" s="3">
        <v>154</v>
      </c>
      <c r="P426" s="3"/>
      <c r="Q426" s="3">
        <v>46.5</v>
      </c>
      <c r="R426" s="3"/>
      <c r="S426" s="3"/>
      <c r="T426" s="125">
        <v>157.55000000000001</v>
      </c>
      <c r="U426" s="126">
        <v>83.8</v>
      </c>
      <c r="V426" s="12">
        <f>paper3[[#This Row],[height]]-paper3[[#This Row],[sittingheight]]</f>
        <v>73.750000000000014</v>
      </c>
      <c r="W426" s="127">
        <v>46.5</v>
      </c>
      <c r="X426" s="43" cm="1">
        <f t="array" ref="X426">INDEX([1]!phvny[yphv], MATCH(1, (paper3[[#This Row],[id]]=[1]!phvny[id])*(paper3[[#This Row],[time]]=[1]!phvny[time]), 0))</f>
        <v>0.7473003751242977</v>
      </c>
      <c r="Y426" s="3">
        <v>1.97</v>
      </c>
      <c r="Z426" s="3">
        <v>3.5750000000000002</v>
      </c>
      <c r="AA426" s="3">
        <v>5.157</v>
      </c>
      <c r="AB426" s="3">
        <v>2.0099999999999998</v>
      </c>
      <c r="AC426" s="3">
        <v>3.66</v>
      </c>
      <c r="AD426" s="3">
        <v>5.2939999999999996</v>
      </c>
      <c r="AE426" s="3">
        <v>2.153</v>
      </c>
      <c r="AF426" s="3">
        <v>3.8439999999999999</v>
      </c>
      <c r="AG426" s="3">
        <v>5.4939999999999998</v>
      </c>
      <c r="AH426" s="130">
        <v>2.1800000000000002</v>
      </c>
      <c r="AI426" s="130">
        <v>3.7550000000000003</v>
      </c>
      <c r="AJ426" s="130">
        <v>5.367</v>
      </c>
      <c r="AK426" s="45">
        <v>6.2034739454094305</v>
      </c>
      <c r="AL426" s="3">
        <v>10.94</v>
      </c>
      <c r="AM426" s="3">
        <v>10.77</v>
      </c>
      <c r="AN426" s="3">
        <v>11.36</v>
      </c>
      <c r="AO426" s="3">
        <v>11.14</v>
      </c>
      <c r="AP426" s="137">
        <v>11.639999999999999</v>
      </c>
      <c r="AQ426" s="132">
        <v>10.77</v>
      </c>
      <c r="AR426" s="132">
        <v>11.14</v>
      </c>
      <c r="AS426" s="3">
        <v>22.7</v>
      </c>
      <c r="AT426" s="3">
        <v>0</v>
      </c>
      <c r="AU426" s="3">
        <v>20.5</v>
      </c>
      <c r="AV426" s="3"/>
      <c r="AW426" s="3"/>
      <c r="AX426" s="133">
        <v>25.66</v>
      </c>
      <c r="AY426" s="134"/>
      <c r="AZ426" s="40"/>
      <c r="BA426" s="40"/>
      <c r="BB426" s="40"/>
      <c r="BC426" s="40"/>
      <c r="BD426" s="135">
        <v>977.07987568581893</v>
      </c>
      <c r="BE426" s="135">
        <v>850.7072921407987</v>
      </c>
      <c r="BF426" s="40"/>
      <c r="BG426" s="135">
        <v>229.34479691097721</v>
      </c>
      <c r="BH426" s="135">
        <v>196.5538781001145</v>
      </c>
      <c r="BI426" s="49">
        <v>1827.7871678266176</v>
      </c>
      <c r="BJ426" s="49">
        <v>425.89867501109171</v>
      </c>
      <c r="BK426" s="66">
        <v>0.1485500179821011</v>
      </c>
      <c r="BL426" s="66">
        <v>0.16682916220132116</v>
      </c>
      <c r="BM426" s="51">
        <v>39.307250921002527</v>
      </c>
      <c r="BN426" s="51">
        <v>9.1591112905611123</v>
      </c>
      <c r="BO426" s="136"/>
      <c r="BP426" s="40"/>
      <c r="BQ426" s="40"/>
      <c r="BR426" s="67"/>
      <c r="BS426" s="54" t="s">
        <v>110</v>
      </c>
      <c r="BT426" s="68"/>
      <c r="BU426" s="69"/>
      <c r="BV426" s="3"/>
      <c r="BW426" s="3"/>
      <c r="BX426" s="70"/>
      <c r="BY426" s="70"/>
      <c r="BZ426" s="59"/>
      <c r="CA426" s="59"/>
      <c r="CB426" s="59" t="s">
        <v>110</v>
      </c>
      <c r="CC426" s="59" t="s">
        <v>110</v>
      </c>
      <c r="CD426" s="60"/>
      <c r="CE426" s="60"/>
      <c r="CF426" s="61"/>
      <c r="CG426" s="61"/>
      <c r="CH426" s="61"/>
      <c r="CI426" s="138">
        <v>13.4</v>
      </c>
      <c r="CJ426" s="40">
        <f>VLOOKUP(paper3[[#This Row],[YYIR nivå]],$DB:$DC,2)</f>
        <v>440</v>
      </c>
      <c r="CK426" s="3"/>
      <c r="CL426" s="62"/>
      <c r="CM426" s="62"/>
      <c r="CN426" s="3"/>
      <c r="CO426" s="3"/>
      <c r="CP426" s="41">
        <v>12.666666666666666</v>
      </c>
      <c r="CQ426" s="3"/>
      <c r="CR426" s="40" t="s">
        <v>110</v>
      </c>
      <c r="CS426" s="40" t="s">
        <v>110</v>
      </c>
      <c r="CT426" s="40" t="s">
        <v>110</v>
      </c>
      <c r="CU426" s="40"/>
      <c r="CV426" s="40"/>
      <c r="CW426" s="40"/>
      <c r="CX426" s="40"/>
      <c r="CY426" s="40" t="s">
        <v>204</v>
      </c>
      <c r="CZ426" s="40"/>
      <c r="DA426" s="40"/>
    </row>
    <row r="427" spans="1:105" ht="15.75" customHeight="1">
      <c r="A427" s="3">
        <v>894</v>
      </c>
      <c r="B427" s="92" t="s">
        <v>199</v>
      </c>
      <c r="C427" s="143" t="s">
        <v>104</v>
      </c>
      <c r="D427" s="3" t="s">
        <v>105</v>
      </c>
      <c r="E427" s="144">
        <v>45103</v>
      </c>
      <c r="F427" s="3" t="s">
        <v>186</v>
      </c>
      <c r="G427" s="3" t="s">
        <v>107</v>
      </c>
      <c r="H427" s="3">
        <v>2010</v>
      </c>
      <c r="I427" s="40" t="s">
        <v>108</v>
      </c>
      <c r="J427" s="39" t="str">
        <f>paper3[[#This Row],[sex]]&amp;paper3[[#This Row],[ageg]]</f>
        <v>girlsU14</v>
      </c>
      <c r="K427" s="3">
        <v>164</v>
      </c>
      <c r="L427" s="3">
        <v>164</v>
      </c>
      <c r="M427" s="3"/>
      <c r="N427" s="3">
        <v>154.6</v>
      </c>
      <c r="O427" s="3">
        <v>154.6</v>
      </c>
      <c r="P427" s="3"/>
      <c r="Q427" s="3">
        <v>49.1</v>
      </c>
      <c r="R427" s="3"/>
      <c r="S427" s="3"/>
      <c r="T427" s="125">
        <v>164</v>
      </c>
      <c r="U427" s="126">
        <v>84.399999999999991</v>
      </c>
      <c r="V427" s="12">
        <f>paper3[[#This Row],[height]]-paper3[[#This Row],[sittingheight]]</f>
        <v>79.600000000000009</v>
      </c>
      <c r="W427" s="127">
        <v>49.1</v>
      </c>
      <c r="X427" s="43" cm="1">
        <f t="array" ref="X427">INDEX([1]!phvny[yphv], MATCH(1, (paper3[[#This Row],[id]]=[1]!phvny[id])*(paper3[[#This Row],[time]]=[1]!phvny[time]), 0))</f>
        <v>1.2161252210081297</v>
      </c>
      <c r="Y427" s="3">
        <v>1.9750000000000001</v>
      </c>
      <c r="Z427" s="3">
        <v>3.5379999999999998</v>
      </c>
      <c r="AA427" s="3">
        <v>5.0880000000000001</v>
      </c>
      <c r="AB427" s="3">
        <v>1.8660000000000001</v>
      </c>
      <c r="AC427" s="3">
        <v>3.4279999999999999</v>
      </c>
      <c r="AD427" s="3">
        <v>4.9969999999999999</v>
      </c>
      <c r="AE427" s="3">
        <v>1.996</v>
      </c>
      <c r="AF427" s="3">
        <v>3.5990000000000002</v>
      </c>
      <c r="AG427" s="3">
        <v>5.2430000000000003</v>
      </c>
      <c r="AH427" s="130">
        <v>2.0760000000000001</v>
      </c>
      <c r="AI427" s="130">
        <v>3.6080000000000001</v>
      </c>
      <c r="AJ427" s="130">
        <v>5.2069999999999999</v>
      </c>
      <c r="AK427" s="45">
        <v>6.2539086929330843</v>
      </c>
      <c r="AL427" s="3">
        <v>10.08</v>
      </c>
      <c r="AM427" s="3">
        <v>10</v>
      </c>
      <c r="AN427" s="3">
        <v>10.35</v>
      </c>
      <c r="AO427" s="3">
        <v>10.28</v>
      </c>
      <c r="AP427" s="137">
        <v>10.87</v>
      </c>
      <c r="AQ427" s="132">
        <v>10</v>
      </c>
      <c r="AR427" s="132">
        <v>10.28</v>
      </c>
      <c r="AS427" s="3">
        <v>0</v>
      </c>
      <c r="AT427" s="3">
        <v>29</v>
      </c>
      <c r="AU427" s="3">
        <v>27.4</v>
      </c>
      <c r="AV427" s="3"/>
      <c r="AW427" s="3"/>
      <c r="AX427" s="133">
        <v>31.96</v>
      </c>
      <c r="AY427" s="134"/>
      <c r="AZ427" s="40"/>
      <c r="BA427" s="40"/>
      <c r="BB427" s="40"/>
      <c r="BC427" s="40"/>
      <c r="BD427" s="135">
        <v>774.69618359274386</v>
      </c>
      <c r="BE427" s="135">
        <v>701.80949348707486</v>
      </c>
      <c r="BF427" s="40"/>
      <c r="BG427" s="135">
        <v>319.17373328924623</v>
      </c>
      <c r="BH427" s="135">
        <v>273.39392451784761</v>
      </c>
      <c r="BI427" s="49">
        <v>1476.5056770798187</v>
      </c>
      <c r="BJ427" s="49">
        <v>592.56765780709384</v>
      </c>
      <c r="BK427" s="66">
        <v>0.10385537782271581</v>
      </c>
      <c r="BL427" s="66">
        <v>0.16744998577468406</v>
      </c>
      <c r="BM427" s="51">
        <v>30.071398718529913</v>
      </c>
      <c r="BN427" s="51">
        <v>12.068587735378692</v>
      </c>
      <c r="BO427" s="136"/>
      <c r="BP427" s="40"/>
      <c r="BQ427" s="40"/>
      <c r="BR427" s="67"/>
      <c r="BS427" s="54" t="s">
        <v>110</v>
      </c>
      <c r="BT427" s="68"/>
      <c r="BU427" s="69"/>
      <c r="BV427" s="3"/>
      <c r="BW427" s="3"/>
      <c r="BX427" s="70"/>
      <c r="BY427" s="70"/>
      <c r="BZ427" s="59"/>
      <c r="CA427" s="59"/>
      <c r="CB427" s="59" t="s">
        <v>110</v>
      </c>
      <c r="CC427" s="59" t="s">
        <v>110</v>
      </c>
      <c r="CD427" s="60"/>
      <c r="CE427" s="60"/>
      <c r="CF427" s="61"/>
      <c r="CG427" s="61"/>
      <c r="CH427" s="61"/>
      <c r="CI427" s="138">
        <v>14.4</v>
      </c>
      <c r="CJ427" s="40">
        <f>VLOOKUP(paper3[[#This Row],[YYIR nivå]],$DB:$DC,2)</f>
        <v>600</v>
      </c>
      <c r="CK427" s="3"/>
      <c r="CL427" s="62"/>
      <c r="CM427" s="62"/>
      <c r="CN427" s="3"/>
      <c r="CO427" s="3"/>
      <c r="CP427" s="41">
        <v>13.066666666666666</v>
      </c>
      <c r="CQ427" s="3"/>
      <c r="CR427" s="40" t="s">
        <v>110</v>
      </c>
      <c r="CS427" s="40" t="s">
        <v>110</v>
      </c>
      <c r="CT427" s="40" t="s">
        <v>110</v>
      </c>
      <c r="CU427" s="40"/>
      <c r="CV427" s="40"/>
      <c r="CW427" s="40"/>
      <c r="CX427" s="40"/>
      <c r="CY427" s="40" t="s">
        <v>204</v>
      </c>
      <c r="CZ427" s="40"/>
      <c r="DA427" s="40"/>
    </row>
    <row r="428" spans="1:105" ht="15.75" customHeight="1">
      <c r="A428" s="3">
        <v>895</v>
      </c>
      <c r="B428" s="92" t="s">
        <v>199</v>
      </c>
      <c r="C428" s="143"/>
      <c r="D428" s="3" t="s">
        <v>105</v>
      </c>
      <c r="E428" s="144">
        <v>45103</v>
      </c>
      <c r="F428" s="3" t="s">
        <v>186</v>
      </c>
      <c r="G428" s="3" t="s">
        <v>107</v>
      </c>
      <c r="H428" s="3">
        <v>2010</v>
      </c>
      <c r="I428" s="40" t="s">
        <v>108</v>
      </c>
      <c r="J428" s="39" t="str">
        <f>paper3[[#This Row],[sex]]&amp;paper3[[#This Row],[ageg]]</f>
        <v>girlsU14</v>
      </c>
      <c r="K428" s="3"/>
      <c r="L428" s="3"/>
      <c r="M428" s="3"/>
      <c r="N428" s="3"/>
      <c r="O428" s="3"/>
      <c r="P428" s="3"/>
      <c r="Q428" s="3"/>
      <c r="R428" s="3"/>
      <c r="S428" s="3"/>
      <c r="T428" s="125"/>
      <c r="U428" s="126"/>
      <c r="V428" s="12"/>
      <c r="W428" s="127"/>
      <c r="X428" s="43"/>
      <c r="Y428" s="3"/>
      <c r="Z428" s="3"/>
      <c r="AA428" s="3"/>
      <c r="AB428" s="3"/>
      <c r="AC428" s="3"/>
      <c r="AD428" s="3"/>
      <c r="AE428" s="3"/>
      <c r="AF428" s="3"/>
      <c r="AG428" s="3"/>
      <c r="AH428" s="133"/>
      <c r="AI428" s="133"/>
      <c r="AJ428" s="133"/>
      <c r="AK428" s="45"/>
      <c r="AL428" s="3">
        <v>10.92</v>
      </c>
      <c r="AM428" s="3">
        <v>10.39</v>
      </c>
      <c r="AN428" s="3">
        <v>11.02</v>
      </c>
      <c r="AO428" s="3">
        <v>10.88</v>
      </c>
      <c r="AP428" s="137">
        <v>11.26</v>
      </c>
      <c r="AQ428" s="132">
        <v>10.39</v>
      </c>
      <c r="AR428" s="132">
        <v>10.88</v>
      </c>
      <c r="AS428" s="3"/>
      <c r="AT428" s="3"/>
      <c r="AU428" s="3"/>
      <c r="AV428" s="3"/>
      <c r="AW428" s="3"/>
      <c r="AX428" s="133"/>
      <c r="AY428" s="134"/>
      <c r="AZ428" s="40"/>
      <c r="BA428" s="40"/>
      <c r="BB428" s="40"/>
      <c r="BC428" s="40"/>
      <c r="BD428" s="135" t="s">
        <v>110</v>
      </c>
      <c r="BE428" s="135" t="s">
        <v>110</v>
      </c>
      <c r="BF428" s="40"/>
      <c r="BG428" s="135" t="s">
        <v>110</v>
      </c>
      <c r="BH428" s="135" t="s">
        <v>110</v>
      </c>
      <c r="BI428" s="49"/>
      <c r="BJ428" s="49"/>
      <c r="BK428" s="66"/>
      <c r="BL428" s="66"/>
      <c r="BM428" s="51"/>
      <c r="BN428" s="51"/>
      <c r="BO428" s="136"/>
      <c r="BP428" s="40"/>
      <c r="BQ428" s="40"/>
      <c r="BR428" s="67"/>
      <c r="BS428" s="54" t="s">
        <v>110</v>
      </c>
      <c r="BT428" s="68"/>
      <c r="BU428" s="69"/>
      <c r="BV428" s="3"/>
      <c r="BW428" s="3"/>
      <c r="BX428" s="70"/>
      <c r="BY428" s="70"/>
      <c r="BZ428" s="59"/>
      <c r="CA428" s="59"/>
      <c r="CB428" s="59" t="s">
        <v>110</v>
      </c>
      <c r="CC428" s="59" t="s">
        <v>110</v>
      </c>
      <c r="CD428" s="60"/>
      <c r="CE428" s="60"/>
      <c r="CF428" s="61"/>
      <c r="CG428" s="61"/>
      <c r="CH428" s="61"/>
      <c r="CI428" s="138">
        <v>14.4</v>
      </c>
      <c r="CJ428" s="40">
        <f>VLOOKUP(paper3[[#This Row],[YYIR nivå]],$DB:$DC,2)</f>
        <v>600</v>
      </c>
      <c r="CK428" s="3"/>
      <c r="CL428" s="62"/>
      <c r="CM428" s="62"/>
      <c r="CN428" s="3"/>
      <c r="CO428" s="3"/>
      <c r="CP428" s="41">
        <v>12.894444444444444</v>
      </c>
      <c r="CQ428" s="3"/>
      <c r="CR428" s="40" t="s">
        <v>110</v>
      </c>
      <c r="CS428" s="40" t="s">
        <v>110</v>
      </c>
      <c r="CT428" s="40" t="s">
        <v>110</v>
      </c>
      <c r="CU428" s="40"/>
      <c r="CV428" s="40"/>
      <c r="CW428" s="40"/>
      <c r="CX428" s="40"/>
      <c r="CY428" s="40" t="s">
        <v>110</v>
      </c>
      <c r="CZ428" s="40"/>
      <c r="DA428" s="40"/>
    </row>
    <row r="429" spans="1:105" ht="15.75" customHeight="1">
      <c r="A429" s="3">
        <v>896</v>
      </c>
      <c r="B429" s="92" t="s">
        <v>199</v>
      </c>
      <c r="C429" s="143"/>
      <c r="D429" s="3" t="s">
        <v>105</v>
      </c>
      <c r="E429" s="144">
        <v>45103</v>
      </c>
      <c r="F429" s="3" t="s">
        <v>186</v>
      </c>
      <c r="G429" s="3" t="s">
        <v>107</v>
      </c>
      <c r="H429" s="3">
        <v>2010</v>
      </c>
      <c r="I429" s="40" t="s">
        <v>108</v>
      </c>
      <c r="J429" s="39" t="str">
        <f>paper3[[#This Row],[sex]]&amp;paper3[[#This Row],[ageg]]</f>
        <v>girlsU14</v>
      </c>
      <c r="K429" s="3"/>
      <c r="L429" s="3"/>
      <c r="M429" s="3"/>
      <c r="N429" s="3"/>
      <c r="O429" s="3"/>
      <c r="P429" s="3"/>
      <c r="Q429" s="3"/>
      <c r="R429" s="3"/>
      <c r="S429" s="3"/>
      <c r="T429" s="125"/>
      <c r="U429" s="126"/>
      <c r="V429" s="12"/>
      <c r="W429" s="127"/>
      <c r="X429" s="43"/>
      <c r="Y429" s="3"/>
      <c r="Z429" s="3"/>
      <c r="AA429" s="3"/>
      <c r="AB429" s="3"/>
      <c r="AC429" s="3"/>
      <c r="AD429" s="3"/>
      <c r="AE429" s="3"/>
      <c r="AF429" s="3"/>
      <c r="AG429" s="3"/>
      <c r="AH429" s="133"/>
      <c r="AI429" s="133"/>
      <c r="AJ429" s="133"/>
      <c r="AK429" s="45"/>
      <c r="AL429" s="3">
        <v>11.23</v>
      </c>
      <c r="AM429" s="3">
        <v>10.39</v>
      </c>
      <c r="AN429" s="3">
        <v>10.18</v>
      </c>
      <c r="AO429" s="3">
        <v>10.54</v>
      </c>
      <c r="AP429" s="137">
        <v>11.049999999999999</v>
      </c>
      <c r="AQ429" s="132">
        <v>10.39</v>
      </c>
      <c r="AR429" s="132">
        <v>10.18</v>
      </c>
      <c r="AS429" s="3"/>
      <c r="AT429" s="3"/>
      <c r="AU429" s="3"/>
      <c r="AV429" s="3"/>
      <c r="AW429" s="3"/>
      <c r="AX429" s="133"/>
      <c r="AY429" s="134"/>
      <c r="AZ429" s="40"/>
      <c r="BA429" s="40"/>
      <c r="BB429" s="40"/>
      <c r="BC429" s="40"/>
      <c r="BD429" s="135" t="s">
        <v>110</v>
      </c>
      <c r="BE429" s="135" t="s">
        <v>110</v>
      </c>
      <c r="BF429" s="40"/>
      <c r="BG429" s="135" t="s">
        <v>110</v>
      </c>
      <c r="BH429" s="135" t="s">
        <v>110</v>
      </c>
      <c r="BI429" s="49"/>
      <c r="BJ429" s="49"/>
      <c r="BK429" s="66"/>
      <c r="BL429" s="66"/>
      <c r="BM429" s="51"/>
      <c r="BN429" s="51"/>
      <c r="BO429" s="136"/>
      <c r="BP429" s="40"/>
      <c r="BQ429" s="40"/>
      <c r="BR429" s="67"/>
      <c r="BS429" s="54" t="s">
        <v>110</v>
      </c>
      <c r="BT429" s="68"/>
      <c r="BU429" s="69"/>
      <c r="BV429" s="3"/>
      <c r="BW429" s="3"/>
      <c r="BX429" s="70"/>
      <c r="BY429" s="70"/>
      <c r="BZ429" s="59"/>
      <c r="CA429" s="59"/>
      <c r="CB429" s="59" t="s">
        <v>110</v>
      </c>
      <c r="CC429" s="59" t="s">
        <v>110</v>
      </c>
      <c r="CD429" s="60"/>
      <c r="CE429" s="60"/>
      <c r="CF429" s="61"/>
      <c r="CG429" s="61"/>
      <c r="CH429" s="61"/>
      <c r="CI429" s="138">
        <v>15.2</v>
      </c>
      <c r="CJ429" s="40">
        <f>VLOOKUP(paper3[[#This Row],[YYIR nivå]],$DB:$DC,2)</f>
        <v>840</v>
      </c>
      <c r="CK429" s="3"/>
      <c r="CL429" s="62"/>
      <c r="CM429" s="62"/>
      <c r="CN429" s="3"/>
      <c r="CO429" s="3"/>
      <c r="CP429" s="41">
        <v>12.977777777777778</v>
      </c>
      <c r="CQ429" s="3"/>
      <c r="CR429" s="40" t="s">
        <v>110</v>
      </c>
      <c r="CS429" s="40" t="s">
        <v>110</v>
      </c>
      <c r="CT429" s="40" t="s">
        <v>110</v>
      </c>
      <c r="CU429" s="40"/>
      <c r="CV429" s="40"/>
      <c r="CW429" s="40"/>
      <c r="CX429" s="40"/>
      <c r="CY429" s="40" t="s">
        <v>110</v>
      </c>
      <c r="CZ429" s="40"/>
      <c r="DA429" s="40"/>
    </row>
    <row r="430" spans="1:105" ht="15.75" customHeight="1">
      <c r="A430" s="3">
        <v>897</v>
      </c>
      <c r="B430" s="92" t="s">
        <v>199</v>
      </c>
      <c r="C430" s="143"/>
      <c r="D430" s="3" t="s">
        <v>105</v>
      </c>
      <c r="E430" s="144">
        <v>45103</v>
      </c>
      <c r="F430" s="3" t="s">
        <v>186</v>
      </c>
      <c r="G430" s="3" t="s">
        <v>107</v>
      </c>
      <c r="H430" s="3">
        <v>2010</v>
      </c>
      <c r="I430" s="40" t="s">
        <v>108</v>
      </c>
      <c r="J430" s="39" t="str">
        <f>paper3[[#This Row],[sex]]&amp;paper3[[#This Row],[ageg]]</f>
        <v>girlsU14</v>
      </c>
      <c r="K430" s="3"/>
      <c r="L430" s="3"/>
      <c r="M430" s="3"/>
      <c r="N430" s="3"/>
      <c r="O430" s="3"/>
      <c r="P430" s="3"/>
      <c r="Q430" s="3"/>
      <c r="R430" s="3"/>
      <c r="S430" s="3"/>
      <c r="T430" s="125"/>
      <c r="U430" s="126"/>
      <c r="V430" s="12"/>
      <c r="W430" s="127"/>
      <c r="X430" s="43"/>
      <c r="Y430" s="3"/>
      <c r="Z430" s="3"/>
      <c r="AA430" s="3"/>
      <c r="AB430" s="3"/>
      <c r="AC430" s="3"/>
      <c r="AD430" s="3"/>
      <c r="AE430" s="3"/>
      <c r="AF430" s="3"/>
      <c r="AG430" s="3"/>
      <c r="AH430" s="133"/>
      <c r="AI430" s="133"/>
      <c r="AJ430" s="133"/>
      <c r="AK430" s="45"/>
      <c r="AL430" s="3">
        <v>11.33</v>
      </c>
      <c r="AM430" s="3">
        <v>10.87</v>
      </c>
      <c r="AN430" s="3">
        <v>11.36</v>
      </c>
      <c r="AO430" s="3">
        <v>11.41</v>
      </c>
      <c r="AP430" s="137">
        <v>11.739999999999998</v>
      </c>
      <c r="AQ430" s="132">
        <v>10.87</v>
      </c>
      <c r="AR430" s="132">
        <v>11.36</v>
      </c>
      <c r="AS430" s="3"/>
      <c r="AT430" s="3"/>
      <c r="AU430" s="3"/>
      <c r="AV430" s="3"/>
      <c r="AW430" s="3"/>
      <c r="AX430" s="133"/>
      <c r="AY430" s="134"/>
      <c r="AZ430" s="40"/>
      <c r="BA430" s="40"/>
      <c r="BB430" s="40"/>
      <c r="BC430" s="40"/>
      <c r="BD430" s="135" t="s">
        <v>110</v>
      </c>
      <c r="BE430" s="135" t="s">
        <v>110</v>
      </c>
      <c r="BF430" s="40"/>
      <c r="BG430" s="135" t="s">
        <v>110</v>
      </c>
      <c r="BH430" s="135" t="s">
        <v>110</v>
      </c>
      <c r="BI430" s="49"/>
      <c r="BJ430" s="49"/>
      <c r="BK430" s="66"/>
      <c r="BL430" s="66"/>
      <c r="BM430" s="51"/>
      <c r="BN430" s="51"/>
      <c r="BO430" s="136"/>
      <c r="BP430" s="40"/>
      <c r="BQ430" s="40"/>
      <c r="BR430" s="67"/>
      <c r="BS430" s="54" t="s">
        <v>110</v>
      </c>
      <c r="BT430" s="68"/>
      <c r="BU430" s="69"/>
      <c r="BV430" s="3"/>
      <c r="BW430" s="3"/>
      <c r="BX430" s="70"/>
      <c r="BY430" s="70"/>
      <c r="BZ430" s="59"/>
      <c r="CA430" s="59"/>
      <c r="CB430" s="59" t="s">
        <v>110</v>
      </c>
      <c r="CC430" s="59" t="s">
        <v>110</v>
      </c>
      <c r="CD430" s="60"/>
      <c r="CE430" s="60"/>
      <c r="CF430" s="61"/>
      <c r="CG430" s="61"/>
      <c r="CH430" s="61"/>
      <c r="CI430" s="138">
        <v>14.1</v>
      </c>
      <c r="CJ430" s="40">
        <f>VLOOKUP(paper3[[#This Row],[YYIR nivå]],$DB:$DC,2)</f>
        <v>480</v>
      </c>
      <c r="CK430" s="3"/>
      <c r="CL430" s="62"/>
      <c r="CM430" s="62"/>
      <c r="CN430" s="3"/>
      <c r="CO430" s="3"/>
      <c r="CP430" s="41">
        <v>12.869444444444444</v>
      </c>
      <c r="CQ430" s="3"/>
      <c r="CR430" s="40" t="s">
        <v>110</v>
      </c>
      <c r="CS430" s="40" t="s">
        <v>110</v>
      </c>
      <c r="CT430" s="40" t="s">
        <v>110</v>
      </c>
      <c r="CU430" s="40"/>
      <c r="CV430" s="40"/>
      <c r="CW430" s="40"/>
      <c r="CX430" s="40"/>
      <c r="CY430" s="40" t="s">
        <v>110</v>
      </c>
      <c r="CZ430" s="40"/>
      <c r="DA430" s="40"/>
    </row>
    <row r="431" spans="1:105" ht="15.75" customHeight="1">
      <c r="A431" s="3">
        <v>898</v>
      </c>
      <c r="B431" s="92" t="s">
        <v>199</v>
      </c>
      <c r="C431" s="143" t="s">
        <v>104</v>
      </c>
      <c r="D431" s="3" t="s">
        <v>105</v>
      </c>
      <c r="E431" s="144">
        <v>45103</v>
      </c>
      <c r="F431" s="3" t="s">
        <v>186</v>
      </c>
      <c r="G431" s="3" t="s">
        <v>107</v>
      </c>
      <c r="H431" s="3">
        <v>2010</v>
      </c>
      <c r="I431" s="40" t="s">
        <v>108</v>
      </c>
      <c r="J431" s="39" t="str">
        <f>paper3[[#This Row],[sex]]&amp;paper3[[#This Row],[ageg]]</f>
        <v>girlsU14</v>
      </c>
      <c r="K431" s="3">
        <v>157.4</v>
      </c>
      <c r="L431" s="3">
        <v>157.4</v>
      </c>
      <c r="M431" s="3"/>
      <c r="N431" s="3">
        <v>152.5</v>
      </c>
      <c r="O431" s="3">
        <v>152.5</v>
      </c>
      <c r="P431" s="3"/>
      <c r="Q431" s="3">
        <v>47.7</v>
      </c>
      <c r="R431" s="3"/>
      <c r="S431" s="3"/>
      <c r="T431" s="125">
        <v>157.4</v>
      </c>
      <c r="U431" s="126">
        <v>82.3</v>
      </c>
      <c r="V431" s="12">
        <f>paper3[[#This Row],[height]]-paper3[[#This Row],[sittingheight]]</f>
        <v>75.100000000000009</v>
      </c>
      <c r="W431" s="127">
        <v>47.7</v>
      </c>
      <c r="X431" s="43" cm="1">
        <f t="array" ref="X431">INDEX([1]!phvny[yphv], MATCH(1, (paper3[[#This Row],[id]]=[1]!phvny[id])*(paper3[[#This Row],[time]]=[1]!phvny[time]), 0))</f>
        <v>1.0405429480499795</v>
      </c>
      <c r="Y431" s="3">
        <v>1.879</v>
      </c>
      <c r="Z431" s="3">
        <v>3.492</v>
      </c>
      <c r="AA431" s="3">
        <v>5.07</v>
      </c>
      <c r="AB431" s="3">
        <v>1.889</v>
      </c>
      <c r="AC431" s="3">
        <v>3.5150000000000001</v>
      </c>
      <c r="AD431" s="3">
        <v>5.1239999999999997</v>
      </c>
      <c r="AE431" s="3">
        <v>1.9019999999999999</v>
      </c>
      <c r="AF431" s="3">
        <v>3.5209999999999999</v>
      </c>
      <c r="AG431" s="3">
        <v>5.1619999999999999</v>
      </c>
      <c r="AH431" s="130">
        <v>2.089</v>
      </c>
      <c r="AI431" s="130">
        <v>3.6720000000000002</v>
      </c>
      <c r="AJ431" s="130">
        <v>5.28</v>
      </c>
      <c r="AK431" s="45">
        <v>6.2189054726368154</v>
      </c>
      <c r="AL431" s="3">
        <v>10.17</v>
      </c>
      <c r="AM431" s="3">
        <v>10.11</v>
      </c>
      <c r="AN431" s="3">
        <v>10.63</v>
      </c>
      <c r="AO431" s="3">
        <v>10.57</v>
      </c>
      <c r="AP431" s="137">
        <v>10.979999999999999</v>
      </c>
      <c r="AQ431" s="132">
        <v>10.11</v>
      </c>
      <c r="AR431" s="132">
        <v>10.57</v>
      </c>
      <c r="AS431" s="3">
        <v>24.7</v>
      </c>
      <c r="AT431" s="3">
        <v>26.5</v>
      </c>
      <c r="AU431" s="3">
        <v>25.8</v>
      </c>
      <c r="AV431" s="3"/>
      <c r="AW431" s="3"/>
      <c r="AX431" s="133">
        <v>29.46</v>
      </c>
      <c r="AY431" s="134"/>
      <c r="AZ431" s="40"/>
      <c r="BA431" s="40"/>
      <c r="BB431" s="40"/>
      <c r="BC431" s="40"/>
      <c r="BD431" s="135">
        <v>678.67431007093887</v>
      </c>
      <c r="BE431" s="135">
        <v>709.97361162903894</v>
      </c>
      <c r="BF431" s="40"/>
      <c r="BG431" s="135">
        <v>260.75040015243911</v>
      </c>
      <c r="BH431" s="135">
        <v>275.17006200396798</v>
      </c>
      <c r="BI431" s="49">
        <v>1388.6479216999778</v>
      </c>
      <c r="BJ431" s="49">
        <v>535.9204621564071</v>
      </c>
      <c r="BK431" s="66">
        <v>-4.4085161822118413E-2</v>
      </c>
      <c r="BL431" s="66">
        <v>-5.2402727776835523E-2</v>
      </c>
      <c r="BM431" s="51">
        <v>29.112115758909386</v>
      </c>
      <c r="BN431" s="51">
        <v>11.235229814599728</v>
      </c>
      <c r="BO431" s="136"/>
      <c r="BP431" s="40"/>
      <c r="BQ431" s="40"/>
      <c r="BR431" s="67"/>
      <c r="BS431" s="54" t="s">
        <v>110</v>
      </c>
      <c r="BT431" s="68"/>
      <c r="BU431" s="69"/>
      <c r="BV431" s="3"/>
      <c r="BW431" s="3"/>
      <c r="BX431" s="70"/>
      <c r="BY431" s="70"/>
      <c r="BZ431" s="59"/>
      <c r="CA431" s="59"/>
      <c r="CB431" s="59" t="s">
        <v>110</v>
      </c>
      <c r="CC431" s="59" t="s">
        <v>110</v>
      </c>
      <c r="CD431" s="60"/>
      <c r="CE431" s="60"/>
      <c r="CF431" s="61"/>
      <c r="CG431" s="61"/>
      <c r="CH431" s="61"/>
      <c r="CI431" s="138">
        <v>15.1</v>
      </c>
      <c r="CJ431" s="40">
        <f>VLOOKUP(paper3[[#This Row],[YYIR nivå]],$DB:$DC,2)</f>
        <v>800</v>
      </c>
      <c r="CK431" s="3"/>
      <c r="CL431" s="62"/>
      <c r="CM431" s="62"/>
      <c r="CN431" s="3"/>
      <c r="CO431" s="3"/>
      <c r="CP431" s="41">
        <v>13.333333333333334</v>
      </c>
      <c r="CQ431" s="3"/>
      <c r="CR431" s="40" t="s">
        <v>110</v>
      </c>
      <c r="CS431" s="40" t="s">
        <v>110</v>
      </c>
      <c r="CT431" s="40" t="s">
        <v>110</v>
      </c>
      <c r="CU431" s="40"/>
      <c r="CV431" s="40"/>
      <c r="CW431" s="40"/>
      <c r="CX431" s="40"/>
      <c r="CY431" s="40" t="s">
        <v>205</v>
      </c>
      <c r="CZ431" s="40"/>
      <c r="DA431" s="40"/>
    </row>
    <row r="432" spans="1:105" ht="15.75" customHeight="1">
      <c r="A432" s="3">
        <v>899</v>
      </c>
      <c r="B432" s="92" t="s">
        <v>199</v>
      </c>
      <c r="C432" s="143"/>
      <c r="D432" s="3" t="s">
        <v>105</v>
      </c>
      <c r="E432" s="144">
        <v>45103</v>
      </c>
      <c r="F432" s="3" t="s">
        <v>186</v>
      </c>
      <c r="G432" s="3" t="s">
        <v>107</v>
      </c>
      <c r="H432" s="3">
        <v>2010</v>
      </c>
      <c r="I432" s="40" t="s">
        <v>108</v>
      </c>
      <c r="J432" s="39" t="str">
        <f>paper3[[#This Row],[sex]]&amp;paper3[[#This Row],[ageg]]</f>
        <v>girlsU14</v>
      </c>
      <c r="K432" s="3">
        <v>146</v>
      </c>
      <c r="L432" s="3">
        <v>146</v>
      </c>
      <c r="M432" s="3"/>
      <c r="N432" s="3">
        <v>148</v>
      </c>
      <c r="O432" s="3">
        <v>148</v>
      </c>
      <c r="P432" s="3"/>
      <c r="Q432" s="3">
        <v>38.299999999999997</v>
      </c>
      <c r="R432" s="3"/>
      <c r="S432" s="3"/>
      <c r="T432" s="125">
        <v>146</v>
      </c>
      <c r="U432" s="126">
        <v>77.8</v>
      </c>
      <c r="V432" s="12">
        <f>paper3[[#This Row],[height]]-paper3[[#This Row],[sittingheight]]</f>
        <v>68.2</v>
      </c>
      <c r="W432" s="127">
        <v>38.299999999999997</v>
      </c>
      <c r="X432" s="43"/>
      <c r="Y432" s="3">
        <v>2.0630000000000002</v>
      </c>
      <c r="Z432" s="3">
        <v>3.8359999999999999</v>
      </c>
      <c r="AA432" s="3">
        <v>5.6189999999999998</v>
      </c>
      <c r="AB432" s="3">
        <v>2.0659999999999998</v>
      </c>
      <c r="AC432" s="3">
        <v>3.8479999999999999</v>
      </c>
      <c r="AD432" s="3">
        <v>5.6079999999999997</v>
      </c>
      <c r="AE432" s="3">
        <v>2.0779999999999998</v>
      </c>
      <c r="AF432" s="3">
        <v>3.875</v>
      </c>
      <c r="AG432" s="3">
        <v>5.6379999999999999</v>
      </c>
      <c r="AH432" s="130">
        <v>2.2730000000000001</v>
      </c>
      <c r="AI432" s="130">
        <v>4.016</v>
      </c>
      <c r="AJ432" s="130">
        <v>5.8179999999999996</v>
      </c>
      <c r="AK432" s="45">
        <v>5.5493895671476148</v>
      </c>
      <c r="AL432" s="3">
        <v>10.7</v>
      </c>
      <c r="AM432" s="3">
        <v>10.47</v>
      </c>
      <c r="AN432" s="3">
        <v>10.63</v>
      </c>
      <c r="AO432" s="3">
        <v>10.48</v>
      </c>
      <c r="AP432" s="137">
        <v>11.34</v>
      </c>
      <c r="AQ432" s="132">
        <v>10.47</v>
      </c>
      <c r="AR432" s="132">
        <v>10.48</v>
      </c>
      <c r="AS432" s="3">
        <v>24.1</v>
      </c>
      <c r="AT432" s="3">
        <v>23.5</v>
      </c>
      <c r="AU432" s="3">
        <v>24.1</v>
      </c>
      <c r="AV432" s="3"/>
      <c r="AW432" s="3"/>
      <c r="AX432" s="133">
        <v>27.060000000000002</v>
      </c>
      <c r="AY432" s="134"/>
      <c r="AZ432" s="40"/>
      <c r="BA432" s="40"/>
      <c r="BB432" s="40"/>
      <c r="BC432" s="40"/>
      <c r="BD432" s="135">
        <v>733.24244182893028</v>
      </c>
      <c r="BE432" s="135">
        <v>707.25901136818504</v>
      </c>
      <c r="BF432" s="40"/>
      <c r="BG432" s="135">
        <v>193.47127509601782</v>
      </c>
      <c r="BH432" s="135">
        <v>186.08952221758102</v>
      </c>
      <c r="BI432" s="49">
        <v>1440.5014531971153</v>
      </c>
      <c r="BJ432" s="49">
        <v>379.56079731359887</v>
      </c>
      <c r="BK432" s="66">
        <v>3.6738210532631488E-2</v>
      </c>
      <c r="BL432" s="66">
        <v>3.9667751254720551E-2</v>
      </c>
      <c r="BM432" s="51">
        <v>37.611003999924684</v>
      </c>
      <c r="BN432" s="51">
        <v>9.9102035852114589</v>
      </c>
      <c r="BO432" s="136"/>
      <c r="BP432" s="40"/>
      <c r="BQ432" s="40"/>
      <c r="BR432" s="67"/>
      <c r="BS432" s="54" t="s">
        <v>110</v>
      </c>
      <c r="BT432" s="68"/>
      <c r="BU432" s="69"/>
      <c r="BV432" s="3"/>
      <c r="BW432" s="3"/>
      <c r="BX432" s="70"/>
      <c r="BY432" s="70"/>
      <c r="BZ432" s="59"/>
      <c r="CA432" s="59"/>
      <c r="CB432" s="59" t="s">
        <v>110</v>
      </c>
      <c r="CC432" s="59" t="s">
        <v>110</v>
      </c>
      <c r="CD432" s="60"/>
      <c r="CE432" s="60"/>
      <c r="CF432" s="61"/>
      <c r="CG432" s="61"/>
      <c r="CH432" s="61"/>
      <c r="CI432" s="138">
        <v>14.6</v>
      </c>
      <c r="CJ432" s="40">
        <f>VLOOKUP(paper3[[#This Row],[YYIR nivå]],$DB:$DC,2)</f>
        <v>680</v>
      </c>
      <c r="CK432" s="3"/>
      <c r="CL432" s="62"/>
      <c r="CM432" s="62"/>
      <c r="CN432" s="3"/>
      <c r="CO432" s="3"/>
      <c r="CP432" s="41"/>
      <c r="CQ432" s="3"/>
      <c r="CR432" s="40" t="s">
        <v>110</v>
      </c>
      <c r="CS432" s="40" t="s">
        <v>110</v>
      </c>
      <c r="CT432" s="40" t="s">
        <v>110</v>
      </c>
      <c r="CU432" s="40"/>
      <c r="CV432" s="40"/>
      <c r="CW432" s="40"/>
      <c r="CX432" s="40"/>
      <c r="CY432" s="40" t="s">
        <v>205</v>
      </c>
      <c r="CZ432" s="40"/>
      <c r="DA432" s="40"/>
    </row>
    <row r="433" spans="1:105" ht="15.75" customHeight="1">
      <c r="A433" s="3">
        <v>900</v>
      </c>
      <c r="B433" s="92" t="s">
        <v>199</v>
      </c>
      <c r="C433" s="143" t="s">
        <v>104</v>
      </c>
      <c r="D433" s="3" t="s">
        <v>105</v>
      </c>
      <c r="E433" s="144">
        <v>45103</v>
      </c>
      <c r="F433" s="3" t="s">
        <v>186</v>
      </c>
      <c r="G433" s="3" t="s">
        <v>107</v>
      </c>
      <c r="H433" s="3">
        <v>2010</v>
      </c>
      <c r="I433" s="40" t="s">
        <v>108</v>
      </c>
      <c r="J433" s="39" t="str">
        <f>paper3[[#This Row],[sex]]&amp;paper3[[#This Row],[ageg]]</f>
        <v>girlsU14</v>
      </c>
      <c r="K433" s="3">
        <v>158</v>
      </c>
      <c r="L433" s="3">
        <v>158</v>
      </c>
      <c r="M433" s="3"/>
      <c r="N433" s="3">
        <v>151.4</v>
      </c>
      <c r="O433" s="3">
        <v>151.30000000000001</v>
      </c>
      <c r="P433" s="3"/>
      <c r="Q433" s="3">
        <v>50.4</v>
      </c>
      <c r="R433" s="3"/>
      <c r="S433" s="3"/>
      <c r="T433" s="125">
        <v>158</v>
      </c>
      <c r="U433" s="126">
        <v>81.15000000000002</v>
      </c>
      <c r="V433" s="12">
        <f>paper3[[#This Row],[height]]-paper3[[#This Row],[sittingheight]]</f>
        <v>76.84999999999998</v>
      </c>
      <c r="W433" s="127">
        <v>50.4</v>
      </c>
      <c r="X433" s="43" cm="1">
        <f t="array" ref="X433">INDEX([1]!phvny[yphv], MATCH(1, (paper3[[#This Row],[id]]=[1]!phvny[id])*(paper3[[#This Row],[time]]=[1]!phvny[time]), 0))</f>
        <v>0.69747754380872062</v>
      </c>
      <c r="Y433" s="3">
        <v>2.0129999999999999</v>
      </c>
      <c r="Z433" s="3">
        <v>3.7280000000000002</v>
      </c>
      <c r="AA433" s="3">
        <v>5.4889999999999999</v>
      </c>
      <c r="AB433" s="3">
        <v>2.0089999999999999</v>
      </c>
      <c r="AC433" s="3">
        <v>3.738</v>
      </c>
      <c r="AD433" s="3">
        <v>5.4420000000000002</v>
      </c>
      <c r="AE433" s="3">
        <v>1.9910000000000001</v>
      </c>
      <c r="AF433" s="3">
        <v>3.7360000000000002</v>
      </c>
      <c r="AG433" s="3">
        <v>5.4630000000000001</v>
      </c>
      <c r="AH433" s="130">
        <v>2.2010000000000001</v>
      </c>
      <c r="AI433" s="130">
        <v>3.9080000000000004</v>
      </c>
      <c r="AJ433" s="130">
        <v>5.6520000000000001</v>
      </c>
      <c r="AK433" s="45">
        <v>5.7339449541284413</v>
      </c>
      <c r="AL433" s="3">
        <v>12.63</v>
      </c>
      <c r="AM433" s="3">
        <v>11.8</v>
      </c>
      <c r="AN433" s="3">
        <v>12.09</v>
      </c>
      <c r="AO433" s="3">
        <v>12.13</v>
      </c>
      <c r="AP433" s="137">
        <v>12.67</v>
      </c>
      <c r="AQ433" s="132">
        <v>11.8</v>
      </c>
      <c r="AR433" s="132">
        <v>12.09</v>
      </c>
      <c r="AS433" s="3">
        <v>21.3</v>
      </c>
      <c r="AT433" s="3">
        <v>0</v>
      </c>
      <c r="AU433" s="3">
        <v>24</v>
      </c>
      <c r="AV433" s="3"/>
      <c r="AW433" s="3"/>
      <c r="AX433" s="133">
        <v>26.96</v>
      </c>
      <c r="AY433" s="134"/>
      <c r="AZ433" s="40"/>
      <c r="BA433" s="40"/>
      <c r="BB433" s="40"/>
      <c r="BC433" s="40"/>
      <c r="BD433" s="135">
        <v>870.2173848877751</v>
      </c>
      <c r="BE433" s="135">
        <v>828.8036401490474</v>
      </c>
      <c r="BF433" s="40"/>
      <c r="BG433" s="135">
        <v>208.98926991735553</v>
      </c>
      <c r="BH433" s="135">
        <v>227.29197556236483</v>
      </c>
      <c r="BI433" s="49">
        <v>1699.0210250368225</v>
      </c>
      <c r="BJ433" s="49">
        <v>436.28124547972038</v>
      </c>
      <c r="BK433" s="66">
        <v>4.9968101891154859E-2</v>
      </c>
      <c r="BL433" s="66">
        <v>-8.0525084969343186E-2</v>
      </c>
      <c r="BM433" s="51">
        <v>33.710734623746482</v>
      </c>
      <c r="BN433" s="51">
        <v>8.6563739182484198</v>
      </c>
      <c r="BO433" s="136"/>
      <c r="BP433" s="40"/>
      <c r="BQ433" s="40"/>
      <c r="BR433" s="67"/>
      <c r="BS433" s="54" t="s">
        <v>110</v>
      </c>
      <c r="BT433" s="68"/>
      <c r="BU433" s="69"/>
      <c r="BV433" s="3"/>
      <c r="BW433" s="3"/>
      <c r="BX433" s="70"/>
      <c r="BY433" s="70"/>
      <c r="BZ433" s="59"/>
      <c r="CA433" s="59"/>
      <c r="CB433" s="59" t="s">
        <v>110</v>
      </c>
      <c r="CC433" s="59" t="s">
        <v>110</v>
      </c>
      <c r="CD433" s="60"/>
      <c r="CE433" s="60"/>
      <c r="CF433" s="61"/>
      <c r="CG433" s="61"/>
      <c r="CH433" s="61"/>
      <c r="CI433" s="138">
        <v>13.4</v>
      </c>
      <c r="CJ433" s="40">
        <f>VLOOKUP(paper3[[#This Row],[YYIR nivå]],$DB:$DC,2)</f>
        <v>440</v>
      </c>
      <c r="CK433" s="3"/>
      <c r="CL433" s="62"/>
      <c r="CM433" s="62"/>
      <c r="CN433" s="3"/>
      <c r="CO433" s="3"/>
      <c r="CP433" s="41">
        <v>12.661111111111111</v>
      </c>
      <c r="CQ433" s="3"/>
      <c r="CR433" s="40" t="s">
        <v>110</v>
      </c>
      <c r="CS433" s="40" t="s">
        <v>110</v>
      </c>
      <c r="CT433" s="40" t="s">
        <v>110</v>
      </c>
      <c r="CU433" s="40"/>
      <c r="CV433" s="40"/>
      <c r="CW433" s="40"/>
      <c r="CX433" s="40"/>
      <c r="CY433" s="40" t="s">
        <v>204</v>
      </c>
      <c r="CZ433" s="40"/>
      <c r="DA433" s="40"/>
    </row>
    <row r="434" spans="1:105" ht="15.75" customHeight="1">
      <c r="A434" s="3">
        <v>901</v>
      </c>
      <c r="B434" s="92" t="s">
        <v>199</v>
      </c>
      <c r="C434" s="143" t="s">
        <v>104</v>
      </c>
      <c r="D434" s="3" t="s">
        <v>105</v>
      </c>
      <c r="E434" s="144">
        <v>45103</v>
      </c>
      <c r="F434" s="3" t="s">
        <v>186</v>
      </c>
      <c r="G434" s="3" t="s">
        <v>107</v>
      </c>
      <c r="H434" s="3">
        <v>2010</v>
      </c>
      <c r="I434" s="40" t="s">
        <v>108</v>
      </c>
      <c r="J434" s="39" t="str">
        <f>paper3[[#This Row],[sex]]&amp;paper3[[#This Row],[ageg]]</f>
        <v>girlsU14</v>
      </c>
      <c r="K434" s="3">
        <v>166</v>
      </c>
      <c r="L434" s="3">
        <v>166</v>
      </c>
      <c r="M434" s="3"/>
      <c r="N434" s="3">
        <v>154.30000000000001</v>
      </c>
      <c r="O434" s="3">
        <v>154.30000000000001</v>
      </c>
      <c r="P434" s="3"/>
      <c r="Q434" s="3">
        <v>50.4</v>
      </c>
      <c r="R434" s="3"/>
      <c r="S434" s="3"/>
      <c r="T434" s="125">
        <v>166</v>
      </c>
      <c r="U434" s="126">
        <v>84.100000000000009</v>
      </c>
      <c r="V434" s="12">
        <f>paper3[[#This Row],[height]]-paper3[[#This Row],[sittingheight]]</f>
        <v>81.899999999999991</v>
      </c>
      <c r="W434" s="127">
        <v>50.4</v>
      </c>
      <c r="X434" s="43" cm="1">
        <f t="array" ref="X434">INDEX([1]!phvny[yphv], MATCH(1, (paper3[[#This Row],[id]]=[1]!phvny[id])*(paper3[[#This Row],[time]]=[1]!phvny[time]), 0))</f>
        <v>1.424905907096385</v>
      </c>
      <c r="Y434" s="3">
        <v>1.728</v>
      </c>
      <c r="Z434" s="3">
        <v>3.214</v>
      </c>
      <c r="AA434" s="3">
        <v>4.6529999999999996</v>
      </c>
      <c r="AB434" s="3">
        <v>1.764</v>
      </c>
      <c r="AC434" s="3">
        <v>3.278</v>
      </c>
      <c r="AD434" s="3">
        <v>4.758</v>
      </c>
      <c r="AE434" s="3">
        <v>1.794</v>
      </c>
      <c r="AF434" s="3">
        <v>3.33</v>
      </c>
      <c r="AG434" s="3">
        <v>4.8220000000000001</v>
      </c>
      <c r="AH434" s="130">
        <v>1.9379999999999999</v>
      </c>
      <c r="AI434" s="130">
        <v>3.3940000000000001</v>
      </c>
      <c r="AJ434" s="130">
        <v>4.8629999999999995</v>
      </c>
      <c r="AK434" s="45">
        <v>6.8073519400953053</v>
      </c>
      <c r="AL434" s="3">
        <v>12.42</v>
      </c>
      <c r="AM434" s="3">
        <v>11.81</v>
      </c>
      <c r="AN434" s="3">
        <v>11.85</v>
      </c>
      <c r="AO434" s="3">
        <v>11.98</v>
      </c>
      <c r="AP434" s="137">
        <v>12.68</v>
      </c>
      <c r="AQ434" s="132">
        <v>11.81</v>
      </c>
      <c r="AR434" s="132">
        <v>11.85</v>
      </c>
      <c r="AS434" s="3">
        <v>16.8</v>
      </c>
      <c r="AT434" s="3">
        <v>15.9</v>
      </c>
      <c r="AU434" s="3">
        <v>15.5</v>
      </c>
      <c r="AV434" s="3"/>
      <c r="AW434" s="3"/>
      <c r="AX434" s="133">
        <v>19.760000000000002</v>
      </c>
      <c r="AY434" s="134"/>
      <c r="AZ434" s="40"/>
      <c r="BA434" s="40"/>
      <c r="BB434" s="40"/>
      <c r="BC434" s="40"/>
      <c r="BD434" s="135">
        <v>880.60346936430062</v>
      </c>
      <c r="BE434" s="135">
        <v>861.58882714153833</v>
      </c>
      <c r="BF434" s="40"/>
      <c r="BG434" s="135">
        <v>244.98844204870787</v>
      </c>
      <c r="BH434" s="135">
        <v>248.08427842762558</v>
      </c>
      <c r="BI434" s="49">
        <v>1742.1922965058388</v>
      </c>
      <c r="BJ434" s="49">
        <v>493.07272047633342</v>
      </c>
      <c r="BK434" s="66">
        <v>2.2069276694135498E-2</v>
      </c>
      <c r="BL434" s="66">
        <v>-1.2478970447217907E-2</v>
      </c>
      <c r="BM434" s="51">
        <v>34.567307470353946</v>
      </c>
      <c r="BN434" s="51">
        <v>9.7831888983399491</v>
      </c>
      <c r="BO434" s="136"/>
      <c r="BP434" s="40"/>
      <c r="BQ434" s="40"/>
      <c r="BR434" s="67"/>
      <c r="BS434" s="54" t="s">
        <v>110</v>
      </c>
      <c r="BT434" s="68"/>
      <c r="BU434" s="69"/>
      <c r="BV434" s="3"/>
      <c r="BW434" s="3"/>
      <c r="BX434" s="70"/>
      <c r="BY434" s="70"/>
      <c r="BZ434" s="59"/>
      <c r="CA434" s="59"/>
      <c r="CB434" s="59" t="s">
        <v>110</v>
      </c>
      <c r="CC434" s="59" t="s">
        <v>110</v>
      </c>
      <c r="CD434" s="60"/>
      <c r="CE434" s="60"/>
      <c r="CF434" s="61"/>
      <c r="CG434" s="61"/>
      <c r="CH434" s="61"/>
      <c r="CI434" s="138">
        <v>12.2</v>
      </c>
      <c r="CJ434" s="40">
        <f>VLOOKUP(paper3[[#This Row],[YYIR nivå]],$DB:$DC,2)</f>
        <v>240</v>
      </c>
      <c r="CK434" s="3"/>
      <c r="CL434" s="62"/>
      <c r="CM434" s="62"/>
      <c r="CN434" s="3"/>
      <c r="CO434" s="3"/>
      <c r="CP434" s="41">
        <v>13.338888888888889</v>
      </c>
      <c r="CQ434" s="3"/>
      <c r="CR434" s="40" t="s">
        <v>110</v>
      </c>
      <c r="CS434" s="40" t="s">
        <v>110</v>
      </c>
      <c r="CT434" s="40" t="s">
        <v>110</v>
      </c>
      <c r="CU434" s="40"/>
      <c r="CV434" s="40"/>
      <c r="CW434" s="40"/>
      <c r="CX434" s="40"/>
      <c r="CY434" s="40" t="s">
        <v>205</v>
      </c>
      <c r="CZ434" s="40"/>
      <c r="DA434" s="40"/>
    </row>
    <row r="435" spans="1:105" ht="15.75" customHeight="1">
      <c r="A435" s="3">
        <v>902</v>
      </c>
      <c r="B435" s="92" t="s">
        <v>199</v>
      </c>
      <c r="C435" s="143"/>
      <c r="D435" s="3" t="s">
        <v>105</v>
      </c>
      <c r="E435" s="144">
        <v>45103</v>
      </c>
      <c r="F435" s="3" t="s">
        <v>186</v>
      </c>
      <c r="G435" s="3" t="s">
        <v>107</v>
      </c>
      <c r="H435" s="3">
        <v>2010</v>
      </c>
      <c r="I435" s="40" t="s">
        <v>108</v>
      </c>
      <c r="J435" s="39" t="str">
        <f>paper3[[#This Row],[sex]]&amp;paper3[[#This Row],[ageg]]</f>
        <v>girlsU14</v>
      </c>
      <c r="K435" s="3"/>
      <c r="L435" s="3"/>
      <c r="M435" s="3"/>
      <c r="N435" s="3"/>
      <c r="O435" s="3"/>
      <c r="P435" s="3"/>
      <c r="Q435" s="3"/>
      <c r="R435" s="3"/>
      <c r="S435" s="3"/>
      <c r="T435" s="125"/>
      <c r="U435" s="126"/>
      <c r="V435" s="12"/>
      <c r="W435" s="127"/>
      <c r="X435" s="43"/>
      <c r="Y435" s="3"/>
      <c r="Z435" s="3"/>
      <c r="AA435" s="3"/>
      <c r="AB435" s="3"/>
      <c r="AC435" s="3"/>
      <c r="AD435" s="3"/>
      <c r="AE435" s="3"/>
      <c r="AF435" s="3"/>
      <c r="AG435" s="3"/>
      <c r="AH435" s="133"/>
      <c r="AI435" s="133"/>
      <c r="AJ435" s="133"/>
      <c r="AK435" s="45"/>
      <c r="AL435" s="3">
        <v>12.42</v>
      </c>
      <c r="AM435" s="3">
        <v>11.07</v>
      </c>
      <c r="AN435" s="3"/>
      <c r="AO435" s="3">
        <v>11.4</v>
      </c>
      <c r="AP435" s="137">
        <v>11.94</v>
      </c>
      <c r="AQ435" s="132">
        <v>11.07</v>
      </c>
      <c r="AR435" s="132">
        <v>11.4</v>
      </c>
      <c r="AS435" s="3"/>
      <c r="AT435" s="3"/>
      <c r="AU435" s="3"/>
      <c r="AV435" s="3"/>
      <c r="AW435" s="3"/>
      <c r="AX435" s="133"/>
      <c r="AY435" s="134"/>
      <c r="AZ435" s="40"/>
      <c r="BA435" s="40"/>
      <c r="BB435" s="40"/>
      <c r="BC435" s="40"/>
      <c r="BD435" s="135" t="s">
        <v>110</v>
      </c>
      <c r="BE435" s="135" t="s">
        <v>110</v>
      </c>
      <c r="BF435" s="40"/>
      <c r="BG435" s="135" t="s">
        <v>110</v>
      </c>
      <c r="BH435" s="135" t="s">
        <v>110</v>
      </c>
      <c r="BI435" s="49"/>
      <c r="BJ435" s="49"/>
      <c r="BK435" s="66"/>
      <c r="BL435" s="66"/>
      <c r="BM435" s="51"/>
      <c r="BN435" s="51"/>
      <c r="BO435" s="136"/>
      <c r="BP435" s="40"/>
      <c r="BQ435" s="40"/>
      <c r="BR435" s="67"/>
      <c r="BS435" s="54" t="s">
        <v>110</v>
      </c>
      <c r="BT435" s="68"/>
      <c r="BU435" s="69"/>
      <c r="BV435" s="3"/>
      <c r="BW435" s="3"/>
      <c r="BX435" s="70"/>
      <c r="BY435" s="70"/>
      <c r="BZ435" s="59"/>
      <c r="CA435" s="59"/>
      <c r="CB435" s="59" t="s">
        <v>110</v>
      </c>
      <c r="CC435" s="59" t="s">
        <v>110</v>
      </c>
      <c r="CD435" s="60"/>
      <c r="CE435" s="60"/>
      <c r="CF435" s="61"/>
      <c r="CG435" s="61"/>
      <c r="CH435" s="61"/>
      <c r="CI435" s="138">
        <v>13.2</v>
      </c>
      <c r="CJ435" s="40">
        <f>VLOOKUP(paper3[[#This Row],[YYIR nivå]],$DB:$DC,2)</f>
        <v>360</v>
      </c>
      <c r="CK435" s="3"/>
      <c r="CL435" s="62"/>
      <c r="CM435" s="62"/>
      <c r="CN435" s="3"/>
      <c r="CO435" s="3"/>
      <c r="CP435" s="41">
        <v>13.383333333333333</v>
      </c>
      <c r="CQ435" s="3"/>
      <c r="CR435" s="40" t="s">
        <v>110</v>
      </c>
      <c r="CS435" s="40" t="s">
        <v>110</v>
      </c>
      <c r="CT435" s="40" t="s">
        <v>110</v>
      </c>
      <c r="CU435" s="40"/>
      <c r="CV435" s="40"/>
      <c r="CW435" s="40"/>
      <c r="CX435" s="40"/>
      <c r="CY435" s="40" t="s">
        <v>110</v>
      </c>
      <c r="CZ435" s="40"/>
      <c r="DA435" s="40"/>
    </row>
    <row r="436" spans="1:105" ht="15.75" customHeight="1">
      <c r="A436" s="3">
        <v>903</v>
      </c>
      <c r="B436" s="92" t="s">
        <v>199</v>
      </c>
      <c r="C436" s="143"/>
      <c r="D436" s="3" t="s">
        <v>105</v>
      </c>
      <c r="E436" s="144">
        <v>45103</v>
      </c>
      <c r="F436" s="3" t="s">
        <v>186</v>
      </c>
      <c r="G436" s="3" t="s">
        <v>107</v>
      </c>
      <c r="H436" s="3">
        <v>2010</v>
      </c>
      <c r="I436" s="40" t="s">
        <v>108</v>
      </c>
      <c r="J436" s="39" t="str">
        <f>paper3[[#This Row],[sex]]&amp;paper3[[#This Row],[ageg]]</f>
        <v>girlsU14</v>
      </c>
      <c r="K436" s="3"/>
      <c r="L436" s="3"/>
      <c r="M436" s="3"/>
      <c r="N436" s="3"/>
      <c r="O436" s="3"/>
      <c r="P436" s="3"/>
      <c r="Q436" s="3"/>
      <c r="R436" s="3"/>
      <c r="S436" s="3"/>
      <c r="T436" s="125"/>
      <c r="U436" s="126"/>
      <c r="V436" s="12"/>
      <c r="W436" s="127"/>
      <c r="X436" s="43"/>
      <c r="Y436" s="3"/>
      <c r="Z436" s="3"/>
      <c r="AA436" s="3"/>
      <c r="AB436" s="3"/>
      <c r="AC436" s="3"/>
      <c r="AD436" s="3"/>
      <c r="AE436" s="3"/>
      <c r="AF436" s="3"/>
      <c r="AG436" s="3"/>
      <c r="AH436" s="133"/>
      <c r="AI436" s="133"/>
      <c r="AJ436" s="133"/>
      <c r="AK436" s="45"/>
      <c r="AL436" s="3">
        <v>10.5</v>
      </c>
      <c r="AM436" s="3">
        <v>10.02</v>
      </c>
      <c r="AN436" s="3">
        <v>10.28</v>
      </c>
      <c r="AO436" s="3">
        <v>10.41</v>
      </c>
      <c r="AP436" s="137">
        <v>10.889999999999999</v>
      </c>
      <c r="AQ436" s="132">
        <v>10.02</v>
      </c>
      <c r="AR436" s="132">
        <v>10.28</v>
      </c>
      <c r="AS436" s="3"/>
      <c r="AT436" s="3"/>
      <c r="AU436" s="3"/>
      <c r="AV436" s="3"/>
      <c r="AW436" s="3"/>
      <c r="AX436" s="133"/>
      <c r="AY436" s="134"/>
      <c r="AZ436" s="40"/>
      <c r="BA436" s="40"/>
      <c r="BB436" s="40"/>
      <c r="BC436" s="40"/>
      <c r="BD436" s="135" t="s">
        <v>110</v>
      </c>
      <c r="BE436" s="135" t="s">
        <v>110</v>
      </c>
      <c r="BF436" s="40"/>
      <c r="BG436" s="135" t="s">
        <v>110</v>
      </c>
      <c r="BH436" s="135" t="s">
        <v>110</v>
      </c>
      <c r="BI436" s="49"/>
      <c r="BJ436" s="49"/>
      <c r="BK436" s="66"/>
      <c r="BL436" s="66"/>
      <c r="BM436" s="51"/>
      <c r="BN436" s="51"/>
      <c r="BO436" s="136"/>
      <c r="BP436" s="40"/>
      <c r="BQ436" s="40"/>
      <c r="BR436" s="67"/>
      <c r="BS436" s="54" t="s">
        <v>110</v>
      </c>
      <c r="BT436" s="68"/>
      <c r="BU436" s="69"/>
      <c r="BV436" s="3"/>
      <c r="BW436" s="3"/>
      <c r="BX436" s="70"/>
      <c r="BY436" s="70"/>
      <c r="BZ436" s="59"/>
      <c r="CA436" s="59"/>
      <c r="CB436" s="59" t="s">
        <v>110</v>
      </c>
      <c r="CC436" s="59" t="s">
        <v>110</v>
      </c>
      <c r="CD436" s="60"/>
      <c r="CE436" s="60"/>
      <c r="CF436" s="61"/>
      <c r="CG436" s="61"/>
      <c r="CH436" s="61"/>
      <c r="CI436" s="138">
        <v>14.5</v>
      </c>
      <c r="CJ436" s="40">
        <f>VLOOKUP(paper3[[#This Row],[YYIR nivå]],$DB:$DC,2)</f>
        <v>640</v>
      </c>
      <c r="CK436" s="3"/>
      <c r="CL436" s="62"/>
      <c r="CM436" s="62"/>
      <c r="CN436" s="3"/>
      <c r="CO436" s="3"/>
      <c r="CP436" s="41">
        <v>13.341666666666667</v>
      </c>
      <c r="CQ436" s="3"/>
      <c r="CR436" s="40" t="s">
        <v>110</v>
      </c>
      <c r="CS436" s="40" t="s">
        <v>110</v>
      </c>
      <c r="CT436" s="40" t="s">
        <v>110</v>
      </c>
      <c r="CU436" s="40"/>
      <c r="CV436" s="40"/>
      <c r="CW436" s="40"/>
      <c r="CX436" s="40"/>
      <c r="CY436" s="40" t="s">
        <v>110</v>
      </c>
      <c r="CZ436" s="40"/>
      <c r="DA436" s="40"/>
    </row>
    <row r="437" spans="1:105" ht="18.75" customHeight="1">
      <c r="A437" s="3">
        <v>904</v>
      </c>
      <c r="B437" s="92" t="s">
        <v>199</v>
      </c>
      <c r="C437" s="143" t="s">
        <v>104</v>
      </c>
      <c r="D437" s="3" t="s">
        <v>105</v>
      </c>
      <c r="E437" s="144">
        <v>45103</v>
      </c>
      <c r="F437" s="3" t="s">
        <v>186</v>
      </c>
      <c r="G437" s="3" t="s">
        <v>107</v>
      </c>
      <c r="H437" s="3">
        <v>2010</v>
      </c>
      <c r="I437" s="40" t="s">
        <v>108</v>
      </c>
      <c r="J437" s="39" t="str">
        <f>paper3[[#This Row],[sex]]&amp;paper3[[#This Row],[ageg]]</f>
        <v>girlsU14</v>
      </c>
      <c r="K437" s="3">
        <v>152.69999999999999</v>
      </c>
      <c r="L437" s="3">
        <v>152.69999999999999</v>
      </c>
      <c r="M437" s="3"/>
      <c r="N437" s="3">
        <v>150.30000000000001</v>
      </c>
      <c r="O437" s="3">
        <v>150.30000000000001</v>
      </c>
      <c r="P437" s="3"/>
      <c r="Q437" s="3">
        <v>57.3</v>
      </c>
      <c r="R437" s="3"/>
      <c r="S437" s="3"/>
      <c r="T437" s="125">
        <v>152.69999999999999</v>
      </c>
      <c r="U437" s="126">
        <v>80.100000000000009</v>
      </c>
      <c r="V437" s="12">
        <f>paper3[[#This Row],[height]]-paper3[[#This Row],[sittingheight]]</f>
        <v>72.59999999999998</v>
      </c>
      <c r="W437" s="127">
        <v>57.3</v>
      </c>
      <c r="X437" s="43" cm="1">
        <f t="array" ref="X437">INDEX([1]!phvny[yphv], MATCH(1, (paper3[[#This Row],[id]]=[1]!phvny[id])*(paper3[[#This Row],[time]]=[1]!phvny[time]), 0))</f>
        <v>0.54224425311493052</v>
      </c>
      <c r="Y437" s="3">
        <v>2.0760000000000001</v>
      </c>
      <c r="Z437" s="3">
        <v>3.84</v>
      </c>
      <c r="AA437" s="3">
        <v>5.6180000000000003</v>
      </c>
      <c r="AB437" s="3">
        <v>2.1930000000000001</v>
      </c>
      <c r="AC437" s="3">
        <v>4.0579999999999998</v>
      </c>
      <c r="AD437" s="3">
        <v>5.9</v>
      </c>
      <c r="AE437" s="3">
        <v>2.2160000000000002</v>
      </c>
      <c r="AF437" s="3">
        <v>4.12</v>
      </c>
      <c r="AG437" s="3">
        <v>6.0270000000000001</v>
      </c>
      <c r="AH437" s="130">
        <v>2.286</v>
      </c>
      <c r="AI437" s="130">
        <v>4.0199999999999996</v>
      </c>
      <c r="AJ437" s="130">
        <v>5.8280000000000003</v>
      </c>
      <c r="AK437" s="45">
        <v>5.5309734513274318</v>
      </c>
      <c r="AL437" s="3">
        <v>10.35</v>
      </c>
      <c r="AM437" s="3">
        <v>9.98</v>
      </c>
      <c r="AN437" s="3">
        <v>10.47</v>
      </c>
      <c r="AO437" s="3">
        <v>10.53</v>
      </c>
      <c r="AP437" s="137">
        <v>10.85</v>
      </c>
      <c r="AQ437" s="132">
        <v>9.98</v>
      </c>
      <c r="AR437" s="132">
        <v>10.47</v>
      </c>
      <c r="AS437" s="3">
        <v>34.799999999999997</v>
      </c>
      <c r="AT437" s="3">
        <v>30.7</v>
      </c>
      <c r="AU437" s="3">
        <v>33.200000000000003</v>
      </c>
      <c r="AV437" s="3"/>
      <c r="AW437" s="3"/>
      <c r="AX437" s="133">
        <v>37.76</v>
      </c>
      <c r="AY437" s="134"/>
      <c r="AZ437" s="40"/>
      <c r="BA437" s="40"/>
      <c r="BB437" s="40"/>
      <c r="BC437" s="40"/>
      <c r="BD437" s="135">
        <v>1261.9075149002515</v>
      </c>
      <c r="BE437" s="135">
        <v>1315.7374330042217</v>
      </c>
      <c r="BF437" s="40"/>
      <c r="BG437" s="135">
        <v>502.45057565127598</v>
      </c>
      <c r="BH437" s="135">
        <v>501.58494562407537</v>
      </c>
      <c r="BI437" s="49">
        <v>2577.6449479044732</v>
      </c>
      <c r="BJ437" s="49">
        <v>1004.0355212753514</v>
      </c>
      <c r="BK437" s="66">
        <v>-4.0912355880200479E-2</v>
      </c>
      <c r="BL437" s="66">
        <v>1.7257894894027181E-3</v>
      </c>
      <c r="BM437" s="51">
        <v>44.985077624859919</v>
      </c>
      <c r="BN437" s="51">
        <v>17.522434926271405</v>
      </c>
      <c r="BO437" s="136"/>
      <c r="BP437" s="40"/>
      <c r="BQ437" s="40"/>
      <c r="BR437" s="67"/>
      <c r="BS437" s="54" t="s">
        <v>110</v>
      </c>
      <c r="BT437" s="68"/>
      <c r="BU437" s="69"/>
      <c r="BV437" s="3"/>
      <c r="BW437" s="3"/>
      <c r="BX437" s="70"/>
      <c r="BY437" s="70"/>
      <c r="BZ437" s="59"/>
      <c r="CA437" s="59"/>
      <c r="CB437" s="59" t="s">
        <v>110</v>
      </c>
      <c r="CC437" s="59" t="s">
        <v>110</v>
      </c>
      <c r="CD437" s="60"/>
      <c r="CE437" s="60"/>
      <c r="CF437" s="61"/>
      <c r="CG437" s="61"/>
      <c r="CH437" s="61"/>
      <c r="CI437" s="138">
        <v>14.2</v>
      </c>
      <c r="CJ437" s="40">
        <f>VLOOKUP(paper3[[#This Row],[YYIR nivå]],$DB:$DC,2)</f>
        <v>520</v>
      </c>
      <c r="CK437" s="3"/>
      <c r="CL437" s="62"/>
      <c r="CM437" s="62"/>
      <c r="CN437" s="3"/>
      <c r="CO437" s="3"/>
      <c r="CP437" s="41">
        <v>12.491666666666667</v>
      </c>
      <c r="CQ437" s="3"/>
      <c r="CR437" s="40" t="s">
        <v>110</v>
      </c>
      <c r="CS437" s="40" t="s">
        <v>110</v>
      </c>
      <c r="CT437" s="40" t="s">
        <v>110</v>
      </c>
      <c r="CU437" s="40"/>
      <c r="CV437" s="40"/>
      <c r="CW437" s="40"/>
      <c r="CX437" s="40"/>
      <c r="CY437" s="40" t="s">
        <v>206</v>
      </c>
      <c r="CZ437" s="40"/>
      <c r="DA437" s="40"/>
    </row>
    <row r="438" spans="1:105" ht="15.75" customHeight="1">
      <c r="A438" s="3">
        <v>905</v>
      </c>
      <c r="B438" s="92" t="s">
        <v>199</v>
      </c>
      <c r="C438" s="143" t="s">
        <v>104</v>
      </c>
      <c r="D438" s="3" t="s">
        <v>105</v>
      </c>
      <c r="E438" s="144">
        <v>45103</v>
      </c>
      <c r="F438" s="3" t="s">
        <v>186</v>
      </c>
      <c r="G438" s="3" t="s">
        <v>107</v>
      </c>
      <c r="H438" s="3">
        <v>2010</v>
      </c>
      <c r="I438" s="40" t="s">
        <v>108</v>
      </c>
      <c r="J438" s="39" t="str">
        <f>paper3[[#This Row],[sex]]&amp;paper3[[#This Row],[ageg]]</f>
        <v>girlsU14</v>
      </c>
      <c r="K438" s="3">
        <v>164.3</v>
      </c>
      <c r="L438" s="3">
        <v>164.3</v>
      </c>
      <c r="M438" s="3"/>
      <c r="N438" s="3">
        <v>154.5</v>
      </c>
      <c r="O438" s="3">
        <v>154.5</v>
      </c>
      <c r="P438" s="3"/>
      <c r="Q438" s="3">
        <v>54.5</v>
      </c>
      <c r="R438" s="3"/>
      <c r="S438" s="3"/>
      <c r="T438" s="125">
        <v>164.3</v>
      </c>
      <c r="U438" s="126">
        <v>84.3</v>
      </c>
      <c r="V438" s="12">
        <f>paper3[[#This Row],[height]]-paper3[[#This Row],[sittingheight]]</f>
        <v>80.000000000000014</v>
      </c>
      <c r="W438" s="127">
        <v>54.5</v>
      </c>
      <c r="X438" s="43" cm="1">
        <f t="array" ref="X438">INDEX([1]!phvny[yphv], MATCH(1, (paper3[[#This Row],[id]]=[1]!phvny[id])*(paper3[[#This Row],[time]]=[1]!phvny[time]), 0))</f>
        <v>1.2248501656755935</v>
      </c>
      <c r="Y438" s="3">
        <v>1.7270000000000001</v>
      </c>
      <c r="Z438" s="3">
        <v>3.282</v>
      </c>
      <c r="AA438" s="3">
        <v>4.79</v>
      </c>
      <c r="AB438" s="3">
        <v>1.853</v>
      </c>
      <c r="AC438" s="3">
        <v>3.4569999999999999</v>
      </c>
      <c r="AD438" s="3">
        <v>4.9939999999999998</v>
      </c>
      <c r="AE438" s="3">
        <v>1.792</v>
      </c>
      <c r="AF438" s="3">
        <v>3.41</v>
      </c>
      <c r="AG438" s="3">
        <v>5.0110000000000001</v>
      </c>
      <c r="AH438" s="130">
        <v>1.9370000000000001</v>
      </c>
      <c r="AI438" s="130">
        <v>3.4620000000000002</v>
      </c>
      <c r="AJ438" s="130">
        <v>5</v>
      </c>
      <c r="AK438" s="45">
        <v>6.5019505851755532</v>
      </c>
      <c r="AL438" s="3">
        <v>11.02</v>
      </c>
      <c r="AM438" s="3">
        <v>10.75</v>
      </c>
      <c r="AN438" s="3">
        <v>10.84</v>
      </c>
      <c r="AO438" s="3">
        <v>10.74</v>
      </c>
      <c r="AP438" s="137">
        <v>11.61</v>
      </c>
      <c r="AQ438" s="132">
        <v>10.75</v>
      </c>
      <c r="AR438" s="132">
        <v>10.74</v>
      </c>
      <c r="AS438" s="3">
        <v>31.3</v>
      </c>
      <c r="AT438" s="3">
        <v>29.7</v>
      </c>
      <c r="AU438" s="3">
        <v>28.5</v>
      </c>
      <c r="AV438" s="3"/>
      <c r="AW438" s="3"/>
      <c r="AX438" s="133">
        <v>34.26</v>
      </c>
      <c r="AY438" s="134"/>
      <c r="AZ438" s="40"/>
      <c r="BA438" s="40"/>
      <c r="BB438" s="40"/>
      <c r="BC438" s="40"/>
      <c r="BD438" s="135">
        <v>858.63409532313563</v>
      </c>
      <c r="BE438" s="135">
        <v>902.76190197783922</v>
      </c>
      <c r="BF438" s="40"/>
      <c r="BG438" s="135">
        <v>308.15808282367203</v>
      </c>
      <c r="BH438" s="135">
        <v>329.79317046506509</v>
      </c>
      <c r="BI438" s="49">
        <v>1761.3959973009748</v>
      </c>
      <c r="BJ438" s="49">
        <v>637.95125328873712</v>
      </c>
      <c r="BK438" s="66">
        <v>-4.8880891581739361E-2</v>
      </c>
      <c r="BL438" s="66">
        <v>-6.5601988091153807E-2</v>
      </c>
      <c r="BM438" s="51">
        <v>32.319192611027063</v>
      </c>
      <c r="BN438" s="51">
        <v>11.705527583279579</v>
      </c>
      <c r="BO438" s="136"/>
      <c r="BP438" s="40"/>
      <c r="BQ438" s="40"/>
      <c r="BR438" s="67"/>
      <c r="BS438" s="54" t="s">
        <v>110</v>
      </c>
      <c r="BT438" s="68"/>
      <c r="BU438" s="69"/>
      <c r="BV438" s="3"/>
      <c r="BW438" s="3"/>
      <c r="BX438" s="70"/>
      <c r="BY438" s="70"/>
      <c r="BZ438" s="59"/>
      <c r="CA438" s="59"/>
      <c r="CB438" s="59" t="s">
        <v>110</v>
      </c>
      <c r="CC438" s="59" t="s">
        <v>110</v>
      </c>
      <c r="CD438" s="60"/>
      <c r="CE438" s="60"/>
      <c r="CF438" s="61"/>
      <c r="CG438" s="61"/>
      <c r="CH438" s="61"/>
      <c r="CI438" s="138">
        <v>14.3</v>
      </c>
      <c r="CJ438" s="40">
        <f>VLOOKUP(paper3[[#This Row],[YYIR nivå]],$DB:$DC,2)</f>
        <v>560</v>
      </c>
      <c r="CK438" s="3"/>
      <c r="CL438" s="62"/>
      <c r="CM438" s="62"/>
      <c r="CN438" s="3"/>
      <c r="CO438" s="3"/>
      <c r="CP438" s="41">
        <v>12.95</v>
      </c>
      <c r="CQ438" s="3"/>
      <c r="CR438" s="40" t="s">
        <v>110</v>
      </c>
      <c r="CS438" s="40" t="s">
        <v>110</v>
      </c>
      <c r="CT438" s="40" t="s">
        <v>110</v>
      </c>
      <c r="CU438" s="40"/>
      <c r="CV438" s="40"/>
      <c r="CW438" s="40"/>
      <c r="CX438" s="40"/>
      <c r="CY438" s="40" t="s">
        <v>204</v>
      </c>
      <c r="CZ438" s="40"/>
      <c r="DA438" s="40"/>
    </row>
    <row r="439" spans="1:105" ht="18.75" customHeight="1">
      <c r="A439" s="3">
        <v>906</v>
      </c>
      <c r="B439" s="92" t="s">
        <v>199</v>
      </c>
      <c r="C439" s="143"/>
      <c r="D439" s="3" t="s">
        <v>105</v>
      </c>
      <c r="E439" s="144">
        <v>45103</v>
      </c>
      <c r="F439" s="3" t="s">
        <v>186</v>
      </c>
      <c r="G439" s="3" t="s">
        <v>107</v>
      </c>
      <c r="H439" s="3">
        <v>2010</v>
      </c>
      <c r="I439" s="40" t="s">
        <v>108</v>
      </c>
      <c r="J439" s="39" t="str">
        <f>paper3[[#This Row],[sex]]&amp;paper3[[#This Row],[ageg]]</f>
        <v>girlsU14</v>
      </c>
      <c r="K439" s="3"/>
      <c r="L439" s="3"/>
      <c r="M439" s="3"/>
      <c r="N439" s="3"/>
      <c r="O439" s="3"/>
      <c r="P439" s="3"/>
      <c r="Q439" s="3"/>
      <c r="R439" s="3"/>
      <c r="S439" s="3"/>
      <c r="T439" s="125"/>
      <c r="U439" s="126"/>
      <c r="V439" s="12"/>
      <c r="W439" s="127"/>
      <c r="X439" s="43"/>
      <c r="Y439" s="3"/>
      <c r="Z439" s="3"/>
      <c r="AA439" s="3"/>
      <c r="AB439" s="3"/>
      <c r="AC439" s="3"/>
      <c r="AD439" s="3"/>
      <c r="AE439" s="3"/>
      <c r="AF439" s="3"/>
      <c r="AG439" s="3"/>
      <c r="AH439" s="133"/>
      <c r="AI439" s="133"/>
      <c r="AJ439" s="133"/>
      <c r="AK439" s="45"/>
      <c r="AL439" s="3">
        <v>11.03</v>
      </c>
      <c r="AM439" s="3">
        <v>10.89</v>
      </c>
      <c r="AN439" s="3">
        <v>10.88</v>
      </c>
      <c r="AO439" s="3">
        <v>10.88</v>
      </c>
      <c r="AP439" s="137">
        <v>11.75</v>
      </c>
      <c r="AQ439" s="132">
        <v>10.89</v>
      </c>
      <c r="AR439" s="132">
        <v>10.88</v>
      </c>
      <c r="AS439" s="3"/>
      <c r="AT439" s="3"/>
      <c r="AU439" s="3"/>
      <c r="AV439" s="3"/>
      <c r="AW439" s="3"/>
      <c r="AX439" s="133"/>
      <c r="AY439" s="134"/>
      <c r="AZ439" s="40"/>
      <c r="BA439" s="40"/>
      <c r="BB439" s="40"/>
      <c r="BC439" s="40"/>
      <c r="BD439" s="135" t="s">
        <v>110</v>
      </c>
      <c r="BE439" s="135" t="s">
        <v>110</v>
      </c>
      <c r="BF439" s="40"/>
      <c r="BG439" s="135" t="s">
        <v>110</v>
      </c>
      <c r="BH439" s="135" t="s">
        <v>110</v>
      </c>
      <c r="BI439" s="49"/>
      <c r="BJ439" s="49"/>
      <c r="BK439" s="66"/>
      <c r="BL439" s="66"/>
      <c r="BM439" s="51"/>
      <c r="BN439" s="51"/>
      <c r="BO439" s="136"/>
      <c r="BP439" s="40"/>
      <c r="BQ439" s="40"/>
      <c r="BR439" s="67"/>
      <c r="BS439" s="54" t="s">
        <v>110</v>
      </c>
      <c r="BT439" s="68"/>
      <c r="BU439" s="69"/>
      <c r="BV439" s="3"/>
      <c r="BW439" s="3"/>
      <c r="BX439" s="70"/>
      <c r="BY439" s="70"/>
      <c r="BZ439" s="59"/>
      <c r="CA439" s="59"/>
      <c r="CB439" s="59" t="s">
        <v>110</v>
      </c>
      <c r="CC439" s="59" t="s">
        <v>110</v>
      </c>
      <c r="CD439" s="60"/>
      <c r="CE439" s="60"/>
      <c r="CF439" s="61"/>
      <c r="CG439" s="61"/>
      <c r="CH439" s="61"/>
      <c r="CI439" s="138">
        <v>14.6</v>
      </c>
      <c r="CJ439" s="40">
        <f>VLOOKUP(paper3[[#This Row],[YYIR nivå]],$DB:$DC,2)</f>
        <v>680</v>
      </c>
      <c r="CK439" s="3"/>
      <c r="CL439" s="62"/>
      <c r="CM439" s="62"/>
      <c r="CN439" s="3"/>
      <c r="CO439" s="3"/>
      <c r="CP439" s="41">
        <v>13.436111111111112</v>
      </c>
      <c r="CQ439" s="3"/>
      <c r="CR439" s="40" t="s">
        <v>110</v>
      </c>
      <c r="CS439" s="40" t="s">
        <v>110</v>
      </c>
      <c r="CT439" s="40" t="s">
        <v>110</v>
      </c>
      <c r="CU439" s="40"/>
      <c r="CV439" s="40"/>
      <c r="CW439" s="40"/>
      <c r="CX439" s="40"/>
      <c r="CY439" s="40" t="s">
        <v>110</v>
      </c>
      <c r="CZ439" s="40"/>
      <c r="DA439" s="40"/>
    </row>
    <row r="440" spans="1:105" ht="15.75" customHeight="1">
      <c r="A440" s="3">
        <v>907</v>
      </c>
      <c r="B440" s="92" t="s">
        <v>199</v>
      </c>
      <c r="C440" s="143"/>
      <c r="D440" s="3" t="s">
        <v>105</v>
      </c>
      <c r="E440" s="144">
        <v>45103</v>
      </c>
      <c r="F440" s="3" t="s">
        <v>186</v>
      </c>
      <c r="G440" s="3" t="s">
        <v>107</v>
      </c>
      <c r="H440" s="3">
        <v>2010</v>
      </c>
      <c r="I440" s="40" t="s">
        <v>108</v>
      </c>
      <c r="J440" s="39" t="str">
        <f>paper3[[#This Row],[sex]]&amp;paper3[[#This Row],[ageg]]</f>
        <v>girlsU14</v>
      </c>
      <c r="K440" s="3"/>
      <c r="L440" s="3"/>
      <c r="M440" s="3"/>
      <c r="N440" s="3"/>
      <c r="O440" s="3"/>
      <c r="P440" s="3"/>
      <c r="Q440" s="3"/>
      <c r="R440" s="3"/>
      <c r="S440" s="3"/>
      <c r="T440" s="125"/>
      <c r="U440" s="126"/>
      <c r="V440" s="12"/>
      <c r="W440" s="127"/>
      <c r="X440" s="43"/>
      <c r="Y440" s="3"/>
      <c r="Z440" s="3"/>
      <c r="AA440" s="3"/>
      <c r="AB440" s="3"/>
      <c r="AC440" s="3"/>
      <c r="AD440" s="3"/>
      <c r="AE440" s="3"/>
      <c r="AF440" s="3"/>
      <c r="AG440" s="3"/>
      <c r="AH440" s="133"/>
      <c r="AI440" s="133"/>
      <c r="AJ440" s="133"/>
      <c r="AK440" s="45"/>
      <c r="AL440" s="3">
        <v>10.39</v>
      </c>
      <c r="AM440" s="3">
        <v>10.09</v>
      </c>
      <c r="AN440" s="3">
        <v>9.9700000000000006</v>
      </c>
      <c r="AO440" s="3">
        <v>10.1</v>
      </c>
      <c r="AP440" s="137">
        <v>10.84</v>
      </c>
      <c r="AQ440" s="132">
        <v>10.09</v>
      </c>
      <c r="AR440" s="132">
        <v>9.9700000000000006</v>
      </c>
      <c r="AS440" s="3"/>
      <c r="AT440" s="3"/>
      <c r="AU440" s="3"/>
      <c r="AV440" s="3"/>
      <c r="AW440" s="3"/>
      <c r="AX440" s="133"/>
      <c r="AY440" s="134"/>
      <c r="AZ440" s="40"/>
      <c r="BA440" s="40"/>
      <c r="BB440" s="40"/>
      <c r="BC440" s="40"/>
      <c r="BD440" s="135" t="s">
        <v>110</v>
      </c>
      <c r="BE440" s="135" t="s">
        <v>110</v>
      </c>
      <c r="BF440" s="40"/>
      <c r="BG440" s="135" t="s">
        <v>110</v>
      </c>
      <c r="BH440" s="135" t="s">
        <v>110</v>
      </c>
      <c r="BI440" s="49"/>
      <c r="BJ440" s="49"/>
      <c r="BK440" s="66"/>
      <c r="BL440" s="66"/>
      <c r="BM440" s="51"/>
      <c r="BN440" s="51"/>
      <c r="BO440" s="136"/>
      <c r="BP440" s="40"/>
      <c r="BQ440" s="40"/>
      <c r="BR440" s="67"/>
      <c r="BS440" s="54" t="s">
        <v>110</v>
      </c>
      <c r="BT440" s="68"/>
      <c r="BU440" s="69"/>
      <c r="BV440" s="3"/>
      <c r="BW440" s="3"/>
      <c r="BX440" s="70"/>
      <c r="BY440" s="70"/>
      <c r="BZ440" s="59"/>
      <c r="CA440" s="59"/>
      <c r="CB440" s="59" t="s">
        <v>110</v>
      </c>
      <c r="CC440" s="59" t="s">
        <v>110</v>
      </c>
      <c r="CD440" s="60"/>
      <c r="CE440" s="60"/>
      <c r="CF440" s="61"/>
      <c r="CG440" s="61"/>
      <c r="CH440" s="61"/>
      <c r="CI440" s="138">
        <v>15.3</v>
      </c>
      <c r="CJ440" s="40">
        <f>VLOOKUP(paper3[[#This Row],[YYIR nivå]],$DB:$DC,2)</f>
        <v>880</v>
      </c>
      <c r="CK440" s="3"/>
      <c r="CL440" s="62"/>
      <c r="CM440" s="62"/>
      <c r="CN440" s="3"/>
      <c r="CO440" s="3"/>
      <c r="CP440" s="41">
        <v>12.580555555555556</v>
      </c>
      <c r="CQ440" s="3"/>
      <c r="CR440" s="40" t="s">
        <v>110</v>
      </c>
      <c r="CS440" s="40" t="s">
        <v>110</v>
      </c>
      <c r="CT440" s="40" t="s">
        <v>110</v>
      </c>
      <c r="CU440" s="40"/>
      <c r="CV440" s="40"/>
      <c r="CW440" s="40"/>
      <c r="CX440" s="40"/>
      <c r="CY440" s="40" t="s">
        <v>110</v>
      </c>
      <c r="CZ440" s="40"/>
      <c r="DA440" s="40"/>
    </row>
    <row r="441" spans="1:105" ht="15.75" customHeight="1">
      <c r="A441" s="3">
        <v>908</v>
      </c>
      <c r="B441" s="92" t="s">
        <v>199</v>
      </c>
      <c r="C441" s="143"/>
      <c r="D441" s="3" t="s">
        <v>105</v>
      </c>
      <c r="E441" s="144">
        <v>45103</v>
      </c>
      <c r="F441" s="3" t="s">
        <v>186</v>
      </c>
      <c r="G441" s="3" t="s">
        <v>107</v>
      </c>
      <c r="H441" s="3">
        <v>2010</v>
      </c>
      <c r="I441" s="40" t="s">
        <v>108</v>
      </c>
      <c r="J441" s="39" t="str">
        <f>paper3[[#This Row],[sex]]&amp;paper3[[#This Row],[ageg]]</f>
        <v>girlsU14</v>
      </c>
      <c r="K441" s="3"/>
      <c r="L441" s="3"/>
      <c r="M441" s="3"/>
      <c r="N441" s="3"/>
      <c r="O441" s="3"/>
      <c r="P441" s="3"/>
      <c r="Q441" s="3"/>
      <c r="R441" s="3"/>
      <c r="S441" s="3"/>
      <c r="T441" s="125"/>
      <c r="U441" s="126"/>
      <c r="V441" s="12"/>
      <c r="W441" s="127"/>
      <c r="X441" s="43"/>
      <c r="Y441" s="3"/>
      <c r="Z441" s="3"/>
      <c r="AA441" s="3"/>
      <c r="AB441" s="3"/>
      <c r="AC441" s="3"/>
      <c r="AD441" s="3"/>
      <c r="AE441" s="3"/>
      <c r="AF441" s="3"/>
      <c r="AG441" s="3"/>
      <c r="AH441" s="133"/>
      <c r="AI441" s="133"/>
      <c r="AJ441" s="133"/>
      <c r="AK441" s="45"/>
      <c r="AL441" s="3">
        <v>11.5</v>
      </c>
      <c r="AM441" s="3">
        <v>11.58</v>
      </c>
      <c r="AN441" s="3">
        <v>11.9</v>
      </c>
      <c r="AO441" s="3">
        <v>12.38</v>
      </c>
      <c r="AP441" s="137">
        <v>12.37</v>
      </c>
      <c r="AQ441" s="132">
        <v>11.5</v>
      </c>
      <c r="AR441" s="132">
        <v>11.9</v>
      </c>
      <c r="AS441" s="3"/>
      <c r="AT441" s="3"/>
      <c r="AU441" s="3"/>
      <c r="AV441" s="3"/>
      <c r="AW441" s="3"/>
      <c r="AX441" s="133"/>
      <c r="AY441" s="134"/>
      <c r="AZ441" s="40"/>
      <c r="BA441" s="40"/>
      <c r="BB441" s="40"/>
      <c r="BC441" s="40"/>
      <c r="BD441" s="135" t="s">
        <v>110</v>
      </c>
      <c r="BE441" s="135" t="s">
        <v>110</v>
      </c>
      <c r="BF441" s="40"/>
      <c r="BG441" s="135" t="s">
        <v>110</v>
      </c>
      <c r="BH441" s="135" t="s">
        <v>110</v>
      </c>
      <c r="BI441" s="49"/>
      <c r="BJ441" s="49"/>
      <c r="BK441" s="66"/>
      <c r="BL441" s="66"/>
      <c r="BM441" s="51"/>
      <c r="BN441" s="51"/>
      <c r="BO441" s="136"/>
      <c r="BP441" s="40"/>
      <c r="BQ441" s="40"/>
      <c r="BR441" s="67"/>
      <c r="BS441" s="54" t="s">
        <v>110</v>
      </c>
      <c r="BT441" s="68"/>
      <c r="BU441" s="69"/>
      <c r="BV441" s="3"/>
      <c r="BW441" s="3"/>
      <c r="BX441" s="70"/>
      <c r="BY441" s="70"/>
      <c r="BZ441" s="59"/>
      <c r="CA441" s="59"/>
      <c r="CB441" s="59" t="s">
        <v>110</v>
      </c>
      <c r="CC441" s="59" t="s">
        <v>110</v>
      </c>
      <c r="CD441" s="60"/>
      <c r="CE441" s="60"/>
      <c r="CF441" s="61"/>
      <c r="CG441" s="61"/>
      <c r="CH441" s="61"/>
      <c r="CI441" s="138">
        <v>13.3</v>
      </c>
      <c r="CJ441" s="40">
        <f>VLOOKUP(paper3[[#This Row],[YYIR nivå]],$DB:$DC,2)</f>
        <v>400</v>
      </c>
      <c r="CK441" s="3"/>
      <c r="CL441" s="62"/>
      <c r="CM441" s="62"/>
      <c r="CN441" s="3"/>
      <c r="CO441" s="3"/>
      <c r="CP441" s="41">
        <v>13.141666666666667</v>
      </c>
      <c r="CQ441" s="3"/>
      <c r="CR441" s="40" t="s">
        <v>110</v>
      </c>
      <c r="CS441" s="40" t="s">
        <v>110</v>
      </c>
      <c r="CT441" s="40" t="s">
        <v>110</v>
      </c>
      <c r="CU441" s="40"/>
      <c r="CV441" s="40"/>
      <c r="CW441" s="40"/>
      <c r="CX441" s="40"/>
      <c r="CY441" s="40" t="s">
        <v>110</v>
      </c>
      <c r="CZ441" s="40"/>
      <c r="DA441" s="40"/>
    </row>
    <row r="442" spans="1:105" ht="15.75" customHeight="1">
      <c r="A442" s="3">
        <v>909</v>
      </c>
      <c r="B442" s="92" t="s">
        <v>199</v>
      </c>
      <c r="C442" s="143" t="s">
        <v>104</v>
      </c>
      <c r="D442" s="3" t="s">
        <v>105</v>
      </c>
      <c r="E442" s="144">
        <v>45103</v>
      </c>
      <c r="F442" s="3" t="s">
        <v>186</v>
      </c>
      <c r="G442" s="3" t="s">
        <v>107</v>
      </c>
      <c r="H442" s="3">
        <v>2010</v>
      </c>
      <c r="I442" s="40" t="s">
        <v>108</v>
      </c>
      <c r="J442" s="39" t="str">
        <f>paper3[[#This Row],[sex]]&amp;paper3[[#This Row],[ageg]]</f>
        <v>girlsU14</v>
      </c>
      <c r="K442" s="3">
        <v>154.4</v>
      </c>
      <c r="L442" s="3">
        <v>154.4</v>
      </c>
      <c r="M442" s="3"/>
      <c r="N442" s="3">
        <v>148.5</v>
      </c>
      <c r="O442" s="3">
        <v>148.5</v>
      </c>
      <c r="P442" s="3"/>
      <c r="Q442" s="3">
        <v>41.3</v>
      </c>
      <c r="R442" s="3"/>
      <c r="S442" s="3"/>
      <c r="T442" s="125">
        <v>154.4</v>
      </c>
      <c r="U442" s="126">
        <v>78.3</v>
      </c>
      <c r="V442" s="12">
        <f>paper3[[#This Row],[height]]-paper3[[#This Row],[sittingheight]]</f>
        <v>76.100000000000009</v>
      </c>
      <c r="W442" s="127">
        <v>41.3</v>
      </c>
      <c r="X442" s="43" cm="1">
        <f t="array" ref="X442">INDEX([1]!phvny[yphv], MATCH(1, (paper3[[#This Row],[id]]=[1]!phvny[id])*(paper3[[#This Row],[time]]=[1]!phvny[time]), 0))</f>
        <v>0.32789129046315391</v>
      </c>
      <c r="Y442" s="3">
        <v>1.9159999999999999</v>
      </c>
      <c r="Z442" s="3">
        <v>3.4950000000000001</v>
      </c>
      <c r="AA442" s="3">
        <v>5.0460000000000003</v>
      </c>
      <c r="AB442" s="3">
        <v>2.016</v>
      </c>
      <c r="AC442" s="3">
        <v>3.629</v>
      </c>
      <c r="AD442" s="3">
        <v>5.2610000000000001</v>
      </c>
      <c r="AE442" s="3">
        <v>1.929</v>
      </c>
      <c r="AF442" s="3">
        <v>3.5230000000000001</v>
      </c>
      <c r="AG442" s="3">
        <v>5.1189999999999998</v>
      </c>
      <c r="AH442" s="130">
        <v>2.1259999999999999</v>
      </c>
      <c r="AI442" s="130">
        <v>3.6750000000000003</v>
      </c>
      <c r="AJ442" s="130">
        <v>5.2560000000000002</v>
      </c>
      <c r="AK442" s="45">
        <v>6.3251106894370652</v>
      </c>
      <c r="AL442" s="3">
        <v>11.86</v>
      </c>
      <c r="AM442" s="3">
        <v>11.94</v>
      </c>
      <c r="AN442" s="3">
        <v>12.5</v>
      </c>
      <c r="AO442" s="3">
        <v>11.55</v>
      </c>
      <c r="AP442" s="137">
        <v>12.42</v>
      </c>
      <c r="AQ442" s="132">
        <v>11.86</v>
      </c>
      <c r="AR442" s="132">
        <v>11.55</v>
      </c>
      <c r="AS442" s="3">
        <v>19.2</v>
      </c>
      <c r="AT442" s="3">
        <v>19.399999999999999</v>
      </c>
      <c r="AU442" s="3">
        <v>19.100000000000001</v>
      </c>
      <c r="AV442" s="3"/>
      <c r="AW442" s="3"/>
      <c r="AX442" s="133">
        <v>22.36</v>
      </c>
      <c r="AY442" s="134"/>
      <c r="AZ442" s="40"/>
      <c r="BA442" s="40"/>
      <c r="BB442" s="40"/>
      <c r="BC442" s="40"/>
      <c r="BD442" s="135">
        <v>734.11083205208092</v>
      </c>
      <c r="BE442" s="135">
        <v>716.15890191449853</v>
      </c>
      <c r="BF442" s="40"/>
      <c r="BG442" s="135">
        <v>190.03164961102456</v>
      </c>
      <c r="BH442" s="135">
        <v>159.10315430816036</v>
      </c>
      <c r="BI442" s="49">
        <v>1450.2697339665795</v>
      </c>
      <c r="BJ442" s="49">
        <v>349.13480391918495</v>
      </c>
      <c r="BK442" s="66">
        <v>2.5066965012362052E-2</v>
      </c>
      <c r="BL442" s="66">
        <v>0.1943927223652655</v>
      </c>
      <c r="BM442" s="51">
        <v>35.115489926551561</v>
      </c>
      <c r="BN442" s="51">
        <v>8.4536272135395869</v>
      </c>
      <c r="BO442" s="136"/>
      <c r="BP442" s="40"/>
      <c r="BQ442" s="40"/>
      <c r="BR442" s="67"/>
      <c r="BS442" s="54" t="s">
        <v>110</v>
      </c>
      <c r="BT442" s="68"/>
      <c r="BU442" s="69"/>
      <c r="BV442" s="3"/>
      <c r="BW442" s="3"/>
      <c r="BX442" s="70"/>
      <c r="BY442" s="70"/>
      <c r="BZ442" s="59"/>
      <c r="CA442" s="59"/>
      <c r="CB442" s="59" t="s">
        <v>110</v>
      </c>
      <c r="CC442" s="59" t="s">
        <v>110</v>
      </c>
      <c r="CD442" s="60"/>
      <c r="CE442" s="60"/>
      <c r="CF442" s="61"/>
      <c r="CG442" s="61"/>
      <c r="CH442" s="61"/>
      <c r="CI442" s="138">
        <v>13.3</v>
      </c>
      <c r="CJ442" s="40">
        <f>VLOOKUP(paper3[[#This Row],[YYIR nivå]],$DB:$DC,2)</f>
        <v>400</v>
      </c>
      <c r="CK442" s="3"/>
      <c r="CL442" s="62"/>
      <c r="CM442" s="62"/>
      <c r="CN442" s="3"/>
      <c r="CO442" s="3"/>
      <c r="CP442" s="41">
        <v>12.669444444444444</v>
      </c>
      <c r="CQ442" s="3"/>
      <c r="CR442" s="40" t="s">
        <v>110</v>
      </c>
      <c r="CS442" s="40" t="s">
        <v>110</v>
      </c>
      <c r="CT442" s="40" t="s">
        <v>110</v>
      </c>
      <c r="CU442" s="40"/>
      <c r="CV442" s="40"/>
      <c r="CW442" s="40"/>
      <c r="CX442" s="40"/>
      <c r="CY442" s="40" t="s">
        <v>205</v>
      </c>
      <c r="CZ442" s="40"/>
      <c r="DA442" s="40"/>
    </row>
    <row r="443" spans="1:105" ht="15.75" customHeight="1">
      <c r="A443" s="3">
        <v>910</v>
      </c>
      <c r="B443" s="92" t="s">
        <v>199</v>
      </c>
      <c r="C443" s="143" t="s">
        <v>104</v>
      </c>
      <c r="D443" s="3" t="s">
        <v>105</v>
      </c>
      <c r="E443" s="144">
        <v>45103</v>
      </c>
      <c r="F443" s="3" t="s">
        <v>186</v>
      </c>
      <c r="G443" s="3" t="s">
        <v>107</v>
      </c>
      <c r="H443" s="3">
        <v>2010</v>
      </c>
      <c r="I443" s="40" t="s">
        <v>108</v>
      </c>
      <c r="J443" s="39" t="str">
        <f>paper3[[#This Row],[sex]]&amp;paper3[[#This Row],[ageg]]</f>
        <v>girlsU14</v>
      </c>
      <c r="K443" s="3">
        <v>163.6</v>
      </c>
      <c r="L443" s="3">
        <v>163.5</v>
      </c>
      <c r="M443" s="3"/>
      <c r="N443" s="3">
        <v>155.80000000000001</v>
      </c>
      <c r="O443" s="3">
        <v>155.9</v>
      </c>
      <c r="P443" s="3"/>
      <c r="Q443" s="3">
        <v>62.3</v>
      </c>
      <c r="R443" s="3"/>
      <c r="S443" s="3"/>
      <c r="T443" s="125">
        <v>163.55000000000001</v>
      </c>
      <c r="U443" s="126">
        <v>85.65000000000002</v>
      </c>
      <c r="V443" s="12">
        <f>paper3[[#This Row],[height]]-paper3[[#This Row],[sittingheight]]</f>
        <v>77.899999999999991</v>
      </c>
      <c r="W443" s="127">
        <v>62.3</v>
      </c>
      <c r="X443" s="43" cm="1">
        <f t="array" ref="X443">INDEX([1]!phvny[yphv], MATCH(1, (paper3[[#This Row],[id]]=[1]!phvny[id])*(paper3[[#This Row],[time]]=[1]!phvny[time]), 0))</f>
        <v>1.3454476357745446</v>
      </c>
      <c r="Y443" s="3">
        <v>1.96</v>
      </c>
      <c r="Z443" s="3">
        <v>3.5449999999999999</v>
      </c>
      <c r="AA443" s="3">
        <v>5.0419999999999998</v>
      </c>
      <c r="AB443" s="3">
        <v>1.9350000000000001</v>
      </c>
      <c r="AC443" s="3">
        <v>3.5209999999999999</v>
      </c>
      <c r="AD443" s="3">
        <v>5.0389999999999997</v>
      </c>
      <c r="AE443" s="3">
        <v>2.0369999999999999</v>
      </c>
      <c r="AF443" s="3">
        <v>3.6469999999999998</v>
      </c>
      <c r="AG443" s="3">
        <v>5.2119999999999997</v>
      </c>
      <c r="AH443" s="130">
        <v>2.145</v>
      </c>
      <c r="AI443" s="130">
        <v>3.7010000000000001</v>
      </c>
      <c r="AJ443" s="130">
        <v>5.2489999999999997</v>
      </c>
      <c r="AK443" s="45">
        <v>6.4599483204134387</v>
      </c>
      <c r="AL443" s="3"/>
      <c r="AM443" s="3">
        <v>11.62</v>
      </c>
      <c r="AN443" s="3">
        <v>11.81</v>
      </c>
      <c r="AO443" s="3">
        <v>11.55</v>
      </c>
      <c r="AP443" s="137">
        <v>12.42</v>
      </c>
      <c r="AQ443" s="132">
        <v>11.62</v>
      </c>
      <c r="AR443" s="132">
        <v>11.55</v>
      </c>
      <c r="AS443" s="3">
        <v>0</v>
      </c>
      <c r="AT443" s="3">
        <v>20.8</v>
      </c>
      <c r="AU443" s="3">
        <v>20.100000000000001</v>
      </c>
      <c r="AV443" s="3"/>
      <c r="AW443" s="3"/>
      <c r="AX443" s="133">
        <v>23.76</v>
      </c>
      <c r="AY443" s="134"/>
      <c r="AZ443" s="40"/>
      <c r="BA443" s="40"/>
      <c r="BB443" s="40"/>
      <c r="BC443" s="40"/>
      <c r="BD443" s="135">
        <v>966.79308298794501</v>
      </c>
      <c r="BE443" s="135">
        <v>983.50569342127699</v>
      </c>
      <c r="BF443" s="40"/>
      <c r="BG443" s="135">
        <v>298.62679715818615</v>
      </c>
      <c r="BH443" s="135">
        <v>289.07283893762207</v>
      </c>
      <c r="BI443" s="49">
        <v>1950.298776409222</v>
      </c>
      <c r="BJ443" s="49">
        <v>587.69963609580827</v>
      </c>
      <c r="BK443" s="66">
        <v>-1.6992896477492248E-2</v>
      </c>
      <c r="BL443" s="66">
        <v>3.305034902509707E-2</v>
      </c>
      <c r="BM443" s="51">
        <v>31.304956282652039</v>
      </c>
      <c r="BN443" s="51">
        <v>9.4333809967224447</v>
      </c>
      <c r="BO443" s="136"/>
      <c r="BP443" s="40"/>
      <c r="BQ443" s="40"/>
      <c r="BR443" s="67"/>
      <c r="BS443" s="54" t="s">
        <v>110</v>
      </c>
      <c r="BT443" s="68"/>
      <c r="BU443" s="69"/>
      <c r="BV443" s="3"/>
      <c r="BW443" s="3"/>
      <c r="BX443" s="70"/>
      <c r="BY443" s="70"/>
      <c r="BZ443" s="59"/>
      <c r="CA443" s="59"/>
      <c r="CB443" s="59" t="s">
        <v>110</v>
      </c>
      <c r="CC443" s="59" t="s">
        <v>110</v>
      </c>
      <c r="CD443" s="60"/>
      <c r="CE443" s="60"/>
      <c r="CF443" s="61"/>
      <c r="CG443" s="61"/>
      <c r="CH443" s="61"/>
      <c r="CI443" s="138">
        <v>13.1</v>
      </c>
      <c r="CJ443" s="40">
        <f>VLOOKUP(paper3[[#This Row],[YYIR nivå]],$DB:$DC,2)</f>
        <v>320</v>
      </c>
      <c r="CK443" s="3"/>
      <c r="CL443" s="62"/>
      <c r="CM443" s="62"/>
      <c r="CN443" s="3"/>
      <c r="CO443" s="3"/>
      <c r="CP443" s="41">
        <v>12.91388888888889</v>
      </c>
      <c r="CQ443" s="3"/>
      <c r="CR443" s="40" t="s">
        <v>110</v>
      </c>
      <c r="CS443" s="40" t="s">
        <v>110</v>
      </c>
      <c r="CT443" s="40" t="s">
        <v>110</v>
      </c>
      <c r="CU443" s="40"/>
      <c r="CV443" s="40"/>
      <c r="CW443" s="40"/>
      <c r="CX443" s="40"/>
      <c r="CY443" s="40" t="s">
        <v>205</v>
      </c>
      <c r="CZ443" s="40"/>
      <c r="DA443" s="40"/>
    </row>
    <row r="444" spans="1:105" ht="15.75" customHeight="1">
      <c r="A444" s="3">
        <v>911</v>
      </c>
      <c r="B444" s="92" t="s">
        <v>199</v>
      </c>
      <c r="C444" s="143" t="s">
        <v>104</v>
      </c>
      <c r="D444" s="3" t="s">
        <v>105</v>
      </c>
      <c r="E444" s="144">
        <v>45103</v>
      </c>
      <c r="F444" s="3" t="s">
        <v>186</v>
      </c>
      <c r="G444" s="3" t="s">
        <v>107</v>
      </c>
      <c r="H444" s="3">
        <v>2010</v>
      </c>
      <c r="I444" s="40" t="s">
        <v>108</v>
      </c>
      <c r="J444" s="39" t="str">
        <f>paper3[[#This Row],[sex]]&amp;paper3[[#This Row],[ageg]]</f>
        <v>girlsU14</v>
      </c>
      <c r="K444" s="3">
        <v>163.5</v>
      </c>
      <c r="L444" s="3">
        <v>163.5</v>
      </c>
      <c r="M444" s="3"/>
      <c r="N444" s="3">
        <v>154.30000000000001</v>
      </c>
      <c r="O444" s="3">
        <v>154.30000000000001</v>
      </c>
      <c r="P444" s="3"/>
      <c r="Q444" s="3">
        <v>71.2</v>
      </c>
      <c r="R444" s="3"/>
      <c r="S444" s="3"/>
      <c r="T444" s="125">
        <v>163.5</v>
      </c>
      <c r="U444" s="126">
        <v>84.100000000000009</v>
      </c>
      <c r="V444" s="12">
        <f>paper3[[#This Row],[height]]-paper3[[#This Row],[sittingheight]]</f>
        <v>79.399999999999991</v>
      </c>
      <c r="W444" s="127">
        <v>71.2</v>
      </c>
      <c r="X444" s="43" cm="1">
        <f t="array" ref="X444">INDEX([1]!phvny[yphv], MATCH(1, (paper3[[#This Row],[id]]=[1]!phvny[id])*(paper3[[#This Row],[time]]=[1]!phvny[time]), 0))</f>
        <v>1.1996382181630985</v>
      </c>
      <c r="Y444" s="3">
        <v>2.085</v>
      </c>
      <c r="Z444" s="3">
        <v>3.8170000000000002</v>
      </c>
      <c r="AA444" s="3">
        <v>5.2249999999999996</v>
      </c>
      <c r="AB444" s="3"/>
      <c r="AC444" s="3"/>
      <c r="AD444" s="3"/>
      <c r="AE444" s="3">
        <v>2.101</v>
      </c>
      <c r="AF444" s="3">
        <v>3.9089999999999998</v>
      </c>
      <c r="AG444" s="3">
        <v>5.6879999999999997</v>
      </c>
      <c r="AH444" s="130">
        <v>2.2949999999999999</v>
      </c>
      <c r="AI444" s="130">
        <v>3.9970000000000003</v>
      </c>
      <c r="AJ444" s="130">
        <v>5.4349999999999996</v>
      </c>
      <c r="AK444" s="45">
        <v>6.9541029207232299</v>
      </c>
      <c r="AL444" s="3">
        <v>10.17</v>
      </c>
      <c r="AM444" s="3"/>
      <c r="AN444" s="3">
        <v>10.44</v>
      </c>
      <c r="AO444" s="3">
        <v>10.28</v>
      </c>
      <c r="AP444" s="137">
        <v>11.04</v>
      </c>
      <c r="AQ444" s="132">
        <v>10.17</v>
      </c>
      <c r="AR444" s="132">
        <v>10.28</v>
      </c>
      <c r="AS444" s="3">
        <v>14.6</v>
      </c>
      <c r="AT444" s="3">
        <v>12.9</v>
      </c>
      <c r="AU444" s="3">
        <v>12.6</v>
      </c>
      <c r="AV444" s="3"/>
      <c r="AW444" s="3"/>
      <c r="AX444" s="133">
        <v>17.559999999999999</v>
      </c>
      <c r="AY444" s="134"/>
      <c r="AZ444" s="40"/>
      <c r="BA444" s="40"/>
      <c r="BB444" s="40"/>
      <c r="BC444" s="40"/>
      <c r="BD444" s="135">
        <v>644.364216899761</v>
      </c>
      <c r="BE444" s="135">
        <v>676.42585502954137</v>
      </c>
      <c r="BF444" s="40"/>
      <c r="BG444" s="135">
        <v>184.86646414931349</v>
      </c>
      <c r="BH444" s="135">
        <v>156.51193932284272</v>
      </c>
      <c r="BI444" s="49">
        <v>1320.7900719293025</v>
      </c>
      <c r="BJ444" s="49">
        <v>341.37840347215621</v>
      </c>
      <c r="BK444" s="66">
        <v>-4.7398599405074737E-2</v>
      </c>
      <c r="BL444" s="66">
        <v>0.18116525134854333</v>
      </c>
      <c r="BM444" s="51">
        <v>18.550422358557618</v>
      </c>
      <c r="BN444" s="51">
        <v>4.7946404982044406</v>
      </c>
      <c r="BO444" s="136"/>
      <c r="BP444" s="40"/>
      <c r="BQ444" s="40"/>
      <c r="BR444" s="67"/>
      <c r="BS444" s="54" t="s">
        <v>110</v>
      </c>
      <c r="BT444" s="68"/>
      <c r="BU444" s="69"/>
      <c r="BV444" s="3"/>
      <c r="BW444" s="3"/>
      <c r="BX444" s="70"/>
      <c r="BY444" s="70"/>
      <c r="BZ444" s="59"/>
      <c r="CA444" s="59"/>
      <c r="CB444" s="59" t="s">
        <v>110</v>
      </c>
      <c r="CC444" s="59" t="s">
        <v>110</v>
      </c>
      <c r="CD444" s="60"/>
      <c r="CE444" s="60"/>
      <c r="CF444" s="61"/>
      <c r="CG444" s="61"/>
      <c r="CH444" s="61"/>
      <c r="CI444" s="138">
        <v>12.3</v>
      </c>
      <c r="CJ444" s="40">
        <f>VLOOKUP(paper3[[#This Row],[YYIR nivå]],$DB:$DC,2)</f>
        <v>280</v>
      </c>
      <c r="CK444" s="3"/>
      <c r="CL444" s="62"/>
      <c r="CM444" s="62"/>
      <c r="CN444" s="3"/>
      <c r="CO444" s="3"/>
      <c r="CP444" s="41">
        <v>12.522222222222222</v>
      </c>
      <c r="CQ444" s="3"/>
      <c r="CR444" s="40" t="s">
        <v>110</v>
      </c>
      <c r="CS444" s="40" t="s">
        <v>110</v>
      </c>
      <c r="CT444" s="40" t="s">
        <v>110</v>
      </c>
      <c r="CU444" s="40"/>
      <c r="CV444" s="40"/>
      <c r="CW444" s="40"/>
      <c r="CX444" s="40"/>
      <c r="CY444" s="40" t="s">
        <v>205</v>
      </c>
      <c r="CZ444" s="40"/>
      <c r="DA444" s="40"/>
    </row>
    <row r="445" spans="1:105" ht="15.75" customHeight="1">
      <c r="A445" s="3">
        <v>912</v>
      </c>
      <c r="B445" s="92" t="s">
        <v>199</v>
      </c>
      <c r="C445" s="143"/>
      <c r="D445" s="3" t="s">
        <v>105</v>
      </c>
      <c r="E445" s="144">
        <v>45103</v>
      </c>
      <c r="F445" s="3" t="s">
        <v>186</v>
      </c>
      <c r="G445" s="3" t="s">
        <v>107</v>
      </c>
      <c r="H445" s="3">
        <v>2010</v>
      </c>
      <c r="I445" s="40" t="s">
        <v>108</v>
      </c>
      <c r="J445" s="39" t="str">
        <f>paper3[[#This Row],[sex]]&amp;paper3[[#This Row],[ageg]]</f>
        <v>girlsU14</v>
      </c>
      <c r="K445" s="3"/>
      <c r="L445" s="3"/>
      <c r="M445" s="3"/>
      <c r="N445" s="3"/>
      <c r="O445" s="3"/>
      <c r="P445" s="3"/>
      <c r="Q445" s="3"/>
      <c r="R445" s="3"/>
      <c r="S445" s="3"/>
      <c r="T445" s="125"/>
      <c r="U445" s="126"/>
      <c r="V445" s="12"/>
      <c r="W445" s="127"/>
      <c r="X445" s="43"/>
      <c r="Y445" s="3"/>
      <c r="Z445" s="3"/>
      <c r="AA445" s="3"/>
      <c r="AB445" s="3"/>
      <c r="AC445" s="3"/>
      <c r="AD445" s="3"/>
      <c r="AE445" s="3"/>
      <c r="AF445" s="3"/>
      <c r="AG445" s="3"/>
      <c r="AH445" s="133"/>
      <c r="AI445" s="133"/>
      <c r="AJ445" s="133"/>
      <c r="AK445" s="45"/>
      <c r="AL445" s="3">
        <v>11.02</v>
      </c>
      <c r="AM445" s="3">
        <v>10.87</v>
      </c>
      <c r="AN445" s="3">
        <v>11.04</v>
      </c>
      <c r="AO445" s="3">
        <v>10.87</v>
      </c>
      <c r="AP445" s="137">
        <v>11.739999999999998</v>
      </c>
      <c r="AQ445" s="132">
        <v>10.87</v>
      </c>
      <c r="AR445" s="132">
        <v>10.87</v>
      </c>
      <c r="AS445" s="3"/>
      <c r="AT445" s="3"/>
      <c r="AU445" s="3"/>
      <c r="AV445" s="3"/>
      <c r="AW445" s="3"/>
      <c r="AX445" s="133"/>
      <c r="AY445" s="134"/>
      <c r="AZ445" s="40"/>
      <c r="BA445" s="40"/>
      <c r="BB445" s="40"/>
      <c r="BC445" s="40"/>
      <c r="BD445" s="135" t="s">
        <v>110</v>
      </c>
      <c r="BE445" s="135" t="s">
        <v>110</v>
      </c>
      <c r="BF445" s="40"/>
      <c r="BG445" s="135" t="s">
        <v>110</v>
      </c>
      <c r="BH445" s="135" t="s">
        <v>110</v>
      </c>
      <c r="BI445" s="49"/>
      <c r="BJ445" s="49"/>
      <c r="BK445" s="66"/>
      <c r="BL445" s="66"/>
      <c r="BM445" s="51"/>
      <c r="BN445" s="51"/>
      <c r="BO445" s="136"/>
      <c r="BP445" s="40"/>
      <c r="BQ445" s="40"/>
      <c r="BR445" s="67"/>
      <c r="BS445" s="54" t="s">
        <v>110</v>
      </c>
      <c r="BT445" s="68"/>
      <c r="BU445" s="69"/>
      <c r="BV445" s="3"/>
      <c r="BW445" s="3"/>
      <c r="BX445" s="70"/>
      <c r="BY445" s="70"/>
      <c r="BZ445" s="59"/>
      <c r="CA445" s="59"/>
      <c r="CB445" s="59" t="s">
        <v>110</v>
      </c>
      <c r="CC445" s="59" t="s">
        <v>110</v>
      </c>
      <c r="CD445" s="60"/>
      <c r="CE445" s="60"/>
      <c r="CF445" s="61"/>
      <c r="CG445" s="61"/>
      <c r="CH445" s="61"/>
      <c r="CI445" s="138">
        <v>14.7</v>
      </c>
      <c r="CJ445" s="40">
        <f>VLOOKUP(paper3[[#This Row],[YYIR nivå]],$DB:$DC,2)</f>
        <v>720</v>
      </c>
      <c r="CK445" s="3"/>
      <c r="CL445" s="62"/>
      <c r="CM445" s="62"/>
      <c r="CN445" s="3"/>
      <c r="CO445" s="3"/>
      <c r="CP445" s="41">
        <v>13.127777777777778</v>
      </c>
      <c r="CQ445" s="3"/>
      <c r="CR445" s="40" t="s">
        <v>110</v>
      </c>
      <c r="CS445" s="40" t="s">
        <v>110</v>
      </c>
      <c r="CT445" s="40" t="s">
        <v>110</v>
      </c>
      <c r="CU445" s="40"/>
      <c r="CV445" s="40"/>
      <c r="CW445" s="40"/>
      <c r="CX445" s="40"/>
      <c r="CY445" s="40" t="s">
        <v>110</v>
      </c>
      <c r="CZ445" s="40"/>
      <c r="DA445" s="40"/>
    </row>
    <row r="446" spans="1:105" ht="15.75" customHeight="1">
      <c r="A446" s="3">
        <v>913</v>
      </c>
      <c r="B446" s="92" t="s">
        <v>199</v>
      </c>
      <c r="C446" s="143" t="s">
        <v>104</v>
      </c>
      <c r="D446" s="3" t="s">
        <v>105</v>
      </c>
      <c r="E446" s="144">
        <v>45103</v>
      </c>
      <c r="F446" s="3" t="s">
        <v>186</v>
      </c>
      <c r="G446" s="3" t="s">
        <v>107</v>
      </c>
      <c r="H446" s="3">
        <v>2010</v>
      </c>
      <c r="I446" s="40" t="s">
        <v>108</v>
      </c>
      <c r="J446" s="39" t="str">
        <f>paper3[[#This Row],[sex]]&amp;paper3[[#This Row],[ageg]]</f>
        <v>girlsU14</v>
      </c>
      <c r="K446" s="3">
        <v>169.5</v>
      </c>
      <c r="L446" s="3">
        <v>169.5</v>
      </c>
      <c r="M446" s="3"/>
      <c r="N446" s="3">
        <v>160.30000000000001</v>
      </c>
      <c r="O446" s="3">
        <v>160.30000000000001</v>
      </c>
      <c r="P446" s="3"/>
      <c r="Q446" s="3">
        <v>60.7</v>
      </c>
      <c r="R446" s="3"/>
      <c r="S446" s="3"/>
      <c r="T446" s="125">
        <v>169.5</v>
      </c>
      <c r="U446" s="126">
        <v>90.100000000000009</v>
      </c>
      <c r="V446" s="12">
        <f>paper3[[#This Row],[height]]-paper3[[#This Row],[sittingheight]]</f>
        <v>79.399999999999991</v>
      </c>
      <c r="W446" s="127">
        <v>60.7</v>
      </c>
      <c r="X446" s="43" cm="1">
        <f t="array" ref="X446">INDEX([1]!phvny[yphv], MATCH(1, (paper3[[#This Row],[id]]=[1]!phvny[id])*(paper3[[#This Row],[time]]=[1]!phvny[time]), 0))</f>
        <v>1.8707099460162246</v>
      </c>
      <c r="Y446" s="3">
        <v>2.2989999999999999</v>
      </c>
      <c r="Z446" s="3">
        <v>4.0350000000000001</v>
      </c>
      <c r="AA446" s="3">
        <v>5.7569999999999997</v>
      </c>
      <c r="AB446" s="3">
        <v>2.2589999999999999</v>
      </c>
      <c r="AC446" s="3">
        <v>4.03</v>
      </c>
      <c r="AD446" s="3">
        <v>5.8070000000000004</v>
      </c>
      <c r="AE446" s="3">
        <v>2.1739999999999999</v>
      </c>
      <c r="AF446" s="3">
        <v>3.9630000000000001</v>
      </c>
      <c r="AG446" s="3">
        <v>5.7880000000000003</v>
      </c>
      <c r="AH446" s="130">
        <v>2.3839999999999999</v>
      </c>
      <c r="AI446" s="130">
        <v>4.1429999999999998</v>
      </c>
      <c r="AJ446" s="130">
        <v>5.9669999999999996</v>
      </c>
      <c r="AK446" s="45">
        <v>5.4824561403508776</v>
      </c>
      <c r="AL446" s="3">
        <v>10.53</v>
      </c>
      <c r="AM446" s="3">
        <v>10.51</v>
      </c>
      <c r="AN446" s="3"/>
      <c r="AO446" s="3">
        <v>10.84</v>
      </c>
      <c r="AP446" s="137">
        <v>11.379999999999999</v>
      </c>
      <c r="AQ446" s="132">
        <v>10.51</v>
      </c>
      <c r="AR446" s="132">
        <v>10.84</v>
      </c>
      <c r="AS446" s="3">
        <v>20.2</v>
      </c>
      <c r="AT446" s="3">
        <v>18.399999999999999</v>
      </c>
      <c r="AU446" s="3">
        <v>19.100000000000001</v>
      </c>
      <c r="AV446" s="3"/>
      <c r="AW446" s="3"/>
      <c r="AX446" s="133">
        <v>23.16</v>
      </c>
      <c r="AY446" s="134"/>
      <c r="AZ446" s="40"/>
      <c r="BA446" s="40"/>
      <c r="BB446" s="40"/>
      <c r="BC446" s="40"/>
      <c r="BD446" s="135"/>
      <c r="BE446" s="135"/>
      <c r="BF446" s="40"/>
      <c r="BG446" s="135">
        <v>311.87838898884593</v>
      </c>
      <c r="BH446" s="135">
        <v>326.81846106168928</v>
      </c>
      <c r="BI446" s="49"/>
      <c r="BJ446" s="49">
        <v>638.6968500505352</v>
      </c>
      <c r="BK446" s="66"/>
      <c r="BL446" s="66">
        <v>-4.5713672429365304E-2</v>
      </c>
      <c r="BM446" s="51"/>
      <c r="BN446" s="51">
        <v>10.522188633451981</v>
      </c>
      <c r="BO446" s="136"/>
      <c r="BP446" s="40"/>
      <c r="BQ446" s="40"/>
      <c r="BR446" s="67"/>
      <c r="BS446" s="54" t="s">
        <v>110</v>
      </c>
      <c r="BT446" s="68"/>
      <c r="BU446" s="69"/>
      <c r="BV446" s="3"/>
      <c r="BW446" s="3"/>
      <c r="BX446" s="70"/>
      <c r="BY446" s="70"/>
      <c r="BZ446" s="59"/>
      <c r="CA446" s="59"/>
      <c r="CB446" s="59" t="s">
        <v>110</v>
      </c>
      <c r="CC446" s="59" t="s">
        <v>110</v>
      </c>
      <c r="CD446" s="60"/>
      <c r="CE446" s="60"/>
      <c r="CF446" s="61"/>
      <c r="CG446" s="61"/>
      <c r="CH446" s="61"/>
      <c r="CI446" s="138">
        <v>14.6</v>
      </c>
      <c r="CJ446" s="40">
        <f>VLOOKUP(paper3[[#This Row],[YYIR nivå]],$DB:$DC,2)</f>
        <v>680</v>
      </c>
      <c r="CK446" s="3"/>
      <c r="CL446" s="62"/>
      <c r="CM446" s="62"/>
      <c r="CN446" s="3"/>
      <c r="CO446" s="3"/>
      <c r="CP446" s="41">
        <v>13.241666666666667</v>
      </c>
      <c r="CQ446" s="3"/>
      <c r="CR446" s="40" t="s">
        <v>110</v>
      </c>
      <c r="CS446" s="40" t="s">
        <v>110</v>
      </c>
      <c r="CT446" s="40" t="s">
        <v>110</v>
      </c>
      <c r="CU446" s="40"/>
      <c r="CV446" s="40"/>
      <c r="CW446" s="40"/>
      <c r="CX446" s="40"/>
      <c r="CY446" s="40" t="s">
        <v>204</v>
      </c>
      <c r="CZ446" s="40"/>
      <c r="DA446" s="40"/>
    </row>
    <row r="447" spans="1:105" ht="15.75" customHeight="1">
      <c r="A447" s="3">
        <v>914</v>
      </c>
      <c r="B447" s="92" t="s">
        <v>199</v>
      </c>
      <c r="C447" s="143" t="s">
        <v>104</v>
      </c>
      <c r="D447" s="3" t="s">
        <v>105</v>
      </c>
      <c r="E447" s="144">
        <v>45103</v>
      </c>
      <c r="F447" s="3" t="s">
        <v>186</v>
      </c>
      <c r="G447" s="3" t="s">
        <v>107</v>
      </c>
      <c r="H447" s="3">
        <v>2010</v>
      </c>
      <c r="I447" s="40" t="s">
        <v>108</v>
      </c>
      <c r="J447" s="39" t="str">
        <f>paper3[[#This Row],[sex]]&amp;paper3[[#This Row],[ageg]]</f>
        <v>girlsU14</v>
      </c>
      <c r="K447" s="3">
        <v>168.7</v>
      </c>
      <c r="L447" s="3">
        <v>168.7</v>
      </c>
      <c r="M447" s="3"/>
      <c r="N447" s="3">
        <v>156.5</v>
      </c>
      <c r="O447" s="3">
        <v>156.5</v>
      </c>
      <c r="P447" s="3"/>
      <c r="Q447" s="3">
        <v>44.5</v>
      </c>
      <c r="R447" s="3"/>
      <c r="S447" s="3"/>
      <c r="T447" s="125">
        <v>168.7</v>
      </c>
      <c r="U447" s="126">
        <v>86.3</v>
      </c>
      <c r="V447" s="12">
        <f>paper3[[#This Row],[height]]-paper3[[#This Row],[sittingheight]]</f>
        <v>82.399999999999991</v>
      </c>
      <c r="W447" s="127">
        <v>44.5</v>
      </c>
      <c r="X447" s="43" cm="1">
        <f t="array" ref="X447">INDEX([1]!phvny[yphv], MATCH(1, (paper3[[#This Row],[id]]=[1]!phvny[id])*(paper3[[#This Row],[time]]=[1]!phvny[time]), 0))</f>
        <v>1.1225836904211604</v>
      </c>
      <c r="Y447" s="3">
        <v>1.7929999999999999</v>
      </c>
      <c r="Z447" s="3">
        <v>3.302</v>
      </c>
      <c r="AA447" s="3">
        <v>4.7720000000000002</v>
      </c>
      <c r="AB447" s="3">
        <v>1.847</v>
      </c>
      <c r="AC447" s="3">
        <v>3.3879999999999999</v>
      </c>
      <c r="AD447" s="3">
        <v>4.8600000000000003</v>
      </c>
      <c r="AE447" s="3">
        <v>1.8220000000000001</v>
      </c>
      <c r="AF447" s="3">
        <v>3.355</v>
      </c>
      <c r="AG447" s="3">
        <v>4.8410000000000002</v>
      </c>
      <c r="AH447" s="130">
        <v>2.0030000000000001</v>
      </c>
      <c r="AI447" s="130">
        <v>3.4820000000000002</v>
      </c>
      <c r="AJ447" s="130">
        <v>4.9820000000000002</v>
      </c>
      <c r="AK447" s="45">
        <v>6.666666666666667</v>
      </c>
      <c r="AL447" s="3">
        <v>11.68</v>
      </c>
      <c r="AM447" s="3">
        <v>11.71</v>
      </c>
      <c r="AN447" s="3">
        <v>12.09</v>
      </c>
      <c r="AO447" s="3">
        <v>11.83</v>
      </c>
      <c r="AP447" s="137">
        <v>12.549999999999999</v>
      </c>
      <c r="AQ447" s="132">
        <v>11.68</v>
      </c>
      <c r="AR447" s="132">
        <v>11.83</v>
      </c>
      <c r="AS447" s="3">
        <v>22.8</v>
      </c>
      <c r="AT447" s="3">
        <v>22.1</v>
      </c>
      <c r="AU447" s="3">
        <v>21.8</v>
      </c>
      <c r="AV447" s="3"/>
      <c r="AW447" s="3"/>
      <c r="AX447" s="133">
        <v>25.76</v>
      </c>
      <c r="AY447" s="134"/>
      <c r="AZ447" s="40"/>
      <c r="BA447" s="40"/>
      <c r="BB447" s="40"/>
      <c r="BC447" s="40"/>
      <c r="BD447" s="135">
        <v>696.98790096355015</v>
      </c>
      <c r="BE447" s="135">
        <v>660.88466060929761</v>
      </c>
      <c r="BF447" s="40"/>
      <c r="BG447" s="135">
        <v>182.28147783797888</v>
      </c>
      <c r="BH447" s="135">
        <v>183.17835579436172</v>
      </c>
      <c r="BI447" s="49">
        <v>1357.8725615728476</v>
      </c>
      <c r="BJ447" s="49">
        <v>365.45983363234063</v>
      </c>
      <c r="BK447" s="66">
        <v>5.4628655355637212E-2</v>
      </c>
      <c r="BL447" s="66">
        <v>-4.896200495377756E-3</v>
      </c>
      <c r="BM447" s="51">
        <v>30.51399014770444</v>
      </c>
      <c r="BN447" s="51">
        <v>8.2125805310638338</v>
      </c>
      <c r="BO447" s="136"/>
      <c r="BP447" s="40"/>
      <c r="BQ447" s="40"/>
      <c r="BR447" s="67"/>
      <c r="BS447" s="54" t="s">
        <v>110</v>
      </c>
      <c r="BT447" s="68"/>
      <c r="BU447" s="69"/>
      <c r="BV447" s="3"/>
      <c r="BW447" s="3"/>
      <c r="BX447" s="70"/>
      <c r="BY447" s="70"/>
      <c r="BZ447" s="59"/>
      <c r="CA447" s="59"/>
      <c r="CB447" s="59" t="s">
        <v>110</v>
      </c>
      <c r="CC447" s="59" t="s">
        <v>110</v>
      </c>
      <c r="CD447" s="60"/>
      <c r="CE447" s="60"/>
      <c r="CF447" s="61"/>
      <c r="CG447" s="61"/>
      <c r="CH447" s="61"/>
      <c r="CI447" s="138">
        <v>14.1</v>
      </c>
      <c r="CJ447" s="40">
        <f>VLOOKUP(paper3[[#This Row],[YYIR nivå]],$DB:$DC,2)</f>
        <v>480</v>
      </c>
      <c r="CK447" s="3"/>
      <c r="CL447" s="62"/>
      <c r="CM447" s="62"/>
      <c r="CN447" s="3"/>
      <c r="CO447" s="3"/>
      <c r="CP447" s="41">
        <v>12.574999999999999</v>
      </c>
      <c r="CQ447" s="3"/>
      <c r="CR447" s="40" t="s">
        <v>110</v>
      </c>
      <c r="CS447" s="40" t="s">
        <v>110</v>
      </c>
      <c r="CT447" s="40" t="s">
        <v>110</v>
      </c>
      <c r="CU447" s="40"/>
      <c r="CV447" s="40"/>
      <c r="CW447" s="40"/>
      <c r="CX447" s="40"/>
      <c r="CY447" s="40" t="s">
        <v>204</v>
      </c>
      <c r="CZ447" s="40"/>
      <c r="DA447" s="40"/>
    </row>
    <row r="448" spans="1:105" ht="15.75" customHeight="1">
      <c r="A448" s="3">
        <v>915</v>
      </c>
      <c r="B448" s="92" t="s">
        <v>199</v>
      </c>
      <c r="C448" s="143" t="s">
        <v>104</v>
      </c>
      <c r="D448" s="3" t="s">
        <v>105</v>
      </c>
      <c r="E448" s="144">
        <v>45103</v>
      </c>
      <c r="F448" s="3" t="s">
        <v>186</v>
      </c>
      <c r="G448" s="3" t="s">
        <v>107</v>
      </c>
      <c r="H448" s="3">
        <v>2010</v>
      </c>
      <c r="I448" s="40" t="s">
        <v>108</v>
      </c>
      <c r="J448" s="39" t="str">
        <f>paper3[[#This Row],[sex]]&amp;paper3[[#This Row],[ageg]]</f>
        <v>girlsU14</v>
      </c>
      <c r="K448" s="3">
        <v>157.6</v>
      </c>
      <c r="L448" s="3">
        <v>157.6</v>
      </c>
      <c r="M448" s="3"/>
      <c r="N448" s="3">
        <v>153.9</v>
      </c>
      <c r="O448" s="3">
        <v>153.9</v>
      </c>
      <c r="P448" s="3"/>
      <c r="Q448" s="3">
        <v>44.5</v>
      </c>
      <c r="R448" s="3"/>
      <c r="S448" s="3"/>
      <c r="T448" s="125">
        <v>157.6</v>
      </c>
      <c r="U448" s="126">
        <v>83.7</v>
      </c>
      <c r="V448" s="12">
        <f>paper3[[#This Row],[height]]-paper3[[#This Row],[sittingheight]]</f>
        <v>73.899999999999991</v>
      </c>
      <c r="W448" s="127">
        <v>44.5</v>
      </c>
      <c r="X448" s="43" cm="1">
        <f t="array" ref="X448">INDEX([1]!phvny[yphv], MATCH(1, (paper3[[#This Row],[id]]=[1]!phvny[id])*(paper3[[#This Row],[time]]=[1]!phvny[time]), 0))</f>
        <v>0.65035872978313725</v>
      </c>
      <c r="Y448" s="3">
        <v>1.881</v>
      </c>
      <c r="Z448" s="3">
        <v>3.464</v>
      </c>
      <c r="AA448" s="3">
        <v>5.0549999999999997</v>
      </c>
      <c r="AB448" s="3">
        <v>1.905</v>
      </c>
      <c r="AC448" s="3">
        <v>3.47</v>
      </c>
      <c r="AD448" s="3">
        <v>5.0659999999999998</v>
      </c>
      <c r="AE448" s="3">
        <v>1.988</v>
      </c>
      <c r="AF448" s="3">
        <v>3.5819999999999999</v>
      </c>
      <c r="AG448" s="3">
        <v>5.2140000000000004</v>
      </c>
      <c r="AH448" s="130">
        <v>2.0910000000000002</v>
      </c>
      <c r="AI448" s="130">
        <v>3.6440000000000001</v>
      </c>
      <c r="AJ448" s="130">
        <v>5.2649999999999997</v>
      </c>
      <c r="AK448" s="45">
        <v>6.1690314620604578</v>
      </c>
      <c r="AL448" s="3">
        <v>11.86</v>
      </c>
      <c r="AM448" s="3">
        <v>11.74</v>
      </c>
      <c r="AN448" s="3">
        <v>11.95</v>
      </c>
      <c r="AO448" s="3">
        <v>11.87</v>
      </c>
      <c r="AP448" s="137">
        <v>12.61</v>
      </c>
      <c r="AQ448" s="132">
        <v>11.74</v>
      </c>
      <c r="AR448" s="132">
        <v>11.87</v>
      </c>
      <c r="AS448" s="3">
        <v>17.3</v>
      </c>
      <c r="AT448" s="3">
        <v>15.2</v>
      </c>
      <c r="AU448" s="3">
        <v>15.6</v>
      </c>
      <c r="AV448" s="3"/>
      <c r="AW448" s="3"/>
      <c r="AX448" s="133">
        <v>20.260000000000002</v>
      </c>
      <c r="AY448" s="134"/>
      <c r="AZ448" s="40"/>
      <c r="BA448" s="40"/>
      <c r="BB448" s="40"/>
      <c r="BC448" s="40"/>
      <c r="BD448" s="135">
        <v>455.3572223416204</v>
      </c>
      <c r="BE448" s="135">
        <v>552.23380614656924</v>
      </c>
      <c r="BF448" s="40"/>
      <c r="BG448" s="135">
        <v>194.57494052044643</v>
      </c>
      <c r="BH448" s="135">
        <v>164.97484516129052</v>
      </c>
      <c r="BI448" s="49">
        <v>1007.5910284881896</v>
      </c>
      <c r="BJ448" s="49">
        <v>359.54978568173692</v>
      </c>
      <c r="BK448" s="66">
        <v>-0.17542675353568749</v>
      </c>
      <c r="BL448" s="66">
        <v>0.17942187083259187</v>
      </c>
      <c r="BM448" s="51">
        <v>22.642495022206507</v>
      </c>
      <c r="BN448" s="51">
        <v>8.0797704647581323</v>
      </c>
      <c r="BO448" s="136"/>
      <c r="BP448" s="40"/>
      <c r="BQ448" s="40"/>
      <c r="BR448" s="67"/>
      <c r="BS448" s="54" t="s">
        <v>110</v>
      </c>
      <c r="BT448" s="68"/>
      <c r="BU448" s="69"/>
      <c r="BV448" s="3"/>
      <c r="BW448" s="3"/>
      <c r="BX448" s="70"/>
      <c r="BY448" s="70"/>
      <c r="BZ448" s="59"/>
      <c r="CA448" s="59"/>
      <c r="CB448" s="59" t="s">
        <v>110</v>
      </c>
      <c r="CC448" s="59" t="s">
        <v>110</v>
      </c>
      <c r="CD448" s="60"/>
      <c r="CE448" s="60"/>
      <c r="CF448" s="61"/>
      <c r="CG448" s="61"/>
      <c r="CH448" s="61"/>
      <c r="CI448" s="138">
        <v>12.3</v>
      </c>
      <c r="CJ448" s="40">
        <f>VLOOKUP(paper3[[#This Row],[YYIR nivå]],$DB:$DC,2)</f>
        <v>280</v>
      </c>
      <c r="CK448" s="3"/>
      <c r="CL448" s="62"/>
      <c r="CM448" s="62"/>
      <c r="CN448" s="3"/>
      <c r="CO448" s="3"/>
      <c r="CP448" s="41">
        <v>12.547222222222222</v>
      </c>
      <c r="CQ448" s="3"/>
      <c r="CR448" s="40" t="s">
        <v>110</v>
      </c>
      <c r="CS448" s="40" t="s">
        <v>110</v>
      </c>
      <c r="CT448" s="40" t="s">
        <v>110</v>
      </c>
      <c r="CU448" s="40"/>
      <c r="CV448" s="40"/>
      <c r="CW448" s="40"/>
      <c r="CX448" s="40"/>
      <c r="CY448" s="40" t="s">
        <v>110</v>
      </c>
      <c r="CZ448" s="40"/>
      <c r="DA448" s="40"/>
    </row>
    <row r="449" spans="1:105" ht="15.75" customHeight="1">
      <c r="A449" s="3">
        <v>916</v>
      </c>
      <c r="B449" s="92" t="s">
        <v>199</v>
      </c>
      <c r="C449" s="143" t="s">
        <v>171</v>
      </c>
      <c r="D449" s="3" t="s">
        <v>105</v>
      </c>
      <c r="E449" s="144">
        <v>45103</v>
      </c>
      <c r="F449" s="3" t="s">
        <v>186</v>
      </c>
      <c r="G449" s="3" t="s">
        <v>107</v>
      </c>
      <c r="H449" s="3">
        <v>2010</v>
      </c>
      <c r="I449" s="40" t="s">
        <v>108</v>
      </c>
      <c r="J449" s="39" t="str">
        <f>paper3[[#This Row],[sex]]&amp;paper3[[#This Row],[ageg]]</f>
        <v>girlsU14</v>
      </c>
      <c r="K449" s="3">
        <v>157.80000000000001</v>
      </c>
      <c r="L449" s="3">
        <v>157.80000000000001</v>
      </c>
      <c r="M449" s="3"/>
      <c r="N449" s="3">
        <v>153</v>
      </c>
      <c r="O449" s="3">
        <v>153</v>
      </c>
      <c r="P449" s="3"/>
      <c r="Q449" s="3">
        <v>41.5</v>
      </c>
      <c r="R449" s="3"/>
      <c r="S449" s="3"/>
      <c r="T449" s="125">
        <v>157.80000000000001</v>
      </c>
      <c r="U449" s="126">
        <v>82.8</v>
      </c>
      <c r="V449" s="12">
        <f>paper3[[#This Row],[height]]-paper3[[#This Row],[sittingheight]]</f>
        <v>75.000000000000014</v>
      </c>
      <c r="W449" s="127">
        <v>41.5</v>
      </c>
      <c r="X449" s="43" cm="1">
        <f t="array" ref="X449">INDEX([1]!phvny[yphv], MATCH(1, (paper3[[#This Row],[id]]=[1]!phvny[id])*(paper3[[#This Row],[time]]=[1]!phvny[time]), 0))</f>
        <v>0.78426704778200418</v>
      </c>
      <c r="Y449" s="3">
        <v>1.827</v>
      </c>
      <c r="Z449" s="3">
        <v>3.3940000000000001</v>
      </c>
      <c r="AA449" s="3">
        <v>4.9400000000000004</v>
      </c>
      <c r="AB449" s="3">
        <v>1.8340000000000001</v>
      </c>
      <c r="AC449" s="3">
        <v>3.419</v>
      </c>
      <c r="AD449" s="3">
        <v>4.9850000000000003</v>
      </c>
      <c r="AE449" s="3">
        <v>1.97</v>
      </c>
      <c r="AF449" s="3">
        <v>3.5680000000000001</v>
      </c>
      <c r="AG449" s="3">
        <v>5.1479999999999997</v>
      </c>
      <c r="AH449" s="130">
        <v>2.0369999999999999</v>
      </c>
      <c r="AI449" s="130">
        <v>3.5740000000000003</v>
      </c>
      <c r="AJ449" s="130">
        <v>5.15</v>
      </c>
      <c r="AK449" s="45">
        <v>6.345177664974619</v>
      </c>
      <c r="AL449" s="3">
        <v>10.26</v>
      </c>
      <c r="AM449" s="3">
        <v>10.73</v>
      </c>
      <c r="AN449" s="3">
        <v>10.71</v>
      </c>
      <c r="AO449" s="3">
        <v>10.71</v>
      </c>
      <c r="AP449" s="137">
        <v>11.129999999999999</v>
      </c>
      <c r="AQ449" s="132">
        <v>10.26</v>
      </c>
      <c r="AR449" s="132">
        <v>10.71</v>
      </c>
      <c r="AS449" s="3">
        <v>26.2</v>
      </c>
      <c r="AT449" s="3">
        <v>0</v>
      </c>
      <c r="AU449" s="3">
        <v>21.4</v>
      </c>
      <c r="AV449" s="3"/>
      <c r="AW449" s="3"/>
      <c r="AX449" s="133">
        <v>29.16</v>
      </c>
      <c r="AY449" s="134"/>
      <c r="AZ449" s="40"/>
      <c r="BA449" s="40"/>
      <c r="BB449" s="40"/>
      <c r="BC449" s="40"/>
      <c r="BD449" s="135"/>
      <c r="BE449" s="135"/>
      <c r="BF449" s="40"/>
      <c r="BG449" s="135">
        <v>213.56027568922303</v>
      </c>
      <c r="BH449" s="135">
        <v>192.287348266967</v>
      </c>
      <c r="BI449" s="49"/>
      <c r="BJ449" s="49">
        <v>405.84762395619003</v>
      </c>
      <c r="BK449" s="66"/>
      <c r="BL449" s="66">
        <v>0.11063092613207814</v>
      </c>
      <c r="BM449" s="51"/>
      <c r="BN449" s="51">
        <v>9.7794608182214464</v>
      </c>
      <c r="BO449" s="136"/>
      <c r="BP449" s="40"/>
      <c r="BQ449" s="40"/>
      <c r="BR449" s="67"/>
      <c r="BS449" s="54" t="s">
        <v>110</v>
      </c>
      <c r="BT449" s="68"/>
      <c r="BU449" s="69"/>
      <c r="BV449" s="3"/>
      <c r="BW449" s="3"/>
      <c r="BX449" s="70"/>
      <c r="BY449" s="70"/>
      <c r="BZ449" s="59"/>
      <c r="CA449" s="59"/>
      <c r="CB449" s="59" t="s">
        <v>110</v>
      </c>
      <c r="CC449" s="59" t="s">
        <v>110</v>
      </c>
      <c r="CD449" s="60"/>
      <c r="CE449" s="60"/>
      <c r="CF449" s="61"/>
      <c r="CG449" s="61"/>
      <c r="CH449" s="61"/>
      <c r="CI449" s="138">
        <v>14.4</v>
      </c>
      <c r="CJ449" s="40">
        <f>VLOOKUP(paper3[[#This Row],[YYIR nivå]],$DB:$DC,2)</f>
        <v>600</v>
      </c>
      <c r="CK449" s="3"/>
      <c r="CL449" s="62"/>
      <c r="CM449" s="62"/>
      <c r="CN449" s="3"/>
      <c r="CO449" s="3"/>
      <c r="CP449" s="41">
        <v>12.944444444444445</v>
      </c>
      <c r="CQ449" s="3"/>
      <c r="CR449" s="40" t="s">
        <v>110</v>
      </c>
      <c r="CS449" s="40" t="s">
        <v>110</v>
      </c>
      <c r="CT449" s="40" t="s">
        <v>110</v>
      </c>
      <c r="CU449" s="40"/>
      <c r="CV449" s="40"/>
      <c r="CW449" s="40"/>
      <c r="CX449" s="40"/>
      <c r="CY449" s="40" t="s">
        <v>205</v>
      </c>
      <c r="CZ449" s="40"/>
      <c r="DA449" s="40"/>
    </row>
    <row r="450" spans="1:105" ht="15.75" customHeight="1">
      <c r="A450" s="3">
        <v>919</v>
      </c>
      <c r="B450" s="92" t="s">
        <v>199</v>
      </c>
      <c r="C450" s="143" t="s">
        <v>104</v>
      </c>
      <c r="D450" s="3" t="s">
        <v>105</v>
      </c>
      <c r="E450" s="144">
        <v>45086</v>
      </c>
      <c r="F450" s="3" t="s">
        <v>186</v>
      </c>
      <c r="G450" s="3" t="s">
        <v>107</v>
      </c>
      <c r="H450" s="3">
        <v>2006</v>
      </c>
      <c r="I450" s="40" t="s">
        <v>121</v>
      </c>
      <c r="J450" s="39" t="str">
        <f>paper3[[#This Row],[sex]]&amp;paper3[[#This Row],[ageg]]</f>
        <v>girlsU18</v>
      </c>
      <c r="K450" s="3">
        <v>170.5</v>
      </c>
      <c r="L450" s="3">
        <v>170.5</v>
      </c>
      <c r="M450" s="3"/>
      <c r="N450" s="3">
        <v>160</v>
      </c>
      <c r="O450" s="3">
        <v>160</v>
      </c>
      <c r="P450" s="3"/>
      <c r="Q450" s="3">
        <v>74.599999999999994</v>
      </c>
      <c r="R450" s="3"/>
      <c r="S450" s="3"/>
      <c r="T450" s="125">
        <v>170.5</v>
      </c>
      <c r="U450" s="126">
        <v>89.8</v>
      </c>
      <c r="V450" s="12">
        <f>paper3[[#This Row],[height]]-paper3[[#This Row],[sittingheight]]</f>
        <v>80.7</v>
      </c>
      <c r="W450" s="127">
        <v>74.599999999999994</v>
      </c>
      <c r="X450" s="43" cm="1">
        <f t="array" ref="X450">INDEX([1]!phvny[yphv], MATCH(1, (paper3[[#This Row],[id]]=[1]!phvny[id])*(paper3[[#This Row],[time]]=[1]!phvny[time]), 0))</f>
        <v>4.0649379284662768</v>
      </c>
      <c r="Y450" s="3">
        <v>1.964</v>
      </c>
      <c r="Z450" s="3">
        <v>3.657</v>
      </c>
      <c r="AA450" s="3">
        <v>5.3140000000000001</v>
      </c>
      <c r="AB450" s="3">
        <v>2.0950000000000002</v>
      </c>
      <c r="AC450" s="3">
        <v>3.8359999999999999</v>
      </c>
      <c r="AD450" s="3">
        <v>5.524</v>
      </c>
      <c r="AE450" s="3">
        <v>2.1309999999999998</v>
      </c>
      <c r="AF450" s="3">
        <v>3.8980000000000001</v>
      </c>
      <c r="AG450" s="3">
        <v>5.5819999999999999</v>
      </c>
      <c r="AH450" s="130">
        <v>2.1739999999999999</v>
      </c>
      <c r="AI450" s="130">
        <v>3.8370000000000002</v>
      </c>
      <c r="AJ450" s="130">
        <v>5.524</v>
      </c>
      <c r="AK450" s="45">
        <v>5.9276822762299943</v>
      </c>
      <c r="AL450" s="3">
        <v>11.97</v>
      </c>
      <c r="AM450" s="3">
        <v>10.51</v>
      </c>
      <c r="AN450" s="3">
        <v>10.92</v>
      </c>
      <c r="AO450" s="3">
        <v>10.82</v>
      </c>
      <c r="AP450" s="137">
        <v>11.379999999999999</v>
      </c>
      <c r="AQ450" s="132">
        <v>10.51</v>
      </c>
      <c r="AR450" s="132">
        <v>10.82</v>
      </c>
      <c r="AS450" s="3">
        <v>18.8</v>
      </c>
      <c r="AT450" s="3">
        <v>19.5</v>
      </c>
      <c r="AU450" s="3">
        <v>20</v>
      </c>
      <c r="AV450" s="3"/>
      <c r="AW450" s="3"/>
      <c r="AX450" s="133">
        <v>22.96</v>
      </c>
      <c r="AY450" s="134"/>
      <c r="AZ450" s="40"/>
      <c r="BA450" s="40"/>
      <c r="BB450" s="40"/>
      <c r="BC450" s="40"/>
      <c r="BD450" s="135">
        <v>790.41267941086949</v>
      </c>
      <c r="BE450" s="135">
        <v>798.42617696198408</v>
      </c>
      <c r="BF450" s="40"/>
      <c r="BG450" s="135">
        <v>414.87737396751379</v>
      </c>
      <c r="BH450" s="135">
        <v>396.31591490507668</v>
      </c>
      <c r="BI450" s="49">
        <v>1588.8388563728536</v>
      </c>
      <c r="BJ450" s="49">
        <v>811.19328887259053</v>
      </c>
      <c r="BK450" s="66">
        <v>-1.0036616762248429E-2</v>
      </c>
      <c r="BL450" s="66">
        <v>4.6835008043728976E-2</v>
      </c>
      <c r="BM450" s="51">
        <v>21.298107994274179</v>
      </c>
      <c r="BN450" s="51">
        <v>10.873904676576281</v>
      </c>
      <c r="BO450" s="136"/>
      <c r="BP450" s="40"/>
      <c r="BQ450" s="40"/>
      <c r="BR450" s="67"/>
      <c r="BS450" s="54" t="s">
        <v>110</v>
      </c>
      <c r="BT450" s="68"/>
      <c r="BU450" s="69"/>
      <c r="BV450" s="3"/>
      <c r="BW450" s="3"/>
      <c r="BX450" s="70"/>
      <c r="BY450" s="70"/>
      <c r="BZ450" s="59"/>
      <c r="CA450" s="59"/>
      <c r="CB450" s="59" t="s">
        <v>110</v>
      </c>
      <c r="CC450" s="59" t="s">
        <v>110</v>
      </c>
      <c r="CD450" s="60"/>
      <c r="CE450" s="60"/>
      <c r="CF450" s="61"/>
      <c r="CG450" s="61"/>
      <c r="CH450" s="61"/>
      <c r="CI450" s="138">
        <v>13.3</v>
      </c>
      <c r="CJ450" s="40">
        <f>VLOOKUP(paper3[[#This Row],[YYIR nivå]],$DB:$DC,2)</f>
        <v>400</v>
      </c>
      <c r="CK450" s="3"/>
      <c r="CL450" s="62"/>
      <c r="CM450" s="62"/>
      <c r="CN450" s="3"/>
      <c r="CO450" s="3"/>
      <c r="CP450" s="41">
        <v>17.291666666666668</v>
      </c>
      <c r="CQ450" s="3"/>
      <c r="CR450" s="40" t="s">
        <v>110</v>
      </c>
      <c r="CS450" s="40" t="s">
        <v>110</v>
      </c>
      <c r="CT450" s="40" t="s">
        <v>110</v>
      </c>
      <c r="CU450" s="40"/>
      <c r="CV450" s="40"/>
      <c r="CW450" s="40"/>
      <c r="CX450" s="40"/>
      <c r="CY450" s="40" t="s">
        <v>207</v>
      </c>
      <c r="CZ450" s="40"/>
      <c r="DA450" s="40"/>
    </row>
    <row r="451" spans="1:105" ht="15.75" customHeight="1">
      <c r="A451" s="3">
        <v>920</v>
      </c>
      <c r="B451" s="92" t="s">
        <v>199</v>
      </c>
      <c r="C451" s="143" t="s">
        <v>104</v>
      </c>
      <c r="D451" s="3" t="s">
        <v>105</v>
      </c>
      <c r="E451" s="144">
        <v>45086</v>
      </c>
      <c r="F451" s="3" t="s">
        <v>186</v>
      </c>
      <c r="G451" s="3" t="s">
        <v>107</v>
      </c>
      <c r="H451" s="3">
        <v>2006</v>
      </c>
      <c r="I451" s="40" t="s">
        <v>121</v>
      </c>
      <c r="J451" s="39" t="str">
        <f>paper3[[#This Row],[sex]]&amp;paper3[[#This Row],[ageg]]</f>
        <v>girlsU18</v>
      </c>
      <c r="K451" s="3">
        <v>167.2</v>
      </c>
      <c r="L451" s="3">
        <v>167.2</v>
      </c>
      <c r="M451" s="3"/>
      <c r="N451" s="3">
        <v>157.5</v>
      </c>
      <c r="O451" s="3">
        <v>157.5</v>
      </c>
      <c r="P451" s="3"/>
      <c r="Q451" s="3">
        <v>66.8</v>
      </c>
      <c r="R451" s="3"/>
      <c r="S451" s="3"/>
      <c r="T451" s="125">
        <v>167.2</v>
      </c>
      <c r="U451" s="126">
        <v>87.3</v>
      </c>
      <c r="V451" s="12">
        <f>paper3[[#This Row],[height]]-paper3[[#This Row],[sittingheight]]</f>
        <v>79.899999999999991</v>
      </c>
      <c r="W451" s="127">
        <v>66.8</v>
      </c>
      <c r="X451" s="43" cm="1">
        <f t="array" ref="X451">INDEX([1]!phvny[yphv], MATCH(1, (paper3[[#This Row],[id]]=[1]!phvny[id])*(paper3[[#This Row],[time]]=[1]!phvny[time]), 0))</f>
        <v>3.6981312291448694</v>
      </c>
      <c r="Y451" s="3">
        <v>1.8420000000000001</v>
      </c>
      <c r="Z451" s="3">
        <v>3.3220000000000001</v>
      </c>
      <c r="AA451" s="3">
        <v>4.7430000000000003</v>
      </c>
      <c r="AB451" s="3">
        <v>1.831</v>
      </c>
      <c r="AC451" s="3">
        <v>3.339</v>
      </c>
      <c r="AD451" s="3">
        <v>4.7460000000000004</v>
      </c>
      <c r="AE451" s="3">
        <v>1.798</v>
      </c>
      <c r="AF451" s="3">
        <v>3.2930000000000001</v>
      </c>
      <c r="AG451" s="3">
        <v>4.7320000000000002</v>
      </c>
      <c r="AH451" s="130">
        <v>2.008</v>
      </c>
      <c r="AI451" s="130">
        <v>3.4730000000000003</v>
      </c>
      <c r="AJ451" s="130">
        <v>4.9420000000000002</v>
      </c>
      <c r="AK451" s="45">
        <v>6.8073519400953035</v>
      </c>
      <c r="AL451" s="3"/>
      <c r="AM451" s="3"/>
      <c r="AN451" s="3"/>
      <c r="AO451" s="3"/>
      <c r="AP451" s="137"/>
      <c r="AQ451" s="132"/>
      <c r="AR451" s="132"/>
      <c r="AS451" s="3" t="s">
        <v>209</v>
      </c>
      <c r="AT451" s="3" t="s">
        <v>210</v>
      </c>
      <c r="AU451" s="3">
        <v>22</v>
      </c>
      <c r="AV451" s="3"/>
      <c r="AW451" s="3"/>
      <c r="AX451" s="133">
        <v>24.96</v>
      </c>
      <c r="AY451" s="134"/>
      <c r="AZ451" s="40"/>
      <c r="BA451" s="40"/>
      <c r="BB451" s="40"/>
      <c r="BC451" s="40"/>
      <c r="BD451" s="135">
        <v>878.7334069285605</v>
      </c>
      <c r="BE451" s="135">
        <v>893.95854689228872</v>
      </c>
      <c r="BF451" s="40"/>
      <c r="BG451" s="135">
        <v>446.92789147143151</v>
      </c>
      <c r="BH451" s="135">
        <v>436.70325544712284</v>
      </c>
      <c r="BI451" s="49">
        <v>1772.6919538208492</v>
      </c>
      <c r="BJ451" s="49">
        <v>883.63114691855435</v>
      </c>
      <c r="BK451" s="66">
        <v>-1.7031147603718488E-2</v>
      </c>
      <c r="BL451" s="66">
        <v>2.3413235181496628E-2</v>
      </c>
      <c r="BM451" s="51">
        <v>26.537304697916905</v>
      </c>
      <c r="BN451" s="51">
        <v>13.228011181415486</v>
      </c>
      <c r="BO451" s="136"/>
      <c r="BP451" s="40"/>
      <c r="BQ451" s="40"/>
      <c r="BR451" s="67"/>
      <c r="BS451" s="54" t="s">
        <v>110</v>
      </c>
      <c r="BT451" s="68"/>
      <c r="BU451" s="69"/>
      <c r="BV451" s="3"/>
      <c r="BW451" s="3"/>
      <c r="BX451" s="70"/>
      <c r="BY451" s="70"/>
      <c r="BZ451" s="59"/>
      <c r="CA451" s="59"/>
      <c r="CB451" s="59" t="s">
        <v>110</v>
      </c>
      <c r="CC451" s="59" t="s">
        <v>110</v>
      </c>
      <c r="CD451" s="60"/>
      <c r="CE451" s="60"/>
      <c r="CF451" s="61"/>
      <c r="CG451" s="61"/>
      <c r="CH451" s="61"/>
      <c r="CI451" s="138"/>
      <c r="CJ451" s="40"/>
      <c r="CK451" s="3"/>
      <c r="CL451" s="62"/>
      <c r="CM451" s="62"/>
      <c r="CN451" s="3"/>
      <c r="CO451" s="3"/>
      <c r="CP451" s="41">
        <v>17.097222222222221</v>
      </c>
      <c r="CQ451" s="3"/>
      <c r="CR451" s="40" t="s">
        <v>110</v>
      </c>
      <c r="CS451" s="40" t="s">
        <v>110</v>
      </c>
      <c r="CT451" s="40" t="s">
        <v>110</v>
      </c>
      <c r="CU451" s="40"/>
      <c r="CV451" s="40"/>
      <c r="CW451" s="40"/>
      <c r="CX451" s="40"/>
      <c r="CY451" s="40" t="s">
        <v>204</v>
      </c>
      <c r="CZ451" s="40"/>
      <c r="DA451" s="40"/>
    </row>
    <row r="452" spans="1:105" ht="15.75" customHeight="1">
      <c r="A452" s="3">
        <v>921</v>
      </c>
      <c r="B452" s="92" t="s">
        <v>199</v>
      </c>
      <c r="C452" s="143" t="s">
        <v>104</v>
      </c>
      <c r="D452" s="3" t="s">
        <v>105</v>
      </c>
      <c r="E452" s="144">
        <v>45086</v>
      </c>
      <c r="F452" s="3" t="s">
        <v>186</v>
      </c>
      <c r="G452" s="3" t="s">
        <v>107</v>
      </c>
      <c r="H452" s="3">
        <v>2006</v>
      </c>
      <c r="I452" s="40" t="s">
        <v>121</v>
      </c>
      <c r="J452" s="39" t="str">
        <f>paper3[[#This Row],[sex]]&amp;paper3[[#This Row],[ageg]]</f>
        <v>girlsU18</v>
      </c>
      <c r="K452" s="3">
        <v>166</v>
      </c>
      <c r="L452" s="3">
        <v>166</v>
      </c>
      <c r="M452" s="3"/>
      <c r="N452" s="3">
        <v>161</v>
      </c>
      <c r="O452" s="3">
        <v>161</v>
      </c>
      <c r="P452" s="3"/>
      <c r="Q452" s="3">
        <v>68.400000000000006</v>
      </c>
      <c r="R452" s="3"/>
      <c r="S452" s="3"/>
      <c r="T452" s="125">
        <v>166</v>
      </c>
      <c r="U452" s="126">
        <v>90.8</v>
      </c>
      <c r="V452" s="12">
        <f>paper3[[#This Row],[height]]-paper3[[#This Row],[sittingheight]]</f>
        <v>75.2</v>
      </c>
      <c r="W452" s="127">
        <v>68.400000000000006</v>
      </c>
      <c r="X452" s="43" cm="1">
        <f t="array" ref="X452">INDEX([1]!phvny[yphv], MATCH(1, (paper3[[#This Row],[id]]=[1]!phvny[id])*(paper3[[#This Row],[time]]=[1]!phvny[time]), 0))</f>
        <v>3.6027068256546197</v>
      </c>
      <c r="Y452" s="3">
        <v>1.911</v>
      </c>
      <c r="Z452" s="3">
        <v>3.488</v>
      </c>
      <c r="AA452" s="3">
        <v>5.0060000000000002</v>
      </c>
      <c r="AB452" s="3">
        <v>1.9039999999999999</v>
      </c>
      <c r="AC452" s="3">
        <v>3.4990000000000001</v>
      </c>
      <c r="AD452" s="3">
        <v>5.008</v>
      </c>
      <c r="AE452" s="3">
        <v>1.9179999999999999</v>
      </c>
      <c r="AF452" s="3">
        <v>3.504</v>
      </c>
      <c r="AG452" s="3">
        <v>5.0179999999999998</v>
      </c>
      <c r="AH452" s="130">
        <v>2.1139999999999999</v>
      </c>
      <c r="AI452" s="130">
        <v>3.6680000000000001</v>
      </c>
      <c r="AJ452" s="130">
        <v>5.2160000000000002</v>
      </c>
      <c r="AK452" s="45">
        <v>6.4599483204134369</v>
      </c>
      <c r="AL452" s="3"/>
      <c r="AM452" s="3"/>
      <c r="AN452" s="3"/>
      <c r="AO452" s="3"/>
      <c r="AP452" s="137"/>
      <c r="AQ452" s="132"/>
      <c r="AR452" s="132"/>
      <c r="AS452" s="3">
        <v>21.7</v>
      </c>
      <c r="AT452" s="3">
        <v>21.4</v>
      </c>
      <c r="AU452" s="3">
        <v>23.6</v>
      </c>
      <c r="AV452" s="3"/>
      <c r="AW452" s="3"/>
      <c r="AX452" s="133">
        <v>26.560000000000002</v>
      </c>
      <c r="AY452" s="134"/>
      <c r="AZ452" s="40"/>
      <c r="BA452" s="40"/>
      <c r="BB452" s="40"/>
      <c r="BC452" s="40"/>
      <c r="BD452" s="135">
        <v>1079.4835054665236</v>
      </c>
      <c r="BE452" s="135">
        <v>1079.153358117487</v>
      </c>
      <c r="BF452" s="40"/>
      <c r="BG452" s="135">
        <v>451.30343781901956</v>
      </c>
      <c r="BH452" s="135">
        <v>488.90335685097239</v>
      </c>
      <c r="BI452" s="49">
        <v>2158.6368635840108</v>
      </c>
      <c r="BJ452" s="49">
        <v>940.20679466999195</v>
      </c>
      <c r="BK452" s="66">
        <v>3.0593181826588101E-4</v>
      </c>
      <c r="BL452" s="66">
        <v>-7.6906649351180523E-2</v>
      </c>
      <c r="BM452" s="51">
        <v>31.559018473450447</v>
      </c>
      <c r="BN452" s="51">
        <v>13.745713372368302</v>
      </c>
      <c r="BO452" s="136"/>
      <c r="BP452" s="40"/>
      <c r="BQ452" s="40"/>
      <c r="BR452" s="67"/>
      <c r="BS452" s="54" t="s">
        <v>110</v>
      </c>
      <c r="BT452" s="68"/>
      <c r="BU452" s="69"/>
      <c r="BV452" s="3"/>
      <c r="BW452" s="3"/>
      <c r="BX452" s="70"/>
      <c r="BY452" s="70"/>
      <c r="BZ452" s="59"/>
      <c r="CA452" s="59"/>
      <c r="CB452" s="59" t="s">
        <v>110</v>
      </c>
      <c r="CC452" s="59" t="s">
        <v>110</v>
      </c>
      <c r="CD452" s="60"/>
      <c r="CE452" s="60"/>
      <c r="CF452" s="61"/>
      <c r="CG452" s="61"/>
      <c r="CH452" s="61"/>
      <c r="CI452" s="138"/>
      <c r="CJ452" s="40"/>
      <c r="CK452" s="3"/>
      <c r="CL452" s="62"/>
      <c r="CM452" s="62"/>
      <c r="CN452" s="3"/>
      <c r="CO452" s="3"/>
      <c r="CP452" s="41">
        <v>16.583333333333332</v>
      </c>
      <c r="CQ452" s="3"/>
      <c r="CR452" s="40" t="s">
        <v>110</v>
      </c>
      <c r="CS452" s="40" t="s">
        <v>110</v>
      </c>
      <c r="CT452" s="40" t="s">
        <v>110</v>
      </c>
      <c r="CU452" s="40"/>
      <c r="CV452" s="40"/>
      <c r="CW452" s="40"/>
      <c r="CX452" s="40"/>
      <c r="CY452" s="40" t="s">
        <v>206</v>
      </c>
      <c r="CZ452" s="40"/>
      <c r="DA452" s="40"/>
    </row>
    <row r="453" spans="1:105" ht="15.75" customHeight="1">
      <c r="A453" s="3">
        <v>922</v>
      </c>
      <c r="B453" s="92" t="s">
        <v>199</v>
      </c>
      <c r="C453" s="143" t="s">
        <v>104</v>
      </c>
      <c r="D453" s="3" t="s">
        <v>105</v>
      </c>
      <c r="E453" s="144">
        <v>45086</v>
      </c>
      <c r="F453" s="3" t="s">
        <v>186</v>
      </c>
      <c r="G453" s="3" t="s">
        <v>107</v>
      </c>
      <c r="H453" s="3">
        <v>2006</v>
      </c>
      <c r="I453" s="40" t="s">
        <v>121</v>
      </c>
      <c r="J453" s="39" t="str">
        <f>paper3[[#This Row],[sex]]&amp;paper3[[#This Row],[ageg]]</f>
        <v>girlsU18</v>
      </c>
      <c r="K453" s="3">
        <v>172</v>
      </c>
      <c r="L453" s="3">
        <v>172</v>
      </c>
      <c r="M453" s="3"/>
      <c r="N453" s="3">
        <v>158.5</v>
      </c>
      <c r="O453" s="3">
        <v>158.6</v>
      </c>
      <c r="P453" s="3"/>
      <c r="Q453" s="3">
        <v>82.3</v>
      </c>
      <c r="R453" s="3"/>
      <c r="S453" s="3"/>
      <c r="T453" s="125">
        <v>172</v>
      </c>
      <c r="U453" s="126">
        <v>88.350000000000009</v>
      </c>
      <c r="V453" s="12">
        <f>paper3[[#This Row],[height]]-paper3[[#This Row],[sittingheight]]</f>
        <v>83.649999999999991</v>
      </c>
      <c r="W453" s="127">
        <v>82.3</v>
      </c>
      <c r="X453" s="43" cm="1">
        <f t="array" ref="X453">INDEX([1]!phvny[yphv], MATCH(1, (paper3[[#This Row],[id]]=[1]!phvny[id])*(paper3[[#This Row],[time]]=[1]!phvny[time]), 0))</f>
        <v>3.7969325454838501</v>
      </c>
      <c r="Y453" s="3">
        <v>1.9770000000000001</v>
      </c>
      <c r="Z453" s="3">
        <v>3.5760000000000001</v>
      </c>
      <c r="AA453" s="3">
        <v>5.14</v>
      </c>
      <c r="AB453" s="3">
        <v>1.9990000000000001</v>
      </c>
      <c r="AC453" s="3">
        <v>3.6669999999999998</v>
      </c>
      <c r="AD453" s="3">
        <v>5.2709999999999999</v>
      </c>
      <c r="AE453" s="3">
        <v>2.0259999999999998</v>
      </c>
      <c r="AF453" s="3">
        <v>3.6739999999999999</v>
      </c>
      <c r="AG453" s="3">
        <v>5.2939999999999996</v>
      </c>
      <c r="AH453" s="130">
        <v>2.1870000000000003</v>
      </c>
      <c r="AI453" s="130">
        <v>3.7560000000000002</v>
      </c>
      <c r="AJ453" s="130">
        <v>5.35</v>
      </c>
      <c r="AK453" s="45">
        <v>6.2735257214554601</v>
      </c>
      <c r="AL453" s="3">
        <v>11.47</v>
      </c>
      <c r="AM453" s="3">
        <v>11.2</v>
      </c>
      <c r="AN453" s="3">
        <v>10.94</v>
      </c>
      <c r="AO453" s="3">
        <v>10.86</v>
      </c>
      <c r="AP453" s="137">
        <v>11.729999999999999</v>
      </c>
      <c r="AQ453" s="132">
        <v>11.2</v>
      </c>
      <c r="AR453" s="132">
        <v>10.86</v>
      </c>
      <c r="AS453" s="3">
        <v>22.7</v>
      </c>
      <c r="AT453" s="3">
        <v>22.4</v>
      </c>
      <c r="AU453" s="3">
        <v>21.8</v>
      </c>
      <c r="AV453" s="3"/>
      <c r="AW453" s="3"/>
      <c r="AX453" s="133">
        <v>25.66</v>
      </c>
      <c r="AY453" s="134"/>
      <c r="AZ453" s="40"/>
      <c r="BA453" s="40"/>
      <c r="BB453" s="40"/>
      <c r="BC453" s="40"/>
      <c r="BD453" s="135">
        <v>950.3294913490206</v>
      </c>
      <c r="BE453" s="135">
        <v>909.19789442110732</v>
      </c>
      <c r="BF453" s="40"/>
      <c r="BG453" s="135">
        <v>496.99746024091763</v>
      </c>
      <c r="BH453" s="135">
        <v>479.74660216967038</v>
      </c>
      <c r="BI453" s="49">
        <v>1859.5273857701279</v>
      </c>
      <c r="BJ453" s="49">
        <v>976.74406241058796</v>
      </c>
      <c r="BK453" s="66">
        <v>4.5239432669498258E-2</v>
      </c>
      <c r="BL453" s="66">
        <v>3.5958270456173391E-2</v>
      </c>
      <c r="BM453" s="51">
        <v>22.594500434630959</v>
      </c>
      <c r="BN453" s="51">
        <v>11.868093103409331</v>
      </c>
      <c r="BO453" s="136"/>
      <c r="BP453" s="40"/>
      <c r="BQ453" s="40"/>
      <c r="BR453" s="67"/>
      <c r="BS453" s="54" t="s">
        <v>110</v>
      </c>
      <c r="BT453" s="68"/>
      <c r="BU453" s="69"/>
      <c r="BV453" s="3"/>
      <c r="BW453" s="3"/>
      <c r="BX453" s="70"/>
      <c r="BY453" s="70"/>
      <c r="BZ453" s="59"/>
      <c r="CA453" s="59"/>
      <c r="CB453" s="59" t="s">
        <v>110</v>
      </c>
      <c r="CC453" s="59" t="s">
        <v>110</v>
      </c>
      <c r="CD453" s="60"/>
      <c r="CE453" s="60"/>
      <c r="CF453" s="61"/>
      <c r="CG453" s="61"/>
      <c r="CH453" s="61"/>
      <c r="CI453" s="138">
        <v>13.3</v>
      </c>
      <c r="CJ453" s="40">
        <f>VLOOKUP(paper3[[#This Row],[YYIR nivå]],$DB:$DC,2)</f>
        <v>400</v>
      </c>
      <c r="CK453" s="3"/>
      <c r="CL453" s="62"/>
      <c r="CM453" s="62"/>
      <c r="CN453" s="3"/>
      <c r="CO453" s="3"/>
      <c r="CP453" s="41">
        <v>16.830555555555556</v>
      </c>
      <c r="CQ453" s="3"/>
      <c r="CR453" s="40" t="s">
        <v>110</v>
      </c>
      <c r="CS453" s="40" t="s">
        <v>110</v>
      </c>
      <c r="CT453" s="40" t="s">
        <v>110</v>
      </c>
      <c r="CU453" s="40"/>
      <c r="CV453" s="40"/>
      <c r="CW453" s="40"/>
      <c r="CX453" s="40"/>
      <c r="CY453" s="40" t="s">
        <v>207</v>
      </c>
      <c r="CZ453" s="40"/>
      <c r="DA453" s="40"/>
    </row>
    <row r="454" spans="1:105" ht="15.75" customHeight="1">
      <c r="A454" s="3">
        <v>923</v>
      </c>
      <c r="B454" s="92" t="s">
        <v>199</v>
      </c>
      <c r="C454" s="143" t="s">
        <v>104</v>
      </c>
      <c r="D454" s="3" t="s">
        <v>105</v>
      </c>
      <c r="E454" s="144">
        <v>45086</v>
      </c>
      <c r="F454" s="3" t="s">
        <v>186</v>
      </c>
      <c r="G454" s="3" t="s">
        <v>107</v>
      </c>
      <c r="H454" s="3">
        <v>2006</v>
      </c>
      <c r="I454" s="40" t="s">
        <v>121</v>
      </c>
      <c r="J454" s="39" t="str">
        <f>paper3[[#This Row],[sex]]&amp;paper3[[#This Row],[ageg]]</f>
        <v>girlsU18</v>
      </c>
      <c r="K454" s="3">
        <v>161.4</v>
      </c>
      <c r="L454" s="3">
        <v>161.30000000000001</v>
      </c>
      <c r="M454" s="3"/>
      <c r="N454" s="3">
        <v>156.4</v>
      </c>
      <c r="O454" s="3">
        <v>156.4</v>
      </c>
      <c r="P454" s="3"/>
      <c r="Q454" s="3">
        <v>62.8</v>
      </c>
      <c r="R454" s="3"/>
      <c r="S454" s="3"/>
      <c r="T454" s="125">
        <v>161.35000000000002</v>
      </c>
      <c r="U454" s="126">
        <v>86.2</v>
      </c>
      <c r="V454" s="12">
        <f>paper3[[#This Row],[height]]-paper3[[#This Row],[sittingheight]]</f>
        <v>75.15000000000002</v>
      </c>
      <c r="W454" s="127">
        <v>62.8</v>
      </c>
      <c r="X454" s="43" cm="1">
        <f t="array" ref="X454">INDEX([1]!phvny[yphv], MATCH(1, (paper3[[#This Row],[id]]=[1]!phvny[id])*(paper3[[#This Row],[time]]=[1]!phvny[time]), 0))</f>
        <v>3.546775439380335</v>
      </c>
      <c r="Y454" s="3">
        <v>1.8160000000000001</v>
      </c>
      <c r="Z454" s="3">
        <v>3.3519999999999999</v>
      </c>
      <c r="AA454" s="3">
        <v>4.82</v>
      </c>
      <c r="AB454" s="3">
        <v>1.8240000000000001</v>
      </c>
      <c r="AC454" s="3">
        <v>3.34</v>
      </c>
      <c r="AD454" s="3">
        <v>4.7649999999999997</v>
      </c>
      <c r="AE454" s="3">
        <v>1.911</v>
      </c>
      <c r="AF454" s="3">
        <v>3.415</v>
      </c>
      <c r="AG454" s="3">
        <v>4.8310000000000004</v>
      </c>
      <c r="AH454" s="130">
        <v>2.0260000000000002</v>
      </c>
      <c r="AI454" s="130">
        <v>3.52</v>
      </c>
      <c r="AJ454" s="130">
        <v>4.9749999999999996</v>
      </c>
      <c r="AK454" s="45">
        <v>6.8728522336769773</v>
      </c>
      <c r="AL454" s="3"/>
      <c r="AM454" s="3"/>
      <c r="AN454" s="3"/>
      <c r="AO454" s="3"/>
      <c r="AP454" s="137"/>
      <c r="AQ454" s="132"/>
      <c r="AR454" s="132"/>
      <c r="AS454" s="3">
        <v>23.7</v>
      </c>
      <c r="AT454" s="3">
        <v>22.4</v>
      </c>
      <c r="AU454" s="3">
        <v>23.3</v>
      </c>
      <c r="AV454" s="3"/>
      <c r="AW454" s="3"/>
      <c r="AX454" s="133">
        <v>26.66</v>
      </c>
      <c r="AY454" s="134"/>
      <c r="AZ454" s="40"/>
      <c r="BA454" s="40"/>
      <c r="BB454" s="40"/>
      <c r="BC454" s="40"/>
      <c r="BD454" s="135">
        <v>827.24795073601285</v>
      </c>
      <c r="BE454" s="135">
        <v>834.47519603453429</v>
      </c>
      <c r="BF454" s="40"/>
      <c r="BG454" s="135">
        <v>439.70077943915476</v>
      </c>
      <c r="BH454" s="135">
        <v>446.54789081090428</v>
      </c>
      <c r="BI454" s="49">
        <v>1661.7231467705471</v>
      </c>
      <c r="BJ454" s="49">
        <v>886.24867025005904</v>
      </c>
      <c r="BK454" s="66">
        <v>-8.6608269878669653E-3</v>
      </c>
      <c r="BL454" s="66">
        <v>-1.5333431223503391E-2</v>
      </c>
      <c r="BM454" s="51">
        <v>26.46055966195139</v>
      </c>
      <c r="BN454" s="51">
        <v>14.112239972134699</v>
      </c>
      <c r="BO454" s="136"/>
      <c r="BP454" s="40"/>
      <c r="BQ454" s="40"/>
      <c r="BR454" s="67"/>
      <c r="BS454" s="54" t="s">
        <v>110</v>
      </c>
      <c r="BT454" s="68"/>
      <c r="BU454" s="69"/>
      <c r="BV454" s="3"/>
      <c r="BW454" s="3"/>
      <c r="BX454" s="70"/>
      <c r="BY454" s="70"/>
      <c r="BZ454" s="59"/>
      <c r="CA454" s="59"/>
      <c r="CB454" s="59" t="s">
        <v>110</v>
      </c>
      <c r="CC454" s="59" t="s">
        <v>110</v>
      </c>
      <c r="CD454" s="60"/>
      <c r="CE454" s="60"/>
      <c r="CF454" s="61"/>
      <c r="CG454" s="61"/>
      <c r="CH454" s="61"/>
      <c r="CI454" s="138"/>
      <c r="CJ454" s="40"/>
      <c r="CK454" s="3"/>
      <c r="CL454" s="62"/>
      <c r="CM454" s="62"/>
      <c r="CN454" s="3"/>
      <c r="CO454" s="3"/>
      <c r="CP454" s="41">
        <v>17.352777777777778</v>
      </c>
      <c r="CQ454" s="3"/>
      <c r="CR454" s="40" t="s">
        <v>110</v>
      </c>
      <c r="CS454" s="40" t="s">
        <v>110</v>
      </c>
      <c r="CT454" s="40" t="s">
        <v>110</v>
      </c>
      <c r="CU454" s="40"/>
      <c r="CV454" s="40"/>
      <c r="CW454" s="40"/>
      <c r="CX454" s="40"/>
      <c r="CY454" s="40" t="s">
        <v>206</v>
      </c>
      <c r="CZ454" s="40"/>
      <c r="DA454" s="40"/>
    </row>
    <row r="455" spans="1:105" ht="15.75" customHeight="1">
      <c r="A455" s="3">
        <v>924</v>
      </c>
      <c r="B455" s="92" t="s">
        <v>199</v>
      </c>
      <c r="C455" s="143" t="s">
        <v>104</v>
      </c>
      <c r="D455" s="3" t="s">
        <v>105</v>
      </c>
      <c r="E455" s="144">
        <v>45086</v>
      </c>
      <c r="F455" s="3" t="s">
        <v>186</v>
      </c>
      <c r="G455" s="3" t="s">
        <v>107</v>
      </c>
      <c r="H455" s="3">
        <v>2006</v>
      </c>
      <c r="I455" s="40" t="s">
        <v>121</v>
      </c>
      <c r="J455" s="39" t="str">
        <f>paper3[[#This Row],[sex]]&amp;paper3[[#This Row],[ageg]]</f>
        <v>girlsU18</v>
      </c>
      <c r="K455" s="3">
        <v>171.2</v>
      </c>
      <c r="L455" s="3">
        <v>171.2</v>
      </c>
      <c r="M455" s="3"/>
      <c r="N455" s="3">
        <v>162</v>
      </c>
      <c r="O455" s="3">
        <v>162</v>
      </c>
      <c r="P455" s="3"/>
      <c r="Q455" s="3">
        <v>61.9</v>
      </c>
      <c r="R455" s="3"/>
      <c r="S455" s="3"/>
      <c r="T455" s="125">
        <v>171.2</v>
      </c>
      <c r="U455" s="126">
        <v>91.8</v>
      </c>
      <c r="V455" s="12">
        <f>paper3[[#This Row],[height]]-paper3[[#This Row],[sittingheight]]</f>
        <v>79.399999999999991</v>
      </c>
      <c r="W455" s="127">
        <v>61.9</v>
      </c>
      <c r="X455" s="43" cm="1">
        <f t="array" ref="X455">INDEX([1]!phvny[yphv], MATCH(1, (paper3[[#This Row],[id]]=[1]!phvny[id])*(paper3[[#This Row],[time]]=[1]!phvny[time]), 0))</f>
        <v>4.0653087243738311</v>
      </c>
      <c r="Y455" s="3">
        <v>1.8620000000000001</v>
      </c>
      <c r="Z455" s="3">
        <v>3.3340000000000001</v>
      </c>
      <c r="AA455" s="3">
        <v>4.72</v>
      </c>
      <c r="AB455" s="3">
        <v>1.962</v>
      </c>
      <c r="AC455" s="3">
        <v>3.4649999999999999</v>
      </c>
      <c r="AD455" s="3">
        <v>4.8979999999999997</v>
      </c>
      <c r="AE455" s="3">
        <v>1.879</v>
      </c>
      <c r="AF455" s="3">
        <v>3.403</v>
      </c>
      <c r="AG455" s="3">
        <v>4.8520000000000003</v>
      </c>
      <c r="AH455" s="130">
        <v>2.0720000000000001</v>
      </c>
      <c r="AI455" s="130">
        <v>3.5140000000000002</v>
      </c>
      <c r="AJ455" s="130">
        <v>4.93</v>
      </c>
      <c r="AK455" s="45">
        <v>7.0621468926553694</v>
      </c>
      <c r="AL455" s="3">
        <v>10.31</v>
      </c>
      <c r="AM455" s="3">
        <v>10.11</v>
      </c>
      <c r="AN455" s="3">
        <v>10.130000000000001</v>
      </c>
      <c r="AO455" s="3">
        <v>9.94</v>
      </c>
      <c r="AP455" s="137">
        <v>10.809999999999999</v>
      </c>
      <c r="AQ455" s="132">
        <v>10.11</v>
      </c>
      <c r="AR455" s="132">
        <v>9.94</v>
      </c>
      <c r="AS455" s="3" t="s">
        <v>211</v>
      </c>
      <c r="AT455" s="3" t="s">
        <v>212</v>
      </c>
      <c r="AU455" s="3">
        <v>25.5</v>
      </c>
      <c r="AV455" s="3"/>
      <c r="AW455" s="3"/>
      <c r="AX455" s="133">
        <v>28.46</v>
      </c>
      <c r="AY455" s="134"/>
      <c r="AZ455" s="40"/>
      <c r="BA455" s="40"/>
      <c r="BB455" s="40"/>
      <c r="BC455" s="40"/>
      <c r="BD455" s="135">
        <v>1005.2289863882731</v>
      </c>
      <c r="BE455" s="135">
        <v>985.16512461712591</v>
      </c>
      <c r="BF455" s="40"/>
      <c r="BG455" s="135">
        <v>444.68759247345668</v>
      </c>
      <c r="BH455" s="135">
        <v>444.59655251679959</v>
      </c>
      <c r="BI455" s="49">
        <v>1990.3941110053991</v>
      </c>
      <c r="BJ455" s="49">
        <v>889.28414499025621</v>
      </c>
      <c r="BK455" s="66">
        <v>2.0365988675192792E-2</v>
      </c>
      <c r="BL455" s="66">
        <v>2.0476982140715805E-4</v>
      </c>
      <c r="BM455" s="51">
        <v>32.154993715757662</v>
      </c>
      <c r="BN455" s="51">
        <v>14.366464377871667</v>
      </c>
      <c r="BO455" s="136"/>
      <c r="BP455" s="40"/>
      <c r="BQ455" s="40"/>
      <c r="BR455" s="67"/>
      <c r="BS455" s="54" t="s">
        <v>110</v>
      </c>
      <c r="BT455" s="68"/>
      <c r="BU455" s="69"/>
      <c r="BV455" s="3"/>
      <c r="BW455" s="3"/>
      <c r="BX455" s="70"/>
      <c r="BY455" s="70"/>
      <c r="BZ455" s="59"/>
      <c r="CA455" s="59"/>
      <c r="CB455" s="59" t="s">
        <v>110</v>
      </c>
      <c r="CC455" s="59" t="s">
        <v>110</v>
      </c>
      <c r="CD455" s="60"/>
      <c r="CE455" s="60"/>
      <c r="CF455" s="61"/>
      <c r="CG455" s="61"/>
      <c r="CH455" s="61"/>
      <c r="CI455" s="138">
        <v>16.7</v>
      </c>
      <c r="CJ455" s="40">
        <f>VLOOKUP(paper3[[#This Row],[YYIR nivå]],$DB:$DC,2)</f>
        <v>1360</v>
      </c>
      <c r="CK455" s="3"/>
      <c r="CL455" s="62"/>
      <c r="CM455" s="62"/>
      <c r="CN455" s="3"/>
      <c r="CO455" s="3"/>
      <c r="CP455" s="41">
        <v>17</v>
      </c>
      <c r="CQ455" s="3"/>
      <c r="CR455" s="40" t="s">
        <v>110</v>
      </c>
      <c r="CS455" s="40" t="s">
        <v>110</v>
      </c>
      <c r="CT455" s="40" t="s">
        <v>110</v>
      </c>
      <c r="CU455" s="40"/>
      <c r="CV455" s="40"/>
      <c r="CW455" s="40"/>
      <c r="CX455" s="40"/>
      <c r="CY455" s="40" t="s">
        <v>206</v>
      </c>
      <c r="CZ455" s="40"/>
      <c r="DA455" s="40"/>
    </row>
    <row r="456" spans="1:105" ht="15.75" customHeight="1">
      <c r="A456" s="3">
        <v>925</v>
      </c>
      <c r="B456" s="92" t="s">
        <v>199</v>
      </c>
      <c r="C456" s="143" t="s">
        <v>171</v>
      </c>
      <c r="D456" s="3" t="s">
        <v>105</v>
      </c>
      <c r="E456" s="144">
        <v>45086</v>
      </c>
      <c r="F456" s="3" t="s">
        <v>186</v>
      </c>
      <c r="G456" s="3" t="s">
        <v>107</v>
      </c>
      <c r="H456" s="3">
        <v>2006</v>
      </c>
      <c r="I456" s="40" t="s">
        <v>121</v>
      </c>
      <c r="J456" s="39" t="str">
        <f>paper3[[#This Row],[sex]]&amp;paper3[[#This Row],[ageg]]</f>
        <v>girlsU18</v>
      </c>
      <c r="K456" s="3">
        <v>165.9</v>
      </c>
      <c r="L456" s="3">
        <v>165.9</v>
      </c>
      <c r="M456" s="3"/>
      <c r="N456" s="3">
        <v>160.5</v>
      </c>
      <c r="O456" s="3">
        <v>160.5</v>
      </c>
      <c r="P456" s="3"/>
      <c r="Q456" s="3">
        <v>67.900000000000006</v>
      </c>
      <c r="R456" s="3"/>
      <c r="S456" s="3"/>
      <c r="T456" s="125">
        <v>165.9</v>
      </c>
      <c r="U456" s="126">
        <v>90.3</v>
      </c>
      <c r="V456" s="12">
        <f>paper3[[#This Row],[height]]-paper3[[#This Row],[sittingheight]]</f>
        <v>75.600000000000009</v>
      </c>
      <c r="W456" s="127">
        <v>67.900000000000006</v>
      </c>
      <c r="X456" s="43" cm="1">
        <f t="array" ref="X456">INDEX([1]!phvny[yphv], MATCH(1, (paper3[[#This Row],[id]]=[1]!phvny[id])*(paper3[[#This Row],[time]]=[1]!phvny[time]), 0))</f>
        <v>3.6677337678459914</v>
      </c>
      <c r="Y456" s="3">
        <v>1.373</v>
      </c>
      <c r="Z456" s="3">
        <v>2.94</v>
      </c>
      <c r="AA456" s="3">
        <v>4.3760000000000003</v>
      </c>
      <c r="AB456" s="3">
        <v>1.333</v>
      </c>
      <c r="AC456" s="3">
        <v>2.8959999999999999</v>
      </c>
      <c r="AD456" s="3">
        <v>4.3360000000000003</v>
      </c>
      <c r="AE456" s="3">
        <v>1.7989999999999999</v>
      </c>
      <c r="AF456" s="3">
        <v>3.3210000000000002</v>
      </c>
      <c r="AG456" s="3">
        <v>4.7880000000000003</v>
      </c>
      <c r="AH456" s="130">
        <v>2.0089999999999999</v>
      </c>
      <c r="AI456" s="130">
        <v>3.0760000000000001</v>
      </c>
      <c r="AJ456" s="130">
        <v>4.9980000000000002</v>
      </c>
      <c r="AK456" s="45">
        <v>5.2029136316337148</v>
      </c>
      <c r="AL456" s="3">
        <v>9.98</v>
      </c>
      <c r="AM456" s="3">
        <v>10.34</v>
      </c>
      <c r="AN456" s="3">
        <v>10.67</v>
      </c>
      <c r="AO456" s="3">
        <v>10.63</v>
      </c>
      <c r="AP456" s="137">
        <v>10.85</v>
      </c>
      <c r="AQ456" s="132">
        <v>9.98</v>
      </c>
      <c r="AR456" s="132">
        <v>10.63</v>
      </c>
      <c r="AS456" s="3">
        <v>24.7</v>
      </c>
      <c r="AT456" s="3">
        <v>23.7</v>
      </c>
      <c r="AU456" s="3">
        <v>23.2</v>
      </c>
      <c r="AV456" s="3"/>
      <c r="AW456" s="3"/>
      <c r="AX456" s="133">
        <v>27.66</v>
      </c>
      <c r="AY456" s="134"/>
      <c r="AZ456" s="40"/>
      <c r="BA456" s="40"/>
      <c r="BB456" s="40"/>
      <c r="BC456" s="40"/>
      <c r="BD456" s="135">
        <v>1016.0698476712894</v>
      </c>
      <c r="BE456" s="135">
        <v>1000.8971040833063</v>
      </c>
      <c r="BF456" s="40"/>
      <c r="BG456" s="135">
        <v>489.8900896622016</v>
      </c>
      <c r="BH456" s="135">
        <v>468.77380091712791</v>
      </c>
      <c r="BI456" s="49">
        <v>2016.9669517545958</v>
      </c>
      <c r="BJ456" s="49">
        <v>958.66389057932952</v>
      </c>
      <c r="BK456" s="66">
        <v>1.5159144257770096E-2</v>
      </c>
      <c r="BL456" s="66">
        <v>4.5045795442836045E-2</v>
      </c>
      <c r="BM456" s="51">
        <v>29.704962470612603</v>
      </c>
      <c r="BN456" s="51">
        <v>14.118761275100582</v>
      </c>
      <c r="BO456" s="136"/>
      <c r="BP456" s="40"/>
      <c r="BQ456" s="40"/>
      <c r="BR456" s="67"/>
      <c r="BS456" s="54" t="s">
        <v>110</v>
      </c>
      <c r="BT456" s="68"/>
      <c r="BU456" s="69"/>
      <c r="BV456" s="3"/>
      <c r="BW456" s="3"/>
      <c r="BX456" s="70"/>
      <c r="BY456" s="70"/>
      <c r="BZ456" s="59"/>
      <c r="CA456" s="59"/>
      <c r="CB456" s="59" t="s">
        <v>110</v>
      </c>
      <c r="CC456" s="59" t="s">
        <v>110</v>
      </c>
      <c r="CD456" s="60"/>
      <c r="CE456" s="60"/>
      <c r="CF456" s="61"/>
      <c r="CG456" s="61"/>
      <c r="CH456" s="61"/>
      <c r="CI456" s="138">
        <v>14.7</v>
      </c>
      <c r="CJ456" s="40">
        <f>VLOOKUP(paper3[[#This Row],[YYIR nivå]],$DB:$DC,2)</f>
        <v>720</v>
      </c>
      <c r="CK456" s="3"/>
      <c r="CL456" s="62"/>
      <c r="CM456" s="62"/>
      <c r="CN456" s="3"/>
      <c r="CO456" s="3"/>
      <c r="CP456" s="41">
        <v>16.774999999999999</v>
      </c>
      <c r="CQ456" s="3"/>
      <c r="CR456" s="40" t="s">
        <v>110</v>
      </c>
      <c r="CS456" s="40" t="s">
        <v>110</v>
      </c>
      <c r="CT456" s="40" t="s">
        <v>110</v>
      </c>
      <c r="CU456" s="40"/>
      <c r="CV456" s="40"/>
      <c r="CW456" s="40"/>
      <c r="CX456" s="40"/>
      <c r="CY456" s="40" t="s">
        <v>204</v>
      </c>
      <c r="CZ456" s="40"/>
      <c r="DA456" s="40"/>
    </row>
    <row r="457" spans="1:105" ht="18.75" customHeight="1">
      <c r="A457" s="3">
        <v>926</v>
      </c>
      <c r="B457" s="92" t="s">
        <v>199</v>
      </c>
      <c r="C457" s="143" t="s">
        <v>104</v>
      </c>
      <c r="D457" s="3" t="s">
        <v>105</v>
      </c>
      <c r="E457" s="144">
        <v>45086</v>
      </c>
      <c r="F457" s="3" t="s">
        <v>186</v>
      </c>
      <c r="G457" s="3" t="s">
        <v>107</v>
      </c>
      <c r="H457" s="3">
        <v>2006</v>
      </c>
      <c r="I457" s="40" t="s">
        <v>121</v>
      </c>
      <c r="J457" s="39" t="str">
        <f>paper3[[#This Row],[sex]]&amp;paper3[[#This Row],[ageg]]</f>
        <v>girlsU18</v>
      </c>
      <c r="K457" s="3">
        <v>169</v>
      </c>
      <c r="L457" s="3">
        <v>169</v>
      </c>
      <c r="M457" s="3"/>
      <c r="N457" s="3">
        <v>158.9</v>
      </c>
      <c r="O457" s="3">
        <v>158.9</v>
      </c>
      <c r="P457" s="3"/>
      <c r="Q457" s="3">
        <v>73.7</v>
      </c>
      <c r="R457" s="3"/>
      <c r="S457" s="3"/>
      <c r="T457" s="125">
        <v>169</v>
      </c>
      <c r="U457" s="126">
        <v>88.7</v>
      </c>
      <c r="V457" s="12">
        <f>paper3[[#This Row],[height]]-paper3[[#This Row],[sittingheight]]</f>
        <v>80.3</v>
      </c>
      <c r="W457" s="127">
        <v>73.7</v>
      </c>
      <c r="X457" s="43" cm="1">
        <f t="array" ref="X457">INDEX([1]!phvny[yphv], MATCH(1, (paper3[[#This Row],[id]]=[1]!phvny[id])*(paper3[[#This Row],[time]]=[1]!phvny[time]), 0))</f>
        <v>3.9662946000276151</v>
      </c>
      <c r="Y457" s="3">
        <v>1.8440000000000001</v>
      </c>
      <c r="Z457" s="3">
        <v>3.3690000000000002</v>
      </c>
      <c r="AA457" s="3">
        <v>4.8230000000000004</v>
      </c>
      <c r="AB457" s="3">
        <v>1.855</v>
      </c>
      <c r="AC457" s="3">
        <v>3.4060000000000001</v>
      </c>
      <c r="AD457" s="3">
        <v>4.91</v>
      </c>
      <c r="AE457" s="3">
        <v>1.8460000000000001</v>
      </c>
      <c r="AF457" s="3">
        <v>3.38</v>
      </c>
      <c r="AG457" s="3">
        <v>4.851</v>
      </c>
      <c r="AH457" s="130">
        <v>2.0540000000000003</v>
      </c>
      <c r="AI457" s="130">
        <v>3.5490000000000004</v>
      </c>
      <c r="AJ457" s="130">
        <v>5.0330000000000004</v>
      </c>
      <c r="AK457" s="45">
        <v>6.7385444743935308</v>
      </c>
      <c r="AL457" s="3"/>
      <c r="AM457" s="3"/>
      <c r="AN457" s="3"/>
      <c r="AO457" s="3"/>
      <c r="AP457" s="137"/>
      <c r="AQ457" s="132"/>
      <c r="AR457" s="132"/>
      <c r="AS457" s="3">
        <v>20.399999999999999</v>
      </c>
      <c r="AT457" s="3">
        <v>20.6</v>
      </c>
      <c r="AU457" s="3">
        <v>20.3</v>
      </c>
      <c r="AV457" s="3"/>
      <c r="AW457" s="3"/>
      <c r="AX457" s="133">
        <v>23.560000000000002</v>
      </c>
      <c r="AY457" s="134"/>
      <c r="AZ457" s="40"/>
      <c r="BA457" s="40"/>
      <c r="BB457" s="40"/>
      <c r="BC457" s="40"/>
      <c r="BD457" s="135">
        <v>942.71704861012495</v>
      </c>
      <c r="BE457" s="135">
        <v>883.18221430495646</v>
      </c>
      <c r="BF457" s="40"/>
      <c r="BG457" s="135">
        <v>480.35132513379949</v>
      </c>
      <c r="BH457" s="135">
        <v>500.58538700486929</v>
      </c>
      <c r="BI457" s="49">
        <v>1825.8992629150814</v>
      </c>
      <c r="BJ457" s="49">
        <v>980.93671213866878</v>
      </c>
      <c r="BK457" s="66">
        <v>6.7409457913530257E-2</v>
      </c>
      <c r="BL457" s="66">
        <v>-4.0420800119906342E-2</v>
      </c>
      <c r="BM457" s="51">
        <v>24.774752549729733</v>
      </c>
      <c r="BN457" s="51">
        <v>13.30986040893716</v>
      </c>
      <c r="BO457" s="136"/>
      <c r="BP457" s="40"/>
      <c r="BQ457" s="40"/>
      <c r="BR457" s="67"/>
      <c r="BS457" s="54" t="s">
        <v>110</v>
      </c>
      <c r="BT457" s="68"/>
      <c r="BU457" s="69"/>
      <c r="BV457" s="3"/>
      <c r="BW457" s="3"/>
      <c r="BX457" s="70"/>
      <c r="BY457" s="70"/>
      <c r="BZ457" s="59"/>
      <c r="CA457" s="59"/>
      <c r="CB457" s="59" t="s">
        <v>110</v>
      </c>
      <c r="CC457" s="59" t="s">
        <v>110</v>
      </c>
      <c r="CD457" s="60"/>
      <c r="CE457" s="60"/>
      <c r="CF457" s="61"/>
      <c r="CG457" s="61"/>
      <c r="CH457" s="61"/>
      <c r="CI457" s="138"/>
      <c r="CJ457" s="40"/>
      <c r="CK457" s="3"/>
      <c r="CL457" s="62"/>
      <c r="CM457" s="62"/>
      <c r="CN457" s="3"/>
      <c r="CO457" s="3"/>
      <c r="CP457" s="41">
        <v>17.333333333333332</v>
      </c>
      <c r="CQ457" s="3"/>
      <c r="CR457" s="40" t="s">
        <v>110</v>
      </c>
      <c r="CS457" s="40" t="s">
        <v>110</v>
      </c>
      <c r="CT457" s="40" t="s">
        <v>110</v>
      </c>
      <c r="CU457" s="40"/>
      <c r="CV457" s="40"/>
      <c r="CW457" s="40"/>
      <c r="CX457" s="40"/>
      <c r="CY457" s="40" t="s">
        <v>125</v>
      </c>
      <c r="CZ457" s="40"/>
      <c r="DA457" s="40"/>
    </row>
    <row r="458" spans="1:105" ht="18.75" customHeight="1">
      <c r="A458" s="3">
        <v>927</v>
      </c>
      <c r="B458" s="92" t="s">
        <v>199</v>
      </c>
      <c r="C458" s="143" t="s">
        <v>104</v>
      </c>
      <c r="D458" s="3" t="s">
        <v>105</v>
      </c>
      <c r="E458" s="144">
        <v>45086</v>
      </c>
      <c r="F458" s="3" t="s">
        <v>186</v>
      </c>
      <c r="G458" s="3" t="s">
        <v>107</v>
      </c>
      <c r="H458" s="3">
        <v>2006</v>
      </c>
      <c r="I458" s="40" t="s">
        <v>121</v>
      </c>
      <c r="J458" s="39" t="str">
        <f>paper3[[#This Row],[sex]]&amp;paper3[[#This Row],[ageg]]</f>
        <v>girlsU18</v>
      </c>
      <c r="K458" s="3">
        <v>165.3</v>
      </c>
      <c r="L458" s="3">
        <v>165.5</v>
      </c>
      <c r="M458" s="3"/>
      <c r="N458" s="3">
        <v>154.6</v>
      </c>
      <c r="O458" s="3">
        <v>154.69999999999999</v>
      </c>
      <c r="P458" s="3"/>
      <c r="Q458" s="3">
        <v>54.5</v>
      </c>
      <c r="R458" s="3"/>
      <c r="S458" s="3"/>
      <c r="T458" s="125">
        <v>165.4</v>
      </c>
      <c r="U458" s="126">
        <v>84.449999999999974</v>
      </c>
      <c r="V458" s="12">
        <f>paper3[[#This Row],[height]]-paper3[[#This Row],[sittingheight]]</f>
        <v>80.950000000000031</v>
      </c>
      <c r="W458" s="127">
        <v>54.5</v>
      </c>
      <c r="X458" s="43" cm="1">
        <f t="array" ref="X458">INDEX([1]!phvny[yphv], MATCH(1, (paper3[[#This Row],[id]]=[1]!phvny[id])*(paper3[[#This Row],[time]]=[1]!phvny[time]), 0))</f>
        <v>3.5773292229855573</v>
      </c>
      <c r="Y458" s="3">
        <v>1.7390000000000001</v>
      </c>
      <c r="Z458" s="3">
        <v>3.1779999999999999</v>
      </c>
      <c r="AA458" s="3">
        <v>4.516</v>
      </c>
      <c r="AB458" s="3">
        <v>1.74</v>
      </c>
      <c r="AC458" s="3">
        <v>3.1890000000000001</v>
      </c>
      <c r="AD458" s="3">
        <v>4.5250000000000004</v>
      </c>
      <c r="AE458" s="3">
        <v>1.7310000000000001</v>
      </c>
      <c r="AF458" s="3">
        <v>3.149</v>
      </c>
      <c r="AG458" s="3">
        <v>4.5110000000000001</v>
      </c>
      <c r="AH458" s="130">
        <v>1.9410000000000001</v>
      </c>
      <c r="AI458" s="130">
        <v>3.3290000000000002</v>
      </c>
      <c r="AJ458" s="130">
        <v>4.7210000000000001</v>
      </c>
      <c r="AK458" s="45">
        <v>7.1839080459770122</v>
      </c>
      <c r="AL458" s="3"/>
      <c r="AM458" s="3"/>
      <c r="AN458" s="3"/>
      <c r="AO458" s="3"/>
      <c r="AP458" s="137"/>
      <c r="AQ458" s="132"/>
      <c r="AR458" s="132"/>
      <c r="AS458" s="3">
        <v>23.2</v>
      </c>
      <c r="AT458" s="3">
        <v>23.2</v>
      </c>
      <c r="AU458" s="3" t="s">
        <v>210</v>
      </c>
      <c r="AV458" s="3"/>
      <c r="AW458" s="3"/>
      <c r="AX458" s="133">
        <v>26.16</v>
      </c>
      <c r="AY458" s="134"/>
      <c r="AZ458" s="40"/>
      <c r="BA458" s="40"/>
      <c r="BB458" s="40"/>
      <c r="BC458" s="40"/>
      <c r="BD458" s="135">
        <v>750.632949858502</v>
      </c>
      <c r="BE458" s="135">
        <v>781.74944594108274</v>
      </c>
      <c r="BF458" s="40"/>
      <c r="BG458" s="135">
        <v>396.6275268713859</v>
      </c>
      <c r="BH458" s="135">
        <v>410.08589703244911</v>
      </c>
      <c r="BI458" s="49">
        <v>1532.3823957995846</v>
      </c>
      <c r="BJ458" s="49">
        <v>806.71342390383506</v>
      </c>
      <c r="BK458" s="66">
        <v>-3.9803668866208342E-2</v>
      </c>
      <c r="BL458" s="66">
        <v>-3.2818417454619997E-2</v>
      </c>
      <c r="BM458" s="51">
        <v>28.117108179808891</v>
      </c>
      <c r="BN458" s="51">
        <v>14.802081172547432</v>
      </c>
      <c r="BO458" s="136"/>
      <c r="BP458" s="40"/>
      <c r="BQ458" s="40"/>
      <c r="BR458" s="67"/>
      <c r="BS458" s="54" t="s">
        <v>110</v>
      </c>
      <c r="BT458" s="68"/>
      <c r="BU458" s="69"/>
      <c r="BV458" s="3"/>
      <c r="BW458" s="3"/>
      <c r="BX458" s="70"/>
      <c r="BY458" s="70"/>
      <c r="BZ458" s="59"/>
      <c r="CA458" s="59"/>
      <c r="CB458" s="59" t="s">
        <v>110</v>
      </c>
      <c r="CC458" s="59" t="s">
        <v>110</v>
      </c>
      <c r="CD458" s="60"/>
      <c r="CE458" s="60"/>
      <c r="CF458" s="61"/>
      <c r="CG458" s="61"/>
      <c r="CH458" s="61"/>
      <c r="CI458" s="138"/>
      <c r="CJ458" s="40"/>
      <c r="CK458" s="3"/>
      <c r="CL458" s="62"/>
      <c r="CM458" s="62"/>
      <c r="CN458" s="3"/>
      <c r="CO458" s="3"/>
      <c r="CP458" s="41">
        <v>17.344444444444445</v>
      </c>
      <c r="CQ458" s="3"/>
      <c r="CR458" s="40" t="s">
        <v>110</v>
      </c>
      <c r="CS458" s="40" t="s">
        <v>110</v>
      </c>
      <c r="CT458" s="40" t="s">
        <v>110</v>
      </c>
      <c r="CU458" s="40"/>
      <c r="CV458" s="40"/>
      <c r="CW458" s="40"/>
      <c r="CX458" s="40"/>
      <c r="CY458" s="40" t="s">
        <v>207</v>
      </c>
      <c r="CZ458" s="40"/>
      <c r="DA458" s="40"/>
    </row>
    <row r="459" spans="1:105" ht="18.75">
      <c r="A459" s="3">
        <v>928</v>
      </c>
      <c r="B459" s="92" t="s">
        <v>199</v>
      </c>
      <c r="C459" s="143" t="s">
        <v>104</v>
      </c>
      <c r="D459" s="3" t="s">
        <v>105</v>
      </c>
      <c r="E459" s="144">
        <v>45086</v>
      </c>
      <c r="F459" s="3" t="s">
        <v>186</v>
      </c>
      <c r="G459" s="3" t="s">
        <v>107</v>
      </c>
      <c r="H459" s="3">
        <v>2006</v>
      </c>
      <c r="I459" s="40" t="s">
        <v>121</v>
      </c>
      <c r="J459" s="39" t="str">
        <f>paper3[[#This Row],[sex]]&amp;paper3[[#This Row],[ageg]]</f>
        <v>girlsU18</v>
      </c>
      <c r="K459" s="3">
        <v>182.5</v>
      </c>
      <c r="L459" s="3">
        <v>182.5</v>
      </c>
      <c r="M459" s="3"/>
      <c r="N459" s="3">
        <v>169.1</v>
      </c>
      <c r="O459" s="3">
        <v>169.1</v>
      </c>
      <c r="P459" s="3"/>
      <c r="Q459" s="3">
        <v>64.599999999999994</v>
      </c>
      <c r="R459" s="3"/>
      <c r="S459" s="3"/>
      <c r="T459" s="125">
        <v>182.5</v>
      </c>
      <c r="U459" s="126">
        <v>98.899999999999991</v>
      </c>
      <c r="V459" s="12">
        <f>paper3[[#This Row],[height]]-paper3[[#This Row],[sittingheight]]</f>
        <v>83.600000000000009</v>
      </c>
      <c r="W459" s="127">
        <v>64.599999999999994</v>
      </c>
      <c r="X459" s="43" cm="1">
        <f t="array" ref="X459">INDEX([1]!phvny[yphv], MATCH(1, (paper3[[#This Row],[id]]=[1]!phvny[id])*(paper3[[#This Row],[time]]=[1]!phvny[time]), 0))</f>
        <v>4.6100927619878238</v>
      </c>
      <c r="Y459" s="3"/>
      <c r="Z459" s="3"/>
      <c r="AA459" s="3"/>
      <c r="AB459" s="3"/>
      <c r="AC459" s="3"/>
      <c r="AD459" s="3"/>
      <c r="AE459" s="3"/>
      <c r="AF459" s="3"/>
      <c r="AG459" s="3"/>
      <c r="AH459" s="133"/>
      <c r="AI459" s="133"/>
      <c r="AJ459" s="133"/>
      <c r="AK459" s="45"/>
      <c r="AL459" s="3"/>
      <c r="AM459" s="3"/>
      <c r="AN459" s="3"/>
      <c r="AO459" s="3"/>
      <c r="AP459" s="137"/>
      <c r="AQ459" s="132"/>
      <c r="AR459" s="132"/>
      <c r="AS459" s="3"/>
      <c r="AT459" s="3"/>
      <c r="AU459" s="3"/>
      <c r="AV459" s="3"/>
      <c r="AW459" s="3"/>
      <c r="AX459" s="133"/>
      <c r="AY459" s="134"/>
      <c r="AZ459" s="40"/>
      <c r="BA459" s="40"/>
      <c r="BB459" s="40"/>
      <c r="BC459" s="40"/>
      <c r="BD459" s="135" t="s">
        <v>110</v>
      </c>
      <c r="BE459" s="135" t="s">
        <v>110</v>
      </c>
      <c r="BF459" s="40"/>
      <c r="BG459" s="135" t="s">
        <v>110</v>
      </c>
      <c r="BH459" s="135" t="s">
        <v>110</v>
      </c>
      <c r="BI459" s="49"/>
      <c r="BJ459" s="49"/>
      <c r="BK459" s="66"/>
      <c r="BL459" s="66"/>
      <c r="BM459" s="51"/>
      <c r="BN459" s="51"/>
      <c r="BO459" s="136"/>
      <c r="BP459" s="40"/>
      <c r="BQ459" s="40"/>
      <c r="BR459" s="67"/>
      <c r="BS459" s="54" t="s">
        <v>110</v>
      </c>
      <c r="BT459" s="68"/>
      <c r="BU459" s="69"/>
      <c r="BV459" s="3"/>
      <c r="BW459" s="3"/>
      <c r="BX459" s="70"/>
      <c r="BY459" s="70"/>
      <c r="BZ459" s="59"/>
      <c r="CA459" s="59"/>
      <c r="CB459" s="59" t="s">
        <v>110</v>
      </c>
      <c r="CC459" s="59" t="s">
        <v>110</v>
      </c>
      <c r="CD459" s="60"/>
      <c r="CE459" s="60"/>
      <c r="CF459" s="61"/>
      <c r="CG459" s="61"/>
      <c r="CH459" s="61"/>
      <c r="CI459" s="138"/>
      <c r="CJ459" s="40"/>
      <c r="CK459" s="3"/>
      <c r="CL459" s="62"/>
      <c r="CM459" s="62"/>
      <c r="CN459" s="3"/>
      <c r="CO459" s="3"/>
      <c r="CP459" s="41">
        <v>16.455555555555556</v>
      </c>
      <c r="CQ459" s="3"/>
      <c r="CR459" s="40" t="s">
        <v>110</v>
      </c>
      <c r="CS459" s="40" t="s">
        <v>110</v>
      </c>
      <c r="CT459" s="40" t="s">
        <v>110</v>
      </c>
      <c r="CU459" s="40"/>
      <c r="CV459" s="40"/>
      <c r="CW459" s="40"/>
      <c r="CX459" s="40"/>
      <c r="CY459" s="40" t="s">
        <v>125</v>
      </c>
      <c r="CZ459" s="40"/>
      <c r="DA459" s="40"/>
    </row>
    <row r="460" spans="1:105" ht="18.75" customHeight="1">
      <c r="A460" s="3">
        <v>929</v>
      </c>
      <c r="B460" s="92" t="s">
        <v>199</v>
      </c>
      <c r="C460" s="143" t="s">
        <v>104</v>
      </c>
      <c r="D460" s="3" t="s">
        <v>105</v>
      </c>
      <c r="E460" s="144">
        <v>45086</v>
      </c>
      <c r="F460" s="3" t="s">
        <v>186</v>
      </c>
      <c r="G460" s="3" t="s">
        <v>107</v>
      </c>
      <c r="H460" s="3">
        <v>2006</v>
      </c>
      <c r="I460" s="40" t="s">
        <v>121</v>
      </c>
      <c r="J460" s="39" t="str">
        <f>paper3[[#This Row],[sex]]&amp;paper3[[#This Row],[ageg]]</f>
        <v>girlsU18</v>
      </c>
      <c r="K460" s="3">
        <v>160.1</v>
      </c>
      <c r="L460" s="3">
        <v>160.1</v>
      </c>
      <c r="M460" s="3"/>
      <c r="N460" s="3">
        <v>154.4</v>
      </c>
      <c r="O460" s="3">
        <v>154.4</v>
      </c>
      <c r="P460" s="3"/>
      <c r="Q460" s="3">
        <v>55.8</v>
      </c>
      <c r="R460" s="3"/>
      <c r="S460" s="3"/>
      <c r="T460" s="125">
        <v>160.1</v>
      </c>
      <c r="U460" s="126">
        <v>84.2</v>
      </c>
      <c r="V460" s="12">
        <f>paper3[[#This Row],[height]]-paper3[[#This Row],[sittingheight]]</f>
        <v>75.899999999999991</v>
      </c>
      <c r="W460" s="127">
        <v>55.8</v>
      </c>
      <c r="X460" s="43" cm="1">
        <f t="array" ref="X460">INDEX([1]!phvny[yphv], MATCH(1, (paper3[[#This Row],[id]]=[1]!phvny[id])*(paper3[[#This Row],[time]]=[1]!phvny[time]), 0))</f>
        <v>3.3236362281059764</v>
      </c>
      <c r="Y460" s="3">
        <v>1.6180000000000001</v>
      </c>
      <c r="Z460" s="3">
        <v>2.9929999999999999</v>
      </c>
      <c r="AA460" s="3">
        <v>4.3099999999999996</v>
      </c>
      <c r="AB460" s="3">
        <v>1.6240000000000001</v>
      </c>
      <c r="AC460" s="3">
        <v>3.004</v>
      </c>
      <c r="AD460" s="3">
        <v>4.3339999999999996</v>
      </c>
      <c r="AE460" s="3">
        <v>1.6259999999999999</v>
      </c>
      <c r="AF460" s="3">
        <v>3.0009999999999999</v>
      </c>
      <c r="AG460" s="3">
        <v>4.3239999999999998</v>
      </c>
      <c r="AH460" s="130">
        <v>1.8280000000000001</v>
      </c>
      <c r="AI460" s="130">
        <v>3.173</v>
      </c>
      <c r="AJ460" s="130">
        <v>4.5199999999999996</v>
      </c>
      <c r="AK460" s="45">
        <v>7.4239049740163354</v>
      </c>
      <c r="AL460" s="3">
        <v>9.93</v>
      </c>
      <c r="AM460" s="3">
        <v>9.7799999999999994</v>
      </c>
      <c r="AN460" s="3">
        <v>9.7799999999999994</v>
      </c>
      <c r="AO460" s="3">
        <v>9.4600000000000009</v>
      </c>
      <c r="AP460" s="137">
        <v>10.33</v>
      </c>
      <c r="AQ460" s="132">
        <v>9.7799999999999994</v>
      </c>
      <c r="AR460" s="132">
        <v>9.4600000000000009</v>
      </c>
      <c r="AS460" s="3">
        <v>29.9</v>
      </c>
      <c r="AT460" s="3">
        <v>30.8</v>
      </c>
      <c r="AU460" s="3">
        <v>29.4</v>
      </c>
      <c r="AV460" s="3"/>
      <c r="AW460" s="3"/>
      <c r="AX460" s="133">
        <v>33.76</v>
      </c>
      <c r="AY460" s="134"/>
      <c r="AZ460" s="40"/>
      <c r="BA460" s="40"/>
      <c r="BB460" s="40"/>
      <c r="BC460" s="40"/>
      <c r="BD460" s="135">
        <v>1148.4447647046313</v>
      </c>
      <c r="BE460" s="135">
        <v>1148.8524645360515</v>
      </c>
      <c r="BF460" s="40"/>
      <c r="BG460" s="135">
        <v>482.57268551944992</v>
      </c>
      <c r="BH460" s="135">
        <v>518.33547280754601</v>
      </c>
      <c r="BI460" s="49">
        <v>2297.297229240683</v>
      </c>
      <c r="BJ460" s="49">
        <v>1000.9081583269959</v>
      </c>
      <c r="BK460" s="66">
        <v>-3.5487570772174681E-4</v>
      </c>
      <c r="BL460" s="66">
        <v>-6.899544631662613E-2</v>
      </c>
      <c r="BM460" s="51">
        <v>41.170201240872458</v>
      </c>
      <c r="BN460" s="51">
        <v>17.937422192240071</v>
      </c>
      <c r="BO460" s="136"/>
      <c r="BP460" s="40"/>
      <c r="BQ460" s="40"/>
      <c r="BR460" s="67"/>
      <c r="BS460" s="54" t="s">
        <v>110</v>
      </c>
      <c r="BT460" s="68"/>
      <c r="BU460" s="69"/>
      <c r="BV460" s="3"/>
      <c r="BW460" s="3"/>
      <c r="BX460" s="70"/>
      <c r="BY460" s="70"/>
      <c r="BZ460" s="59"/>
      <c r="CA460" s="59"/>
      <c r="CB460" s="59" t="s">
        <v>110</v>
      </c>
      <c r="CC460" s="59" t="s">
        <v>110</v>
      </c>
      <c r="CD460" s="60"/>
      <c r="CE460" s="60"/>
      <c r="CF460" s="61"/>
      <c r="CG460" s="61"/>
      <c r="CH460" s="61"/>
      <c r="CI460" s="138">
        <v>15.3</v>
      </c>
      <c r="CJ460" s="40">
        <f>VLOOKUP(paper3[[#This Row],[YYIR nivå]],$DB:$DC,2)</f>
        <v>880</v>
      </c>
      <c r="CK460" s="3"/>
      <c r="CL460" s="62"/>
      <c r="CM460" s="62"/>
      <c r="CN460" s="3"/>
      <c r="CO460" s="3"/>
      <c r="CP460" s="41">
        <v>17.269444444444446</v>
      </c>
      <c r="CQ460" s="3"/>
      <c r="CR460" s="40" t="s">
        <v>110</v>
      </c>
      <c r="CS460" s="40" t="s">
        <v>110</v>
      </c>
      <c r="CT460" s="40" t="s">
        <v>110</v>
      </c>
      <c r="CU460" s="40"/>
      <c r="CV460" s="40"/>
      <c r="CW460" s="40"/>
      <c r="CX460" s="40"/>
      <c r="CY460" s="40" t="s">
        <v>204</v>
      </c>
      <c r="CZ460" s="40"/>
      <c r="DA460" s="40"/>
    </row>
    <row r="461" spans="1:105" ht="18.75" customHeight="1">
      <c r="A461" s="3">
        <v>930</v>
      </c>
      <c r="B461" s="92" t="s">
        <v>199</v>
      </c>
      <c r="C461" s="143" t="s">
        <v>104</v>
      </c>
      <c r="D461" s="3" t="s">
        <v>105</v>
      </c>
      <c r="E461" s="144">
        <v>45086</v>
      </c>
      <c r="F461" s="3" t="s">
        <v>186</v>
      </c>
      <c r="G461" s="3" t="s">
        <v>107</v>
      </c>
      <c r="H461" s="3">
        <v>2006</v>
      </c>
      <c r="I461" s="40" t="s">
        <v>121</v>
      </c>
      <c r="J461" s="39" t="str">
        <f>paper3[[#This Row],[sex]]&amp;paper3[[#This Row],[ageg]]</f>
        <v>girlsU18</v>
      </c>
      <c r="K461" s="3">
        <v>168.5</v>
      </c>
      <c r="L461" s="3">
        <v>168.5</v>
      </c>
      <c r="M461" s="3"/>
      <c r="N461" s="3">
        <v>162.6</v>
      </c>
      <c r="O461" s="3">
        <v>162.6</v>
      </c>
      <c r="P461" s="3"/>
      <c r="Q461" s="3">
        <v>60.3</v>
      </c>
      <c r="R461" s="3"/>
      <c r="S461" s="3"/>
      <c r="T461" s="125">
        <v>168.5</v>
      </c>
      <c r="U461" s="126">
        <v>92.399999999999991</v>
      </c>
      <c r="V461" s="12">
        <f>paper3[[#This Row],[height]]-paper3[[#This Row],[sittingheight]]</f>
        <v>76.100000000000009</v>
      </c>
      <c r="W461" s="127">
        <v>60.3</v>
      </c>
      <c r="X461" s="43" cm="1">
        <f t="array" ref="X461">INDEX([1]!phvny[yphv], MATCH(1, (paper3[[#This Row],[id]]=[1]!phvny[id])*(paper3[[#This Row],[time]]=[1]!phvny[time]), 0))</f>
        <v>4.1381354065806129</v>
      </c>
      <c r="Y461" s="3">
        <v>1.796</v>
      </c>
      <c r="Z461" s="3">
        <v>2.552</v>
      </c>
      <c r="AA461" s="3">
        <v>3.9729999999999999</v>
      </c>
      <c r="AB461" s="3">
        <v>1.764</v>
      </c>
      <c r="AC461" s="3">
        <v>3.2469999999999999</v>
      </c>
      <c r="AD461" s="3">
        <v>4.6539999999999999</v>
      </c>
      <c r="AE461" s="3">
        <v>1.724</v>
      </c>
      <c r="AF461" s="3">
        <v>3.1949999999999998</v>
      </c>
      <c r="AG461" s="3">
        <v>4.5839999999999996</v>
      </c>
      <c r="AH461" s="130">
        <v>1.9339999999999999</v>
      </c>
      <c r="AI461" s="130">
        <v>2.7320000000000002</v>
      </c>
      <c r="AJ461" s="130">
        <v>4.1829999999999998</v>
      </c>
      <c r="AK461" s="45">
        <v>6.8917987594762247</v>
      </c>
      <c r="AL461" s="3">
        <v>9.91</v>
      </c>
      <c r="AM461" s="3">
        <v>9.7899999999999991</v>
      </c>
      <c r="AN461" s="3">
        <v>9.7799999999999994</v>
      </c>
      <c r="AO461" s="3">
        <v>10.220000000000001</v>
      </c>
      <c r="AP461" s="137">
        <v>10.649999999999999</v>
      </c>
      <c r="AQ461" s="132">
        <v>9.7899999999999991</v>
      </c>
      <c r="AR461" s="132">
        <v>9.7799999999999994</v>
      </c>
      <c r="AS461" s="3">
        <v>24.3</v>
      </c>
      <c r="AT461" s="3">
        <v>24.8</v>
      </c>
      <c r="AU461" s="3">
        <v>25.8</v>
      </c>
      <c r="AV461" s="3"/>
      <c r="AW461" s="3"/>
      <c r="AX461" s="133">
        <v>28.76</v>
      </c>
      <c r="AY461" s="134"/>
      <c r="AZ461" s="40"/>
      <c r="BA461" s="40"/>
      <c r="BB461" s="40"/>
      <c r="BC461" s="40"/>
      <c r="BD461" s="135">
        <v>850.69173511040458</v>
      </c>
      <c r="BE461" s="135">
        <v>802.55634294992024</v>
      </c>
      <c r="BF461" s="40"/>
      <c r="BG461" s="135">
        <v>413.54924577917006</v>
      </c>
      <c r="BH461" s="135">
        <v>395.06744642326231</v>
      </c>
      <c r="BI461" s="49">
        <v>1653.2480780603248</v>
      </c>
      <c r="BJ461" s="49">
        <v>808.61669220243243</v>
      </c>
      <c r="BK461" s="66">
        <v>5.9977586101376046E-2</v>
      </c>
      <c r="BL461" s="66">
        <v>4.678137751726319E-2</v>
      </c>
      <c r="BM461" s="51">
        <v>27.41704938740174</v>
      </c>
      <c r="BN461" s="51">
        <v>13.409895393075166</v>
      </c>
      <c r="BO461" s="136"/>
      <c r="BP461" s="40"/>
      <c r="BQ461" s="40"/>
      <c r="BR461" s="67"/>
      <c r="BS461" s="54" t="s">
        <v>110</v>
      </c>
      <c r="BT461" s="68"/>
      <c r="BU461" s="69"/>
      <c r="BV461" s="3"/>
      <c r="BW461" s="3"/>
      <c r="BX461" s="70"/>
      <c r="BY461" s="70"/>
      <c r="BZ461" s="59"/>
      <c r="CA461" s="59"/>
      <c r="CB461" s="59" t="s">
        <v>110</v>
      </c>
      <c r="CC461" s="59" t="s">
        <v>110</v>
      </c>
      <c r="CD461" s="60"/>
      <c r="CE461" s="60"/>
      <c r="CF461" s="61"/>
      <c r="CG461" s="61"/>
      <c r="CH461" s="61"/>
      <c r="CI461" s="138"/>
      <c r="CJ461" s="40"/>
      <c r="CK461" s="3"/>
      <c r="CL461" s="62"/>
      <c r="CM461" s="62"/>
      <c r="CN461" s="3"/>
      <c r="CO461" s="3"/>
      <c r="CP461" s="41">
        <v>17.258333333333333</v>
      </c>
      <c r="CQ461" s="3"/>
      <c r="CR461" s="40" t="s">
        <v>110</v>
      </c>
      <c r="CS461" s="40" t="s">
        <v>110</v>
      </c>
      <c r="CT461" s="40" t="s">
        <v>110</v>
      </c>
      <c r="CU461" s="40"/>
      <c r="CV461" s="40"/>
      <c r="CW461" s="40"/>
      <c r="CX461" s="40"/>
      <c r="CY461" s="40" t="s">
        <v>204</v>
      </c>
      <c r="CZ461" s="40"/>
      <c r="DA461" s="40"/>
    </row>
    <row r="462" spans="1:105" ht="18.75">
      <c r="A462" s="3">
        <v>931</v>
      </c>
      <c r="B462" s="92" t="s">
        <v>199</v>
      </c>
      <c r="C462" s="143" t="s">
        <v>171</v>
      </c>
      <c r="D462" s="3" t="s">
        <v>105</v>
      </c>
      <c r="E462" s="144">
        <v>45086</v>
      </c>
      <c r="F462" s="3" t="s">
        <v>186</v>
      </c>
      <c r="G462" s="3" t="s">
        <v>122</v>
      </c>
      <c r="H462" s="3">
        <v>2006</v>
      </c>
      <c r="I462" s="40" t="s">
        <v>121</v>
      </c>
      <c r="J462" s="39" t="str">
        <f>paper3[[#This Row],[sex]]&amp;paper3[[#This Row],[ageg]]</f>
        <v>boysU18</v>
      </c>
      <c r="K462" s="3">
        <v>177.4</v>
      </c>
      <c r="L462" s="3">
        <v>177.5</v>
      </c>
      <c r="M462" s="3"/>
      <c r="N462" s="3">
        <v>161.5</v>
      </c>
      <c r="O462" s="3">
        <v>161.5</v>
      </c>
      <c r="P462" s="3"/>
      <c r="Q462" s="3">
        <v>73.900000000000006</v>
      </c>
      <c r="R462" s="3"/>
      <c r="S462" s="3"/>
      <c r="T462" s="125">
        <v>177.45</v>
      </c>
      <c r="U462" s="126">
        <v>91.3</v>
      </c>
      <c r="V462" s="12">
        <f>paper3[[#This Row],[height]]-paper3[[#This Row],[sittingheight]]</f>
        <v>86.149999999999991</v>
      </c>
      <c r="W462" s="127">
        <v>73.900000000000006</v>
      </c>
      <c r="X462" s="43" cm="1">
        <f t="array" ref="X462">INDEX([1]!phvny[yphv], MATCH(1, (paper3[[#This Row],[id]]=[1]!phvny[id])*(paper3[[#This Row],[time]]=[1]!phvny[time]), 0))</f>
        <v>2.3637145150412788</v>
      </c>
      <c r="Y462" s="3">
        <v>1.6339999999999999</v>
      </c>
      <c r="Z462" s="3">
        <v>3.0270000000000001</v>
      </c>
      <c r="AA462" s="3">
        <v>4.3159999999999998</v>
      </c>
      <c r="AB462" s="3">
        <v>1.3220000000000001</v>
      </c>
      <c r="AC462" s="3">
        <v>2.734</v>
      </c>
      <c r="AD462" s="3">
        <v>4.016</v>
      </c>
      <c r="AE462" s="3">
        <v>1.3540000000000001</v>
      </c>
      <c r="AF462" s="3">
        <v>2.766</v>
      </c>
      <c r="AG462" s="3">
        <v>4.0519999999999996</v>
      </c>
      <c r="AH462" s="130">
        <v>1.8439999999999999</v>
      </c>
      <c r="AI462" s="130">
        <v>2.9140000000000001</v>
      </c>
      <c r="AJ462" s="130">
        <v>4.5259999999999998</v>
      </c>
      <c r="AK462" s="45">
        <v>6.2034739454094305</v>
      </c>
      <c r="AL462" s="3">
        <v>9.56</v>
      </c>
      <c r="AM462" s="3">
        <v>9.91</v>
      </c>
      <c r="AN462" s="3"/>
      <c r="AO462" s="3">
        <v>9.4700000000000006</v>
      </c>
      <c r="AP462" s="137">
        <v>10.34</v>
      </c>
      <c r="AQ462" s="132">
        <v>9.56</v>
      </c>
      <c r="AR462" s="132">
        <v>9.4700000000000006</v>
      </c>
      <c r="AS462" s="3">
        <v>32.700000000000003</v>
      </c>
      <c r="AT462" s="3">
        <v>34.6</v>
      </c>
      <c r="AU462" s="3">
        <v>35.799999999999997</v>
      </c>
      <c r="AV462" s="3"/>
      <c r="AW462" s="3"/>
      <c r="AX462" s="133">
        <v>38.76</v>
      </c>
      <c r="AY462" s="134"/>
      <c r="AZ462" s="40"/>
      <c r="BA462" s="40"/>
      <c r="BB462" s="40"/>
      <c r="BC462" s="40"/>
      <c r="BD462" s="135">
        <v>1550.8711822298978</v>
      </c>
      <c r="BE462" s="135">
        <v>1604.2057096208118</v>
      </c>
      <c r="BF462" s="40"/>
      <c r="BG462" s="135">
        <v>832.53937308118634</v>
      </c>
      <c r="BH462" s="135">
        <v>888.70325546324693</v>
      </c>
      <c r="BI462" s="49">
        <v>3155.0768918507097</v>
      </c>
      <c r="BJ462" s="49">
        <v>1721.2426285444333</v>
      </c>
      <c r="BK462" s="66">
        <v>-3.3246688420976112E-2</v>
      </c>
      <c r="BL462" s="66">
        <v>-6.3197565708009606E-2</v>
      </c>
      <c r="BM462" s="51">
        <v>42.69386863126806</v>
      </c>
      <c r="BN462" s="51">
        <v>23.291510535107349</v>
      </c>
      <c r="BO462" s="136"/>
      <c r="BP462" s="40"/>
      <c r="BQ462" s="40"/>
      <c r="BR462" s="67"/>
      <c r="BS462" s="54" t="s">
        <v>110</v>
      </c>
      <c r="BT462" s="68"/>
      <c r="BU462" s="69"/>
      <c r="BV462" s="3"/>
      <c r="BW462" s="3"/>
      <c r="BX462" s="70"/>
      <c r="BY462" s="70"/>
      <c r="BZ462" s="59"/>
      <c r="CA462" s="59"/>
      <c r="CB462" s="59" t="s">
        <v>110</v>
      </c>
      <c r="CC462" s="59" t="s">
        <v>110</v>
      </c>
      <c r="CD462" s="60"/>
      <c r="CE462" s="60"/>
      <c r="CF462" s="61"/>
      <c r="CG462" s="61"/>
      <c r="CH462" s="61"/>
      <c r="CI462" s="138">
        <v>17.600000000000001</v>
      </c>
      <c r="CJ462" s="40">
        <f>VLOOKUP(paper3[[#This Row],[YYIR nivå]],$DB:$DC,2)</f>
        <v>1640</v>
      </c>
      <c r="CK462" s="3"/>
      <c r="CL462" s="62"/>
      <c r="CM462" s="62"/>
      <c r="CN462" s="3"/>
      <c r="CO462" s="3"/>
      <c r="CP462" s="41">
        <v>16.516666666666666</v>
      </c>
      <c r="CQ462" s="3"/>
      <c r="CR462" s="40" t="s">
        <v>110</v>
      </c>
      <c r="CS462" s="40" t="s">
        <v>110</v>
      </c>
      <c r="CT462" s="40" t="s">
        <v>110</v>
      </c>
      <c r="CU462" s="40"/>
      <c r="CV462" s="40"/>
      <c r="CW462" s="40"/>
      <c r="CX462" s="40"/>
      <c r="CY462" s="40" t="s">
        <v>205</v>
      </c>
      <c r="CZ462" s="40"/>
      <c r="DA462" s="40"/>
    </row>
    <row r="463" spans="1:105" ht="18.75" customHeight="1">
      <c r="A463" s="3">
        <v>932</v>
      </c>
      <c r="B463" s="92" t="s">
        <v>199</v>
      </c>
      <c r="C463" s="143" t="s">
        <v>104</v>
      </c>
      <c r="D463" s="3" t="s">
        <v>105</v>
      </c>
      <c r="E463" s="144">
        <v>45086</v>
      </c>
      <c r="F463" s="3" t="s">
        <v>186</v>
      </c>
      <c r="G463" s="3" t="s">
        <v>122</v>
      </c>
      <c r="H463" s="3">
        <v>2006</v>
      </c>
      <c r="I463" s="40" t="s">
        <v>121</v>
      </c>
      <c r="J463" s="39" t="str">
        <f>paper3[[#This Row],[sex]]&amp;paper3[[#This Row],[ageg]]</f>
        <v>boysU18</v>
      </c>
      <c r="K463" s="3">
        <v>185</v>
      </c>
      <c r="L463" s="3">
        <v>185</v>
      </c>
      <c r="M463" s="3"/>
      <c r="N463" s="3">
        <v>164.4</v>
      </c>
      <c r="O463" s="3">
        <v>164.4</v>
      </c>
      <c r="P463" s="3"/>
      <c r="Q463" s="3">
        <v>75.400000000000006</v>
      </c>
      <c r="R463" s="3"/>
      <c r="S463" s="3"/>
      <c r="T463" s="125">
        <v>185</v>
      </c>
      <c r="U463" s="126">
        <v>94.2</v>
      </c>
      <c r="V463" s="12">
        <f>paper3[[#This Row],[height]]-paper3[[#This Row],[sittingheight]]</f>
        <v>90.8</v>
      </c>
      <c r="W463" s="127">
        <v>75.400000000000006</v>
      </c>
      <c r="X463" s="43" cm="1">
        <f t="array" ref="X463">INDEX([1]!phvny[yphv], MATCH(1, (paper3[[#This Row],[id]]=[1]!phvny[id])*(paper3[[#This Row],[time]]=[1]!phvny[time]), 0))</f>
        <v>3.2336827073093088</v>
      </c>
      <c r="Y463" s="3">
        <v>1.5009999999999999</v>
      </c>
      <c r="Z463" s="3">
        <v>2.7890000000000001</v>
      </c>
      <c r="AA463" s="3">
        <v>3.9710000000000001</v>
      </c>
      <c r="AB463" s="3">
        <v>1.534</v>
      </c>
      <c r="AC463" s="3">
        <v>2.798</v>
      </c>
      <c r="AD463" s="3">
        <v>4.0119999999999996</v>
      </c>
      <c r="AE463" s="3">
        <v>1.538</v>
      </c>
      <c r="AF463" s="3">
        <v>2.8119999999999998</v>
      </c>
      <c r="AG463" s="3">
        <v>4</v>
      </c>
      <c r="AH463" s="130">
        <v>1.7109999999999999</v>
      </c>
      <c r="AI463" s="130">
        <v>2.9690000000000003</v>
      </c>
      <c r="AJ463" s="130">
        <v>4.181</v>
      </c>
      <c r="AK463" s="45">
        <v>8.2508250825082534</v>
      </c>
      <c r="AL463" s="3"/>
      <c r="AM463" s="3"/>
      <c r="AN463" s="3"/>
      <c r="AO463" s="3"/>
      <c r="AP463" s="137"/>
      <c r="AQ463" s="132"/>
      <c r="AR463" s="132"/>
      <c r="AS463" s="3">
        <v>40.299999999999997</v>
      </c>
      <c r="AT463" s="3">
        <v>39</v>
      </c>
      <c r="AU463" s="3">
        <v>40.6</v>
      </c>
      <c r="AV463" s="3"/>
      <c r="AW463" s="3"/>
      <c r="AX463" s="133">
        <v>43.56</v>
      </c>
      <c r="AY463" s="134"/>
      <c r="AZ463" s="40"/>
      <c r="BA463" s="40"/>
      <c r="BB463" s="40"/>
      <c r="BC463" s="40"/>
      <c r="BD463" s="135">
        <v>1582.1693999682623</v>
      </c>
      <c r="BE463" s="135">
        <v>1562.4600671923179</v>
      </c>
      <c r="BF463" s="40"/>
      <c r="BG463" s="135">
        <v>983.04678488650836</v>
      </c>
      <c r="BH463" s="135">
        <v>947.94559182924957</v>
      </c>
      <c r="BI463" s="49">
        <v>3144.6294671605801</v>
      </c>
      <c r="BJ463" s="49">
        <v>1930.9923767157579</v>
      </c>
      <c r="BK463" s="66">
        <v>1.2614295360112049E-2</v>
      </c>
      <c r="BL463" s="66">
        <v>3.702870012774051E-2</v>
      </c>
      <c r="BM463" s="51">
        <v>41.705961102925464</v>
      </c>
      <c r="BN463" s="51">
        <v>25.609978471031269</v>
      </c>
      <c r="BO463" s="136"/>
      <c r="BP463" s="40"/>
      <c r="BQ463" s="40"/>
      <c r="BR463" s="67"/>
      <c r="BS463" s="54" t="s">
        <v>110</v>
      </c>
      <c r="BT463" s="68"/>
      <c r="BU463" s="69"/>
      <c r="BV463" s="3"/>
      <c r="BW463" s="3"/>
      <c r="BX463" s="70"/>
      <c r="BY463" s="70"/>
      <c r="BZ463" s="59"/>
      <c r="CA463" s="59"/>
      <c r="CB463" s="59" t="s">
        <v>110</v>
      </c>
      <c r="CC463" s="59" t="s">
        <v>110</v>
      </c>
      <c r="CD463" s="60"/>
      <c r="CE463" s="60"/>
      <c r="CF463" s="61"/>
      <c r="CG463" s="61"/>
      <c r="CH463" s="61"/>
      <c r="CI463" s="138"/>
      <c r="CJ463" s="40"/>
      <c r="CK463" s="3"/>
      <c r="CL463" s="62"/>
      <c r="CM463" s="62"/>
      <c r="CN463" s="3"/>
      <c r="CO463" s="3"/>
      <c r="CP463" s="41">
        <v>17.43611111111111</v>
      </c>
      <c r="CQ463" s="3"/>
      <c r="CR463" s="40" t="s">
        <v>110</v>
      </c>
      <c r="CS463" s="40" t="s">
        <v>110</v>
      </c>
      <c r="CT463" s="40" t="s">
        <v>110</v>
      </c>
      <c r="CU463" s="40"/>
      <c r="CV463" s="40"/>
      <c r="CW463" s="40"/>
      <c r="CX463" s="40"/>
      <c r="CY463" s="40" t="s">
        <v>206</v>
      </c>
      <c r="CZ463" s="40"/>
      <c r="DA463" s="40"/>
    </row>
    <row r="464" spans="1:105" ht="18.75" customHeight="1">
      <c r="A464" s="3">
        <v>933</v>
      </c>
      <c r="B464" s="92" t="s">
        <v>199</v>
      </c>
      <c r="C464" s="143" t="s">
        <v>104</v>
      </c>
      <c r="D464" s="3" t="s">
        <v>105</v>
      </c>
      <c r="E464" s="144">
        <v>45086</v>
      </c>
      <c r="F464" s="3" t="s">
        <v>186</v>
      </c>
      <c r="G464" s="3" t="s">
        <v>122</v>
      </c>
      <c r="H464" s="3">
        <v>2006</v>
      </c>
      <c r="I464" s="40" t="s">
        <v>121</v>
      </c>
      <c r="J464" s="39" t="str">
        <f>paper3[[#This Row],[sex]]&amp;paper3[[#This Row],[ageg]]</f>
        <v>boysU18</v>
      </c>
      <c r="K464" s="3">
        <v>184.8</v>
      </c>
      <c r="L464" s="3">
        <v>184.8</v>
      </c>
      <c r="M464" s="3"/>
      <c r="N464" s="3">
        <v>166.9</v>
      </c>
      <c r="O464" s="3">
        <v>166.9</v>
      </c>
      <c r="P464" s="3"/>
      <c r="Q464" s="3">
        <v>83.3</v>
      </c>
      <c r="R464" s="3"/>
      <c r="S464" s="3"/>
      <c r="T464" s="125">
        <v>184.8</v>
      </c>
      <c r="U464" s="126">
        <v>96.7</v>
      </c>
      <c r="V464" s="12">
        <f>paper3[[#This Row],[height]]-paper3[[#This Row],[sittingheight]]</f>
        <v>88.100000000000009</v>
      </c>
      <c r="W464" s="127">
        <v>83.3</v>
      </c>
      <c r="X464" s="43" cm="1">
        <f t="array" ref="X464">INDEX([1]!phvny[yphv], MATCH(1, (paper3[[#This Row],[id]]=[1]!phvny[id])*(paper3[[#This Row],[time]]=[1]!phvny[time]), 0))</f>
        <v>3.5708041124141419</v>
      </c>
      <c r="Y464" s="3">
        <v>1.663</v>
      </c>
      <c r="Z464" s="3">
        <v>2.9729999999999999</v>
      </c>
      <c r="AA464" s="3">
        <v>4.2039999999999997</v>
      </c>
      <c r="AB464" s="3">
        <v>1.5580000000000001</v>
      </c>
      <c r="AC464" s="3">
        <v>2.895</v>
      </c>
      <c r="AD464" s="3">
        <v>4.1219999999999999</v>
      </c>
      <c r="AE464" s="3">
        <v>1.575</v>
      </c>
      <c r="AF464" s="3">
        <v>2.8969999999999998</v>
      </c>
      <c r="AG464" s="3">
        <v>4.101</v>
      </c>
      <c r="AH464" s="130">
        <v>1.768</v>
      </c>
      <c r="AI464" s="130">
        <v>3.0750000000000002</v>
      </c>
      <c r="AJ464" s="130">
        <v>4.3109999999999999</v>
      </c>
      <c r="AK464" s="45">
        <v>8.0906148867313927</v>
      </c>
      <c r="AL464" s="3"/>
      <c r="AM464" s="3"/>
      <c r="AN464" s="3"/>
      <c r="AO464" s="3"/>
      <c r="AP464" s="137"/>
      <c r="AQ464" s="132"/>
      <c r="AR464" s="132"/>
      <c r="AS464" s="3" t="s">
        <v>210</v>
      </c>
      <c r="AT464" s="3">
        <v>32.200000000000003</v>
      </c>
      <c r="AU464" s="3">
        <v>34.799999999999997</v>
      </c>
      <c r="AV464" s="3"/>
      <c r="AW464" s="3"/>
      <c r="AX464" s="133">
        <v>37.76</v>
      </c>
      <c r="AY464" s="134"/>
      <c r="AZ464" s="40"/>
      <c r="BA464" s="40"/>
      <c r="BB464" s="40"/>
      <c r="BC464" s="40"/>
      <c r="BD464" s="135">
        <v>1471.9029247195742</v>
      </c>
      <c r="BE464" s="135">
        <v>1548.0413069635283</v>
      </c>
      <c r="BF464" s="40"/>
      <c r="BG464" s="135">
        <v>796.45282097123811</v>
      </c>
      <c r="BH464" s="135">
        <v>799.53368744393549</v>
      </c>
      <c r="BI464" s="49">
        <v>3019.9442316831028</v>
      </c>
      <c r="BJ464" s="49">
        <v>1595.9865084151736</v>
      </c>
      <c r="BK464" s="66">
        <v>-4.9183689027845756E-2</v>
      </c>
      <c r="BL464" s="66">
        <v>-3.8533291605845621E-3</v>
      </c>
      <c r="BM464" s="51">
        <v>36.25383231312248</v>
      </c>
      <c r="BN464" s="51">
        <v>19.159501901742782</v>
      </c>
      <c r="BO464" s="136"/>
      <c r="BP464" s="40"/>
      <c r="BQ464" s="40"/>
      <c r="BR464" s="67"/>
      <c r="BS464" s="54" t="s">
        <v>110</v>
      </c>
      <c r="BT464" s="68"/>
      <c r="BU464" s="69"/>
      <c r="BV464" s="3"/>
      <c r="BW464" s="3"/>
      <c r="BX464" s="70"/>
      <c r="BY464" s="70"/>
      <c r="BZ464" s="59"/>
      <c r="CA464" s="59"/>
      <c r="CB464" s="59" t="s">
        <v>110</v>
      </c>
      <c r="CC464" s="59" t="s">
        <v>110</v>
      </c>
      <c r="CD464" s="60"/>
      <c r="CE464" s="60"/>
      <c r="CF464" s="61"/>
      <c r="CG464" s="61"/>
      <c r="CH464" s="61"/>
      <c r="CI464" s="138"/>
      <c r="CJ464" s="40"/>
      <c r="CK464" s="3"/>
      <c r="CL464" s="62"/>
      <c r="CM464" s="62"/>
      <c r="CN464" s="3"/>
      <c r="CO464" s="3"/>
      <c r="CP464" s="41">
        <v>17.172222222222221</v>
      </c>
      <c r="CQ464" s="3"/>
      <c r="CR464" s="40" t="s">
        <v>110</v>
      </c>
      <c r="CS464" s="40" t="s">
        <v>110</v>
      </c>
      <c r="CT464" s="40" t="s">
        <v>110</v>
      </c>
      <c r="CU464" s="40"/>
      <c r="CV464" s="40"/>
      <c r="CW464" s="40"/>
      <c r="CX464" s="40"/>
      <c r="CY464" s="40" t="s">
        <v>204</v>
      </c>
      <c r="CZ464" s="40"/>
      <c r="DA464" s="40"/>
    </row>
    <row r="465" spans="1:105" ht="15.75" customHeight="1">
      <c r="A465" s="46">
        <v>934</v>
      </c>
      <c r="B465" s="145" t="s">
        <v>199</v>
      </c>
      <c r="C465" s="146" t="s">
        <v>104</v>
      </c>
      <c r="D465" s="46" t="s">
        <v>105</v>
      </c>
      <c r="E465" s="147">
        <v>45086</v>
      </c>
      <c r="F465" s="46" t="s">
        <v>186</v>
      </c>
      <c r="G465" s="46" t="s">
        <v>122</v>
      </c>
      <c r="H465" s="46">
        <v>2005</v>
      </c>
      <c r="I465" s="84"/>
      <c r="J465" s="39"/>
      <c r="K465" s="3">
        <v>187.9</v>
      </c>
      <c r="L465" s="3">
        <v>187.9</v>
      </c>
      <c r="M465" s="3"/>
      <c r="N465" s="3">
        <v>168.4</v>
      </c>
      <c r="O465" s="3">
        <v>168.3</v>
      </c>
      <c r="P465" s="3"/>
      <c r="Q465" s="3">
        <v>79.400000000000006</v>
      </c>
      <c r="R465" s="3"/>
      <c r="S465" s="3"/>
      <c r="T465" s="125">
        <v>187.9</v>
      </c>
      <c r="U465" s="126">
        <v>98.15000000000002</v>
      </c>
      <c r="V465" s="12">
        <f>paper3[[#This Row],[height]]-paper3[[#This Row],[sittingheight]]</f>
        <v>89.749999999999986</v>
      </c>
      <c r="W465" s="127">
        <v>79.400000000000006</v>
      </c>
      <c r="X465" s="43" cm="1">
        <f t="array" ref="X465">INDEX([1]!phvny[yphv], MATCH(1, (paper3[[#This Row],[id]]=[1]!phvny[id])*(paper3[[#This Row],[time]]=[1]!phvny[time]), 0))</f>
        <v>4.4097266985595205</v>
      </c>
      <c r="Y465" s="3">
        <v>1.546</v>
      </c>
      <c r="Z465" s="3">
        <v>2.8340000000000001</v>
      </c>
      <c r="AA465" s="3">
        <v>4.0229999999999997</v>
      </c>
      <c r="AB465" s="3" t="s">
        <v>213</v>
      </c>
      <c r="AC465" s="3">
        <v>2.823</v>
      </c>
      <c r="AD465" s="3">
        <v>4.0019999999999998</v>
      </c>
      <c r="AE465" s="3">
        <v>1.5369999999999999</v>
      </c>
      <c r="AF465" s="3">
        <v>2.8119999999999998</v>
      </c>
      <c r="AG465" s="3">
        <v>4.0030000000000001</v>
      </c>
      <c r="AH465" s="130">
        <v>1.7469999999999999</v>
      </c>
      <c r="AI465" s="130">
        <v>2.992</v>
      </c>
      <c r="AJ465" s="130">
        <v>4.2119999999999997</v>
      </c>
      <c r="AK465" s="45">
        <v>8.1967213114754109</v>
      </c>
      <c r="AL465" s="3"/>
      <c r="AM465" s="3"/>
      <c r="AN465" s="3"/>
      <c r="AO465" s="3"/>
      <c r="AP465" s="137"/>
      <c r="AQ465" s="132"/>
      <c r="AR465" s="132"/>
      <c r="AS465" s="3">
        <v>30.8</v>
      </c>
      <c r="AT465" s="3">
        <v>30.3</v>
      </c>
      <c r="AU465" s="3">
        <v>32.1</v>
      </c>
      <c r="AV465" s="3"/>
      <c r="AW465" s="3"/>
      <c r="AX465" s="133">
        <v>35.06</v>
      </c>
      <c r="AY465" s="134"/>
      <c r="AZ465" s="40"/>
      <c r="BA465" s="40"/>
      <c r="BB465" s="40"/>
      <c r="BC465" s="40"/>
      <c r="BD465" s="135">
        <v>1201.416585836015</v>
      </c>
      <c r="BE465" s="135">
        <v>1248.3016443019549</v>
      </c>
      <c r="BF465" s="40"/>
      <c r="BG465" s="135">
        <v>715.81410956107402</v>
      </c>
      <c r="BH465" s="135">
        <v>760.06402125551892</v>
      </c>
      <c r="BI465" s="49">
        <v>2449.7182301379698</v>
      </c>
      <c r="BJ465" s="49">
        <v>1475.8781308165931</v>
      </c>
      <c r="BK465" s="66">
        <v>-3.7559077711667888E-2</v>
      </c>
      <c r="BL465" s="66">
        <v>-5.8218663766442025E-2</v>
      </c>
      <c r="BM465" s="51">
        <v>30.852874434987022</v>
      </c>
      <c r="BN465" s="51">
        <v>18.587885778546511</v>
      </c>
      <c r="BO465" s="136"/>
      <c r="BP465" s="40"/>
      <c r="BQ465" s="40"/>
      <c r="BR465" s="67"/>
      <c r="BS465" s="54" t="s">
        <v>110</v>
      </c>
      <c r="BT465" s="68"/>
      <c r="BU465" s="69"/>
      <c r="BV465" s="3"/>
      <c r="BW465" s="3"/>
      <c r="BX465" s="70"/>
      <c r="BY465" s="70"/>
      <c r="BZ465" s="59"/>
      <c r="CA465" s="59"/>
      <c r="CB465" s="59" t="s">
        <v>110</v>
      </c>
      <c r="CC465" s="59" t="s">
        <v>110</v>
      </c>
      <c r="CD465" s="60"/>
      <c r="CE465" s="60"/>
      <c r="CF465" s="61"/>
      <c r="CG465" s="61"/>
      <c r="CH465" s="61"/>
      <c r="CI465" s="138"/>
      <c r="CJ465" s="40"/>
      <c r="CK465" s="3"/>
      <c r="CL465" s="62"/>
      <c r="CM465" s="62"/>
      <c r="CN465" s="3"/>
      <c r="CO465" s="3"/>
      <c r="CP465" s="41">
        <v>18.411111111111111</v>
      </c>
      <c r="CQ465" s="3"/>
      <c r="CR465" s="40" t="s">
        <v>110</v>
      </c>
      <c r="CS465" s="40" t="s">
        <v>110</v>
      </c>
      <c r="CT465" s="40" t="s">
        <v>110</v>
      </c>
      <c r="CU465" s="40"/>
      <c r="CV465" s="40"/>
      <c r="CW465" s="40"/>
      <c r="CX465" s="40"/>
      <c r="CY465" s="40" t="s">
        <v>204</v>
      </c>
      <c r="CZ465" s="40"/>
      <c r="DA465" s="40"/>
    </row>
    <row r="466" spans="1:105" ht="15.75" customHeight="1">
      <c r="A466" s="3">
        <v>935</v>
      </c>
      <c r="B466" s="92" t="s">
        <v>199</v>
      </c>
      <c r="C466" s="143" t="s">
        <v>104</v>
      </c>
      <c r="D466" s="3" t="s">
        <v>105</v>
      </c>
      <c r="E466" s="144">
        <v>45086</v>
      </c>
      <c r="F466" s="3" t="s">
        <v>186</v>
      </c>
      <c r="G466" s="3" t="s">
        <v>122</v>
      </c>
      <c r="H466" s="3">
        <v>2006</v>
      </c>
      <c r="I466" s="40" t="s">
        <v>121</v>
      </c>
      <c r="J466" s="39" t="str">
        <f>paper3[[#This Row],[sex]]&amp;paper3[[#This Row],[ageg]]</f>
        <v>boysU18</v>
      </c>
      <c r="K466" s="3">
        <v>163</v>
      </c>
      <c r="L466" s="3">
        <v>163</v>
      </c>
      <c r="M466" s="3"/>
      <c r="N466" s="3">
        <v>155.5</v>
      </c>
      <c r="O466" s="3">
        <v>155.5</v>
      </c>
      <c r="P466" s="3"/>
      <c r="Q466" s="3">
        <v>61.3</v>
      </c>
      <c r="R466" s="3"/>
      <c r="S466" s="3"/>
      <c r="T466" s="125">
        <v>163</v>
      </c>
      <c r="U466" s="126">
        <v>85.3</v>
      </c>
      <c r="V466" s="12">
        <f>paper3[[#This Row],[height]]-paper3[[#This Row],[sittingheight]]</f>
        <v>77.7</v>
      </c>
      <c r="W466" s="127">
        <v>61.3</v>
      </c>
      <c r="X466" s="43" cm="1">
        <f t="array" ref="X466">INDEX([1]!phvny[yphv], MATCH(1, (paper3[[#This Row],[id]]=[1]!phvny[id])*(paper3[[#This Row],[time]]=[1]!phvny[time]), 0))</f>
        <v>1.6961417458629839</v>
      </c>
      <c r="Y466" s="3">
        <v>1.6910000000000001</v>
      </c>
      <c r="Z466" s="3">
        <v>3.06</v>
      </c>
      <c r="AA466" s="3">
        <v>4.3600000000000003</v>
      </c>
      <c r="AB466" s="3">
        <v>1.696</v>
      </c>
      <c r="AC466" s="3">
        <v>3.06</v>
      </c>
      <c r="AD466" s="3">
        <v>4.3680000000000003</v>
      </c>
      <c r="AE466" s="3">
        <v>1.702</v>
      </c>
      <c r="AF466" s="3">
        <v>3.0640000000000001</v>
      </c>
      <c r="AG466" s="3">
        <v>4.3630000000000004</v>
      </c>
      <c r="AH466" s="130">
        <v>1.901</v>
      </c>
      <c r="AI466" s="130">
        <v>3.24</v>
      </c>
      <c r="AJ466" s="130">
        <v>4.57</v>
      </c>
      <c r="AK466" s="45">
        <v>7.518796992481203</v>
      </c>
      <c r="AL466" s="3"/>
      <c r="AM466" s="3"/>
      <c r="AN466" s="3"/>
      <c r="AO466" s="3"/>
      <c r="AP466" s="137"/>
      <c r="AQ466" s="132"/>
      <c r="AR466" s="132"/>
      <c r="AS466" s="3">
        <v>31.4</v>
      </c>
      <c r="AT466" s="3">
        <v>29.4</v>
      </c>
      <c r="AU466" s="3">
        <v>29.6</v>
      </c>
      <c r="AV466" s="3"/>
      <c r="AW466" s="3"/>
      <c r="AX466" s="133">
        <v>34.36</v>
      </c>
      <c r="AY466" s="134"/>
      <c r="AZ466" s="40"/>
      <c r="BA466" s="40"/>
      <c r="BB466" s="40"/>
      <c r="BC466" s="40"/>
      <c r="BD466" s="135">
        <v>948.06568523308135</v>
      </c>
      <c r="BE466" s="135">
        <v>989.89085966836365</v>
      </c>
      <c r="BF466" s="40"/>
      <c r="BG466" s="135">
        <v>465.16462572674436</v>
      </c>
      <c r="BH466" s="135">
        <v>464.98631721138651</v>
      </c>
      <c r="BI466" s="49">
        <v>1937.9565449014449</v>
      </c>
      <c r="BJ466" s="49">
        <v>930.15094293813081</v>
      </c>
      <c r="BK466" s="66">
        <v>-4.2252308955852635E-2</v>
      </c>
      <c r="BL466" s="66">
        <v>3.8347045656572654E-4</v>
      </c>
      <c r="BM466" s="51">
        <v>31.614299264297635</v>
      </c>
      <c r="BN466" s="51">
        <v>15.173751108289247</v>
      </c>
      <c r="BO466" s="136"/>
      <c r="BP466" s="40"/>
      <c r="BQ466" s="40"/>
      <c r="BR466" s="67"/>
      <c r="BS466" s="54" t="s">
        <v>110</v>
      </c>
      <c r="BT466" s="68"/>
      <c r="BU466" s="69"/>
      <c r="BV466" s="3"/>
      <c r="BW466" s="3"/>
      <c r="BX466" s="70"/>
      <c r="BY466" s="70"/>
      <c r="BZ466" s="59"/>
      <c r="CA466" s="59"/>
      <c r="CB466" s="59" t="s">
        <v>110</v>
      </c>
      <c r="CC466" s="59" t="s">
        <v>110</v>
      </c>
      <c r="CD466" s="60"/>
      <c r="CE466" s="60"/>
      <c r="CF466" s="61"/>
      <c r="CG466" s="61"/>
      <c r="CH466" s="61"/>
      <c r="CI466" s="138"/>
      <c r="CJ466" s="40"/>
      <c r="CK466" s="3"/>
      <c r="CL466" s="62"/>
      <c r="CM466" s="62"/>
      <c r="CN466" s="3"/>
      <c r="CO466" s="3"/>
      <c r="CP466" s="41">
        <v>17.016666666666666</v>
      </c>
      <c r="CQ466" s="3"/>
      <c r="CR466" s="40" t="s">
        <v>110</v>
      </c>
      <c r="CS466" s="40" t="s">
        <v>110</v>
      </c>
      <c r="CT466" s="40" t="s">
        <v>110</v>
      </c>
      <c r="CU466" s="40"/>
      <c r="CV466" s="40"/>
      <c r="CW466" s="40"/>
      <c r="CX466" s="40"/>
      <c r="CY466" s="40" t="s">
        <v>205</v>
      </c>
      <c r="CZ466" s="40"/>
      <c r="DA466" s="40"/>
    </row>
    <row r="467" spans="1:105" ht="15.75" customHeight="1">
      <c r="A467" s="3">
        <v>936</v>
      </c>
      <c r="B467" s="92" t="s">
        <v>199</v>
      </c>
      <c r="C467" s="143" t="s">
        <v>104</v>
      </c>
      <c r="D467" s="3" t="s">
        <v>105</v>
      </c>
      <c r="E467" s="144">
        <v>45086</v>
      </c>
      <c r="F467" s="3" t="s">
        <v>186</v>
      </c>
      <c r="G467" s="3" t="s">
        <v>122</v>
      </c>
      <c r="H467" s="3">
        <v>2006</v>
      </c>
      <c r="I467" s="40" t="s">
        <v>121</v>
      </c>
      <c r="J467" s="39" t="str">
        <f>paper3[[#This Row],[sex]]&amp;paper3[[#This Row],[ageg]]</f>
        <v>boysU18</v>
      </c>
      <c r="K467" s="3">
        <v>197</v>
      </c>
      <c r="L467" s="3">
        <v>197</v>
      </c>
      <c r="M467" s="3"/>
      <c r="N467" s="3">
        <v>172.2</v>
      </c>
      <c r="O467" s="3">
        <v>172.2</v>
      </c>
      <c r="P467" s="3"/>
      <c r="Q467" s="3">
        <v>89.6</v>
      </c>
      <c r="R467" s="3"/>
      <c r="S467" s="3"/>
      <c r="T467" s="125">
        <v>197</v>
      </c>
      <c r="U467" s="126">
        <v>101.99999999999999</v>
      </c>
      <c r="V467" s="12">
        <f>paper3[[#This Row],[height]]-paper3[[#This Row],[sittingheight]]</f>
        <v>95.000000000000014</v>
      </c>
      <c r="W467" s="127">
        <v>89.6</v>
      </c>
      <c r="X467" s="43" cm="1">
        <f t="array" ref="X467">INDEX([1]!phvny[yphv], MATCH(1, (paper3[[#This Row],[id]]=[1]!phvny[id])*(paper3[[#This Row],[time]]=[1]!phvny[time]), 0))</f>
        <v>4.4467747529892812</v>
      </c>
      <c r="Y467" s="3">
        <v>1.669</v>
      </c>
      <c r="Z467" s="3">
        <v>3.1150000000000002</v>
      </c>
      <c r="AA467" s="3">
        <v>4.5019999999999998</v>
      </c>
      <c r="AB467" s="3">
        <v>1.6879999999999999</v>
      </c>
      <c r="AC467" s="3">
        <v>3.1259999999999999</v>
      </c>
      <c r="AD467" s="3">
        <v>4.5049999999999999</v>
      </c>
      <c r="AE467" s="3">
        <v>1.774</v>
      </c>
      <c r="AF467" s="3">
        <v>3.2429999999999999</v>
      </c>
      <c r="AG467" s="3">
        <v>4.6769999999999996</v>
      </c>
      <c r="AH467" s="130">
        <v>1.879</v>
      </c>
      <c r="AI467" s="130">
        <v>3.2950000000000004</v>
      </c>
      <c r="AJ467" s="130">
        <v>4.7119999999999997</v>
      </c>
      <c r="AK467" s="45">
        <v>7.0571630204657758</v>
      </c>
      <c r="AL467" s="3">
        <v>10.11</v>
      </c>
      <c r="AM467" s="3">
        <v>10.1</v>
      </c>
      <c r="AN467" s="3">
        <v>10.29</v>
      </c>
      <c r="AO467" s="3">
        <v>10.07</v>
      </c>
      <c r="AP467" s="137">
        <v>10.94</v>
      </c>
      <c r="AQ467" s="132">
        <v>10.1</v>
      </c>
      <c r="AR467" s="132">
        <v>10.07</v>
      </c>
      <c r="AS467" s="3">
        <v>27.1</v>
      </c>
      <c r="AT467" s="3">
        <v>26.2</v>
      </c>
      <c r="AU467" s="3">
        <v>27.3</v>
      </c>
      <c r="AV467" s="3"/>
      <c r="AW467" s="3"/>
      <c r="AX467" s="133">
        <v>30.26</v>
      </c>
      <c r="AY467" s="134"/>
      <c r="AZ467" s="40"/>
      <c r="BA467" s="40"/>
      <c r="BB467" s="40"/>
      <c r="BC467" s="40"/>
      <c r="BD467" s="135">
        <v>1262.1197808533093</v>
      </c>
      <c r="BE467" s="135">
        <v>1249.2203413523189</v>
      </c>
      <c r="BF467" s="40"/>
      <c r="BG467" s="135">
        <v>738.99216889491436</v>
      </c>
      <c r="BH467" s="135">
        <v>755.19422686639223</v>
      </c>
      <c r="BI467" s="49">
        <v>2511.3401222056282</v>
      </c>
      <c r="BJ467" s="49">
        <v>1494.1863957613066</v>
      </c>
      <c r="BK467" s="66">
        <v>1.0325992200084011E-2</v>
      </c>
      <c r="BL467" s="66">
        <v>-2.1454160261138111E-2</v>
      </c>
      <c r="BM467" s="51">
        <v>28.028349578187818</v>
      </c>
      <c r="BN467" s="51">
        <v>16.676187452693156</v>
      </c>
      <c r="BO467" s="136"/>
      <c r="BP467" s="40"/>
      <c r="BQ467" s="40"/>
      <c r="BR467" s="67"/>
      <c r="BS467" s="54" t="s">
        <v>110</v>
      </c>
      <c r="BT467" s="68"/>
      <c r="BU467" s="69"/>
      <c r="BV467" s="3"/>
      <c r="BW467" s="3"/>
      <c r="BX467" s="70"/>
      <c r="BY467" s="70"/>
      <c r="BZ467" s="59"/>
      <c r="CA467" s="59"/>
      <c r="CB467" s="59" t="s">
        <v>110</v>
      </c>
      <c r="CC467" s="59" t="s">
        <v>110</v>
      </c>
      <c r="CD467" s="60"/>
      <c r="CE467" s="60"/>
      <c r="CF467" s="61"/>
      <c r="CG467" s="61"/>
      <c r="CH467" s="61"/>
      <c r="CI467" s="138">
        <v>16.5</v>
      </c>
      <c r="CJ467" s="40">
        <f>VLOOKUP(paper3[[#This Row],[YYIR nivå]],$DB:$DC,2)</f>
        <v>1280</v>
      </c>
      <c r="CK467" s="3"/>
      <c r="CL467" s="62"/>
      <c r="CM467" s="62"/>
      <c r="CN467" s="3"/>
      <c r="CO467" s="3"/>
      <c r="CP467" s="41">
        <v>17.327777777777779</v>
      </c>
      <c r="CQ467" s="3"/>
      <c r="CR467" s="40" t="s">
        <v>110</v>
      </c>
      <c r="CS467" s="40" t="s">
        <v>110</v>
      </c>
      <c r="CT467" s="40" t="s">
        <v>110</v>
      </c>
      <c r="CU467" s="40"/>
      <c r="CV467" s="40"/>
      <c r="CW467" s="40"/>
      <c r="CX467" s="40"/>
      <c r="CY467" s="40" t="s">
        <v>204</v>
      </c>
      <c r="CZ467" s="40"/>
      <c r="DA467" s="40"/>
    </row>
    <row r="468" spans="1:105" ht="15.75" customHeight="1">
      <c r="A468" s="3">
        <v>937</v>
      </c>
      <c r="B468" s="92" t="s">
        <v>199</v>
      </c>
      <c r="C468" s="143" t="s">
        <v>104</v>
      </c>
      <c r="D468" s="3" t="s">
        <v>105</v>
      </c>
      <c r="E468" s="144">
        <v>45086</v>
      </c>
      <c r="F468" s="3" t="s">
        <v>186</v>
      </c>
      <c r="G468" s="3" t="s">
        <v>122</v>
      </c>
      <c r="H468" s="3">
        <v>2006</v>
      </c>
      <c r="I468" s="40" t="s">
        <v>121</v>
      </c>
      <c r="J468" s="39" t="str">
        <f>paper3[[#This Row],[sex]]&amp;paper3[[#This Row],[ageg]]</f>
        <v>boysU18</v>
      </c>
      <c r="K468" s="3">
        <v>188</v>
      </c>
      <c r="L468" s="3">
        <v>188</v>
      </c>
      <c r="M468" s="3"/>
      <c r="N468" s="3">
        <v>169.4</v>
      </c>
      <c r="O468" s="3">
        <v>169.5</v>
      </c>
      <c r="P468" s="3"/>
      <c r="Q468" s="3">
        <v>86.2</v>
      </c>
      <c r="R468" s="3"/>
      <c r="S468" s="3"/>
      <c r="T468" s="125">
        <v>188</v>
      </c>
      <c r="U468" s="126">
        <v>99.249999999999986</v>
      </c>
      <c r="V468" s="12">
        <f>paper3[[#This Row],[height]]-paper3[[#This Row],[sittingheight]]</f>
        <v>88.750000000000014</v>
      </c>
      <c r="W468" s="127">
        <v>86.2</v>
      </c>
      <c r="X468" s="43" cm="1">
        <f t="array" ref="X468">INDEX([1]!phvny[yphv], MATCH(1, (paper3[[#This Row],[id]]=[1]!phvny[id])*(paper3[[#This Row],[time]]=[1]!phvny[time]), 0))</f>
        <v>3.7226473850620572</v>
      </c>
      <c r="Y468" s="3">
        <v>1.8280000000000001</v>
      </c>
      <c r="Z468" s="3">
        <v>3.1960000000000002</v>
      </c>
      <c r="AA468" s="3">
        <v>4.5199999999999996</v>
      </c>
      <c r="AB468" s="3">
        <v>1.8859999999999999</v>
      </c>
      <c r="AC468" s="3">
        <v>3.298</v>
      </c>
      <c r="AD468" s="3">
        <v>4.609</v>
      </c>
      <c r="AE468" s="3">
        <v>1.653</v>
      </c>
      <c r="AF468" s="3">
        <v>3.0030000000000001</v>
      </c>
      <c r="AG468" s="3">
        <v>4.266</v>
      </c>
      <c r="AH468" s="130">
        <v>1.863</v>
      </c>
      <c r="AI468" s="130">
        <v>3.1830000000000003</v>
      </c>
      <c r="AJ468" s="130">
        <v>4.476</v>
      </c>
      <c r="AK468" s="45">
        <v>7.7339520494972946</v>
      </c>
      <c r="AL468" s="3"/>
      <c r="AM468" s="3"/>
      <c r="AN468" s="3"/>
      <c r="AO468" s="3"/>
      <c r="AP468" s="137"/>
      <c r="AQ468" s="132"/>
      <c r="AR468" s="132"/>
      <c r="AS468" s="3">
        <v>30.9</v>
      </c>
      <c r="AT468" s="3">
        <v>30.3</v>
      </c>
      <c r="AU468" s="3">
        <v>26.7</v>
      </c>
      <c r="AV468" s="3"/>
      <c r="AW468" s="3"/>
      <c r="AX468" s="133">
        <v>33.86</v>
      </c>
      <c r="AY468" s="134"/>
      <c r="AZ468" s="40"/>
      <c r="BA468" s="40"/>
      <c r="BB468" s="40"/>
      <c r="BC468" s="40"/>
      <c r="BD468" s="135">
        <v>2042.4382366345603</v>
      </c>
      <c r="BE468" s="135">
        <v>1997.11047855428</v>
      </c>
      <c r="BF468" s="40"/>
      <c r="BG468" s="135">
        <v>912.68283999413143</v>
      </c>
      <c r="BH468" s="135">
        <v>984.60724045156189</v>
      </c>
      <c r="BI468" s="49">
        <v>4039.5487151888401</v>
      </c>
      <c r="BJ468" s="49">
        <v>1897.2900804456933</v>
      </c>
      <c r="BK468" s="66">
        <v>2.2696670297926325E-2</v>
      </c>
      <c r="BL468" s="66">
        <v>-7.3048823431812626E-2</v>
      </c>
      <c r="BM468" s="51">
        <v>46.862514097318332</v>
      </c>
      <c r="BN468" s="51">
        <v>22.010325759230781</v>
      </c>
      <c r="BO468" s="136"/>
      <c r="BP468" s="40"/>
      <c r="BQ468" s="40"/>
      <c r="BR468" s="67"/>
      <c r="BS468" s="54" t="s">
        <v>110</v>
      </c>
      <c r="BT468" s="68"/>
      <c r="BU468" s="69"/>
      <c r="BV468" s="3"/>
      <c r="BW468" s="3"/>
      <c r="BX468" s="70"/>
      <c r="BY468" s="70"/>
      <c r="BZ468" s="59"/>
      <c r="CA468" s="59"/>
      <c r="CB468" s="59" t="s">
        <v>110</v>
      </c>
      <c r="CC468" s="59" t="s">
        <v>110</v>
      </c>
      <c r="CD468" s="60"/>
      <c r="CE468" s="60"/>
      <c r="CF468" s="61"/>
      <c r="CG468" s="61"/>
      <c r="CH468" s="61"/>
      <c r="CI468" s="138"/>
      <c r="CJ468" s="40"/>
      <c r="CK468" s="3"/>
      <c r="CL468" s="62"/>
      <c r="CM468" s="62"/>
      <c r="CN468" s="3"/>
      <c r="CO468" s="3"/>
      <c r="CP468" s="41">
        <v>16.747222222222224</v>
      </c>
      <c r="CQ468" s="3"/>
      <c r="CR468" s="40" t="s">
        <v>110</v>
      </c>
      <c r="CS468" s="40" t="s">
        <v>110</v>
      </c>
      <c r="CT468" s="40" t="s">
        <v>110</v>
      </c>
      <c r="CU468" s="40"/>
      <c r="CV468" s="40"/>
      <c r="CW468" s="40"/>
      <c r="CX468" s="40"/>
      <c r="CY468" s="40" t="s">
        <v>207</v>
      </c>
      <c r="CZ468" s="40"/>
      <c r="DA468" s="40"/>
    </row>
    <row r="469" spans="1:105" ht="15.75" customHeight="1">
      <c r="A469" s="3">
        <v>938</v>
      </c>
      <c r="B469" s="92" t="s">
        <v>199</v>
      </c>
      <c r="C469" s="143" t="s">
        <v>104</v>
      </c>
      <c r="D469" s="3" t="s">
        <v>105</v>
      </c>
      <c r="E469" s="144">
        <v>45086</v>
      </c>
      <c r="F469" s="3" t="s">
        <v>186</v>
      </c>
      <c r="G469" s="3" t="s">
        <v>122</v>
      </c>
      <c r="H469" s="3">
        <v>2006</v>
      </c>
      <c r="I469" s="40" t="s">
        <v>121</v>
      </c>
      <c r="J469" s="39" t="str">
        <f>paper3[[#This Row],[sex]]&amp;paper3[[#This Row],[ageg]]</f>
        <v>boysU18</v>
      </c>
      <c r="K469" s="3">
        <v>183.6</v>
      </c>
      <c r="L469" s="3">
        <v>183.5</v>
      </c>
      <c r="M469" s="3"/>
      <c r="N469" s="3">
        <v>163.4</v>
      </c>
      <c r="O469" s="3">
        <v>163.4</v>
      </c>
      <c r="P469" s="3"/>
      <c r="Q469" s="3">
        <v>82.2</v>
      </c>
      <c r="R469" s="3"/>
      <c r="S469" s="3"/>
      <c r="T469" s="125">
        <v>183.55</v>
      </c>
      <c r="U469" s="126">
        <v>93.2</v>
      </c>
      <c r="V469" s="12">
        <f>paper3[[#This Row],[height]]-paper3[[#This Row],[sittingheight]]</f>
        <v>90.350000000000009</v>
      </c>
      <c r="W469" s="127">
        <v>82.2</v>
      </c>
      <c r="X469" s="43" cm="1">
        <f t="array" ref="X469">INDEX([1]!phvny[yphv], MATCH(1, (paper3[[#This Row],[id]]=[1]!phvny[id])*(paper3[[#This Row],[time]]=[1]!phvny[time]), 0))</f>
        <v>2.7449265056033103</v>
      </c>
      <c r="Y469" s="3">
        <v>1.655</v>
      </c>
      <c r="Z469" s="3">
        <v>3.0139999999999998</v>
      </c>
      <c r="AA469" s="3">
        <v>4.2690000000000001</v>
      </c>
      <c r="AB469" s="3">
        <v>1.7150000000000001</v>
      </c>
      <c r="AC469" s="3">
        <v>3.0950000000000002</v>
      </c>
      <c r="AD469" s="3">
        <v>4.3639999999999999</v>
      </c>
      <c r="AE469" s="3">
        <v>1.669</v>
      </c>
      <c r="AF469" s="3">
        <v>3.0590000000000002</v>
      </c>
      <c r="AG469" s="3">
        <v>4.3559999999999999</v>
      </c>
      <c r="AH469" s="130">
        <v>1.865</v>
      </c>
      <c r="AI469" s="130">
        <v>3.194</v>
      </c>
      <c r="AJ469" s="130">
        <v>4.4790000000000001</v>
      </c>
      <c r="AK469" s="45">
        <v>7.7821011673151741</v>
      </c>
      <c r="AL469" s="3"/>
      <c r="AM469" s="3"/>
      <c r="AN469" s="3"/>
      <c r="AO469" s="3"/>
      <c r="AP469" s="137"/>
      <c r="AQ469" s="132"/>
      <c r="AR469" s="132"/>
      <c r="AS469" s="3" t="s">
        <v>210</v>
      </c>
      <c r="AT469" s="3">
        <v>30.6</v>
      </c>
      <c r="AU469" s="3">
        <v>31.4</v>
      </c>
      <c r="AV469" s="3"/>
      <c r="AW469" s="3"/>
      <c r="AX469" s="133">
        <v>34.36</v>
      </c>
      <c r="AY469" s="134"/>
      <c r="AZ469" s="40"/>
      <c r="BA469" s="40"/>
      <c r="BB469" s="40"/>
      <c r="BC469" s="40"/>
      <c r="BD469" s="135">
        <v>1348.8663761073396</v>
      </c>
      <c r="BE469" s="135">
        <v>1289.1956370074063</v>
      </c>
      <c r="BF469" s="40"/>
      <c r="BG469" s="135">
        <v>802.91970993982602</v>
      </c>
      <c r="BH469" s="135">
        <v>767.86345226831304</v>
      </c>
      <c r="BI469" s="49">
        <v>2638.0620131147462</v>
      </c>
      <c r="BJ469" s="49">
        <v>1570.7831622081389</v>
      </c>
      <c r="BK469" s="66">
        <v>4.6285247472948488E-2</v>
      </c>
      <c r="BL469" s="66">
        <v>4.5654286016549861E-2</v>
      </c>
      <c r="BM469" s="51">
        <v>32.093211838378906</v>
      </c>
      <c r="BN469" s="51">
        <v>19.109284211777844</v>
      </c>
      <c r="BO469" s="136"/>
      <c r="BP469" s="40"/>
      <c r="BQ469" s="40"/>
      <c r="BR469" s="67"/>
      <c r="BS469" s="54" t="s">
        <v>110</v>
      </c>
      <c r="BT469" s="68"/>
      <c r="BU469" s="69"/>
      <c r="BV469" s="3"/>
      <c r="BW469" s="3"/>
      <c r="BX469" s="70"/>
      <c r="BY469" s="70"/>
      <c r="BZ469" s="59"/>
      <c r="CA469" s="59"/>
      <c r="CB469" s="59" t="s">
        <v>110</v>
      </c>
      <c r="CC469" s="59" t="s">
        <v>110</v>
      </c>
      <c r="CD469" s="60"/>
      <c r="CE469" s="60"/>
      <c r="CF469" s="61"/>
      <c r="CG469" s="61"/>
      <c r="CH469" s="61"/>
      <c r="CI469" s="138"/>
      <c r="CJ469" s="40"/>
      <c r="CK469" s="3"/>
      <c r="CL469" s="62"/>
      <c r="CM469" s="62"/>
      <c r="CN469" s="3"/>
      <c r="CO469" s="3"/>
      <c r="CP469" s="41">
        <v>16.608333333333334</v>
      </c>
      <c r="CQ469" s="3"/>
      <c r="CR469" s="40" t="s">
        <v>110</v>
      </c>
      <c r="CS469" s="40" t="s">
        <v>110</v>
      </c>
      <c r="CT469" s="40" t="s">
        <v>110</v>
      </c>
      <c r="CU469" s="40"/>
      <c r="CV469" s="40"/>
      <c r="CW469" s="40"/>
      <c r="CX469" s="40"/>
      <c r="CY469" s="40" t="s">
        <v>204</v>
      </c>
      <c r="CZ469" s="40"/>
      <c r="DA469" s="40"/>
    </row>
    <row r="470" spans="1:105" ht="15.75" customHeight="1">
      <c r="A470" s="3">
        <v>939</v>
      </c>
      <c r="B470" s="92" t="s">
        <v>199</v>
      </c>
      <c r="C470" s="143" t="s">
        <v>104</v>
      </c>
      <c r="D470" s="3" t="s">
        <v>105</v>
      </c>
      <c r="E470" s="144">
        <v>45086</v>
      </c>
      <c r="F470" s="3" t="s">
        <v>186</v>
      </c>
      <c r="G470" s="3" t="s">
        <v>122</v>
      </c>
      <c r="H470" s="3">
        <v>2006</v>
      </c>
      <c r="I470" s="40" t="s">
        <v>121</v>
      </c>
      <c r="J470" s="39" t="str">
        <f>paper3[[#This Row],[sex]]&amp;paper3[[#This Row],[ageg]]</f>
        <v>boysU18</v>
      </c>
      <c r="K470" s="3">
        <v>189.5</v>
      </c>
      <c r="L470" s="3">
        <v>189.5</v>
      </c>
      <c r="M470" s="3"/>
      <c r="N470" s="3">
        <v>167</v>
      </c>
      <c r="O470" s="3">
        <v>167</v>
      </c>
      <c r="P470" s="3"/>
      <c r="Q470" s="3">
        <v>78</v>
      </c>
      <c r="R470" s="3"/>
      <c r="S470" s="3"/>
      <c r="T470" s="125">
        <v>189.5</v>
      </c>
      <c r="U470" s="126">
        <v>96.8</v>
      </c>
      <c r="V470" s="12">
        <f>paper3[[#This Row],[height]]-paper3[[#This Row],[sittingheight]]</f>
        <v>92.7</v>
      </c>
      <c r="W470" s="127">
        <v>78</v>
      </c>
      <c r="X470" s="43" cm="1">
        <f t="array" ref="X470">INDEX([1]!phvny[yphv], MATCH(1, (paper3[[#This Row],[id]]=[1]!phvny[id])*(paper3[[#This Row],[time]]=[1]!phvny[time]), 0))</f>
        <v>3.3142066931429208</v>
      </c>
      <c r="Y470" s="3">
        <v>1.704</v>
      </c>
      <c r="Z470" s="3">
        <v>3.1030000000000002</v>
      </c>
      <c r="AA470" s="3">
        <v>4.4180000000000001</v>
      </c>
      <c r="AB470" s="3">
        <v>1.724</v>
      </c>
      <c r="AC470" s="3">
        <v>3.137</v>
      </c>
      <c r="AD470" s="3">
        <v>4.4809999999999999</v>
      </c>
      <c r="AE470" s="3">
        <v>1.728</v>
      </c>
      <c r="AF470" s="3">
        <v>3.1459999999999999</v>
      </c>
      <c r="AG470" s="3">
        <v>4.5129999999999999</v>
      </c>
      <c r="AH470" s="130">
        <v>1.9139999999999999</v>
      </c>
      <c r="AI470" s="130">
        <v>3.2830000000000004</v>
      </c>
      <c r="AJ470" s="130">
        <v>4.6280000000000001</v>
      </c>
      <c r="AK470" s="45">
        <v>7.4349442379182173</v>
      </c>
      <c r="AL470" s="3">
        <v>10.32</v>
      </c>
      <c r="AM470" s="3">
        <v>10.1</v>
      </c>
      <c r="AN470" s="3">
        <v>9.91</v>
      </c>
      <c r="AO470" s="3">
        <v>9.83</v>
      </c>
      <c r="AP470" s="137">
        <v>10.7</v>
      </c>
      <c r="AQ470" s="132">
        <v>10.1</v>
      </c>
      <c r="AR470" s="132">
        <v>9.83</v>
      </c>
      <c r="AS470" s="3">
        <v>26.3</v>
      </c>
      <c r="AT470" s="3">
        <v>25.5</v>
      </c>
      <c r="AU470" s="3">
        <v>26.1</v>
      </c>
      <c r="AV470" s="3"/>
      <c r="AW470" s="3"/>
      <c r="AX470" s="133">
        <v>29.26</v>
      </c>
      <c r="AY470" s="134"/>
      <c r="AZ470" s="40"/>
      <c r="BA470" s="40"/>
      <c r="BB470" s="40"/>
      <c r="BC470" s="40"/>
      <c r="BD470" s="135">
        <v>1076.3992774606229</v>
      </c>
      <c r="BE470" s="135">
        <v>1080.8870842543092</v>
      </c>
      <c r="BF470" s="40"/>
      <c r="BG470" s="135">
        <v>547.5006356222425</v>
      </c>
      <c r="BH470" s="135">
        <v>596.44841138535492</v>
      </c>
      <c r="BI470" s="49">
        <v>2157.2863617149324</v>
      </c>
      <c r="BJ470" s="49">
        <v>1143.9490470075975</v>
      </c>
      <c r="BK470" s="66">
        <v>-4.1519663423329467E-3</v>
      </c>
      <c r="BL470" s="66">
        <v>-8.2065397155510422E-2</v>
      </c>
      <c r="BM470" s="51">
        <v>27.657517457883749</v>
      </c>
      <c r="BN470" s="51">
        <v>14.666013423174327</v>
      </c>
      <c r="BO470" s="136"/>
      <c r="BP470" s="40"/>
      <c r="BQ470" s="40"/>
      <c r="BR470" s="67"/>
      <c r="BS470" s="54" t="s">
        <v>110</v>
      </c>
      <c r="BT470" s="68"/>
      <c r="BU470" s="69"/>
      <c r="BV470" s="3"/>
      <c r="BW470" s="3"/>
      <c r="BX470" s="70"/>
      <c r="BY470" s="70"/>
      <c r="BZ470" s="59"/>
      <c r="CA470" s="59"/>
      <c r="CB470" s="59" t="s">
        <v>110</v>
      </c>
      <c r="CC470" s="59" t="s">
        <v>110</v>
      </c>
      <c r="CD470" s="60"/>
      <c r="CE470" s="60"/>
      <c r="CF470" s="61"/>
      <c r="CG470" s="61"/>
      <c r="CH470" s="61"/>
      <c r="CI470" s="138">
        <v>15.4</v>
      </c>
      <c r="CJ470" s="40">
        <f>VLOOKUP(paper3[[#This Row],[YYIR nivå]],$DB:$DC,2)</f>
        <v>920</v>
      </c>
      <c r="CK470" s="3"/>
      <c r="CL470" s="62"/>
      <c r="CM470" s="62"/>
      <c r="CN470" s="3"/>
      <c r="CO470" s="3"/>
      <c r="CP470" s="41">
        <v>16.858333333333334</v>
      </c>
      <c r="CQ470" s="3"/>
      <c r="CR470" s="40" t="s">
        <v>110</v>
      </c>
      <c r="CS470" s="40" t="s">
        <v>110</v>
      </c>
      <c r="CT470" s="40" t="s">
        <v>110</v>
      </c>
      <c r="CU470" s="40"/>
      <c r="CV470" s="40"/>
      <c r="CW470" s="40"/>
      <c r="CX470" s="40"/>
      <c r="CY470" s="40" t="s">
        <v>207</v>
      </c>
      <c r="CZ470" s="40"/>
      <c r="DA470" s="40"/>
    </row>
    <row r="471" spans="1:105" ht="15.75" customHeight="1">
      <c r="A471" s="3">
        <v>940</v>
      </c>
      <c r="B471" s="92" t="s">
        <v>199</v>
      </c>
      <c r="C471" s="143" t="s">
        <v>104</v>
      </c>
      <c r="D471" s="3" t="s">
        <v>105</v>
      </c>
      <c r="E471" s="144">
        <v>45086</v>
      </c>
      <c r="F471" s="3" t="s">
        <v>186</v>
      </c>
      <c r="G471" s="3" t="s">
        <v>122</v>
      </c>
      <c r="H471" s="3">
        <v>2005</v>
      </c>
      <c r="I471" s="40"/>
      <c r="J471" s="39"/>
      <c r="K471" s="3">
        <v>185</v>
      </c>
      <c r="L471" s="3">
        <v>185</v>
      </c>
      <c r="M471" s="3"/>
      <c r="N471" s="3">
        <v>168.4</v>
      </c>
      <c r="O471" s="3">
        <v>168.5</v>
      </c>
      <c r="P471" s="3"/>
      <c r="Q471" s="3">
        <v>103.6</v>
      </c>
      <c r="R471" s="3"/>
      <c r="S471" s="3"/>
      <c r="T471" s="125">
        <v>185</v>
      </c>
      <c r="U471" s="126">
        <v>98.249999999999986</v>
      </c>
      <c r="V471" s="12">
        <f>paper3[[#This Row],[height]]-paper3[[#This Row],[sittingheight]]</f>
        <v>86.750000000000014</v>
      </c>
      <c r="W471" s="127">
        <v>103.6</v>
      </c>
      <c r="X471" s="43" cm="1">
        <f t="array" ref="X471">INDEX([1]!phvny[yphv], MATCH(1, (paper3[[#This Row],[id]]=[1]!phvny[id])*(paper3[[#This Row],[time]]=[1]!phvny[time]), 0))</f>
        <v>4.5014971166666626</v>
      </c>
      <c r="Y471" s="3">
        <v>1.587</v>
      </c>
      <c r="Z471" s="3">
        <v>2.9009999999999998</v>
      </c>
      <c r="AA471" s="3">
        <v>4.1390000000000002</v>
      </c>
      <c r="AB471" s="3">
        <v>1.6559999999999999</v>
      </c>
      <c r="AC471" s="3">
        <v>2.98</v>
      </c>
      <c r="AD471" s="3">
        <v>4.2240000000000002</v>
      </c>
      <c r="AE471" s="3">
        <v>1.59</v>
      </c>
      <c r="AF471" s="3">
        <v>2.9239999999999999</v>
      </c>
      <c r="AG471" s="3">
        <v>4.1769999999999996</v>
      </c>
      <c r="AH471" s="130">
        <v>1.7969999999999999</v>
      </c>
      <c r="AI471" s="130">
        <v>3.081</v>
      </c>
      <c r="AJ471" s="130">
        <v>4.3490000000000002</v>
      </c>
      <c r="AK471" s="45">
        <v>7.8864353312302828</v>
      </c>
      <c r="AL471" s="3">
        <v>9.89</v>
      </c>
      <c r="AM471" s="3">
        <v>9.52</v>
      </c>
      <c r="AN471" s="3">
        <v>9.9600000000000009</v>
      </c>
      <c r="AO471" s="3">
        <v>9.9</v>
      </c>
      <c r="AP471" s="137">
        <v>10.389999999999999</v>
      </c>
      <c r="AQ471" s="132">
        <v>9.52</v>
      </c>
      <c r="AR471" s="132">
        <v>9.9</v>
      </c>
      <c r="AS471" s="3">
        <v>31.2</v>
      </c>
      <c r="AT471" s="3">
        <v>32</v>
      </c>
      <c r="AU471" s="3">
        <v>32.700000000000003</v>
      </c>
      <c r="AV471" s="3"/>
      <c r="AW471" s="3"/>
      <c r="AX471" s="133">
        <v>35.660000000000004</v>
      </c>
      <c r="AY471" s="134"/>
      <c r="AZ471" s="40"/>
      <c r="BA471" s="40"/>
      <c r="BB471" s="40"/>
      <c r="BC471" s="40"/>
      <c r="BD471" s="135">
        <v>1810.1169878216183</v>
      </c>
      <c r="BE471" s="135">
        <v>1876.0375153151492</v>
      </c>
      <c r="BF471" s="40"/>
      <c r="BG471" s="135">
        <v>984.07383883791499</v>
      </c>
      <c r="BH471" s="135">
        <v>1071.2496588782258</v>
      </c>
      <c r="BI471" s="49">
        <v>3686.1545031367677</v>
      </c>
      <c r="BJ471" s="49">
        <v>2055.323497716141</v>
      </c>
      <c r="BK471" s="66">
        <v>-3.5138171254777473E-2</v>
      </c>
      <c r="BL471" s="66">
        <v>-8.1377687561271395E-2</v>
      </c>
      <c r="BM471" s="51">
        <v>35.580641922169576</v>
      </c>
      <c r="BN471" s="51">
        <v>19.839029900734953</v>
      </c>
      <c r="BO471" s="136"/>
      <c r="BP471" s="40"/>
      <c r="BQ471" s="40"/>
      <c r="BR471" s="67"/>
      <c r="BS471" s="54" t="s">
        <v>110</v>
      </c>
      <c r="BT471" s="68"/>
      <c r="BU471" s="69"/>
      <c r="BV471" s="3"/>
      <c r="BW471" s="3"/>
      <c r="BX471" s="70"/>
      <c r="BY471" s="70"/>
      <c r="BZ471" s="59"/>
      <c r="CA471" s="59"/>
      <c r="CB471" s="59" t="s">
        <v>110</v>
      </c>
      <c r="CC471" s="59" t="s">
        <v>110</v>
      </c>
      <c r="CD471" s="60"/>
      <c r="CE471" s="60"/>
      <c r="CF471" s="61"/>
      <c r="CG471" s="61"/>
      <c r="CH471" s="61"/>
      <c r="CI471" s="138">
        <v>15.1</v>
      </c>
      <c r="CJ471" s="40">
        <f>VLOOKUP(paper3[[#This Row],[YYIR nivå]],$DB:$DC,2)</f>
        <v>800</v>
      </c>
      <c r="CK471" s="3"/>
      <c r="CL471" s="62"/>
      <c r="CM471" s="62"/>
      <c r="CN471" s="3"/>
      <c r="CO471" s="3"/>
      <c r="CP471" s="41">
        <v>17.966666666666665</v>
      </c>
      <c r="CQ471" s="3"/>
      <c r="CR471" s="40" t="s">
        <v>110</v>
      </c>
      <c r="CS471" s="40" t="s">
        <v>110</v>
      </c>
      <c r="CT471" s="40" t="s">
        <v>110</v>
      </c>
      <c r="CU471" s="40"/>
      <c r="CV471" s="40"/>
      <c r="CW471" s="40"/>
      <c r="CX471" s="40"/>
      <c r="CY471" s="40" t="s">
        <v>125</v>
      </c>
      <c r="CZ471" s="40"/>
      <c r="DA471" s="40"/>
    </row>
    <row r="472" spans="1:105" ht="15.75" customHeight="1">
      <c r="A472" s="3">
        <v>941</v>
      </c>
      <c r="B472" s="92" t="s">
        <v>199</v>
      </c>
      <c r="C472" s="143" t="s">
        <v>208</v>
      </c>
      <c r="D472" s="3" t="s">
        <v>105</v>
      </c>
      <c r="E472" s="144">
        <v>45086</v>
      </c>
      <c r="F472" s="3" t="s">
        <v>186</v>
      </c>
      <c r="G472" s="3" t="s">
        <v>122</v>
      </c>
      <c r="H472" s="3">
        <v>2006</v>
      </c>
      <c r="I472" s="40" t="s">
        <v>121</v>
      </c>
      <c r="J472" s="39" t="str">
        <f>paper3[[#This Row],[sex]]&amp;paper3[[#This Row],[ageg]]</f>
        <v>boysU18</v>
      </c>
      <c r="K472" s="3"/>
      <c r="L472" s="3"/>
      <c r="M472" s="3"/>
      <c r="N472" s="3"/>
      <c r="O472" s="3"/>
      <c r="P472" s="3"/>
      <c r="Q472" s="3"/>
      <c r="R472" s="3"/>
      <c r="S472" s="3"/>
      <c r="T472" s="125"/>
      <c r="U472" s="126"/>
      <c r="V472" s="12"/>
      <c r="W472" s="127"/>
      <c r="X472" s="43"/>
      <c r="Y472" s="3"/>
      <c r="Z472" s="3"/>
      <c r="AA472" s="3"/>
      <c r="AB472" s="3"/>
      <c r="AC472" s="3"/>
      <c r="AD472" s="3"/>
      <c r="AE472" s="3"/>
      <c r="AF472" s="3"/>
      <c r="AG472" s="3"/>
      <c r="AH472" s="133"/>
      <c r="AI472" s="133"/>
      <c r="AJ472" s="133"/>
      <c r="AK472" s="45"/>
      <c r="AL472" s="3">
        <v>9.06</v>
      </c>
      <c r="AM472" s="3">
        <v>8.9600000000000009</v>
      </c>
      <c r="AN472" s="3">
        <v>9.1199999999999992</v>
      </c>
      <c r="AO472" s="3">
        <v>8.9700000000000006</v>
      </c>
      <c r="AP472" s="137">
        <v>9.83</v>
      </c>
      <c r="AQ472" s="132">
        <v>8.9600000000000009</v>
      </c>
      <c r="AR472" s="132">
        <v>8.9700000000000006</v>
      </c>
      <c r="AS472" s="3"/>
      <c r="AT472" s="3"/>
      <c r="AU472" s="3"/>
      <c r="AV472" s="3"/>
      <c r="AW472" s="3"/>
      <c r="AX472" s="133"/>
      <c r="AY472" s="134"/>
      <c r="AZ472" s="40"/>
      <c r="BA472" s="40"/>
      <c r="BB472" s="40"/>
      <c r="BC472" s="40"/>
      <c r="BD472" s="135" t="s">
        <v>110</v>
      </c>
      <c r="BE472" s="135" t="s">
        <v>110</v>
      </c>
      <c r="BF472" s="40"/>
      <c r="BG472" s="135" t="s">
        <v>110</v>
      </c>
      <c r="BH472" s="135" t="s">
        <v>110</v>
      </c>
      <c r="BI472" s="49"/>
      <c r="BJ472" s="49"/>
      <c r="BK472" s="66"/>
      <c r="BL472" s="66"/>
      <c r="BM472" s="51"/>
      <c r="BN472" s="51"/>
      <c r="BO472" s="136"/>
      <c r="BP472" s="40"/>
      <c r="BQ472" s="40"/>
      <c r="BR472" s="67"/>
      <c r="BS472" s="54" t="s">
        <v>110</v>
      </c>
      <c r="BT472" s="68"/>
      <c r="BU472" s="69"/>
      <c r="BV472" s="3"/>
      <c r="BW472" s="3"/>
      <c r="BX472" s="70"/>
      <c r="BY472" s="70"/>
      <c r="BZ472" s="59"/>
      <c r="CA472" s="59"/>
      <c r="CB472" s="59" t="s">
        <v>110</v>
      </c>
      <c r="CC472" s="59" t="s">
        <v>110</v>
      </c>
      <c r="CD472" s="60"/>
      <c r="CE472" s="60"/>
      <c r="CF472" s="61"/>
      <c r="CG472" s="61"/>
      <c r="CH472" s="61"/>
      <c r="CI472" s="138">
        <v>19.100000000000001</v>
      </c>
      <c r="CJ472" s="40">
        <f>VLOOKUP(paper3[[#This Row],[YYIR nivå]],$DB:$DC,2)</f>
        <v>2080</v>
      </c>
      <c r="CK472" s="3"/>
      <c r="CL472" s="62"/>
      <c r="CM472" s="62"/>
      <c r="CN472" s="3"/>
      <c r="CO472" s="3"/>
      <c r="CP472" s="41">
        <v>17.372222222222224</v>
      </c>
      <c r="CQ472" s="3"/>
      <c r="CR472" s="40" t="s">
        <v>110</v>
      </c>
      <c r="CS472" s="40" t="s">
        <v>110</v>
      </c>
      <c r="CT472" s="40" t="s">
        <v>110</v>
      </c>
      <c r="CU472" s="40"/>
      <c r="CV472" s="40"/>
      <c r="CW472" s="40"/>
      <c r="CX472" s="40"/>
      <c r="CY472" s="40" t="s">
        <v>110</v>
      </c>
      <c r="CZ472" s="40"/>
      <c r="DA472" s="40"/>
    </row>
    <row r="473" spans="1:105" ht="15.75" customHeight="1">
      <c r="A473" s="3">
        <v>950</v>
      </c>
      <c r="B473" s="92" t="s">
        <v>199</v>
      </c>
      <c r="C473" s="143"/>
      <c r="D473" s="3" t="s">
        <v>105</v>
      </c>
      <c r="E473" s="144">
        <v>45098</v>
      </c>
      <c r="F473" s="3" t="s">
        <v>186</v>
      </c>
      <c r="G473" s="3" t="s">
        <v>122</v>
      </c>
      <c r="H473" s="3">
        <v>2008</v>
      </c>
      <c r="I473" s="40" t="s">
        <v>116</v>
      </c>
      <c r="J473" s="39" t="str">
        <f>paper3[[#This Row],[sex]]&amp;paper3[[#This Row],[ageg]]</f>
        <v>boysU16</v>
      </c>
      <c r="K473" s="3"/>
      <c r="L473" s="3"/>
      <c r="M473" s="3"/>
      <c r="N473" s="3"/>
      <c r="O473" s="3"/>
      <c r="P473" s="3"/>
      <c r="Q473" s="3"/>
      <c r="R473" s="3"/>
      <c r="S473" s="3"/>
      <c r="T473" s="125"/>
      <c r="U473" s="126"/>
      <c r="V473" s="12"/>
      <c r="W473" s="127"/>
      <c r="X473" s="43"/>
      <c r="Y473" s="3"/>
      <c r="Z473" s="3"/>
      <c r="AA473" s="3"/>
      <c r="AB473" s="3"/>
      <c r="AC473" s="3"/>
      <c r="AD473" s="3"/>
      <c r="AE473" s="3"/>
      <c r="AF473" s="3"/>
      <c r="AG473" s="3"/>
      <c r="AH473" s="133"/>
      <c r="AI473" s="133"/>
      <c r="AJ473" s="133"/>
      <c r="AK473" s="45"/>
      <c r="AL473" s="3"/>
      <c r="AM473" s="3"/>
      <c r="AN473" s="3"/>
      <c r="AO473" s="3"/>
      <c r="AP473" s="137"/>
      <c r="AQ473" s="132"/>
      <c r="AR473" s="132"/>
      <c r="AS473" s="3"/>
      <c r="AT473" s="3"/>
      <c r="AU473" s="3"/>
      <c r="AV473" s="3"/>
      <c r="AW473" s="3"/>
      <c r="AX473" s="133"/>
      <c r="AY473" s="134"/>
      <c r="AZ473" s="40"/>
      <c r="BA473" s="40"/>
      <c r="BB473" s="40"/>
      <c r="BC473" s="40"/>
      <c r="BD473" s="135" t="s">
        <v>110</v>
      </c>
      <c r="BE473" s="135" t="s">
        <v>110</v>
      </c>
      <c r="BF473" s="40"/>
      <c r="BG473" s="135" t="s">
        <v>110</v>
      </c>
      <c r="BH473" s="135" t="s">
        <v>110</v>
      </c>
      <c r="BI473" s="49"/>
      <c r="BJ473" s="49"/>
      <c r="BK473" s="66"/>
      <c r="BL473" s="66"/>
      <c r="BM473" s="51"/>
      <c r="BN473" s="51"/>
      <c r="BO473" s="136"/>
      <c r="BP473" s="40"/>
      <c r="BQ473" s="40"/>
      <c r="BR473" s="67"/>
      <c r="BS473" s="54" t="s">
        <v>110</v>
      </c>
      <c r="BT473" s="68"/>
      <c r="BU473" s="69"/>
      <c r="BV473" s="3"/>
      <c r="BW473" s="3"/>
      <c r="BX473" s="70"/>
      <c r="BY473" s="70"/>
      <c r="BZ473" s="59"/>
      <c r="CA473" s="59"/>
      <c r="CB473" s="59" t="s">
        <v>110</v>
      </c>
      <c r="CC473" s="59" t="s">
        <v>110</v>
      </c>
      <c r="CD473" s="60"/>
      <c r="CE473" s="60"/>
      <c r="CF473" s="61"/>
      <c r="CG473" s="61"/>
      <c r="CH473" s="61"/>
      <c r="CI473" s="138"/>
      <c r="CJ473" s="40"/>
      <c r="CK473" s="3"/>
      <c r="CL473" s="62"/>
      <c r="CM473" s="62"/>
      <c r="CN473" s="3"/>
      <c r="CO473" s="3"/>
      <c r="CP473" s="41">
        <v>15.136111111111111</v>
      </c>
      <c r="CQ473" s="3"/>
      <c r="CR473" s="40" t="s">
        <v>110</v>
      </c>
      <c r="CS473" s="40" t="s">
        <v>110</v>
      </c>
      <c r="CT473" s="40" t="s">
        <v>110</v>
      </c>
      <c r="CU473" s="40"/>
      <c r="CV473" s="40"/>
      <c r="CW473" s="40"/>
      <c r="CX473" s="40"/>
      <c r="CY473" s="40" t="s">
        <v>110</v>
      </c>
      <c r="CZ473" s="40"/>
      <c r="DA473" s="40"/>
    </row>
    <row r="474" spans="1:105" ht="15.75" customHeight="1">
      <c r="A474" s="3">
        <v>951</v>
      </c>
      <c r="B474" s="92" t="s">
        <v>199</v>
      </c>
      <c r="C474" s="143" t="s">
        <v>104</v>
      </c>
      <c r="D474" s="3" t="s">
        <v>105</v>
      </c>
      <c r="E474" s="144">
        <v>45098</v>
      </c>
      <c r="F474" s="3" t="s">
        <v>186</v>
      </c>
      <c r="G474" s="3" t="s">
        <v>122</v>
      </c>
      <c r="H474" s="3">
        <v>2008</v>
      </c>
      <c r="I474" s="40" t="s">
        <v>116</v>
      </c>
      <c r="J474" s="39" t="str">
        <f>paper3[[#This Row],[sex]]&amp;paper3[[#This Row],[ageg]]</f>
        <v>boysU16</v>
      </c>
      <c r="K474" s="3">
        <v>165.5</v>
      </c>
      <c r="L474" s="3">
        <v>165.5</v>
      </c>
      <c r="M474" s="3"/>
      <c r="N474" s="3">
        <v>155.19999999999999</v>
      </c>
      <c r="O474" s="3">
        <v>155.19999999999999</v>
      </c>
      <c r="P474" s="3"/>
      <c r="Q474" s="3">
        <v>74.3</v>
      </c>
      <c r="R474" s="3"/>
      <c r="S474" s="3"/>
      <c r="T474" s="125">
        <v>165.5</v>
      </c>
      <c r="U474" s="126">
        <v>84.999999999999986</v>
      </c>
      <c r="V474" s="12">
        <f>paper3[[#This Row],[height]]-paper3[[#This Row],[sittingheight]]</f>
        <v>80.500000000000014</v>
      </c>
      <c r="W474" s="127">
        <v>74.3</v>
      </c>
      <c r="X474" s="43" cm="1">
        <f t="array" ref="X474">INDEX([1]!phvny[yphv], MATCH(1, (paper3[[#This Row],[id]]=[1]!phvny[id])*(paper3[[#This Row],[time]]=[1]!phvny[time]), 0))</f>
        <v>0.82892954754531445</v>
      </c>
      <c r="Y474" s="3">
        <v>2.0350000000000001</v>
      </c>
      <c r="Z474" s="3">
        <v>3.71</v>
      </c>
      <c r="AA474" s="3">
        <v>5.407</v>
      </c>
      <c r="AB474" s="3">
        <v>2.036</v>
      </c>
      <c r="AC474" s="3">
        <v>3.7919999999999998</v>
      </c>
      <c r="AD474" s="3">
        <v>5.5309999999999997</v>
      </c>
      <c r="AE474" s="3">
        <v>2.0710000000000002</v>
      </c>
      <c r="AF474" s="3">
        <v>3.8149999999999999</v>
      </c>
      <c r="AG474" s="3">
        <v>5.5460000000000003</v>
      </c>
      <c r="AH474" s="130">
        <v>2.2450000000000001</v>
      </c>
      <c r="AI474" s="130">
        <v>3.89</v>
      </c>
      <c r="AJ474" s="130">
        <v>5.617</v>
      </c>
      <c r="AK474" s="45">
        <v>5.7903879559930518</v>
      </c>
      <c r="AL474" s="3">
        <v>11.19</v>
      </c>
      <c r="AM474" s="3">
        <v>11.15</v>
      </c>
      <c r="AN474" s="3">
        <v>11.88</v>
      </c>
      <c r="AO474" s="3">
        <v>12</v>
      </c>
      <c r="AP474" s="133">
        <v>11.83</v>
      </c>
      <c r="AQ474" s="132"/>
      <c r="AR474" s="132"/>
      <c r="AS474" s="3">
        <v>19.100000000000001</v>
      </c>
      <c r="AT474" s="3">
        <v>17.899999999999999</v>
      </c>
      <c r="AU474" s="3">
        <v>16.899999999999999</v>
      </c>
      <c r="AV474" s="3"/>
      <c r="AW474" s="3"/>
      <c r="AX474" s="133">
        <v>22.060000000000002</v>
      </c>
      <c r="AY474" s="134"/>
      <c r="AZ474" s="40"/>
      <c r="BA474" s="40"/>
      <c r="BB474" s="40"/>
      <c r="BC474" s="40"/>
      <c r="BD474" s="135" t="s">
        <v>110</v>
      </c>
      <c r="BE474" s="135" t="s">
        <v>110</v>
      </c>
      <c r="BF474" s="40"/>
      <c r="BG474" s="135" t="s">
        <v>110</v>
      </c>
      <c r="BH474" s="135" t="s">
        <v>110</v>
      </c>
      <c r="BI474" s="49"/>
      <c r="BJ474" s="49"/>
      <c r="BK474" s="66"/>
      <c r="BL474" s="66"/>
      <c r="BM474" s="51"/>
      <c r="BN474" s="51"/>
      <c r="BO474" s="136"/>
      <c r="BP474" s="40"/>
      <c r="BQ474" s="40"/>
      <c r="BR474" s="67"/>
      <c r="BS474" s="54" t="s">
        <v>110</v>
      </c>
      <c r="BT474" s="68"/>
      <c r="BU474" s="69"/>
      <c r="BV474" s="3"/>
      <c r="BW474" s="3"/>
      <c r="BX474" s="70"/>
      <c r="BY474" s="70"/>
      <c r="BZ474" s="59"/>
      <c r="CA474" s="59"/>
      <c r="CB474" s="59" t="s">
        <v>110</v>
      </c>
      <c r="CC474" s="59" t="s">
        <v>110</v>
      </c>
      <c r="CD474" s="60"/>
      <c r="CE474" s="60"/>
      <c r="CF474" s="61"/>
      <c r="CG474" s="61"/>
      <c r="CH474" s="61"/>
      <c r="CI474" s="138">
        <v>13.1</v>
      </c>
      <c r="CJ474" s="40">
        <f>VLOOKUP(paper3[[#This Row],[YYIR nivå]],$DB:$DC,2)</f>
        <v>320</v>
      </c>
      <c r="CK474" s="3"/>
      <c r="CL474" s="62"/>
      <c r="CM474" s="62"/>
      <c r="CN474" s="3"/>
      <c r="CO474" s="3"/>
      <c r="CP474" s="41">
        <v>14.980555555555556</v>
      </c>
      <c r="CQ474" s="3"/>
      <c r="CR474" s="40" t="s">
        <v>110</v>
      </c>
      <c r="CS474" s="40" t="s">
        <v>110</v>
      </c>
      <c r="CT474" s="40" t="s">
        <v>110</v>
      </c>
      <c r="CU474" s="40"/>
      <c r="CV474" s="40"/>
      <c r="CW474" s="40"/>
      <c r="CX474" s="40"/>
      <c r="CY474" s="40" t="s">
        <v>207</v>
      </c>
      <c r="CZ474" s="40"/>
      <c r="DA474" s="40"/>
    </row>
    <row r="475" spans="1:105" ht="15.75" customHeight="1">
      <c r="A475" s="3">
        <v>952</v>
      </c>
      <c r="B475" s="92" t="s">
        <v>199</v>
      </c>
      <c r="C475" s="143" t="s">
        <v>104</v>
      </c>
      <c r="D475" s="3" t="s">
        <v>105</v>
      </c>
      <c r="E475" s="144">
        <v>45098</v>
      </c>
      <c r="F475" s="3" t="s">
        <v>186</v>
      </c>
      <c r="G475" s="3" t="s">
        <v>122</v>
      </c>
      <c r="H475" s="3">
        <v>2008</v>
      </c>
      <c r="I475" s="40" t="s">
        <v>116</v>
      </c>
      <c r="J475" s="39" t="str">
        <f>paper3[[#This Row],[sex]]&amp;paper3[[#This Row],[ageg]]</f>
        <v>boysU16</v>
      </c>
      <c r="K475" s="3">
        <v>184.2</v>
      </c>
      <c r="L475" s="3">
        <v>184.2</v>
      </c>
      <c r="M475" s="3"/>
      <c r="N475" s="3">
        <v>164</v>
      </c>
      <c r="O475" s="3">
        <v>164</v>
      </c>
      <c r="P475" s="3"/>
      <c r="Q475" s="3">
        <v>61.2</v>
      </c>
      <c r="R475" s="3"/>
      <c r="S475" s="3"/>
      <c r="T475" s="125">
        <v>184.2</v>
      </c>
      <c r="U475" s="126">
        <v>93.8</v>
      </c>
      <c r="V475" s="12">
        <f>paper3[[#This Row],[height]]-paper3[[#This Row],[sittingheight]]</f>
        <v>90.399999999999991</v>
      </c>
      <c r="W475" s="127">
        <v>61.2</v>
      </c>
      <c r="X475" s="43" cm="1">
        <f t="array" ref="X475">INDEX([1]!phvny[yphv], MATCH(1, (paper3[[#This Row],[id]]=[1]!phvny[id])*(paper3[[#This Row],[time]]=[1]!phvny[time]), 0))</f>
        <v>1.8308048210959096</v>
      </c>
      <c r="Y475" s="3">
        <v>1.625</v>
      </c>
      <c r="Z475" s="3">
        <v>3.0019999999999998</v>
      </c>
      <c r="AA475" s="3">
        <v>4.335</v>
      </c>
      <c r="AB475" s="3">
        <v>1.643</v>
      </c>
      <c r="AC475" s="3">
        <v>3.044</v>
      </c>
      <c r="AD475" s="3">
        <v>4.3920000000000003</v>
      </c>
      <c r="AE475" s="3">
        <v>1.7150000000000001</v>
      </c>
      <c r="AF475" s="3">
        <v>3.14</v>
      </c>
      <c r="AG475" s="3">
        <v>4.5149999999999997</v>
      </c>
      <c r="AH475" s="130">
        <v>1.835</v>
      </c>
      <c r="AI475" s="130">
        <v>3.1819999999999999</v>
      </c>
      <c r="AJ475" s="130">
        <v>4.5449999999999999</v>
      </c>
      <c r="AK475" s="45">
        <v>7.3367571533382243</v>
      </c>
      <c r="AL475" s="3">
        <v>9.92</v>
      </c>
      <c r="AM475" s="3">
        <v>9.52</v>
      </c>
      <c r="AN475" s="3">
        <v>9.68</v>
      </c>
      <c r="AO475" s="3">
        <v>9.4700000000000006</v>
      </c>
      <c r="AP475" s="133">
        <v>10.15</v>
      </c>
      <c r="AQ475" s="132"/>
      <c r="AR475" s="132"/>
      <c r="AS475" s="3">
        <v>29.3</v>
      </c>
      <c r="AT475" s="3">
        <v>27.4</v>
      </c>
      <c r="AU475" s="3">
        <v>28.9</v>
      </c>
      <c r="AV475" s="3"/>
      <c r="AW475" s="3"/>
      <c r="AX475" s="133">
        <v>32.26</v>
      </c>
      <c r="AY475" s="134"/>
      <c r="AZ475" s="40"/>
      <c r="BA475" s="40"/>
      <c r="BB475" s="40"/>
      <c r="BC475" s="40"/>
      <c r="BD475" s="135" t="s">
        <v>110</v>
      </c>
      <c r="BE475" s="135" t="s">
        <v>110</v>
      </c>
      <c r="BF475" s="40"/>
      <c r="BG475" s="135" t="s">
        <v>110</v>
      </c>
      <c r="BH475" s="135" t="s">
        <v>110</v>
      </c>
      <c r="BI475" s="49"/>
      <c r="BJ475" s="49"/>
      <c r="BK475" s="66"/>
      <c r="BL475" s="66"/>
      <c r="BM475" s="51"/>
      <c r="BN475" s="51"/>
      <c r="BO475" s="136"/>
      <c r="BP475" s="40"/>
      <c r="BQ475" s="40"/>
      <c r="BR475" s="67"/>
      <c r="BS475" s="54" t="s">
        <v>110</v>
      </c>
      <c r="BT475" s="68"/>
      <c r="BU475" s="69"/>
      <c r="BV475" s="3"/>
      <c r="BW475" s="3"/>
      <c r="BX475" s="70"/>
      <c r="BY475" s="70"/>
      <c r="BZ475" s="59"/>
      <c r="CA475" s="59"/>
      <c r="CB475" s="59" t="s">
        <v>110</v>
      </c>
      <c r="CC475" s="59" t="s">
        <v>110</v>
      </c>
      <c r="CD475" s="60"/>
      <c r="CE475" s="60"/>
      <c r="CF475" s="61"/>
      <c r="CG475" s="61"/>
      <c r="CH475" s="61"/>
      <c r="CI475" s="138">
        <v>16.5</v>
      </c>
      <c r="CJ475" s="40">
        <f>VLOOKUP(paper3[[#This Row],[YYIR nivå]],$DB:$DC,2)</f>
        <v>1280</v>
      </c>
      <c r="CK475" s="3"/>
      <c r="CL475" s="62"/>
      <c r="CM475" s="62"/>
      <c r="CN475" s="3"/>
      <c r="CO475" s="3"/>
      <c r="CP475" s="41">
        <v>15.21111111111111</v>
      </c>
      <c r="CQ475" s="3"/>
      <c r="CR475" s="40" t="s">
        <v>110</v>
      </c>
      <c r="CS475" s="40" t="s">
        <v>110</v>
      </c>
      <c r="CT475" s="40" t="s">
        <v>110</v>
      </c>
      <c r="CU475" s="40"/>
      <c r="CV475" s="40"/>
      <c r="CW475" s="40"/>
      <c r="CX475" s="40"/>
      <c r="CY475" s="40" t="s">
        <v>204</v>
      </c>
      <c r="CZ475" s="40"/>
      <c r="DA475" s="40"/>
    </row>
    <row r="476" spans="1:105" ht="15.75" customHeight="1">
      <c r="A476" s="3">
        <v>953</v>
      </c>
      <c r="B476" s="92" t="s">
        <v>199</v>
      </c>
      <c r="C476" s="143" t="s">
        <v>104</v>
      </c>
      <c r="D476" s="3" t="s">
        <v>105</v>
      </c>
      <c r="E476" s="144">
        <v>45098</v>
      </c>
      <c r="F476" s="3" t="s">
        <v>186</v>
      </c>
      <c r="G476" s="3" t="s">
        <v>122</v>
      </c>
      <c r="H476" s="3">
        <v>2008</v>
      </c>
      <c r="I476" s="40" t="s">
        <v>116</v>
      </c>
      <c r="J476" s="39" t="str">
        <f>paper3[[#This Row],[sex]]&amp;paper3[[#This Row],[ageg]]</f>
        <v>boysU16</v>
      </c>
      <c r="K476" s="3">
        <v>185.8</v>
      </c>
      <c r="L476" s="3">
        <v>185.7</v>
      </c>
      <c r="M476" s="3"/>
      <c r="N476" s="3">
        <v>166.5</v>
      </c>
      <c r="O476" s="3">
        <v>166.3</v>
      </c>
      <c r="P476" s="3"/>
      <c r="Q476" s="3">
        <v>79.3</v>
      </c>
      <c r="R476" s="3"/>
      <c r="S476" s="3"/>
      <c r="T476" s="125">
        <v>185.75</v>
      </c>
      <c r="U476" s="126">
        <v>96.2</v>
      </c>
      <c r="V476" s="12">
        <f>paper3[[#This Row],[height]]-paper3[[#This Row],[sittingheight]]</f>
        <v>89.55</v>
      </c>
      <c r="W476" s="127">
        <v>79.3</v>
      </c>
      <c r="X476" s="43" cm="1">
        <f t="array" ref="X476">INDEX([1]!phvny[yphv], MATCH(1, (paper3[[#This Row],[id]]=[1]!phvny[id])*(paper3[[#This Row],[time]]=[1]!phvny[time]), 0))</f>
        <v>2.3935661418365477</v>
      </c>
      <c r="Y476" s="3">
        <v>1.583</v>
      </c>
      <c r="Z476" s="3">
        <v>2.9260000000000002</v>
      </c>
      <c r="AA476" s="3">
        <v>4.1970000000000001</v>
      </c>
      <c r="AB476" s="3">
        <v>1.6180000000000001</v>
      </c>
      <c r="AC476" s="3">
        <v>2.9670000000000001</v>
      </c>
      <c r="AD476" s="3">
        <v>4.24</v>
      </c>
      <c r="AE476" s="3">
        <v>1.6180000000000001</v>
      </c>
      <c r="AF476" s="3">
        <v>2.9929999999999999</v>
      </c>
      <c r="AG476" s="3">
        <v>4.3029999999999999</v>
      </c>
      <c r="AH476" s="130">
        <v>1.7929999999999999</v>
      </c>
      <c r="AI476" s="130">
        <v>3.1060000000000003</v>
      </c>
      <c r="AJ476" s="130">
        <v>4.407</v>
      </c>
      <c r="AK476" s="45">
        <v>7.6863950807071504</v>
      </c>
      <c r="AL476" s="3">
        <v>10.29</v>
      </c>
      <c r="AM476" s="3">
        <v>10.07</v>
      </c>
      <c r="AN476" s="3">
        <v>10.82</v>
      </c>
      <c r="AO476" s="3">
        <v>10.32</v>
      </c>
      <c r="AP476" s="133">
        <v>10.75</v>
      </c>
      <c r="AQ476" s="132"/>
      <c r="AR476" s="132"/>
      <c r="AS476" s="3">
        <v>30.8</v>
      </c>
      <c r="AT476" s="3">
        <v>29.9</v>
      </c>
      <c r="AU476" s="3">
        <v>30.6</v>
      </c>
      <c r="AV476" s="3"/>
      <c r="AW476" s="3"/>
      <c r="AX476" s="133">
        <v>33.76</v>
      </c>
      <c r="AY476" s="134"/>
      <c r="AZ476" s="40"/>
      <c r="BA476" s="40"/>
      <c r="BB476" s="40"/>
      <c r="BC476" s="40"/>
      <c r="BD476" s="135" t="s">
        <v>110</v>
      </c>
      <c r="BE476" s="135" t="s">
        <v>110</v>
      </c>
      <c r="BF476" s="40"/>
      <c r="BG476" s="135" t="s">
        <v>110</v>
      </c>
      <c r="BH476" s="135" t="s">
        <v>110</v>
      </c>
      <c r="BI476" s="49"/>
      <c r="BJ476" s="49"/>
      <c r="BK476" s="66"/>
      <c r="BL476" s="66"/>
      <c r="BM476" s="51"/>
      <c r="BN476" s="51"/>
      <c r="BO476" s="136"/>
      <c r="BP476" s="40"/>
      <c r="BQ476" s="40"/>
      <c r="BR476" s="67"/>
      <c r="BS476" s="54" t="s">
        <v>110</v>
      </c>
      <c r="BT476" s="68"/>
      <c r="BU476" s="69"/>
      <c r="BV476" s="3"/>
      <c r="BW476" s="3"/>
      <c r="BX476" s="70"/>
      <c r="BY476" s="70"/>
      <c r="BZ476" s="59"/>
      <c r="CA476" s="59"/>
      <c r="CB476" s="59" t="s">
        <v>110</v>
      </c>
      <c r="CC476" s="59" t="s">
        <v>110</v>
      </c>
      <c r="CD476" s="60"/>
      <c r="CE476" s="60"/>
      <c r="CF476" s="61"/>
      <c r="CG476" s="61"/>
      <c r="CH476" s="61"/>
      <c r="CI476" s="138">
        <v>17.2</v>
      </c>
      <c r="CJ476" s="40">
        <f>VLOOKUP(paper3[[#This Row],[YYIR nivå]],$DB:$DC,2)</f>
        <v>1480</v>
      </c>
      <c r="CK476" s="3"/>
      <c r="CL476" s="62"/>
      <c r="CM476" s="62"/>
      <c r="CN476" s="3"/>
      <c r="CO476" s="3"/>
      <c r="CP476" s="41">
        <v>15.255555555555556</v>
      </c>
      <c r="CQ476" s="3"/>
      <c r="CR476" s="40" t="s">
        <v>110</v>
      </c>
      <c r="CS476" s="40" t="s">
        <v>110</v>
      </c>
      <c r="CT476" s="40" t="s">
        <v>110</v>
      </c>
      <c r="CU476" s="40"/>
      <c r="CV476" s="40"/>
      <c r="CW476" s="40"/>
      <c r="CX476" s="40"/>
      <c r="CY476" s="40" t="s">
        <v>206</v>
      </c>
      <c r="CZ476" s="40"/>
      <c r="DA476" s="40"/>
    </row>
    <row r="477" spans="1:105" ht="15.75" customHeight="1">
      <c r="A477" s="3">
        <v>954</v>
      </c>
      <c r="B477" s="92" t="s">
        <v>199</v>
      </c>
      <c r="C477" s="143"/>
      <c r="D477" s="3" t="s">
        <v>105</v>
      </c>
      <c r="E477" s="144">
        <v>45098</v>
      </c>
      <c r="F477" s="3" t="s">
        <v>186</v>
      </c>
      <c r="G477" s="3" t="s">
        <v>122</v>
      </c>
      <c r="H477" s="3">
        <v>2008</v>
      </c>
      <c r="I477" s="40" t="s">
        <v>116</v>
      </c>
      <c r="J477" s="39" t="str">
        <f>paper3[[#This Row],[sex]]&amp;paper3[[#This Row],[ageg]]</f>
        <v>boysU16</v>
      </c>
      <c r="K477" s="3"/>
      <c r="L477" s="3"/>
      <c r="M477" s="3"/>
      <c r="N477" s="3"/>
      <c r="O477" s="3"/>
      <c r="P477" s="3"/>
      <c r="Q477" s="3"/>
      <c r="R477" s="3"/>
      <c r="S477" s="3"/>
      <c r="T477" s="125"/>
      <c r="U477" s="126"/>
      <c r="V477" s="12"/>
      <c r="W477" s="127"/>
      <c r="X477" s="43"/>
      <c r="Y477" s="3"/>
      <c r="Z477" s="3"/>
      <c r="AA477" s="3"/>
      <c r="AB477" s="3"/>
      <c r="AC477" s="3"/>
      <c r="AD477" s="3"/>
      <c r="AE477" s="3"/>
      <c r="AF477" s="3"/>
      <c r="AG477" s="3"/>
      <c r="AH477" s="133"/>
      <c r="AI477" s="133"/>
      <c r="AJ477" s="133"/>
      <c r="AK477" s="45"/>
      <c r="AL477" s="3"/>
      <c r="AM477" s="3"/>
      <c r="AN477" s="3"/>
      <c r="AO477" s="3"/>
      <c r="AP477" s="137"/>
      <c r="AQ477" s="132"/>
      <c r="AR477" s="132"/>
      <c r="AS477" s="3"/>
      <c r="AT477" s="3"/>
      <c r="AU477" s="3"/>
      <c r="AV477" s="3"/>
      <c r="AW477" s="3"/>
      <c r="AX477" s="133"/>
      <c r="AY477" s="134"/>
      <c r="AZ477" s="40"/>
      <c r="BA477" s="40"/>
      <c r="BB477" s="40"/>
      <c r="BC477" s="40"/>
      <c r="BD477" s="135" t="s">
        <v>110</v>
      </c>
      <c r="BE477" s="135" t="s">
        <v>110</v>
      </c>
      <c r="BF477" s="40"/>
      <c r="BG477" s="135" t="s">
        <v>110</v>
      </c>
      <c r="BH477" s="135" t="s">
        <v>110</v>
      </c>
      <c r="BI477" s="49"/>
      <c r="BJ477" s="49"/>
      <c r="BK477" s="66"/>
      <c r="BL477" s="66"/>
      <c r="BM477" s="51"/>
      <c r="BN477" s="51"/>
      <c r="BO477" s="136"/>
      <c r="BP477" s="40"/>
      <c r="BQ477" s="40"/>
      <c r="BR477" s="67"/>
      <c r="BS477" s="54" t="s">
        <v>110</v>
      </c>
      <c r="BT477" s="68"/>
      <c r="BU477" s="69"/>
      <c r="BV477" s="3"/>
      <c r="BW477" s="3"/>
      <c r="BX477" s="70"/>
      <c r="BY477" s="70"/>
      <c r="BZ477" s="59"/>
      <c r="CA477" s="59"/>
      <c r="CB477" s="59" t="s">
        <v>110</v>
      </c>
      <c r="CC477" s="59" t="s">
        <v>110</v>
      </c>
      <c r="CD477" s="60"/>
      <c r="CE477" s="60"/>
      <c r="CF477" s="61"/>
      <c r="CG477" s="61"/>
      <c r="CH477" s="61"/>
      <c r="CI477" s="138"/>
      <c r="CJ477" s="40"/>
      <c r="CK477" s="3"/>
      <c r="CL477" s="62"/>
      <c r="CM477" s="62"/>
      <c r="CN477" s="3"/>
      <c r="CO477" s="3"/>
      <c r="CP477" s="41">
        <v>14.952777777777778</v>
      </c>
      <c r="CQ477" s="3"/>
      <c r="CR477" s="40" t="s">
        <v>110</v>
      </c>
      <c r="CS477" s="40" t="s">
        <v>110</v>
      </c>
      <c r="CT477" s="40" t="s">
        <v>110</v>
      </c>
      <c r="CU477" s="40"/>
      <c r="CV477" s="40"/>
      <c r="CW477" s="40"/>
      <c r="CX477" s="40"/>
      <c r="CY477" s="40" t="s">
        <v>110</v>
      </c>
      <c r="CZ477" s="40"/>
      <c r="DA477" s="40"/>
    </row>
    <row r="478" spans="1:105" ht="15.75" customHeight="1">
      <c r="A478" s="3">
        <v>955</v>
      </c>
      <c r="B478" s="92" t="s">
        <v>199</v>
      </c>
      <c r="C478" s="143" t="s">
        <v>104</v>
      </c>
      <c r="D478" s="3" t="s">
        <v>105</v>
      </c>
      <c r="E478" s="144">
        <v>45098</v>
      </c>
      <c r="F478" s="3" t="s">
        <v>186</v>
      </c>
      <c r="G478" s="3" t="s">
        <v>122</v>
      </c>
      <c r="H478" s="3">
        <v>2008</v>
      </c>
      <c r="I478" s="40" t="s">
        <v>116</v>
      </c>
      <c r="J478" s="39" t="str">
        <f>paper3[[#This Row],[sex]]&amp;paper3[[#This Row],[ageg]]</f>
        <v>boysU16</v>
      </c>
      <c r="K478" s="3">
        <v>180.5</v>
      </c>
      <c r="L478" s="3">
        <v>180.5</v>
      </c>
      <c r="M478" s="3"/>
      <c r="N478" s="3">
        <v>162</v>
      </c>
      <c r="O478" s="3">
        <v>162</v>
      </c>
      <c r="P478" s="3"/>
      <c r="Q478" s="3">
        <v>62.9</v>
      </c>
      <c r="R478" s="3"/>
      <c r="S478" s="3"/>
      <c r="T478" s="125">
        <v>180.5</v>
      </c>
      <c r="U478" s="126">
        <v>91.8</v>
      </c>
      <c r="V478" s="12">
        <f>paper3[[#This Row],[height]]-paper3[[#This Row],[sittingheight]]</f>
        <v>88.7</v>
      </c>
      <c r="W478" s="127">
        <v>62.9</v>
      </c>
      <c r="X478" s="43" cm="1">
        <f t="array" ref="X478">INDEX([1]!phvny[yphv], MATCH(1, (paper3[[#This Row],[id]]=[1]!phvny[id])*(paper3[[#This Row],[time]]=[1]!phvny[time]), 0))</f>
        <v>1.5344609195743306</v>
      </c>
      <c r="Y478" s="3">
        <v>1.746</v>
      </c>
      <c r="Z478" s="3">
        <v>3.1749999999999998</v>
      </c>
      <c r="AA478" s="3">
        <v>4.53</v>
      </c>
      <c r="AB478" s="3">
        <v>1.7410000000000001</v>
      </c>
      <c r="AC478" s="3">
        <v>3.2210000000000001</v>
      </c>
      <c r="AD478" s="3">
        <v>4.6159999999999997</v>
      </c>
      <c r="AE478" s="3">
        <v>1.7430000000000001</v>
      </c>
      <c r="AF478" s="3">
        <v>3.1019999999999999</v>
      </c>
      <c r="AG478" s="3">
        <v>4.5990000000000002</v>
      </c>
      <c r="AH478" s="130">
        <v>1.9510000000000001</v>
      </c>
      <c r="AI478" s="130">
        <v>3.282</v>
      </c>
      <c r="AJ478" s="130">
        <v>4.74</v>
      </c>
      <c r="AK478" s="45">
        <v>6.8587105624142657</v>
      </c>
      <c r="AL478" s="3">
        <v>9.7200000000000006</v>
      </c>
      <c r="AM478" s="3">
        <v>9.64</v>
      </c>
      <c r="AN478" s="3">
        <v>9.84</v>
      </c>
      <c r="AO478" s="3">
        <v>9.82</v>
      </c>
      <c r="AP478" s="137">
        <v>10.51</v>
      </c>
      <c r="AQ478" s="132">
        <v>9.64</v>
      </c>
      <c r="AR478" s="132">
        <v>9.82</v>
      </c>
      <c r="AS478" s="3">
        <v>25.8</v>
      </c>
      <c r="AT478" s="3">
        <v>26.6</v>
      </c>
      <c r="AU478" s="3">
        <v>0</v>
      </c>
      <c r="AV478" s="3"/>
      <c r="AW478" s="3"/>
      <c r="AX478" s="133">
        <v>29.560000000000002</v>
      </c>
      <c r="AY478" s="134"/>
      <c r="AZ478" s="40"/>
      <c r="BA478" s="40"/>
      <c r="BB478" s="40"/>
      <c r="BC478" s="40"/>
      <c r="BD478" s="135" t="s">
        <v>110</v>
      </c>
      <c r="BE478" s="135" t="s">
        <v>110</v>
      </c>
      <c r="BF478" s="40"/>
      <c r="BG478" s="135" t="s">
        <v>110</v>
      </c>
      <c r="BH478" s="135" t="s">
        <v>110</v>
      </c>
      <c r="BI478" s="49"/>
      <c r="BJ478" s="49"/>
      <c r="BK478" s="66"/>
      <c r="BL478" s="66"/>
      <c r="BM478" s="51"/>
      <c r="BN478" s="51"/>
      <c r="BO478" s="136"/>
      <c r="BP478" s="40"/>
      <c r="BQ478" s="40"/>
      <c r="BR478" s="67"/>
      <c r="BS478" s="54" t="s">
        <v>110</v>
      </c>
      <c r="BT478" s="68"/>
      <c r="BU478" s="69"/>
      <c r="BV478" s="3"/>
      <c r="BW478" s="3"/>
      <c r="BX478" s="70"/>
      <c r="BY478" s="70"/>
      <c r="BZ478" s="59"/>
      <c r="CA478" s="59"/>
      <c r="CB478" s="59" t="s">
        <v>110</v>
      </c>
      <c r="CC478" s="59" t="s">
        <v>110</v>
      </c>
      <c r="CD478" s="60"/>
      <c r="CE478" s="60"/>
      <c r="CF478" s="61"/>
      <c r="CG478" s="61"/>
      <c r="CH478" s="61"/>
      <c r="CI478" s="138">
        <v>16.2</v>
      </c>
      <c r="CJ478" s="40">
        <f>VLOOKUP(paper3[[#This Row],[YYIR nivå]],$DB:$DC,2)</f>
        <v>1160</v>
      </c>
      <c r="CK478" s="3"/>
      <c r="CL478" s="62"/>
      <c r="CM478" s="62"/>
      <c r="CN478" s="3"/>
      <c r="CO478" s="3"/>
      <c r="CP478" s="41">
        <v>15.083333333333334</v>
      </c>
      <c r="CQ478" s="3"/>
      <c r="CR478" s="40" t="s">
        <v>110</v>
      </c>
      <c r="CS478" s="40" t="s">
        <v>110</v>
      </c>
      <c r="CT478" s="40" t="s">
        <v>110</v>
      </c>
      <c r="CU478" s="40"/>
      <c r="CV478" s="40"/>
      <c r="CW478" s="40"/>
      <c r="CX478" s="40"/>
      <c r="CY478" s="40" t="s">
        <v>204</v>
      </c>
      <c r="CZ478" s="40"/>
      <c r="DA478" s="40"/>
    </row>
    <row r="479" spans="1:105" ht="15.75" customHeight="1">
      <c r="A479" s="3">
        <v>956</v>
      </c>
      <c r="B479" s="92" t="s">
        <v>199</v>
      </c>
      <c r="C479" s="143" t="s">
        <v>104</v>
      </c>
      <c r="D479" s="3" t="s">
        <v>105</v>
      </c>
      <c r="E479" s="144">
        <v>45098</v>
      </c>
      <c r="F479" s="3" t="s">
        <v>186</v>
      </c>
      <c r="G479" s="3" t="s">
        <v>122</v>
      </c>
      <c r="H479" s="3">
        <v>2008</v>
      </c>
      <c r="I479" s="40" t="s">
        <v>116</v>
      </c>
      <c r="J479" s="39" t="str">
        <f>paper3[[#This Row],[sex]]&amp;paper3[[#This Row],[ageg]]</f>
        <v>boysU16</v>
      </c>
      <c r="K479" s="3">
        <v>172.2</v>
      </c>
      <c r="L479" s="3">
        <v>172.2</v>
      </c>
      <c r="M479" s="3"/>
      <c r="N479" s="3">
        <v>157.1</v>
      </c>
      <c r="O479" s="3">
        <v>157.1</v>
      </c>
      <c r="P479" s="3"/>
      <c r="Q479" s="3">
        <v>59</v>
      </c>
      <c r="R479" s="3"/>
      <c r="S479" s="3"/>
      <c r="T479" s="125">
        <v>172.2</v>
      </c>
      <c r="U479" s="126">
        <v>86.899999999999991</v>
      </c>
      <c r="V479" s="12">
        <f>paper3[[#This Row],[height]]-paper3[[#This Row],[sittingheight]]</f>
        <v>85.3</v>
      </c>
      <c r="W479" s="127">
        <v>59</v>
      </c>
      <c r="X479" s="43" cm="1">
        <f t="array" ref="X479">INDEX([1]!phvny[yphv], MATCH(1, (paper3[[#This Row],[id]]=[1]!phvny[id])*(paper3[[#This Row],[time]]=[1]!phvny[time]), 0))</f>
        <v>0.65021578852516138</v>
      </c>
      <c r="Y479" s="3">
        <v>1.708</v>
      </c>
      <c r="Z479" s="3">
        <v>3.1190000000000002</v>
      </c>
      <c r="AA479" s="3">
        <v>4.4930000000000003</v>
      </c>
      <c r="AB479" s="3">
        <v>1.7170000000000001</v>
      </c>
      <c r="AC479" s="3">
        <v>3.1709999999999998</v>
      </c>
      <c r="AD479" s="3">
        <v>4.5599999999999996</v>
      </c>
      <c r="AE479" s="3">
        <v>1.7709999999999999</v>
      </c>
      <c r="AF479" s="3">
        <v>3.2730000000000001</v>
      </c>
      <c r="AG479" s="3">
        <v>4.7149999999999999</v>
      </c>
      <c r="AH479" s="130">
        <v>1.9179999999999999</v>
      </c>
      <c r="AI479" s="130">
        <v>3.2990000000000004</v>
      </c>
      <c r="AJ479" s="130">
        <v>4.7030000000000003</v>
      </c>
      <c r="AK479" s="45">
        <v>7.1225071225071233</v>
      </c>
      <c r="AL479" s="3">
        <v>10.46</v>
      </c>
      <c r="AM479" s="3">
        <v>10.63</v>
      </c>
      <c r="AN479" s="3">
        <v>10.46</v>
      </c>
      <c r="AO479" s="3">
        <v>10.49</v>
      </c>
      <c r="AP479" s="137">
        <v>11.33</v>
      </c>
      <c r="AQ479" s="132">
        <v>10.46</v>
      </c>
      <c r="AR479" s="132">
        <v>10.46</v>
      </c>
      <c r="AS479" s="3">
        <v>26.4</v>
      </c>
      <c r="AT479" s="3">
        <v>25.3</v>
      </c>
      <c r="AU479" s="3">
        <v>26</v>
      </c>
      <c r="AV479" s="3"/>
      <c r="AW479" s="3"/>
      <c r="AX479" s="133">
        <v>29.36</v>
      </c>
      <c r="AY479" s="134"/>
      <c r="AZ479" s="40"/>
      <c r="BA479" s="40"/>
      <c r="BB479" s="40"/>
      <c r="BC479" s="40"/>
      <c r="BD479" s="135" t="s">
        <v>110</v>
      </c>
      <c r="BE479" s="135" t="s">
        <v>110</v>
      </c>
      <c r="BF479" s="40"/>
      <c r="BG479" s="135" t="s">
        <v>110</v>
      </c>
      <c r="BH479" s="135" t="s">
        <v>110</v>
      </c>
      <c r="BI479" s="49"/>
      <c r="BJ479" s="49"/>
      <c r="BK479" s="66"/>
      <c r="BL479" s="66"/>
      <c r="BM479" s="51"/>
      <c r="BN479" s="51"/>
      <c r="BO479" s="136"/>
      <c r="BP479" s="40"/>
      <c r="BQ479" s="40"/>
      <c r="BR479" s="67"/>
      <c r="BS479" s="54" t="s">
        <v>110</v>
      </c>
      <c r="BT479" s="68"/>
      <c r="BU479" s="69"/>
      <c r="BV479" s="3"/>
      <c r="BW479" s="3"/>
      <c r="BX479" s="70"/>
      <c r="BY479" s="70"/>
      <c r="BZ479" s="59"/>
      <c r="CA479" s="59"/>
      <c r="CB479" s="59" t="s">
        <v>110</v>
      </c>
      <c r="CC479" s="59" t="s">
        <v>110</v>
      </c>
      <c r="CD479" s="60"/>
      <c r="CE479" s="60"/>
      <c r="CF479" s="61"/>
      <c r="CG479" s="61"/>
      <c r="CH479" s="61"/>
      <c r="CI479" s="138">
        <v>16.5</v>
      </c>
      <c r="CJ479" s="40">
        <f>VLOOKUP(paper3[[#This Row],[YYIR nivå]],$DB:$DC,2)</f>
        <v>1280</v>
      </c>
      <c r="CK479" s="3"/>
      <c r="CL479" s="62"/>
      <c r="CM479" s="62"/>
      <c r="CN479" s="3"/>
      <c r="CO479" s="3"/>
      <c r="CP479" s="41">
        <v>14.619444444444444</v>
      </c>
      <c r="CQ479" s="3"/>
      <c r="CR479" s="40" t="s">
        <v>110</v>
      </c>
      <c r="CS479" s="40" t="s">
        <v>110</v>
      </c>
      <c r="CT479" s="40" t="s">
        <v>110</v>
      </c>
      <c r="CU479" s="40"/>
      <c r="CV479" s="40"/>
      <c r="CW479" s="40"/>
      <c r="CX479" s="40"/>
      <c r="CY479" s="40" t="s">
        <v>205</v>
      </c>
      <c r="CZ479" s="40"/>
      <c r="DA479" s="40"/>
    </row>
    <row r="480" spans="1:105" ht="15.75" customHeight="1">
      <c r="A480" s="3">
        <v>957</v>
      </c>
      <c r="B480" s="92" t="s">
        <v>199</v>
      </c>
      <c r="C480" s="143" t="s">
        <v>104</v>
      </c>
      <c r="D480" s="3" t="s">
        <v>105</v>
      </c>
      <c r="E480" s="144">
        <v>45098</v>
      </c>
      <c r="F480" s="3" t="s">
        <v>186</v>
      </c>
      <c r="G480" s="3" t="s">
        <v>122</v>
      </c>
      <c r="H480" s="3">
        <v>2008</v>
      </c>
      <c r="I480" s="40" t="s">
        <v>116</v>
      </c>
      <c r="J480" s="39" t="str">
        <f>paper3[[#This Row],[sex]]&amp;paper3[[#This Row],[ageg]]</f>
        <v>boysU16</v>
      </c>
      <c r="K480" s="3">
        <v>185.5</v>
      </c>
      <c r="L480" s="3">
        <v>185.5</v>
      </c>
      <c r="M480" s="3"/>
      <c r="N480" s="3">
        <v>167.8</v>
      </c>
      <c r="O480" s="3">
        <v>167.8</v>
      </c>
      <c r="P480" s="3"/>
      <c r="Q480" s="3">
        <v>78.900000000000006</v>
      </c>
      <c r="R480" s="3"/>
      <c r="S480" s="3"/>
      <c r="T480" s="125">
        <v>185.5</v>
      </c>
      <c r="U480" s="126">
        <v>97.600000000000009</v>
      </c>
      <c r="V480" s="12">
        <f>paper3[[#This Row],[height]]-paper3[[#This Row],[sittingheight]]</f>
        <v>87.899999999999991</v>
      </c>
      <c r="W480" s="127">
        <v>78.900000000000006</v>
      </c>
      <c r="X480" s="43" cm="1">
        <f t="array" ref="X480">INDEX([1]!phvny[yphv], MATCH(1, (paper3[[#This Row],[id]]=[1]!phvny[id])*(paper3[[#This Row],[time]]=[1]!phvny[time]), 0))</f>
        <v>2.3716232247523217</v>
      </c>
      <c r="Y480" s="3">
        <v>1.7350000000000001</v>
      </c>
      <c r="Z480" s="3">
        <v>3.1669999999999998</v>
      </c>
      <c r="AA480" s="3">
        <v>4.524</v>
      </c>
      <c r="AB480" s="3">
        <v>1.762</v>
      </c>
      <c r="AC480" s="3">
        <v>3.23</v>
      </c>
      <c r="AD480" s="3">
        <v>4.63</v>
      </c>
      <c r="AE480" s="3">
        <v>1.764</v>
      </c>
      <c r="AF480" s="3">
        <v>3.222</v>
      </c>
      <c r="AG480" s="3">
        <v>4.6189999999999998</v>
      </c>
      <c r="AH480" s="130">
        <v>1.9450000000000001</v>
      </c>
      <c r="AI480" s="130">
        <v>3.347</v>
      </c>
      <c r="AJ480" s="130">
        <v>4.734</v>
      </c>
      <c r="AK480" s="45">
        <v>7.2098053352559477</v>
      </c>
      <c r="AL480" s="3">
        <v>9.8800000000000008</v>
      </c>
      <c r="AM480" s="3">
        <v>9.58</v>
      </c>
      <c r="AN480" s="3" t="s">
        <v>214</v>
      </c>
      <c r="AO480" s="3">
        <v>10.28</v>
      </c>
      <c r="AP480" s="137">
        <v>10.45</v>
      </c>
      <c r="AQ480" s="132">
        <v>9.58</v>
      </c>
      <c r="AR480" s="132">
        <v>10.28</v>
      </c>
      <c r="AS480" s="3">
        <v>23.1</v>
      </c>
      <c r="AT480" s="3">
        <v>21.7</v>
      </c>
      <c r="AU480" s="3">
        <v>24.3</v>
      </c>
      <c r="AV480" s="3"/>
      <c r="AW480" s="3"/>
      <c r="AX480" s="133">
        <v>27.26</v>
      </c>
      <c r="AY480" s="134"/>
      <c r="AZ480" s="40"/>
      <c r="BA480" s="40"/>
      <c r="BB480" s="40"/>
      <c r="BC480" s="40"/>
      <c r="BD480" s="135" t="s">
        <v>110</v>
      </c>
      <c r="BE480" s="135" t="s">
        <v>110</v>
      </c>
      <c r="BF480" s="40"/>
      <c r="BG480" s="135" t="s">
        <v>110</v>
      </c>
      <c r="BH480" s="135" t="s">
        <v>110</v>
      </c>
      <c r="BI480" s="49"/>
      <c r="BJ480" s="49"/>
      <c r="BK480" s="66"/>
      <c r="BL480" s="66"/>
      <c r="BM480" s="51"/>
      <c r="BN480" s="51"/>
      <c r="BO480" s="136"/>
      <c r="BP480" s="40"/>
      <c r="BQ480" s="40"/>
      <c r="BR480" s="67"/>
      <c r="BS480" s="54" t="s">
        <v>110</v>
      </c>
      <c r="BT480" s="68"/>
      <c r="BU480" s="69"/>
      <c r="BV480" s="3"/>
      <c r="BW480" s="3"/>
      <c r="BX480" s="70"/>
      <c r="BY480" s="70"/>
      <c r="BZ480" s="59"/>
      <c r="CA480" s="59"/>
      <c r="CB480" s="59" t="s">
        <v>110</v>
      </c>
      <c r="CC480" s="59" t="s">
        <v>110</v>
      </c>
      <c r="CD480" s="60"/>
      <c r="CE480" s="60"/>
      <c r="CF480" s="61"/>
      <c r="CG480" s="61"/>
      <c r="CH480" s="61"/>
      <c r="CI480" s="138">
        <v>14.7</v>
      </c>
      <c r="CJ480" s="40">
        <f>VLOOKUP(paper3[[#This Row],[YYIR nivå]],$DB:$DC,2)</f>
        <v>720</v>
      </c>
      <c r="CK480" s="3"/>
      <c r="CL480" s="62"/>
      <c r="CM480" s="62"/>
      <c r="CN480" s="3"/>
      <c r="CO480" s="3"/>
      <c r="CP480" s="41">
        <v>14.888888888888889</v>
      </c>
      <c r="CQ480" s="3"/>
      <c r="CR480" s="40" t="s">
        <v>110</v>
      </c>
      <c r="CS480" s="40" t="s">
        <v>110</v>
      </c>
      <c r="CT480" s="40" t="s">
        <v>110</v>
      </c>
      <c r="CU480" s="40"/>
      <c r="CV480" s="40"/>
      <c r="CW480" s="40"/>
      <c r="CX480" s="40"/>
      <c r="CY480" s="40" t="s">
        <v>204</v>
      </c>
      <c r="CZ480" s="40"/>
      <c r="DA480" s="40"/>
    </row>
    <row r="481" spans="1:105" ht="15.75" customHeight="1">
      <c r="A481" s="3">
        <v>958</v>
      </c>
      <c r="B481" s="92" t="s">
        <v>199</v>
      </c>
      <c r="C481" s="143" t="s">
        <v>104</v>
      </c>
      <c r="D481" s="3" t="s">
        <v>105</v>
      </c>
      <c r="E481" s="144">
        <v>45098</v>
      </c>
      <c r="F481" s="3" t="s">
        <v>186</v>
      </c>
      <c r="G481" s="3" t="s">
        <v>122</v>
      </c>
      <c r="H481" s="3">
        <v>2008</v>
      </c>
      <c r="I481" s="40" t="s">
        <v>116</v>
      </c>
      <c r="J481" s="39" t="str">
        <f>paper3[[#This Row],[sex]]&amp;paper3[[#This Row],[ageg]]</f>
        <v>boysU16</v>
      </c>
      <c r="K481" s="3">
        <v>164.4</v>
      </c>
      <c r="L481" s="3">
        <v>164.4</v>
      </c>
      <c r="M481" s="3"/>
      <c r="N481" s="3">
        <v>156.5</v>
      </c>
      <c r="O481" s="3">
        <v>156.5</v>
      </c>
      <c r="P481" s="3"/>
      <c r="Q481" s="3">
        <v>54.7</v>
      </c>
      <c r="R481" s="3"/>
      <c r="S481" s="3"/>
      <c r="T481" s="125">
        <v>164.4</v>
      </c>
      <c r="U481" s="126">
        <v>86.3</v>
      </c>
      <c r="V481" s="12">
        <f>paper3[[#This Row],[height]]-paper3[[#This Row],[sittingheight]]</f>
        <v>78.100000000000009</v>
      </c>
      <c r="W481" s="127">
        <v>54.7</v>
      </c>
      <c r="X481" s="43" cm="1">
        <f t="array" ref="X481">INDEX([1]!phvny[yphv], MATCH(1, (paper3[[#This Row],[id]]=[1]!phvny[id])*(paper3[[#This Row],[time]]=[1]!phvny[time]), 0))</f>
        <v>0.94870294813828082</v>
      </c>
      <c r="Y481" s="3">
        <v>1.7070000000000001</v>
      </c>
      <c r="Z481" s="3">
        <v>3.1379999999999999</v>
      </c>
      <c r="AA481" s="3">
        <v>4.51</v>
      </c>
      <c r="AB481" s="3">
        <v>1.736</v>
      </c>
      <c r="AC481" s="3">
        <v>3.2109999999999999</v>
      </c>
      <c r="AD481" s="3">
        <v>4.609</v>
      </c>
      <c r="AE481" s="3">
        <v>1.764</v>
      </c>
      <c r="AF481" s="3">
        <v>3.246</v>
      </c>
      <c r="AG481" s="3">
        <v>4.6769999999999996</v>
      </c>
      <c r="AH481" s="130">
        <v>1.917</v>
      </c>
      <c r="AI481" s="130">
        <v>3.3180000000000001</v>
      </c>
      <c r="AJ481" s="130">
        <v>4.72</v>
      </c>
      <c r="AK481" s="45">
        <v>7.1326676176890169</v>
      </c>
      <c r="AL481" s="3">
        <v>10.61</v>
      </c>
      <c r="AM481" s="3">
        <v>9.94</v>
      </c>
      <c r="AN481" s="3">
        <v>10.65</v>
      </c>
      <c r="AO481" s="3">
        <v>10.48</v>
      </c>
      <c r="AP481" s="137">
        <v>10.809999999999999</v>
      </c>
      <c r="AQ481" s="132">
        <v>9.94</v>
      </c>
      <c r="AR481" s="132">
        <v>10.48</v>
      </c>
      <c r="AS481" s="3">
        <v>22</v>
      </c>
      <c r="AT481" s="3">
        <v>22.1</v>
      </c>
      <c r="AU481" s="3">
        <v>20.9</v>
      </c>
      <c r="AV481" s="3"/>
      <c r="AW481" s="3"/>
      <c r="AX481" s="133">
        <v>25.060000000000002</v>
      </c>
      <c r="AY481" s="134"/>
      <c r="AZ481" s="40"/>
      <c r="BA481" s="40"/>
      <c r="BB481" s="40"/>
      <c r="BC481" s="40"/>
      <c r="BD481" s="135" t="s">
        <v>110</v>
      </c>
      <c r="BE481" s="135" t="s">
        <v>110</v>
      </c>
      <c r="BF481" s="40"/>
      <c r="BG481" s="135" t="s">
        <v>110</v>
      </c>
      <c r="BH481" s="135" t="s">
        <v>110</v>
      </c>
      <c r="BI481" s="49"/>
      <c r="BJ481" s="49"/>
      <c r="BK481" s="66"/>
      <c r="BL481" s="66"/>
      <c r="BM481" s="51"/>
      <c r="BN481" s="51"/>
      <c r="BO481" s="136"/>
      <c r="BP481" s="40"/>
      <c r="BQ481" s="40"/>
      <c r="BR481" s="67"/>
      <c r="BS481" s="54" t="s">
        <v>110</v>
      </c>
      <c r="BT481" s="68"/>
      <c r="BU481" s="69"/>
      <c r="BV481" s="3"/>
      <c r="BW481" s="3"/>
      <c r="BX481" s="70"/>
      <c r="BY481" s="70"/>
      <c r="BZ481" s="59"/>
      <c r="CA481" s="59"/>
      <c r="CB481" s="59" t="s">
        <v>110</v>
      </c>
      <c r="CC481" s="59" t="s">
        <v>110</v>
      </c>
      <c r="CD481" s="60"/>
      <c r="CE481" s="60"/>
      <c r="CF481" s="61"/>
      <c r="CG481" s="61"/>
      <c r="CH481" s="61"/>
      <c r="CI481" s="138">
        <v>16.100000000000001</v>
      </c>
      <c r="CJ481" s="40">
        <f>VLOOKUP(paper3[[#This Row],[YYIR nivå]],$DB:$DC,2)</f>
        <v>1120</v>
      </c>
      <c r="CK481" s="3"/>
      <c r="CL481" s="62"/>
      <c r="CM481" s="62"/>
      <c r="CN481" s="3"/>
      <c r="CO481" s="3"/>
      <c r="CP481" s="41">
        <v>15.41388888888889</v>
      </c>
      <c r="CQ481" s="3"/>
      <c r="CR481" s="40" t="s">
        <v>110</v>
      </c>
      <c r="CS481" s="40" t="s">
        <v>110</v>
      </c>
      <c r="CT481" s="40" t="s">
        <v>110</v>
      </c>
      <c r="CU481" s="40"/>
      <c r="CV481" s="40"/>
      <c r="CW481" s="40"/>
      <c r="CX481" s="40"/>
      <c r="CY481" s="40" t="s">
        <v>125</v>
      </c>
      <c r="CZ481" s="40"/>
      <c r="DA481" s="40"/>
    </row>
    <row r="482" spans="1:105" ht="15.75" customHeight="1">
      <c r="A482" s="3">
        <v>959</v>
      </c>
      <c r="B482" s="92" t="s">
        <v>199</v>
      </c>
      <c r="C482" s="143" t="s">
        <v>104</v>
      </c>
      <c r="D482" s="3" t="s">
        <v>105</v>
      </c>
      <c r="E482" s="144">
        <v>45098</v>
      </c>
      <c r="F482" s="3" t="s">
        <v>186</v>
      </c>
      <c r="G482" s="3" t="s">
        <v>122</v>
      </c>
      <c r="H482" s="3">
        <v>2008</v>
      </c>
      <c r="I482" s="40" t="s">
        <v>116</v>
      </c>
      <c r="J482" s="39" t="str">
        <f>paper3[[#This Row],[sex]]&amp;paper3[[#This Row],[ageg]]</f>
        <v>boysU16</v>
      </c>
      <c r="K482" s="3">
        <v>177.7</v>
      </c>
      <c r="L482" s="3">
        <v>177.8</v>
      </c>
      <c r="M482" s="3"/>
      <c r="N482" s="3">
        <v>162</v>
      </c>
      <c r="O482" s="3">
        <v>162.19999999999999</v>
      </c>
      <c r="P482" s="3"/>
      <c r="Q482" s="3">
        <v>67.400000000000006</v>
      </c>
      <c r="R482" s="3"/>
      <c r="S482" s="3"/>
      <c r="T482" s="125">
        <v>177.75</v>
      </c>
      <c r="U482" s="126">
        <v>91.899999999999991</v>
      </c>
      <c r="V482" s="12">
        <f>paper3[[#This Row],[height]]-paper3[[#This Row],[sittingheight]]</f>
        <v>85.850000000000009</v>
      </c>
      <c r="W482" s="127">
        <v>67.400000000000006</v>
      </c>
      <c r="X482" s="43" cm="1">
        <f t="array" ref="X482">INDEX([1]!phvny[yphv], MATCH(1, (paper3[[#This Row],[id]]=[1]!phvny[id])*(paper3[[#This Row],[time]]=[1]!phvny[time]), 0))</f>
        <v>1.7285493320808709</v>
      </c>
      <c r="Y482" s="3">
        <v>1.619</v>
      </c>
      <c r="Z482" s="3">
        <v>2.99</v>
      </c>
      <c r="AA482" s="3">
        <v>4.2930000000000001</v>
      </c>
      <c r="AB482" s="3">
        <v>1.65</v>
      </c>
      <c r="AC482" s="3">
        <v>3.0379999999999998</v>
      </c>
      <c r="AD482" s="3">
        <v>4.335</v>
      </c>
      <c r="AE482" s="3">
        <v>1.69</v>
      </c>
      <c r="AF482" s="3">
        <v>3.0910000000000002</v>
      </c>
      <c r="AG482" s="3">
        <v>4.4379999999999997</v>
      </c>
      <c r="AH482" s="130">
        <v>1.829</v>
      </c>
      <c r="AI482" s="130">
        <v>3.1700000000000004</v>
      </c>
      <c r="AJ482" s="130">
        <v>4.5030000000000001</v>
      </c>
      <c r="AK482" s="45">
        <v>7.501875468867218</v>
      </c>
      <c r="AL482" s="3">
        <v>9.81</v>
      </c>
      <c r="AM482" s="3">
        <v>9.73</v>
      </c>
      <c r="AN482" s="3">
        <v>9.9600000000000009</v>
      </c>
      <c r="AO482" s="3">
        <v>9.92</v>
      </c>
      <c r="AP482" s="137">
        <v>10.6</v>
      </c>
      <c r="AQ482" s="132">
        <v>9.73</v>
      </c>
      <c r="AR482" s="132">
        <v>9.92</v>
      </c>
      <c r="AS482" s="3">
        <v>0</v>
      </c>
      <c r="AT482" s="3">
        <v>25.8</v>
      </c>
      <c r="AU482" s="3">
        <v>27.2</v>
      </c>
      <c r="AV482" s="3"/>
      <c r="AW482" s="3"/>
      <c r="AX482" s="133">
        <v>30.16</v>
      </c>
      <c r="AY482" s="134"/>
      <c r="AZ482" s="40"/>
      <c r="BA482" s="40"/>
      <c r="BB482" s="40"/>
      <c r="BC482" s="40"/>
      <c r="BD482" s="135" t="s">
        <v>110</v>
      </c>
      <c r="BE482" s="135" t="s">
        <v>110</v>
      </c>
      <c r="BF482" s="40"/>
      <c r="BG482" s="135" t="s">
        <v>110</v>
      </c>
      <c r="BH482" s="135" t="s">
        <v>110</v>
      </c>
      <c r="BI482" s="49"/>
      <c r="BJ482" s="49"/>
      <c r="BK482" s="66"/>
      <c r="BL482" s="66"/>
      <c r="BM482" s="51"/>
      <c r="BN482" s="51"/>
      <c r="BO482" s="136"/>
      <c r="BP482" s="40"/>
      <c r="BQ482" s="40"/>
      <c r="BR482" s="67"/>
      <c r="BS482" s="54" t="s">
        <v>110</v>
      </c>
      <c r="BT482" s="68"/>
      <c r="BU482" s="69"/>
      <c r="BV482" s="3"/>
      <c r="BW482" s="3"/>
      <c r="BX482" s="70"/>
      <c r="BY482" s="70"/>
      <c r="BZ482" s="59"/>
      <c r="CA482" s="59"/>
      <c r="CB482" s="59" t="s">
        <v>110</v>
      </c>
      <c r="CC482" s="59" t="s">
        <v>110</v>
      </c>
      <c r="CD482" s="60"/>
      <c r="CE482" s="60"/>
      <c r="CF482" s="61"/>
      <c r="CG482" s="61"/>
      <c r="CH482" s="61"/>
      <c r="CI482" s="138">
        <v>17.100000000000001</v>
      </c>
      <c r="CJ482" s="40">
        <f>VLOOKUP(paper3[[#This Row],[YYIR nivå]],$DB:$DC,2)</f>
        <v>1440</v>
      </c>
      <c r="CK482" s="3"/>
      <c r="CL482" s="62"/>
      <c r="CM482" s="62"/>
      <c r="CN482" s="3"/>
      <c r="CO482" s="3"/>
      <c r="CP482" s="41">
        <v>15.294444444444444</v>
      </c>
      <c r="CQ482" s="3"/>
      <c r="CR482" s="40" t="s">
        <v>110</v>
      </c>
      <c r="CS482" s="40" t="s">
        <v>110</v>
      </c>
      <c r="CT482" s="40" t="s">
        <v>110</v>
      </c>
      <c r="CU482" s="40"/>
      <c r="CV482" s="40"/>
      <c r="CW482" s="40"/>
      <c r="CX482" s="40"/>
      <c r="CY482" s="40" t="s">
        <v>207</v>
      </c>
      <c r="CZ482" s="40"/>
      <c r="DA482" s="40"/>
    </row>
    <row r="483" spans="1:105" ht="15.75" customHeight="1">
      <c r="A483" s="3">
        <v>960</v>
      </c>
      <c r="B483" s="92" t="s">
        <v>199</v>
      </c>
      <c r="C483" s="143" t="s">
        <v>104</v>
      </c>
      <c r="D483" s="3" t="s">
        <v>105</v>
      </c>
      <c r="E483" s="144">
        <v>45098</v>
      </c>
      <c r="F483" s="3" t="s">
        <v>186</v>
      </c>
      <c r="G483" s="3" t="s">
        <v>122</v>
      </c>
      <c r="H483" s="3">
        <v>2008</v>
      </c>
      <c r="I483" s="40" t="s">
        <v>116</v>
      </c>
      <c r="J483" s="39" t="str">
        <f>paper3[[#This Row],[sex]]&amp;paper3[[#This Row],[ageg]]</f>
        <v>boysU16</v>
      </c>
      <c r="K483" s="3">
        <v>173.1</v>
      </c>
      <c r="L483" s="3">
        <v>173.1</v>
      </c>
      <c r="M483" s="3"/>
      <c r="N483" s="3">
        <v>162</v>
      </c>
      <c r="O483" s="3">
        <v>162</v>
      </c>
      <c r="P483" s="3"/>
      <c r="Q483" s="3">
        <v>65.2</v>
      </c>
      <c r="R483" s="3"/>
      <c r="S483" s="3"/>
      <c r="T483" s="125">
        <v>173.1</v>
      </c>
      <c r="U483" s="126">
        <v>91.8</v>
      </c>
      <c r="V483" s="12">
        <f>paper3[[#This Row],[height]]-paper3[[#This Row],[sittingheight]]</f>
        <v>81.3</v>
      </c>
      <c r="W483" s="127">
        <v>65.2</v>
      </c>
      <c r="X483" s="43" cm="1">
        <f t="array" ref="X483">INDEX([1]!phvny[yphv], MATCH(1, (paper3[[#This Row],[id]]=[1]!phvny[id])*(paper3[[#This Row],[time]]=[1]!phvny[time]), 0))</f>
        <v>1.5904666719321197</v>
      </c>
      <c r="Y483" s="3">
        <v>1.6819999999999999</v>
      </c>
      <c r="Z483" s="3">
        <v>3.117</v>
      </c>
      <c r="AA483" s="3">
        <v>4.4939999999999998</v>
      </c>
      <c r="AB483" s="3">
        <v>1.71</v>
      </c>
      <c r="AC483" s="3">
        <v>3.161</v>
      </c>
      <c r="AD483" s="3">
        <v>4.5529999999999999</v>
      </c>
      <c r="AE483" s="3">
        <v>1.7310000000000001</v>
      </c>
      <c r="AF483" s="3">
        <v>3.1970000000000001</v>
      </c>
      <c r="AG483" s="3">
        <v>4.6079999999999997</v>
      </c>
      <c r="AH483" s="130">
        <v>1.8919999999999999</v>
      </c>
      <c r="AI483" s="130">
        <v>3.2970000000000002</v>
      </c>
      <c r="AJ483" s="130">
        <v>4.7039999999999997</v>
      </c>
      <c r="AK483" s="45">
        <v>7.1073205401563628</v>
      </c>
      <c r="AL483" s="3">
        <v>10.78</v>
      </c>
      <c r="AM483" s="3">
        <v>10.55</v>
      </c>
      <c r="AN483" s="3">
        <v>11</v>
      </c>
      <c r="AO483" s="3">
        <v>11.14</v>
      </c>
      <c r="AP483" s="137">
        <v>11.42</v>
      </c>
      <c r="AQ483" s="132">
        <v>10.55</v>
      </c>
      <c r="AR483" s="132">
        <v>11</v>
      </c>
      <c r="AS483" s="3">
        <v>26.8</v>
      </c>
      <c r="AT483" s="3">
        <v>27.2</v>
      </c>
      <c r="AU483" s="3">
        <v>0</v>
      </c>
      <c r="AV483" s="3"/>
      <c r="AW483" s="3"/>
      <c r="AX483" s="133">
        <v>30.16</v>
      </c>
      <c r="AY483" s="134"/>
      <c r="AZ483" s="40"/>
      <c r="BA483" s="40"/>
      <c r="BB483" s="40"/>
      <c r="BC483" s="40"/>
      <c r="BD483" s="135" t="s">
        <v>110</v>
      </c>
      <c r="BE483" s="135" t="s">
        <v>110</v>
      </c>
      <c r="BF483" s="40"/>
      <c r="BG483" s="135" t="s">
        <v>110</v>
      </c>
      <c r="BH483" s="135" t="s">
        <v>110</v>
      </c>
      <c r="BI483" s="49"/>
      <c r="BJ483" s="49"/>
      <c r="BK483" s="66"/>
      <c r="BL483" s="66"/>
      <c r="BM483" s="51"/>
      <c r="BN483" s="51"/>
      <c r="BO483" s="136"/>
      <c r="BP483" s="40"/>
      <c r="BQ483" s="40"/>
      <c r="BR483" s="67"/>
      <c r="BS483" s="54" t="s">
        <v>110</v>
      </c>
      <c r="BT483" s="68"/>
      <c r="BU483" s="69"/>
      <c r="BV483" s="3"/>
      <c r="BW483" s="3"/>
      <c r="BX483" s="70"/>
      <c r="BY483" s="70"/>
      <c r="BZ483" s="59"/>
      <c r="CA483" s="59"/>
      <c r="CB483" s="59" t="s">
        <v>110</v>
      </c>
      <c r="CC483" s="59" t="s">
        <v>110</v>
      </c>
      <c r="CD483" s="60"/>
      <c r="CE483" s="60"/>
      <c r="CF483" s="61"/>
      <c r="CG483" s="61"/>
      <c r="CH483" s="61"/>
      <c r="CI483" s="138">
        <v>16.100000000000001</v>
      </c>
      <c r="CJ483" s="40">
        <f>VLOOKUP(paper3[[#This Row],[YYIR nivå]],$DB:$DC,2)</f>
        <v>1120</v>
      </c>
      <c r="CK483" s="3"/>
      <c r="CL483" s="62"/>
      <c r="CM483" s="62"/>
      <c r="CN483" s="3"/>
      <c r="CO483" s="3"/>
      <c r="CP483" s="41">
        <v>15.063888888888888</v>
      </c>
      <c r="CQ483" s="3"/>
      <c r="CR483" s="40" t="s">
        <v>110</v>
      </c>
      <c r="CS483" s="40" t="s">
        <v>110</v>
      </c>
      <c r="CT483" s="40" t="s">
        <v>110</v>
      </c>
      <c r="CU483" s="40"/>
      <c r="CV483" s="40"/>
      <c r="CW483" s="40"/>
      <c r="CX483" s="40"/>
      <c r="CY483" s="40" t="s">
        <v>204</v>
      </c>
      <c r="CZ483" s="40"/>
      <c r="DA483" s="40"/>
    </row>
    <row r="484" spans="1:105" ht="15.75" customHeight="1">
      <c r="A484" s="3">
        <v>961</v>
      </c>
      <c r="B484" s="92" t="s">
        <v>199</v>
      </c>
      <c r="C484" s="143" t="s">
        <v>104</v>
      </c>
      <c r="D484" s="3" t="s">
        <v>105</v>
      </c>
      <c r="E484" s="144">
        <v>45098</v>
      </c>
      <c r="F484" s="3" t="s">
        <v>186</v>
      </c>
      <c r="G484" s="3" t="s">
        <v>122</v>
      </c>
      <c r="H484" s="3">
        <v>2008</v>
      </c>
      <c r="I484" s="40" t="s">
        <v>116</v>
      </c>
      <c r="J484" s="39" t="str">
        <f>paper3[[#This Row],[sex]]&amp;paper3[[#This Row],[ageg]]</f>
        <v>boysU16</v>
      </c>
      <c r="K484" s="3">
        <v>168</v>
      </c>
      <c r="L484" s="3">
        <v>168</v>
      </c>
      <c r="M484" s="3"/>
      <c r="N484" s="3">
        <v>157.30000000000001</v>
      </c>
      <c r="O484" s="3">
        <v>157.30000000000001</v>
      </c>
      <c r="P484" s="3"/>
      <c r="Q484" s="3">
        <v>52.1</v>
      </c>
      <c r="R484" s="3"/>
      <c r="S484" s="3"/>
      <c r="T484" s="125">
        <v>168</v>
      </c>
      <c r="U484" s="126">
        <v>87.100000000000009</v>
      </c>
      <c r="V484" s="12">
        <f>paper3[[#This Row],[height]]-paper3[[#This Row],[sittingheight]]</f>
        <v>80.899999999999991</v>
      </c>
      <c r="W484" s="127">
        <v>52.1</v>
      </c>
      <c r="X484" s="43" cm="1">
        <f t="array" ref="X484">INDEX([1]!phvny[yphv], MATCH(1, (paper3[[#This Row],[id]]=[1]!phvny[id])*(paper3[[#This Row],[time]]=[1]!phvny[time]), 0))</f>
        <v>0.59227369303174748</v>
      </c>
      <c r="Y484" s="3">
        <v>1.5920000000000001</v>
      </c>
      <c r="Z484" s="3">
        <v>3.2530000000000001</v>
      </c>
      <c r="AA484" s="3">
        <v>4.7809999999999997</v>
      </c>
      <c r="AB484" s="3">
        <v>1.869</v>
      </c>
      <c r="AC484" s="3">
        <v>3.4620000000000002</v>
      </c>
      <c r="AD484" s="3">
        <v>5.0019999999999998</v>
      </c>
      <c r="AE484" s="3">
        <v>1.8859999999999999</v>
      </c>
      <c r="AF484" s="3">
        <v>3.5310000000000001</v>
      </c>
      <c r="AG484" s="3">
        <v>5.1150000000000002</v>
      </c>
      <c r="AH484" s="130">
        <v>2.0790000000000002</v>
      </c>
      <c r="AI484" s="130">
        <v>3.4330000000000003</v>
      </c>
      <c r="AJ484" s="130">
        <v>5.2119999999999997</v>
      </c>
      <c r="AK484" s="45">
        <v>5.6211354693648135</v>
      </c>
      <c r="AL484" s="3">
        <v>9.76</v>
      </c>
      <c r="AM484" s="3">
        <v>9.6300000000000008</v>
      </c>
      <c r="AN484" s="3">
        <v>9.59</v>
      </c>
      <c r="AO484" s="3">
        <v>9.59</v>
      </c>
      <c r="AP484" s="137">
        <v>10.459999999999999</v>
      </c>
      <c r="AQ484" s="132">
        <v>9.6300000000000008</v>
      </c>
      <c r="AR484" s="132">
        <v>9.59</v>
      </c>
      <c r="AS484" s="3">
        <v>0</v>
      </c>
      <c r="AT484" s="3">
        <v>18.2</v>
      </c>
      <c r="AU484" s="3">
        <v>0</v>
      </c>
      <c r="AV484" s="3"/>
      <c r="AW484" s="3"/>
      <c r="AX484" s="133">
        <v>21.16</v>
      </c>
      <c r="AY484" s="134"/>
      <c r="AZ484" s="40"/>
      <c r="BA484" s="40"/>
      <c r="BB484" s="40"/>
      <c r="BC484" s="40"/>
      <c r="BD484" s="135" t="s">
        <v>110</v>
      </c>
      <c r="BE484" s="135" t="s">
        <v>110</v>
      </c>
      <c r="BF484" s="40"/>
      <c r="BG484" s="135" t="s">
        <v>110</v>
      </c>
      <c r="BH484" s="135" t="s">
        <v>110</v>
      </c>
      <c r="BI484" s="49"/>
      <c r="BJ484" s="49"/>
      <c r="BK484" s="66"/>
      <c r="BL484" s="66"/>
      <c r="BM484" s="51"/>
      <c r="BN484" s="51"/>
      <c r="BO484" s="136"/>
      <c r="BP484" s="40"/>
      <c r="BQ484" s="40"/>
      <c r="BR484" s="67"/>
      <c r="BS484" s="54" t="s">
        <v>110</v>
      </c>
      <c r="BT484" s="68"/>
      <c r="BU484" s="69"/>
      <c r="BV484" s="3"/>
      <c r="BW484" s="3"/>
      <c r="BX484" s="70"/>
      <c r="BY484" s="70"/>
      <c r="BZ484" s="59"/>
      <c r="CA484" s="59"/>
      <c r="CB484" s="59" t="s">
        <v>110</v>
      </c>
      <c r="CC484" s="59" t="s">
        <v>110</v>
      </c>
      <c r="CD484" s="60"/>
      <c r="CE484" s="60"/>
      <c r="CF484" s="61"/>
      <c r="CG484" s="61"/>
      <c r="CH484" s="61"/>
      <c r="CI484" s="138">
        <v>14.4</v>
      </c>
      <c r="CJ484" s="40">
        <f>VLOOKUP(paper3[[#This Row],[YYIR nivå]],$DB:$DC,2)</f>
        <v>600</v>
      </c>
      <c r="CK484" s="3"/>
      <c r="CL484" s="62"/>
      <c r="CM484" s="62"/>
      <c r="CN484" s="3"/>
      <c r="CO484" s="3"/>
      <c r="CP484" s="41">
        <v>14.594444444444445</v>
      </c>
      <c r="CQ484" s="3"/>
      <c r="CR484" s="40" t="s">
        <v>110</v>
      </c>
      <c r="CS484" s="40" t="s">
        <v>110</v>
      </c>
      <c r="CT484" s="40" t="s">
        <v>110</v>
      </c>
      <c r="CU484" s="40"/>
      <c r="CV484" s="40"/>
      <c r="CW484" s="40"/>
      <c r="CX484" s="40"/>
      <c r="CY484" s="40" t="s">
        <v>205</v>
      </c>
      <c r="CZ484" s="40"/>
      <c r="DA484" s="40"/>
    </row>
    <row r="485" spans="1:105" ht="15.75" customHeight="1">
      <c r="A485" s="3">
        <v>962</v>
      </c>
      <c r="B485" s="92" t="s">
        <v>199</v>
      </c>
      <c r="C485" s="143" t="s">
        <v>171</v>
      </c>
      <c r="D485" s="3" t="s">
        <v>105</v>
      </c>
      <c r="E485" s="144">
        <v>45098</v>
      </c>
      <c r="F485" s="3" t="s">
        <v>186</v>
      </c>
      <c r="G485" s="3" t="s">
        <v>122</v>
      </c>
      <c r="H485" s="3">
        <v>2008</v>
      </c>
      <c r="I485" s="40" t="s">
        <v>116</v>
      </c>
      <c r="J485" s="39" t="str">
        <f>paper3[[#This Row],[sex]]&amp;paper3[[#This Row],[ageg]]</f>
        <v>boysU16</v>
      </c>
      <c r="K485" s="3">
        <v>182.7</v>
      </c>
      <c r="L485" s="3">
        <v>182.7</v>
      </c>
      <c r="M485" s="3"/>
      <c r="N485" s="3">
        <v>163.1</v>
      </c>
      <c r="O485" s="3">
        <v>163.1</v>
      </c>
      <c r="P485" s="3"/>
      <c r="Q485" s="3">
        <v>79.8</v>
      </c>
      <c r="R485" s="3"/>
      <c r="S485" s="3"/>
      <c r="T485" s="125">
        <v>182.7</v>
      </c>
      <c r="U485" s="126">
        <v>92.899999999999991</v>
      </c>
      <c r="V485" s="12">
        <f>paper3[[#This Row],[height]]-paper3[[#This Row],[sittingheight]]</f>
        <v>89.8</v>
      </c>
      <c r="W485" s="127">
        <v>79.8</v>
      </c>
      <c r="X485" s="43" cm="1">
        <f t="array" ref="X485">INDEX([1]!phvny[yphv], MATCH(1, (paper3[[#This Row],[id]]=[1]!phvny[id])*(paper3[[#This Row],[time]]=[1]!phvny[time]), 0))</f>
        <v>1.7745371592758594</v>
      </c>
      <c r="Y485" s="3">
        <v>1.577</v>
      </c>
      <c r="Z485" s="3">
        <v>2.9060000000000001</v>
      </c>
      <c r="AA485" s="3">
        <v>4.1660000000000004</v>
      </c>
      <c r="AB485" s="3">
        <v>1.609</v>
      </c>
      <c r="AC485" s="3">
        <v>2.9289999999999998</v>
      </c>
      <c r="AD485" s="3">
        <v>4.2069999999999999</v>
      </c>
      <c r="AE485" s="3">
        <v>1.631</v>
      </c>
      <c r="AF485" s="3">
        <v>3.0030000000000001</v>
      </c>
      <c r="AG485" s="3">
        <v>4.2960000000000003</v>
      </c>
      <c r="AH485" s="130">
        <v>1.7869999999999999</v>
      </c>
      <c r="AI485" s="130">
        <v>3.0860000000000003</v>
      </c>
      <c r="AJ485" s="130">
        <v>4.3760000000000003</v>
      </c>
      <c r="AK485" s="45">
        <v>7.7519379844961236</v>
      </c>
      <c r="AL485" s="3">
        <v>9.5</v>
      </c>
      <c r="AM485" s="3">
        <v>9.9700000000000006</v>
      </c>
      <c r="AN485" s="3">
        <v>11.15</v>
      </c>
      <c r="AO485" s="3">
        <v>10.52</v>
      </c>
      <c r="AP485" s="137">
        <v>10.37</v>
      </c>
      <c r="AQ485" s="132">
        <v>9.5</v>
      </c>
      <c r="AR485" s="132">
        <v>10.52</v>
      </c>
      <c r="AS485" s="3">
        <v>0</v>
      </c>
      <c r="AT485" s="3">
        <v>34.200000000000003</v>
      </c>
      <c r="AU485" s="3">
        <v>33.299999999999997</v>
      </c>
      <c r="AV485" s="3"/>
      <c r="AW485" s="3"/>
      <c r="AX485" s="133">
        <v>37.160000000000004</v>
      </c>
      <c r="AY485" s="134"/>
      <c r="AZ485" s="40"/>
      <c r="BA485" s="40"/>
      <c r="BB485" s="40"/>
      <c r="BC485" s="40"/>
      <c r="BD485" s="135" t="s">
        <v>110</v>
      </c>
      <c r="BE485" s="135" t="s">
        <v>110</v>
      </c>
      <c r="BF485" s="40"/>
      <c r="BG485" s="135" t="s">
        <v>110</v>
      </c>
      <c r="BH485" s="135" t="s">
        <v>110</v>
      </c>
      <c r="BI485" s="49"/>
      <c r="BJ485" s="49"/>
      <c r="BK485" s="66"/>
      <c r="BL485" s="66"/>
      <c r="BM485" s="51"/>
      <c r="BN485" s="51"/>
      <c r="BO485" s="136"/>
      <c r="BP485" s="40"/>
      <c r="BQ485" s="40"/>
      <c r="BR485" s="67"/>
      <c r="BS485" s="54" t="s">
        <v>110</v>
      </c>
      <c r="BT485" s="68"/>
      <c r="BU485" s="69"/>
      <c r="BV485" s="3"/>
      <c r="BW485" s="3"/>
      <c r="BX485" s="70"/>
      <c r="BY485" s="70"/>
      <c r="BZ485" s="59"/>
      <c r="CA485" s="59"/>
      <c r="CB485" s="59" t="s">
        <v>110</v>
      </c>
      <c r="CC485" s="59" t="s">
        <v>110</v>
      </c>
      <c r="CD485" s="60"/>
      <c r="CE485" s="60"/>
      <c r="CF485" s="61"/>
      <c r="CG485" s="61"/>
      <c r="CH485" s="61"/>
      <c r="CI485" s="138">
        <v>17.600000000000001</v>
      </c>
      <c r="CJ485" s="40">
        <f>VLOOKUP(paper3[[#This Row],[YYIR nivå]],$DB:$DC,2)</f>
        <v>1640</v>
      </c>
      <c r="CK485" s="3"/>
      <c r="CL485" s="62"/>
      <c r="CM485" s="62"/>
      <c r="CN485" s="3"/>
      <c r="CO485" s="3"/>
      <c r="CP485" s="41">
        <v>14.875</v>
      </c>
      <c r="CQ485" s="3"/>
      <c r="CR485" s="40" t="s">
        <v>110</v>
      </c>
      <c r="CS485" s="40" t="s">
        <v>110</v>
      </c>
      <c r="CT485" s="40" t="s">
        <v>110</v>
      </c>
      <c r="CU485" s="40"/>
      <c r="CV485" s="40"/>
      <c r="CW485" s="40"/>
      <c r="CX485" s="40"/>
      <c r="CY485" s="40" t="s">
        <v>205</v>
      </c>
      <c r="CZ485" s="40"/>
      <c r="DA485" s="40"/>
    </row>
    <row r="486" spans="1:105" ht="15.75" customHeight="1">
      <c r="A486" s="3">
        <v>963</v>
      </c>
      <c r="B486" s="92" t="s">
        <v>199</v>
      </c>
      <c r="C486" s="143" t="s">
        <v>104</v>
      </c>
      <c r="D486" s="3" t="s">
        <v>105</v>
      </c>
      <c r="E486" s="144">
        <v>45098</v>
      </c>
      <c r="F486" s="3" t="s">
        <v>186</v>
      </c>
      <c r="G486" s="3" t="s">
        <v>122</v>
      </c>
      <c r="H486" s="3">
        <v>2008</v>
      </c>
      <c r="I486" s="40" t="s">
        <v>116</v>
      </c>
      <c r="J486" s="39" t="str">
        <f>paper3[[#This Row],[sex]]&amp;paper3[[#This Row],[ageg]]</f>
        <v>boysU16</v>
      </c>
      <c r="K486" s="3">
        <v>165.4</v>
      </c>
      <c r="L486" s="3">
        <v>165.4</v>
      </c>
      <c r="M486" s="3"/>
      <c r="N486" s="3">
        <v>156.5</v>
      </c>
      <c r="O486" s="3">
        <v>156.5</v>
      </c>
      <c r="P486" s="3"/>
      <c r="Q486" s="3">
        <v>55.5</v>
      </c>
      <c r="R486" s="3"/>
      <c r="S486" s="3"/>
      <c r="T486" s="125">
        <v>165.4</v>
      </c>
      <c r="U486" s="126">
        <v>86.3</v>
      </c>
      <c r="V486" s="12">
        <f>paper3[[#This Row],[height]]-paper3[[#This Row],[sittingheight]]</f>
        <v>79.100000000000009</v>
      </c>
      <c r="W486" s="127">
        <v>55.5</v>
      </c>
      <c r="X486" s="43" cm="1">
        <f t="array" ref="X486">INDEX([1]!phvny[yphv], MATCH(1, (paper3[[#This Row],[id]]=[1]!phvny[id])*(paper3[[#This Row],[time]]=[1]!phvny[time]), 0))</f>
        <v>0.5326681172194685</v>
      </c>
      <c r="Y486" s="3">
        <v>1.6479999999999999</v>
      </c>
      <c r="Z486" s="3">
        <v>3.036</v>
      </c>
      <c r="AA486" s="3">
        <v>4.3689999999999998</v>
      </c>
      <c r="AB486" s="3">
        <v>1.7370000000000001</v>
      </c>
      <c r="AC486" s="3">
        <v>3.1709999999999998</v>
      </c>
      <c r="AD486" s="3">
        <v>4.5380000000000003</v>
      </c>
      <c r="AE486" s="3">
        <v>1.72</v>
      </c>
      <c r="AF486" s="3">
        <v>3.1680000000000001</v>
      </c>
      <c r="AG486" s="3">
        <v>4.5810000000000004</v>
      </c>
      <c r="AH486" s="130">
        <v>1.8579999999999999</v>
      </c>
      <c r="AI486" s="130">
        <v>3.2160000000000002</v>
      </c>
      <c r="AJ486" s="130">
        <v>4.5789999999999997</v>
      </c>
      <c r="AK486" s="45">
        <v>7.336757153338227</v>
      </c>
      <c r="AL486" s="3">
        <v>9.6</v>
      </c>
      <c r="AM486" s="3">
        <v>9.6199999999999992</v>
      </c>
      <c r="AN486" s="3">
        <v>9.5500000000000007</v>
      </c>
      <c r="AO486" s="3">
        <v>9.75</v>
      </c>
      <c r="AP486" s="137">
        <v>10.42</v>
      </c>
      <c r="AQ486" s="132">
        <v>9.6</v>
      </c>
      <c r="AR486" s="132">
        <v>9.5500000000000007</v>
      </c>
      <c r="AS486" s="3">
        <v>31.2</v>
      </c>
      <c r="AT486" s="3">
        <v>30.7</v>
      </c>
      <c r="AU486" s="3">
        <v>32</v>
      </c>
      <c r="AV486" s="3"/>
      <c r="AW486" s="3"/>
      <c r="AX486" s="133">
        <v>34.96</v>
      </c>
      <c r="AY486" s="134"/>
      <c r="AZ486" s="40"/>
      <c r="BA486" s="40"/>
      <c r="BB486" s="40"/>
      <c r="BC486" s="40"/>
      <c r="BD486" s="135" t="s">
        <v>110</v>
      </c>
      <c r="BE486" s="135" t="s">
        <v>110</v>
      </c>
      <c r="BF486" s="40"/>
      <c r="BG486" s="135" t="s">
        <v>110</v>
      </c>
      <c r="BH486" s="135" t="s">
        <v>110</v>
      </c>
      <c r="BI486" s="49"/>
      <c r="BJ486" s="49"/>
      <c r="BK486" s="66"/>
      <c r="BL486" s="66"/>
      <c r="BM486" s="51"/>
      <c r="BN486" s="51"/>
      <c r="BO486" s="136"/>
      <c r="BP486" s="40"/>
      <c r="BQ486" s="40"/>
      <c r="BR486" s="67"/>
      <c r="BS486" s="54" t="s">
        <v>110</v>
      </c>
      <c r="BT486" s="68"/>
      <c r="BU486" s="69"/>
      <c r="BV486" s="3"/>
      <c r="BW486" s="3"/>
      <c r="BX486" s="70"/>
      <c r="BY486" s="70"/>
      <c r="BZ486" s="59"/>
      <c r="CA486" s="59"/>
      <c r="CB486" s="59" t="s">
        <v>110</v>
      </c>
      <c r="CC486" s="59" t="s">
        <v>110</v>
      </c>
      <c r="CD486" s="60"/>
      <c r="CE486" s="60"/>
      <c r="CF486" s="61"/>
      <c r="CG486" s="61"/>
      <c r="CH486" s="61"/>
      <c r="CI486" s="138">
        <v>17.399999999999999</v>
      </c>
      <c r="CJ486" s="40">
        <f>VLOOKUP(paper3[[#This Row],[YYIR nivå]],$DB:$DC,2)</f>
        <v>1560</v>
      </c>
      <c r="CK486" s="3"/>
      <c r="CL486" s="62"/>
      <c r="CM486" s="62"/>
      <c r="CN486" s="3"/>
      <c r="CO486" s="3"/>
      <c r="CP486" s="41">
        <v>14.558333333333334</v>
      </c>
      <c r="CQ486" s="3"/>
      <c r="CR486" s="40" t="s">
        <v>110</v>
      </c>
      <c r="CS486" s="40" t="s">
        <v>110</v>
      </c>
      <c r="CT486" s="40" t="s">
        <v>110</v>
      </c>
      <c r="CU486" s="40"/>
      <c r="CV486" s="40"/>
      <c r="CW486" s="40"/>
      <c r="CX486" s="40"/>
      <c r="CY486" s="40" t="s">
        <v>205</v>
      </c>
      <c r="CZ486" s="40"/>
      <c r="DA486" s="40"/>
    </row>
    <row r="487" spans="1:105" ht="15.75" customHeight="1">
      <c r="A487" s="3">
        <v>964</v>
      </c>
      <c r="B487" s="92" t="s">
        <v>199</v>
      </c>
      <c r="C487" s="143" t="s">
        <v>104</v>
      </c>
      <c r="D487" s="3" t="s">
        <v>105</v>
      </c>
      <c r="E487" s="144">
        <v>45098</v>
      </c>
      <c r="F487" s="3" t="s">
        <v>186</v>
      </c>
      <c r="G487" s="3" t="s">
        <v>122</v>
      </c>
      <c r="H487" s="3">
        <v>2008</v>
      </c>
      <c r="I487" s="40" t="s">
        <v>116</v>
      </c>
      <c r="J487" s="39" t="str">
        <f>paper3[[#This Row],[sex]]&amp;paper3[[#This Row],[ageg]]</f>
        <v>boysU16</v>
      </c>
      <c r="K487" s="3">
        <v>174.5</v>
      </c>
      <c r="L487" s="3">
        <v>174.5</v>
      </c>
      <c r="M487" s="3"/>
      <c r="N487" s="3">
        <v>163.5</v>
      </c>
      <c r="O487" s="3">
        <v>163.4</v>
      </c>
      <c r="P487" s="3"/>
      <c r="Q487" s="3">
        <v>64.8</v>
      </c>
      <c r="R487" s="3"/>
      <c r="S487" s="3"/>
      <c r="T487" s="125">
        <v>174.5</v>
      </c>
      <c r="U487" s="126">
        <v>93.249999999999986</v>
      </c>
      <c r="V487" s="12">
        <f>paper3[[#This Row],[height]]-paper3[[#This Row],[sittingheight]]</f>
        <v>81.250000000000014</v>
      </c>
      <c r="W487" s="127">
        <v>64.8</v>
      </c>
      <c r="X487" s="43" cm="1">
        <f t="array" ref="X487">INDEX([1]!phvny[yphv], MATCH(1, (paper3[[#This Row],[id]]=[1]!phvny[id])*(paper3[[#This Row],[time]]=[1]!phvny[time]), 0))</f>
        <v>1.7633348142311358</v>
      </c>
      <c r="Y487" s="3">
        <v>1.506</v>
      </c>
      <c r="Z487" s="3">
        <v>2.8279999999999998</v>
      </c>
      <c r="AA487" s="3">
        <v>4.0759999999999996</v>
      </c>
      <c r="AB487" s="3">
        <v>1.55</v>
      </c>
      <c r="AC487" s="3">
        <v>2.871</v>
      </c>
      <c r="AD487" s="3">
        <v>4.1390000000000002</v>
      </c>
      <c r="AE487" s="3">
        <v>1.5469999999999999</v>
      </c>
      <c r="AF487" s="3">
        <v>2.8660000000000001</v>
      </c>
      <c r="AG487" s="3">
        <v>4.1369999999999996</v>
      </c>
      <c r="AH487" s="130">
        <v>1.716</v>
      </c>
      <c r="AI487" s="130">
        <v>3.008</v>
      </c>
      <c r="AJ487" s="130">
        <v>4.2859999999999996</v>
      </c>
      <c r="AK487" s="45">
        <v>7.8247261345852923</v>
      </c>
      <c r="AL487" s="3">
        <v>9.6999999999999993</v>
      </c>
      <c r="AM487" s="3">
        <v>9.5</v>
      </c>
      <c r="AN487" s="3">
        <v>9.7799999999999994</v>
      </c>
      <c r="AO487" s="3">
        <v>9.75</v>
      </c>
      <c r="AP487" s="137">
        <v>10.37</v>
      </c>
      <c r="AQ487" s="132">
        <v>9.5</v>
      </c>
      <c r="AR487" s="132">
        <v>9.75</v>
      </c>
      <c r="AS487" s="3">
        <v>39.299999999999997</v>
      </c>
      <c r="AT487" s="3">
        <v>39</v>
      </c>
      <c r="AU487" s="3">
        <v>39.200000000000003</v>
      </c>
      <c r="AV487" s="3"/>
      <c r="AW487" s="3"/>
      <c r="AX487" s="133">
        <v>42.26</v>
      </c>
      <c r="AY487" s="134"/>
      <c r="AZ487" s="40"/>
      <c r="BA487" s="40"/>
      <c r="BB487" s="40"/>
      <c r="BC487" s="40"/>
      <c r="BD487" s="135" t="s">
        <v>110</v>
      </c>
      <c r="BE487" s="135" t="s">
        <v>110</v>
      </c>
      <c r="BF487" s="40"/>
      <c r="BG487" s="135" t="s">
        <v>110</v>
      </c>
      <c r="BH487" s="135" t="s">
        <v>110</v>
      </c>
      <c r="BI487" s="49"/>
      <c r="BJ487" s="49"/>
      <c r="BK487" s="66"/>
      <c r="BL487" s="66"/>
      <c r="BM487" s="51"/>
      <c r="BN487" s="51"/>
      <c r="BO487" s="136"/>
      <c r="BP487" s="40"/>
      <c r="BQ487" s="40"/>
      <c r="BR487" s="67"/>
      <c r="BS487" s="54" t="s">
        <v>110</v>
      </c>
      <c r="BT487" s="68"/>
      <c r="BU487" s="69"/>
      <c r="BV487" s="3"/>
      <c r="BW487" s="3"/>
      <c r="BX487" s="70"/>
      <c r="BY487" s="70"/>
      <c r="BZ487" s="59"/>
      <c r="CA487" s="59"/>
      <c r="CB487" s="59" t="s">
        <v>110</v>
      </c>
      <c r="CC487" s="59" t="s">
        <v>110</v>
      </c>
      <c r="CD487" s="60"/>
      <c r="CE487" s="60"/>
      <c r="CF487" s="61"/>
      <c r="CG487" s="61"/>
      <c r="CH487" s="61"/>
      <c r="CI487" s="138">
        <v>15.3</v>
      </c>
      <c r="CJ487" s="40">
        <f>VLOOKUP(paper3[[#This Row],[YYIR nivå]],$DB:$DC,2)</f>
        <v>880</v>
      </c>
      <c r="CK487" s="3"/>
      <c r="CL487" s="62"/>
      <c r="CM487" s="62"/>
      <c r="CN487" s="3"/>
      <c r="CO487" s="3"/>
      <c r="CP487" s="41">
        <v>15.055555555555555</v>
      </c>
      <c r="CQ487" s="3"/>
      <c r="CR487" s="40" t="s">
        <v>110</v>
      </c>
      <c r="CS487" s="40" t="s">
        <v>110</v>
      </c>
      <c r="CT487" s="40" t="s">
        <v>110</v>
      </c>
      <c r="CU487" s="40"/>
      <c r="CV487" s="40"/>
      <c r="CW487" s="40"/>
      <c r="CX487" s="40"/>
      <c r="CY487" s="40" t="s">
        <v>125</v>
      </c>
      <c r="CZ487" s="40"/>
      <c r="DA487" s="40"/>
    </row>
    <row r="488" spans="1:105" ht="15.75" customHeight="1">
      <c r="A488" s="3">
        <v>965</v>
      </c>
      <c r="B488" s="92" t="s">
        <v>199</v>
      </c>
      <c r="C488" s="143" t="s">
        <v>104</v>
      </c>
      <c r="D488" s="3" t="s">
        <v>105</v>
      </c>
      <c r="E488" s="144">
        <v>45098</v>
      </c>
      <c r="F488" s="3" t="s">
        <v>186</v>
      </c>
      <c r="G488" s="3" t="s">
        <v>122</v>
      </c>
      <c r="H488" s="3">
        <v>2008</v>
      </c>
      <c r="I488" s="40" t="s">
        <v>116</v>
      </c>
      <c r="J488" s="39" t="str">
        <f>paper3[[#This Row],[sex]]&amp;paper3[[#This Row],[ageg]]</f>
        <v>boysU16</v>
      </c>
      <c r="K488" s="3">
        <v>180.3</v>
      </c>
      <c r="L488" s="3">
        <v>180.5</v>
      </c>
      <c r="M488" s="3"/>
      <c r="N488" s="3">
        <v>168</v>
      </c>
      <c r="O488" s="3">
        <v>168</v>
      </c>
      <c r="P488" s="3"/>
      <c r="Q488" s="3">
        <v>76.400000000000006</v>
      </c>
      <c r="R488" s="3"/>
      <c r="S488" s="3"/>
      <c r="T488" s="125">
        <v>180.4</v>
      </c>
      <c r="U488" s="126">
        <v>97.8</v>
      </c>
      <c r="V488" s="12">
        <f>paper3[[#This Row],[height]]-paper3[[#This Row],[sittingheight]]</f>
        <v>82.600000000000009</v>
      </c>
      <c r="W488" s="127">
        <v>76.400000000000006</v>
      </c>
      <c r="X488" s="43" cm="1">
        <f t="array" ref="X488">INDEX([1]!phvny[yphv], MATCH(1, (paper3[[#This Row],[id]]=[1]!phvny[id])*(paper3[[#This Row],[time]]=[1]!phvny[time]), 0))</f>
        <v>2.4776796776154226</v>
      </c>
      <c r="Y488" s="3">
        <v>1.59</v>
      </c>
      <c r="Z488" s="3">
        <v>2.8889999999999998</v>
      </c>
      <c r="AA488" s="3">
        <v>4.1040000000000001</v>
      </c>
      <c r="AB488" s="3">
        <v>1.6140000000000001</v>
      </c>
      <c r="AC488" s="3">
        <v>2.9159999999999999</v>
      </c>
      <c r="AD488" s="3">
        <v>4.1289999999999996</v>
      </c>
      <c r="AE488" s="3">
        <v>1.5920000000000001</v>
      </c>
      <c r="AF488" s="3">
        <v>2.8919999999999999</v>
      </c>
      <c r="AG488" s="3">
        <v>4.1310000000000002</v>
      </c>
      <c r="AH488" s="130">
        <v>1.8</v>
      </c>
      <c r="AI488" s="130">
        <v>3.069</v>
      </c>
      <c r="AJ488" s="130">
        <v>4.3140000000000001</v>
      </c>
      <c r="AK488" s="45">
        <v>8.0321285140562235</v>
      </c>
      <c r="AL488" s="3">
        <v>9.85</v>
      </c>
      <c r="AM488" s="3">
        <v>9.92</v>
      </c>
      <c r="AN488" s="3">
        <v>10.02</v>
      </c>
      <c r="AO488" s="3">
        <v>9.84</v>
      </c>
      <c r="AP488" s="137">
        <v>10.709999999999999</v>
      </c>
      <c r="AQ488" s="132">
        <v>9.85</v>
      </c>
      <c r="AR488" s="132">
        <v>9.84</v>
      </c>
      <c r="AS488" s="3">
        <v>30.5</v>
      </c>
      <c r="AT488" s="3">
        <v>31.6</v>
      </c>
      <c r="AU488" s="3">
        <v>31.1</v>
      </c>
      <c r="AV488" s="3"/>
      <c r="AW488" s="3"/>
      <c r="AX488" s="133">
        <v>34.56</v>
      </c>
      <c r="AY488" s="134"/>
      <c r="AZ488" s="40"/>
      <c r="BA488" s="40"/>
      <c r="BB488" s="40"/>
      <c r="BC488" s="40"/>
      <c r="BD488" s="135" t="s">
        <v>110</v>
      </c>
      <c r="BE488" s="135" t="s">
        <v>110</v>
      </c>
      <c r="BF488" s="40"/>
      <c r="BG488" s="135" t="s">
        <v>110</v>
      </c>
      <c r="BH488" s="135" t="s">
        <v>110</v>
      </c>
      <c r="BI488" s="49"/>
      <c r="BJ488" s="49"/>
      <c r="BK488" s="66"/>
      <c r="BL488" s="66"/>
      <c r="BM488" s="51"/>
      <c r="BN488" s="51"/>
      <c r="BO488" s="136"/>
      <c r="BP488" s="40"/>
      <c r="BQ488" s="40"/>
      <c r="BR488" s="67"/>
      <c r="BS488" s="54" t="s">
        <v>110</v>
      </c>
      <c r="BT488" s="68"/>
      <c r="BU488" s="69"/>
      <c r="BV488" s="3"/>
      <c r="BW488" s="3"/>
      <c r="BX488" s="70"/>
      <c r="BY488" s="70"/>
      <c r="BZ488" s="59"/>
      <c r="CA488" s="59"/>
      <c r="CB488" s="59" t="s">
        <v>110</v>
      </c>
      <c r="CC488" s="59" t="s">
        <v>110</v>
      </c>
      <c r="CD488" s="60"/>
      <c r="CE488" s="60"/>
      <c r="CF488" s="61"/>
      <c r="CG488" s="61"/>
      <c r="CH488" s="61"/>
      <c r="CI488" s="138">
        <v>15.6</v>
      </c>
      <c r="CJ488" s="40">
        <f>VLOOKUP(paper3[[#This Row],[YYIR nivå]],$DB:$DC,2)</f>
        <v>1000</v>
      </c>
      <c r="CK488" s="3"/>
      <c r="CL488" s="62"/>
      <c r="CM488" s="62"/>
      <c r="CN488" s="3"/>
      <c r="CO488" s="3"/>
      <c r="CP488" s="41">
        <v>15.052777777777777</v>
      </c>
      <c r="CQ488" s="3"/>
      <c r="CR488" s="40" t="s">
        <v>110</v>
      </c>
      <c r="CS488" s="40" t="s">
        <v>110</v>
      </c>
      <c r="CT488" s="40" t="s">
        <v>110</v>
      </c>
      <c r="CU488" s="40"/>
      <c r="CV488" s="40"/>
      <c r="CW488" s="40"/>
      <c r="CX488" s="40"/>
      <c r="CY488" s="40" t="s">
        <v>207</v>
      </c>
      <c r="CZ488" s="40"/>
      <c r="DA488" s="40"/>
    </row>
    <row r="489" spans="1:105" ht="15.75" customHeight="1">
      <c r="A489" s="3">
        <v>966</v>
      </c>
      <c r="B489" s="92" t="s">
        <v>199</v>
      </c>
      <c r="C489" s="143"/>
      <c r="D489" s="3" t="s">
        <v>105</v>
      </c>
      <c r="E489" s="144">
        <v>45098</v>
      </c>
      <c r="F489" s="3" t="s">
        <v>186</v>
      </c>
      <c r="G489" s="3" t="s">
        <v>122</v>
      </c>
      <c r="H489" s="3">
        <v>2008</v>
      </c>
      <c r="I489" s="40" t="s">
        <v>116</v>
      </c>
      <c r="J489" s="39" t="str">
        <f>paper3[[#This Row],[sex]]&amp;paper3[[#This Row],[ageg]]</f>
        <v>boysU16</v>
      </c>
      <c r="K489" s="3"/>
      <c r="L489" s="3"/>
      <c r="M489" s="3"/>
      <c r="N489" s="3"/>
      <c r="O489" s="3"/>
      <c r="P489" s="3"/>
      <c r="Q489" s="3"/>
      <c r="R489" s="3"/>
      <c r="S489" s="3"/>
      <c r="T489" s="125"/>
      <c r="U489" s="126"/>
      <c r="V489" s="12"/>
      <c r="W489" s="127"/>
      <c r="X489" s="43"/>
      <c r="Y489" s="3">
        <v>1.71</v>
      </c>
      <c r="Z489" s="3">
        <v>3.09</v>
      </c>
      <c r="AA489" s="3">
        <v>4.41</v>
      </c>
      <c r="AB489" s="3"/>
      <c r="AC489" s="3"/>
      <c r="AD489" s="3"/>
      <c r="AE489" s="3"/>
      <c r="AF489" s="3"/>
      <c r="AG489" s="3"/>
      <c r="AH489" s="130"/>
      <c r="AI489" s="130"/>
      <c r="AJ489" s="130"/>
      <c r="AK489" s="45"/>
      <c r="AL489" s="3">
        <v>9.7100000000000009</v>
      </c>
      <c r="AM489" s="3">
        <v>11.93</v>
      </c>
      <c r="AN489" s="3">
        <v>9.91</v>
      </c>
      <c r="AO489" s="3">
        <v>9.84</v>
      </c>
      <c r="AP489" s="137">
        <v>10.58</v>
      </c>
      <c r="AQ489" s="132">
        <v>9.7100000000000009</v>
      </c>
      <c r="AR489" s="132">
        <v>9.84</v>
      </c>
      <c r="AS489" s="3"/>
      <c r="AT489" s="3"/>
      <c r="AU489" s="3"/>
      <c r="AV489" s="3"/>
      <c r="AW489" s="3"/>
      <c r="AX489" s="133"/>
      <c r="AY489" s="134"/>
      <c r="AZ489" s="40"/>
      <c r="BA489" s="40"/>
      <c r="BB489" s="40"/>
      <c r="BC489" s="40"/>
      <c r="BD489" s="135" t="s">
        <v>110</v>
      </c>
      <c r="BE489" s="135" t="s">
        <v>110</v>
      </c>
      <c r="BF489" s="40"/>
      <c r="BG489" s="135" t="s">
        <v>110</v>
      </c>
      <c r="BH489" s="135" t="s">
        <v>110</v>
      </c>
      <c r="BI489" s="49"/>
      <c r="BJ489" s="49"/>
      <c r="BK489" s="66"/>
      <c r="BL489" s="66"/>
      <c r="BM489" s="51"/>
      <c r="BN489" s="51"/>
      <c r="BO489" s="136"/>
      <c r="BP489" s="40"/>
      <c r="BQ489" s="40"/>
      <c r="BR489" s="67"/>
      <c r="BS489" s="54" t="s">
        <v>110</v>
      </c>
      <c r="BT489" s="68"/>
      <c r="BU489" s="69"/>
      <c r="BV489" s="3"/>
      <c r="BW489" s="3"/>
      <c r="BX489" s="70"/>
      <c r="BY489" s="70"/>
      <c r="BZ489" s="59"/>
      <c r="CA489" s="59"/>
      <c r="CB489" s="59" t="s">
        <v>110</v>
      </c>
      <c r="CC489" s="59" t="s">
        <v>110</v>
      </c>
      <c r="CD489" s="60"/>
      <c r="CE489" s="60"/>
      <c r="CF489" s="61"/>
      <c r="CG489" s="61"/>
      <c r="CH489" s="61"/>
      <c r="CI489" s="138">
        <v>14.2</v>
      </c>
      <c r="CJ489" s="40">
        <f>VLOOKUP(paper3[[#This Row],[YYIR nivå]],$DB:$DC,2)</f>
        <v>520</v>
      </c>
      <c r="CK489" s="3"/>
      <c r="CL489" s="62"/>
      <c r="CM489" s="62"/>
      <c r="CN489" s="3"/>
      <c r="CO489" s="3"/>
      <c r="CP489" s="41">
        <v>14.736111111111111</v>
      </c>
      <c r="CQ489" s="3"/>
      <c r="CR489" s="40" t="s">
        <v>110</v>
      </c>
      <c r="CS489" s="40" t="s">
        <v>110</v>
      </c>
      <c r="CT489" s="40" t="s">
        <v>110</v>
      </c>
      <c r="CU489" s="40"/>
      <c r="CV489" s="40"/>
      <c r="CW489" s="40"/>
      <c r="CX489" s="40"/>
      <c r="CY489" s="40" t="s">
        <v>110</v>
      </c>
      <c r="CZ489" s="40"/>
      <c r="DA489" s="40"/>
    </row>
    <row r="490" spans="1:105" ht="15.75" customHeight="1">
      <c r="A490" s="3">
        <v>967</v>
      </c>
      <c r="B490" s="92" t="s">
        <v>199</v>
      </c>
      <c r="C490" s="143" t="s">
        <v>104</v>
      </c>
      <c r="D490" s="3" t="s">
        <v>105</v>
      </c>
      <c r="E490" s="144">
        <v>45098</v>
      </c>
      <c r="F490" s="3" t="s">
        <v>186</v>
      </c>
      <c r="G490" s="3" t="s">
        <v>122</v>
      </c>
      <c r="H490" s="3">
        <v>2008</v>
      </c>
      <c r="I490" s="40" t="s">
        <v>116</v>
      </c>
      <c r="J490" s="39" t="str">
        <f>paper3[[#This Row],[sex]]&amp;paper3[[#This Row],[ageg]]</f>
        <v>boysU16</v>
      </c>
      <c r="K490" s="3">
        <v>184.5</v>
      </c>
      <c r="L490" s="3">
        <v>184.5</v>
      </c>
      <c r="M490" s="3"/>
      <c r="N490" s="3">
        <v>166.5</v>
      </c>
      <c r="O490" s="3">
        <v>166.5</v>
      </c>
      <c r="P490" s="3"/>
      <c r="Q490" s="3">
        <v>71.5</v>
      </c>
      <c r="R490" s="3"/>
      <c r="S490" s="3"/>
      <c r="T490" s="125">
        <v>184.5</v>
      </c>
      <c r="U490" s="126">
        <v>96.3</v>
      </c>
      <c r="V490" s="12">
        <f>paper3[[#This Row],[height]]-paper3[[#This Row],[sittingheight]]</f>
        <v>88.2</v>
      </c>
      <c r="W490" s="127">
        <v>71.5</v>
      </c>
      <c r="X490" s="43" cm="1">
        <f t="array" ref="X490">INDEX([1]!phvny[yphv], MATCH(1, (paper3[[#This Row],[id]]=[1]!phvny[id])*(paper3[[#This Row],[time]]=[1]!phvny[time]), 0))</f>
        <v>2.2061306702764227</v>
      </c>
      <c r="Y490" s="3">
        <v>1.5980000000000001</v>
      </c>
      <c r="Z490" s="3">
        <v>2.9550000000000001</v>
      </c>
      <c r="AA490" s="3">
        <v>4.2569999999999997</v>
      </c>
      <c r="AB490" s="3">
        <v>1.6459999999999999</v>
      </c>
      <c r="AC490" s="3">
        <v>3.04</v>
      </c>
      <c r="AD490" s="3">
        <v>4.3440000000000003</v>
      </c>
      <c r="AE490" s="3">
        <v>1.55</v>
      </c>
      <c r="AF490" s="3">
        <v>3.036</v>
      </c>
      <c r="AG490" s="3">
        <v>4.3460000000000001</v>
      </c>
      <c r="AH490" s="130">
        <v>1.76</v>
      </c>
      <c r="AI490" s="130">
        <v>3.1350000000000002</v>
      </c>
      <c r="AJ490" s="130">
        <v>4.4669999999999996</v>
      </c>
      <c r="AK490" s="45">
        <v>7.5075075075075111</v>
      </c>
      <c r="AL490" s="3">
        <v>10.07</v>
      </c>
      <c r="AM490" s="3">
        <v>12.92</v>
      </c>
      <c r="AN490" s="3">
        <v>10.49</v>
      </c>
      <c r="AO490" s="3">
        <v>9.9600000000000009</v>
      </c>
      <c r="AP490" s="137">
        <v>10.83</v>
      </c>
      <c r="AQ490" s="132">
        <v>10.07</v>
      </c>
      <c r="AR490" s="132">
        <v>9.9600000000000009</v>
      </c>
      <c r="AS490" s="3">
        <v>0</v>
      </c>
      <c r="AT490" s="3">
        <v>30.4</v>
      </c>
      <c r="AU490" s="3">
        <v>0</v>
      </c>
      <c r="AV490" s="3"/>
      <c r="AW490" s="3"/>
      <c r="AX490" s="133">
        <v>33.36</v>
      </c>
      <c r="AY490" s="134"/>
      <c r="AZ490" s="40"/>
      <c r="BA490" s="40"/>
      <c r="BB490" s="40"/>
      <c r="BC490" s="40"/>
      <c r="BD490" s="135" t="s">
        <v>110</v>
      </c>
      <c r="BE490" s="135" t="s">
        <v>110</v>
      </c>
      <c r="BF490" s="40"/>
      <c r="BG490" s="135" t="s">
        <v>110</v>
      </c>
      <c r="BH490" s="135" t="s">
        <v>110</v>
      </c>
      <c r="BI490" s="49"/>
      <c r="BJ490" s="49"/>
      <c r="BK490" s="66"/>
      <c r="BL490" s="66"/>
      <c r="BM490" s="51"/>
      <c r="BN490" s="51"/>
      <c r="BO490" s="136"/>
      <c r="BP490" s="40"/>
      <c r="BQ490" s="40"/>
      <c r="BR490" s="67"/>
      <c r="BS490" s="54" t="s">
        <v>110</v>
      </c>
      <c r="BT490" s="68"/>
      <c r="BU490" s="69"/>
      <c r="BV490" s="3"/>
      <c r="BW490" s="3"/>
      <c r="BX490" s="70"/>
      <c r="BY490" s="70"/>
      <c r="BZ490" s="59"/>
      <c r="CA490" s="59"/>
      <c r="CB490" s="59" t="s">
        <v>110</v>
      </c>
      <c r="CC490" s="59" t="s">
        <v>110</v>
      </c>
      <c r="CD490" s="60"/>
      <c r="CE490" s="60"/>
      <c r="CF490" s="61"/>
      <c r="CG490" s="61"/>
      <c r="CH490" s="61"/>
      <c r="CI490" s="138">
        <v>17.399999999999999</v>
      </c>
      <c r="CJ490" s="40">
        <f>VLOOKUP(paper3[[#This Row],[YYIR nivå]],$DB:$DC,2)</f>
        <v>1560</v>
      </c>
      <c r="CK490" s="3"/>
      <c r="CL490" s="62"/>
      <c r="CM490" s="62"/>
      <c r="CN490" s="3"/>
      <c r="CO490" s="3"/>
      <c r="CP490" s="41">
        <v>15.055555555555555</v>
      </c>
      <c r="CQ490" s="3"/>
      <c r="CR490" s="40" t="s">
        <v>110</v>
      </c>
      <c r="CS490" s="40" t="s">
        <v>110</v>
      </c>
      <c r="CT490" s="40" t="s">
        <v>110</v>
      </c>
      <c r="CU490" s="40"/>
      <c r="CV490" s="40"/>
      <c r="CW490" s="40"/>
      <c r="CX490" s="40"/>
      <c r="CY490" s="40" t="s">
        <v>110</v>
      </c>
      <c r="CZ490" s="40"/>
      <c r="DA490" s="40"/>
    </row>
    <row r="491" spans="1:105" ht="15.75" customHeight="1">
      <c r="A491" s="3">
        <v>968</v>
      </c>
      <c r="B491" s="92" t="s">
        <v>199</v>
      </c>
      <c r="C491" s="143" t="s">
        <v>104</v>
      </c>
      <c r="D491" s="3" t="s">
        <v>105</v>
      </c>
      <c r="E491" s="144">
        <v>45098</v>
      </c>
      <c r="F491" s="3" t="s">
        <v>186</v>
      </c>
      <c r="G491" s="3" t="s">
        <v>122</v>
      </c>
      <c r="H491" s="3">
        <v>2008</v>
      </c>
      <c r="I491" s="40" t="s">
        <v>116</v>
      </c>
      <c r="J491" s="39" t="str">
        <f>paper3[[#This Row],[sex]]&amp;paper3[[#This Row],[ageg]]</f>
        <v>boysU16</v>
      </c>
      <c r="K491" s="3">
        <v>188</v>
      </c>
      <c r="L491" s="3">
        <v>188</v>
      </c>
      <c r="M491" s="3"/>
      <c r="N491" s="3">
        <v>165.3</v>
      </c>
      <c r="O491" s="3">
        <v>165.3</v>
      </c>
      <c r="P491" s="3"/>
      <c r="Q491" s="3">
        <v>74.3</v>
      </c>
      <c r="R491" s="3"/>
      <c r="S491" s="3"/>
      <c r="T491" s="125">
        <v>188</v>
      </c>
      <c r="U491" s="126">
        <v>95.100000000000009</v>
      </c>
      <c r="V491" s="12">
        <f>paper3[[#This Row],[height]]-paper3[[#This Row],[sittingheight]]</f>
        <v>92.899999999999991</v>
      </c>
      <c r="W491" s="127">
        <v>74.3</v>
      </c>
      <c r="X491" s="43" cm="1">
        <f t="array" ref="X491">INDEX([1]!phvny[yphv], MATCH(1, (paper3[[#This Row],[id]]=[1]!phvny[id])*(paper3[[#This Row],[time]]=[1]!phvny[time]), 0))</f>
        <v>1.9897786424078026</v>
      </c>
      <c r="Y491" s="3">
        <v>1.631</v>
      </c>
      <c r="Z491" s="3">
        <v>3.0110000000000001</v>
      </c>
      <c r="AA491" s="3">
        <v>4.3970000000000002</v>
      </c>
      <c r="AB491" s="3">
        <v>1.694</v>
      </c>
      <c r="AC491" s="3">
        <v>3.0859999999999999</v>
      </c>
      <c r="AD491" s="3">
        <v>4.4000000000000004</v>
      </c>
      <c r="AE491" s="3">
        <v>1.7110000000000001</v>
      </c>
      <c r="AF491" s="3">
        <v>3.1320000000000001</v>
      </c>
      <c r="AG491" s="3">
        <v>4.47</v>
      </c>
      <c r="AH491" s="130">
        <v>1.841</v>
      </c>
      <c r="AI491" s="130">
        <v>3.1910000000000003</v>
      </c>
      <c r="AJ491" s="130">
        <v>4.6070000000000002</v>
      </c>
      <c r="AK491" s="45">
        <v>7.0621468926553677</v>
      </c>
      <c r="AL491" s="3" t="s">
        <v>214</v>
      </c>
      <c r="AM491" s="3">
        <v>9.43</v>
      </c>
      <c r="AN491" s="3">
        <v>9.92</v>
      </c>
      <c r="AO491" s="3">
        <v>9.36</v>
      </c>
      <c r="AP491" s="137">
        <v>10.229999999999999</v>
      </c>
      <c r="AQ491" s="132">
        <v>9.43</v>
      </c>
      <c r="AR491" s="132">
        <v>9.36</v>
      </c>
      <c r="AS491" s="3">
        <v>0</v>
      </c>
      <c r="AT491" s="3">
        <v>27.8</v>
      </c>
      <c r="AU491" s="3">
        <v>28.5</v>
      </c>
      <c r="AV491" s="3"/>
      <c r="AW491" s="3"/>
      <c r="AX491" s="133">
        <v>31.46</v>
      </c>
      <c r="AY491" s="134"/>
      <c r="AZ491" s="40"/>
      <c r="BA491" s="40"/>
      <c r="BB491" s="40"/>
      <c r="BC491" s="40"/>
      <c r="BD491" s="135" t="s">
        <v>110</v>
      </c>
      <c r="BE491" s="135" t="s">
        <v>110</v>
      </c>
      <c r="BF491" s="40"/>
      <c r="BG491" s="135" t="s">
        <v>110</v>
      </c>
      <c r="BH491" s="135" t="s">
        <v>110</v>
      </c>
      <c r="BI491" s="49"/>
      <c r="BJ491" s="49"/>
      <c r="BK491" s="66"/>
      <c r="BL491" s="66"/>
      <c r="BM491" s="51"/>
      <c r="BN491" s="51"/>
      <c r="BO491" s="136"/>
      <c r="BP491" s="40"/>
      <c r="BQ491" s="40"/>
      <c r="BR491" s="67"/>
      <c r="BS491" s="54" t="s">
        <v>110</v>
      </c>
      <c r="BT491" s="68"/>
      <c r="BU491" s="69"/>
      <c r="BV491" s="3"/>
      <c r="BW491" s="3"/>
      <c r="BX491" s="70"/>
      <c r="BY491" s="70"/>
      <c r="BZ491" s="59"/>
      <c r="CA491" s="59"/>
      <c r="CB491" s="59" t="s">
        <v>110</v>
      </c>
      <c r="CC491" s="59" t="s">
        <v>110</v>
      </c>
      <c r="CD491" s="60"/>
      <c r="CE491" s="60"/>
      <c r="CF491" s="61"/>
      <c r="CG491" s="61"/>
      <c r="CH491" s="61"/>
      <c r="CI491" s="138">
        <v>17.100000000000001</v>
      </c>
      <c r="CJ491" s="40">
        <f>VLOOKUP(paper3[[#This Row],[YYIR nivå]],$DB:$DC,2)</f>
        <v>1440</v>
      </c>
      <c r="CK491" s="3"/>
      <c r="CL491" s="62"/>
      <c r="CM491" s="62"/>
      <c r="CN491" s="3"/>
      <c r="CO491" s="3"/>
      <c r="CP491" s="41">
        <v>14.908333333333333</v>
      </c>
      <c r="CQ491" s="3"/>
      <c r="CR491" s="40" t="s">
        <v>110</v>
      </c>
      <c r="CS491" s="40" t="s">
        <v>110</v>
      </c>
      <c r="CT491" s="40" t="s">
        <v>110</v>
      </c>
      <c r="CU491" s="40"/>
      <c r="CV491" s="40"/>
      <c r="CW491" s="40"/>
      <c r="CX491" s="40"/>
      <c r="CY491" s="40" t="s">
        <v>206</v>
      </c>
      <c r="CZ491" s="40"/>
      <c r="DA491" s="40"/>
    </row>
    <row r="492" spans="1:105" ht="15.75" customHeight="1">
      <c r="A492" s="46">
        <v>969</v>
      </c>
      <c r="B492" s="145" t="s">
        <v>199</v>
      </c>
      <c r="C492" s="146" t="s">
        <v>171</v>
      </c>
      <c r="D492" s="46" t="s">
        <v>105</v>
      </c>
      <c r="E492" s="147">
        <v>45098</v>
      </c>
      <c r="F492" s="46" t="s">
        <v>186</v>
      </c>
      <c r="G492" s="46" t="s">
        <v>122</v>
      </c>
      <c r="H492" s="46">
        <v>2008</v>
      </c>
      <c r="I492" s="84" t="s">
        <v>116</v>
      </c>
      <c r="J492" s="39" t="str">
        <f>paper3[[#This Row],[sex]]&amp;paper3[[#This Row],[ageg]]</f>
        <v>boysU16</v>
      </c>
      <c r="K492" s="46">
        <v>188</v>
      </c>
      <c r="L492" s="46">
        <v>188</v>
      </c>
      <c r="M492" s="46"/>
      <c r="N492" s="46">
        <v>166</v>
      </c>
      <c r="O492" s="46">
        <v>166</v>
      </c>
      <c r="P492" s="46"/>
      <c r="Q492" s="46">
        <v>69.099999999999994</v>
      </c>
      <c r="R492" s="46"/>
      <c r="S492" s="46"/>
      <c r="T492" s="148">
        <v>188</v>
      </c>
      <c r="U492" s="126">
        <v>95.8</v>
      </c>
      <c r="V492" s="12">
        <f>paper3[[#This Row],[height]]-paper3[[#This Row],[sittingheight]]</f>
        <v>92.2</v>
      </c>
      <c r="W492" s="149">
        <v>69.099999999999994</v>
      </c>
      <c r="X492" s="43" cm="1">
        <f t="array" ref="X492">INDEX([1]!phvny[yphv], MATCH(1, (paper3[[#This Row],[id]]=[1]!phvny[id])*(paper3[[#This Row],[time]]=[1]!phvny[time]), 0))</f>
        <v>2.2501164128936169</v>
      </c>
      <c r="Y492" s="46">
        <v>1.621</v>
      </c>
      <c r="Z492" s="3">
        <v>3.0150000000000001</v>
      </c>
      <c r="AA492" s="46">
        <v>4.2949999999999999</v>
      </c>
      <c r="AB492" s="46">
        <v>1.6339999999999999</v>
      </c>
      <c r="AC492" s="46">
        <v>3.0619999999999998</v>
      </c>
      <c r="AD492" s="46">
        <v>4.4329999999999998</v>
      </c>
      <c r="AE492" s="46">
        <v>1.647</v>
      </c>
      <c r="AF492" s="46">
        <v>3.0449999999999999</v>
      </c>
      <c r="AG492" s="46">
        <v>4.399</v>
      </c>
      <c r="AH492" s="150">
        <v>1.831</v>
      </c>
      <c r="AI492" s="150">
        <v>3.1950000000000003</v>
      </c>
      <c r="AJ492" s="150">
        <v>4.5049999999999999</v>
      </c>
      <c r="AK492" s="102">
        <v>7.633587786259544</v>
      </c>
      <c r="AL492" s="46">
        <v>9.9700000000000006</v>
      </c>
      <c r="AM492" s="46">
        <v>9.75</v>
      </c>
      <c r="AN492" s="46">
        <v>9.8699999999999992</v>
      </c>
      <c r="AO492" s="46">
        <v>9.85</v>
      </c>
      <c r="AP492" s="151">
        <v>10.62</v>
      </c>
      <c r="AQ492" s="152">
        <v>9.75</v>
      </c>
      <c r="AR492" s="152">
        <v>9.85</v>
      </c>
      <c r="AS492" s="46">
        <v>0</v>
      </c>
      <c r="AT492" s="46">
        <v>29.5</v>
      </c>
      <c r="AU492" s="46">
        <v>28.2</v>
      </c>
      <c r="AV492" s="46"/>
      <c r="AW492" s="46"/>
      <c r="AX492" s="153">
        <v>32.46</v>
      </c>
      <c r="AY492" s="154"/>
      <c r="AZ492" s="84"/>
      <c r="BA492" s="84"/>
      <c r="BB492" s="84"/>
      <c r="BC492" s="84"/>
      <c r="BD492" s="155" t="s">
        <v>110</v>
      </c>
      <c r="BE492" s="155" t="s">
        <v>110</v>
      </c>
      <c r="BF492" s="84"/>
      <c r="BG492" s="155" t="s">
        <v>110</v>
      </c>
      <c r="BH492" s="155" t="s">
        <v>110</v>
      </c>
      <c r="BI492" s="105"/>
      <c r="BJ492" s="105"/>
      <c r="BK492" s="106"/>
      <c r="BL492" s="106"/>
      <c r="BM492" s="107"/>
      <c r="BN492" s="107"/>
      <c r="BO492" s="156"/>
      <c r="BP492" s="84"/>
      <c r="BQ492" s="84"/>
      <c r="BR492" s="109"/>
      <c r="BS492" s="110" t="s">
        <v>110</v>
      </c>
      <c r="BT492" s="157"/>
      <c r="BU492" s="158"/>
      <c r="BV492" s="46"/>
      <c r="BW492" s="46"/>
      <c r="BX492" s="111"/>
      <c r="BY492" s="111"/>
      <c r="BZ492" s="112"/>
      <c r="CA492" s="112"/>
      <c r="CB492" s="112" t="s">
        <v>110</v>
      </c>
      <c r="CC492" s="112" t="s">
        <v>110</v>
      </c>
      <c r="CD492" s="72"/>
      <c r="CE492" s="72"/>
      <c r="CF492" s="113"/>
      <c r="CG492" s="113"/>
      <c r="CH492" s="113"/>
      <c r="CI492" s="138">
        <v>16.3</v>
      </c>
      <c r="CJ492" s="40">
        <f>VLOOKUP(paper3[[#This Row],[YYIR nivå]],$DB:$DC,2)</f>
        <v>1200</v>
      </c>
      <c r="CK492" s="46"/>
      <c r="CL492" s="114"/>
      <c r="CM492" s="114"/>
      <c r="CN492" s="46"/>
      <c r="CO492" s="46"/>
      <c r="CP492" s="74">
        <v>15.338888888888889</v>
      </c>
      <c r="CQ492" s="46"/>
      <c r="CR492" s="84" t="s">
        <v>110</v>
      </c>
      <c r="CS492" s="84" t="s">
        <v>110</v>
      </c>
      <c r="CT492" s="84" t="s">
        <v>110</v>
      </c>
      <c r="CU492" s="84"/>
      <c r="CV492" s="84"/>
      <c r="CW492" s="84"/>
      <c r="CX492" s="84"/>
      <c r="CY492" s="84" t="s">
        <v>204</v>
      </c>
      <c r="CZ492" s="84"/>
      <c r="DA492" s="40"/>
    </row>
    <row r="493" spans="1:105" ht="15.75" customHeight="1">
      <c r="A493" s="46">
        <v>970</v>
      </c>
      <c r="B493" s="145" t="s">
        <v>199</v>
      </c>
      <c r="C493" s="146" t="s">
        <v>104</v>
      </c>
      <c r="D493" s="46" t="s">
        <v>105</v>
      </c>
      <c r="E493" s="147">
        <v>45098</v>
      </c>
      <c r="F493" s="46" t="s">
        <v>186</v>
      </c>
      <c r="G493" s="46" t="s">
        <v>122</v>
      </c>
      <c r="H493" s="46">
        <v>2008</v>
      </c>
      <c r="I493" s="84" t="s">
        <v>116</v>
      </c>
      <c r="J493" s="39" t="str">
        <f>paper3[[#This Row],[sex]]&amp;paper3[[#This Row],[ageg]]</f>
        <v>boysU16</v>
      </c>
      <c r="K493" s="46">
        <v>170.9</v>
      </c>
      <c r="L493" s="46">
        <v>170.9</v>
      </c>
      <c r="M493" s="46"/>
      <c r="N493" s="46">
        <v>159.5</v>
      </c>
      <c r="O493" s="46">
        <v>159.5</v>
      </c>
      <c r="P493" s="46"/>
      <c r="Q493" s="46">
        <v>56.7</v>
      </c>
      <c r="R493" s="46"/>
      <c r="S493" s="46"/>
      <c r="T493" s="148">
        <v>170.9</v>
      </c>
      <c r="U493" s="126">
        <v>89.3</v>
      </c>
      <c r="V493" s="12">
        <f>paper3[[#This Row],[height]]-paper3[[#This Row],[sittingheight]]</f>
        <v>81.600000000000009</v>
      </c>
      <c r="W493" s="149">
        <v>56.7</v>
      </c>
      <c r="X493" s="43" cm="1">
        <f t="array" ref="X493">INDEX([1]!phvny[yphv], MATCH(1, (paper3[[#This Row],[id]]=[1]!phvny[id])*(paper3[[#This Row],[time]]=[1]!phvny[time]), 0))</f>
        <v>1.2707459879997389</v>
      </c>
      <c r="Y493" s="46">
        <v>1.9059999999999999</v>
      </c>
      <c r="Z493" s="3">
        <v>3.4</v>
      </c>
      <c r="AA493" s="46">
        <v>4.7709999999999999</v>
      </c>
      <c r="AB493" s="46">
        <v>1.7829999999999999</v>
      </c>
      <c r="AC493" s="46">
        <v>3.2029999999999998</v>
      </c>
      <c r="AD493" s="46">
        <v>4.5129999999999999</v>
      </c>
      <c r="AE493" s="46">
        <v>1.6759999999999999</v>
      </c>
      <c r="AF493" s="46">
        <v>3.0529999999999999</v>
      </c>
      <c r="AG493" s="46">
        <v>4.3639999999999999</v>
      </c>
      <c r="AH493" s="150">
        <v>1.8859999999999999</v>
      </c>
      <c r="AI493" s="150">
        <v>3.2330000000000001</v>
      </c>
      <c r="AJ493" s="150">
        <v>4.5739999999999998</v>
      </c>
      <c r="AK493" s="102">
        <v>7.4571215510812836</v>
      </c>
      <c r="AL493" s="46"/>
      <c r="AM493" s="46"/>
      <c r="AN493" s="46"/>
      <c r="AO493" s="46"/>
      <c r="AP493" s="137"/>
      <c r="AQ493" s="152"/>
      <c r="AR493" s="152"/>
      <c r="AS493" s="46">
        <v>26.1</v>
      </c>
      <c r="AT493" s="46">
        <v>27.2</v>
      </c>
      <c r="AU493" s="46">
        <v>0</v>
      </c>
      <c r="AV493" s="46"/>
      <c r="AW493" s="46"/>
      <c r="AX493" s="153">
        <f>MIN(paper3[[#This Row],[Spenst 1]:[Spenst 2]])+2.96</f>
        <v>29.060000000000002</v>
      </c>
      <c r="AY493" s="154"/>
      <c r="AZ493" s="84"/>
      <c r="BA493" s="84"/>
      <c r="BB493" s="84"/>
      <c r="BC493" s="84"/>
      <c r="BD493" s="155" t="s">
        <v>110</v>
      </c>
      <c r="BE493" s="155" t="s">
        <v>110</v>
      </c>
      <c r="BF493" s="84"/>
      <c r="BG493" s="155" t="s">
        <v>110</v>
      </c>
      <c r="BH493" s="155" t="s">
        <v>110</v>
      </c>
      <c r="BI493" s="105"/>
      <c r="BJ493" s="105"/>
      <c r="BK493" s="106"/>
      <c r="BL493" s="106"/>
      <c r="BM493" s="107"/>
      <c r="BN493" s="107"/>
      <c r="BO493" s="156"/>
      <c r="BP493" s="84"/>
      <c r="BQ493" s="84"/>
      <c r="BR493" s="109"/>
      <c r="BS493" s="110" t="s">
        <v>110</v>
      </c>
      <c r="BT493" s="157"/>
      <c r="BU493" s="158"/>
      <c r="BV493" s="46"/>
      <c r="BW493" s="46"/>
      <c r="BX493" s="111"/>
      <c r="BY493" s="111"/>
      <c r="BZ493" s="112"/>
      <c r="CA493" s="112"/>
      <c r="CB493" s="112" t="s">
        <v>110</v>
      </c>
      <c r="CC493" s="112" t="s">
        <v>110</v>
      </c>
      <c r="CD493" s="72"/>
      <c r="CE493" s="72"/>
      <c r="CF493" s="113"/>
      <c r="CG493" s="113"/>
      <c r="CH493" s="113"/>
      <c r="CI493" s="138">
        <v>16.100000000000001</v>
      </c>
      <c r="CJ493" s="40">
        <f>VLOOKUP(paper3[[#This Row],[YYIR nivå]],$DB:$DC,2)</f>
        <v>1120</v>
      </c>
      <c r="CK493" s="46"/>
      <c r="CL493" s="114"/>
      <c r="CM493" s="114"/>
      <c r="CN493" s="46"/>
      <c r="CO493" s="46"/>
      <c r="CP493" s="74">
        <v>15.280555555555555</v>
      </c>
      <c r="CQ493" s="46"/>
      <c r="CR493" s="84" t="s">
        <v>110</v>
      </c>
      <c r="CS493" s="84" t="s">
        <v>110</v>
      </c>
      <c r="CT493" s="84" t="s">
        <v>110</v>
      </c>
      <c r="CU493" s="84"/>
      <c r="CV493" s="84"/>
      <c r="CW493" s="84"/>
      <c r="CX493" s="84"/>
      <c r="CY493" s="84" t="s">
        <v>206</v>
      </c>
      <c r="CZ493" s="84"/>
      <c r="DA493" s="40"/>
    </row>
    <row r="494" spans="1:105" ht="15.75" customHeight="1">
      <c r="A494" s="3">
        <v>104</v>
      </c>
      <c r="B494" s="38" t="s">
        <v>103</v>
      </c>
      <c r="C494" s="3" t="s">
        <v>104</v>
      </c>
      <c r="D494" s="76" t="s">
        <v>215</v>
      </c>
      <c r="E494" s="39">
        <v>44860</v>
      </c>
      <c r="F494" s="3" t="s">
        <v>106</v>
      </c>
      <c r="G494" s="3" t="s">
        <v>107</v>
      </c>
      <c r="H494" s="3">
        <v>2008</v>
      </c>
      <c r="I494" s="40" t="s">
        <v>108</v>
      </c>
      <c r="J494" s="39" t="s">
        <v>109</v>
      </c>
      <c r="K494" s="3">
        <v>162.5</v>
      </c>
      <c r="L494" s="3">
        <v>162.4</v>
      </c>
      <c r="M494" s="3"/>
      <c r="N494" s="3">
        <v>140.5</v>
      </c>
      <c r="O494" s="3">
        <v>141</v>
      </c>
      <c r="P494" s="3">
        <v>141</v>
      </c>
      <c r="Q494" s="3">
        <v>53.2</v>
      </c>
      <c r="R494" s="3">
        <v>53.2</v>
      </c>
      <c r="S494" s="41"/>
      <c r="T494" s="42">
        <v>162.44999999999999</v>
      </c>
      <c r="U494" s="42">
        <f>AVERAGE(paper3[[#This Row],[Sittende høyde 1]:[Sittende høyde 3]])-56.2</f>
        <v>84.63333333333334</v>
      </c>
      <c r="V494" s="12">
        <f>paper3[[#This Row],[height]]-paper3[[#This Row],[sittingheight]]</f>
        <v>77.816666666666649</v>
      </c>
      <c r="W494" s="73">
        <v>53.2</v>
      </c>
      <c r="X494" s="43" cm="1">
        <f t="array" ref="X494">INDEX([1]!phvny[yphv], MATCH(1, (paper3[[#This Row],[id]]=[1]!phvny[id])*(paper3[[#This Row],[time]]=[1]!phvny[time]), 0))</f>
        <v>1.9085043251842091</v>
      </c>
      <c r="Y494" s="3">
        <v>2.04</v>
      </c>
      <c r="Z494" s="3">
        <v>3.49</v>
      </c>
      <c r="AA494" s="3">
        <v>4.93</v>
      </c>
      <c r="AB494" s="3">
        <v>1.98</v>
      </c>
      <c r="AC494" s="3">
        <v>3.45</v>
      </c>
      <c r="AD494" s="3">
        <v>4.87</v>
      </c>
      <c r="AE494" s="3">
        <v>2.0099999999999998</v>
      </c>
      <c r="AF494" s="3">
        <v>3.49</v>
      </c>
      <c r="AG494" s="3">
        <v>4.96</v>
      </c>
      <c r="AH494" s="44">
        <v>1.98</v>
      </c>
      <c r="AI494" s="44">
        <v>3.45</v>
      </c>
      <c r="AJ494" s="44">
        <v>4.87</v>
      </c>
      <c r="AK494" s="45">
        <v>7.042253521126761</v>
      </c>
      <c r="AL494" s="3">
        <v>10.32</v>
      </c>
      <c r="AM494" s="3">
        <v>10.27</v>
      </c>
      <c r="AN494" s="3">
        <v>10.65</v>
      </c>
      <c r="AO494" s="3">
        <v>10.45</v>
      </c>
      <c r="AP494" s="3">
        <v>10.27</v>
      </c>
      <c r="AQ494" s="47">
        <v>10.27</v>
      </c>
      <c r="AR494" s="47">
        <v>10.45</v>
      </c>
      <c r="AS494" s="3"/>
      <c r="AT494" s="3">
        <v>32.119999999999997</v>
      </c>
      <c r="AU494" s="3">
        <v>31.45</v>
      </c>
      <c r="AV494" s="3">
        <v>30.23</v>
      </c>
      <c r="AW494" s="3"/>
      <c r="AX494" s="48">
        <v>32.119999999999997</v>
      </c>
      <c r="AY494" s="3"/>
      <c r="AZ494" s="3">
        <v>9</v>
      </c>
      <c r="BA494" s="3">
        <v>240</v>
      </c>
      <c r="BB494" s="3">
        <v>9</v>
      </c>
      <c r="BC494" s="3">
        <v>208</v>
      </c>
      <c r="BD494" s="40">
        <v>919.66218545014976</v>
      </c>
      <c r="BE494" s="40">
        <v>884.26791388720517</v>
      </c>
      <c r="BF494" s="3"/>
      <c r="BG494" s="40">
        <v>478.63943109724732</v>
      </c>
      <c r="BH494" s="40">
        <v>458.47200937275306</v>
      </c>
      <c r="BI494" s="49">
        <v>1803.9300993373549</v>
      </c>
      <c r="BJ494" s="49">
        <v>937.11144047000039</v>
      </c>
      <c r="BK494" s="66">
        <v>4.0026637862899284E-2</v>
      </c>
      <c r="BL494" s="66">
        <v>4.3988338027627583E-2</v>
      </c>
      <c r="BM494" s="51">
        <v>33.908460513860057</v>
      </c>
      <c r="BN494" s="51">
        <v>17.614876700563915</v>
      </c>
      <c r="BO494" s="52">
        <v>294</v>
      </c>
      <c r="BP494" s="40">
        <v>294</v>
      </c>
      <c r="BQ494" s="40">
        <v>260</v>
      </c>
      <c r="BR494" s="67">
        <v>0.13076923076923075</v>
      </c>
      <c r="BS494" s="54">
        <v>5.2067669172932325</v>
      </c>
      <c r="BT494" s="3">
        <v>119</v>
      </c>
      <c r="BU494" s="40">
        <v>126</v>
      </c>
      <c r="BV494" s="3">
        <v>111</v>
      </c>
      <c r="BW494" s="3">
        <v>115</v>
      </c>
      <c r="BX494" s="70">
        <v>-5.555555555555558E-2</v>
      </c>
      <c r="BY494" s="70">
        <v>-3.4782608695652195E-2</v>
      </c>
      <c r="BZ494" s="59">
        <v>1.0956521739130434</v>
      </c>
      <c r="CA494" s="59">
        <v>1.072072072072072</v>
      </c>
      <c r="CB494" s="59">
        <v>1.7918311403508766</v>
      </c>
      <c r="CC494" s="59">
        <v>1.6528728070175434</v>
      </c>
      <c r="CD494" s="60">
        <v>83</v>
      </c>
      <c r="CE494" s="60">
        <v>79</v>
      </c>
      <c r="CF494" s="61">
        <v>1.5601503759398496</v>
      </c>
      <c r="CG494" s="61">
        <v>1.4849624060150375</v>
      </c>
      <c r="CH494" s="61">
        <v>0.95180722891566261</v>
      </c>
      <c r="CI494" s="41">
        <v>13.3</v>
      </c>
      <c r="CJ494" s="40">
        <f>VLOOKUP(paper3[[#This Row],[YYIR nivå]],$DB:$DC,2)</f>
        <v>400</v>
      </c>
      <c r="CK494" s="3" t="s">
        <v>112</v>
      </c>
      <c r="CL494" s="114"/>
      <c r="CM494" s="115" t="s">
        <v>110</v>
      </c>
      <c r="CN494" s="3">
        <v>126</v>
      </c>
      <c r="CO494" s="3">
        <v>115</v>
      </c>
      <c r="CP494" s="41">
        <v>14.358333333333333</v>
      </c>
      <c r="CQ494" s="3" t="s">
        <v>110</v>
      </c>
      <c r="CR494" s="40">
        <v>122.5</v>
      </c>
      <c r="CS494" s="40">
        <v>113</v>
      </c>
      <c r="CT494" s="40">
        <v>277</v>
      </c>
      <c r="CU494" s="40"/>
      <c r="CV494" s="40"/>
      <c r="CW494" s="40"/>
      <c r="CX494" s="40"/>
      <c r="CY494" s="40">
        <v>0</v>
      </c>
      <c r="CZ494" s="40"/>
      <c r="DA494" s="40"/>
    </row>
    <row r="495" spans="1:105" ht="15.95" customHeight="1">
      <c r="A495" s="3">
        <v>106</v>
      </c>
      <c r="B495" s="38" t="s">
        <v>103</v>
      </c>
      <c r="C495" s="3" t="s">
        <v>104</v>
      </c>
      <c r="D495" s="76" t="s">
        <v>215</v>
      </c>
      <c r="E495" s="39">
        <v>44860</v>
      </c>
      <c r="F495" s="3" t="s">
        <v>106</v>
      </c>
      <c r="G495" s="3" t="s">
        <v>107</v>
      </c>
      <c r="H495" s="3">
        <v>2008</v>
      </c>
      <c r="I495" s="40" t="s">
        <v>108</v>
      </c>
      <c r="J495" s="39" t="s">
        <v>109</v>
      </c>
      <c r="K495" s="3">
        <v>163.69999999999999</v>
      </c>
      <c r="L495" s="3">
        <v>163.80000000000001</v>
      </c>
      <c r="M495" s="3"/>
      <c r="N495" s="3"/>
      <c r="O495" s="3"/>
      <c r="P495" s="3"/>
      <c r="Q495" s="3">
        <v>57.7</v>
      </c>
      <c r="R495" s="3">
        <v>57.7</v>
      </c>
      <c r="S495" s="41"/>
      <c r="T495" s="42">
        <v>163.75</v>
      </c>
      <c r="U495" s="42"/>
      <c r="V495" s="12"/>
      <c r="W495" s="73">
        <v>57.7</v>
      </c>
      <c r="X495" s="43"/>
      <c r="Y495" s="3">
        <v>2.04</v>
      </c>
      <c r="Z495" s="3">
        <v>3.44</v>
      </c>
      <c r="AA495" s="3">
        <v>4.76</v>
      </c>
      <c r="AB495" s="3">
        <v>2.02</v>
      </c>
      <c r="AC495" s="3">
        <v>3.44</v>
      </c>
      <c r="AD495" s="3">
        <v>4.78</v>
      </c>
      <c r="AE495" s="3">
        <v>2.08</v>
      </c>
      <c r="AF495" s="3">
        <v>3.52</v>
      </c>
      <c r="AG495" s="3">
        <v>4.87</v>
      </c>
      <c r="AH495" s="44">
        <v>2.02</v>
      </c>
      <c r="AI495" s="44">
        <v>3.44</v>
      </c>
      <c r="AJ495" s="44">
        <v>4.76</v>
      </c>
      <c r="AK495" s="45">
        <v>7.575757575757577</v>
      </c>
      <c r="AL495" s="3">
        <v>10.67</v>
      </c>
      <c r="AM495" s="3">
        <v>10.49</v>
      </c>
      <c r="AN495" s="3">
        <v>10.7</v>
      </c>
      <c r="AO495" s="3">
        <v>10.44</v>
      </c>
      <c r="AP495" s="3">
        <v>10.44</v>
      </c>
      <c r="AQ495" s="47">
        <v>10.49</v>
      </c>
      <c r="AR495" s="47">
        <v>10.44</v>
      </c>
      <c r="AS495" s="3">
        <v>30.88</v>
      </c>
      <c r="AT495" s="3">
        <v>31.97</v>
      </c>
      <c r="AU495" s="3">
        <v>32.42</v>
      </c>
      <c r="AV495" s="3">
        <v>33.07</v>
      </c>
      <c r="AW495" s="3"/>
      <c r="AX495" s="48">
        <v>33.07</v>
      </c>
      <c r="AY495" s="3"/>
      <c r="AZ495" s="3">
        <v>8</v>
      </c>
      <c r="BA495" s="3">
        <v>290</v>
      </c>
      <c r="BB495" s="3">
        <v>10</v>
      </c>
      <c r="BC495" s="3">
        <v>289</v>
      </c>
      <c r="BD495" s="40">
        <v>1256.121008234476</v>
      </c>
      <c r="BE495" s="40">
        <v>1290.1950906735744</v>
      </c>
      <c r="BF495" s="3"/>
      <c r="BG495" s="40">
        <v>560.96808148635603</v>
      </c>
      <c r="BH495" s="40">
        <v>595.46998231142697</v>
      </c>
      <c r="BI495" s="49">
        <v>2546.3160989080507</v>
      </c>
      <c r="BJ495" s="49">
        <v>1156.4380637977829</v>
      </c>
      <c r="BK495" s="66">
        <v>-2.6410023325471932E-2</v>
      </c>
      <c r="BL495" s="66">
        <v>-5.7940621441815443E-2</v>
      </c>
      <c r="BM495" s="51">
        <v>44.130261679515606</v>
      </c>
      <c r="BN495" s="51">
        <v>20.042254138609753</v>
      </c>
      <c r="BO495" s="52">
        <v>304</v>
      </c>
      <c r="BP495" s="40">
        <v>304</v>
      </c>
      <c r="BQ495" s="40">
        <v>267</v>
      </c>
      <c r="BR495" s="67">
        <v>0.13857677902621712</v>
      </c>
      <c r="BS495" s="54">
        <v>4.9480069324090117</v>
      </c>
      <c r="BT495" s="3">
        <v>119</v>
      </c>
      <c r="BU495" s="40">
        <v>124</v>
      </c>
      <c r="BV495" s="3">
        <v>130</v>
      </c>
      <c r="BW495" s="3">
        <v>125</v>
      </c>
      <c r="BX495" s="70">
        <v>-4.0322580645161255E-2</v>
      </c>
      <c r="BY495" s="70">
        <v>4.0000000000000036E-2</v>
      </c>
      <c r="BZ495" s="59">
        <v>0.99199999999999999</v>
      </c>
      <c r="CA495" s="59">
        <v>0.91538461538461535</v>
      </c>
      <c r="CB495" s="59" t="s">
        <v>110</v>
      </c>
      <c r="CC495" s="59" t="s">
        <v>110</v>
      </c>
      <c r="CD495" s="60">
        <v>109</v>
      </c>
      <c r="CE495" s="60">
        <v>90</v>
      </c>
      <c r="CF495" s="61">
        <v>1.8890814558058924</v>
      </c>
      <c r="CG495" s="61">
        <v>1.559792027729636</v>
      </c>
      <c r="CH495" s="61">
        <v>0.82568807339449546</v>
      </c>
      <c r="CI495" s="41"/>
      <c r="CJ495" s="40"/>
      <c r="CK495" s="3"/>
      <c r="CL495" s="114"/>
      <c r="CM495" s="115" t="s">
        <v>110</v>
      </c>
      <c r="CN495" s="3">
        <v>124</v>
      </c>
      <c r="CO495" s="3">
        <v>130</v>
      </c>
      <c r="CP495" s="41">
        <v>13.877777777777778</v>
      </c>
      <c r="CQ495" s="3" t="s">
        <v>110</v>
      </c>
      <c r="CR495" s="40">
        <v>121.5</v>
      </c>
      <c r="CS495" s="40">
        <v>127.5</v>
      </c>
      <c r="CT495" s="40">
        <v>285.5</v>
      </c>
      <c r="CU495" s="40"/>
      <c r="CV495" s="40"/>
      <c r="CW495" s="40"/>
      <c r="CX495" s="40"/>
      <c r="CY495" s="40">
        <v>0</v>
      </c>
      <c r="CZ495" s="40"/>
      <c r="DA495" s="40"/>
    </row>
    <row r="496" spans="1:105" ht="15.95" customHeight="1">
      <c r="A496" s="3">
        <v>109</v>
      </c>
      <c r="B496" s="38" t="s">
        <v>103</v>
      </c>
      <c r="C496" s="3" t="s">
        <v>104</v>
      </c>
      <c r="D496" s="76" t="s">
        <v>215</v>
      </c>
      <c r="E496" s="39">
        <v>44860</v>
      </c>
      <c r="F496" s="3" t="s">
        <v>106</v>
      </c>
      <c r="G496" s="3" t="s">
        <v>107</v>
      </c>
      <c r="H496" s="3">
        <v>2008</v>
      </c>
      <c r="I496" s="40" t="s">
        <v>108</v>
      </c>
      <c r="J496" s="39" t="s">
        <v>109</v>
      </c>
      <c r="K496" s="3">
        <v>178.3</v>
      </c>
      <c r="L496" s="3">
        <v>178.2</v>
      </c>
      <c r="M496" s="3"/>
      <c r="N496" s="3"/>
      <c r="O496" s="3"/>
      <c r="P496" s="3"/>
      <c r="Q496" s="3">
        <v>61.1</v>
      </c>
      <c r="R496" s="3">
        <v>61</v>
      </c>
      <c r="S496" s="41"/>
      <c r="T496" s="42">
        <v>178.25</v>
      </c>
      <c r="U496" s="42"/>
      <c r="V496" s="12"/>
      <c r="W496" s="73">
        <v>61.05</v>
      </c>
      <c r="X496" s="43"/>
      <c r="Y496" s="3">
        <v>2.0699999999999998</v>
      </c>
      <c r="Z496" s="3">
        <v>3.4</v>
      </c>
      <c r="AA496" s="3">
        <v>4.67</v>
      </c>
      <c r="AB496" s="3">
        <v>2.0299999999999998</v>
      </c>
      <c r="AC496" s="3">
        <v>3.37</v>
      </c>
      <c r="AD496" s="3">
        <v>4.6399999999999997</v>
      </c>
      <c r="AE496" s="3">
        <v>2.0299999999999998</v>
      </c>
      <c r="AF496" s="3">
        <v>3.41</v>
      </c>
      <c r="AG496" s="3">
        <v>4.68</v>
      </c>
      <c r="AH496" s="44">
        <v>2.0299999999999998</v>
      </c>
      <c r="AI496" s="44">
        <v>3.37</v>
      </c>
      <c r="AJ496" s="44">
        <v>4.6399999999999997</v>
      </c>
      <c r="AK496" s="45">
        <v>7.874015748031499</v>
      </c>
      <c r="AL496" s="3"/>
      <c r="AM496" s="3"/>
      <c r="AN496" s="3"/>
      <c r="AO496" s="3"/>
      <c r="AP496" s="3"/>
      <c r="AQ496" s="47"/>
      <c r="AR496" s="47"/>
      <c r="AS496" s="3">
        <v>33.89</v>
      </c>
      <c r="AT496" s="3">
        <v>33.79</v>
      </c>
      <c r="AU496" s="3">
        <v>34.42</v>
      </c>
      <c r="AV496" s="3">
        <v>35.83</v>
      </c>
      <c r="AW496" s="3">
        <v>36.950000000000003</v>
      </c>
      <c r="AX496" s="48">
        <v>36.950000000000003</v>
      </c>
      <c r="AY496" s="3"/>
      <c r="AZ496" s="3">
        <v>10</v>
      </c>
      <c r="BA496" s="3">
        <v>260</v>
      </c>
      <c r="BB496" s="3">
        <v>9</v>
      </c>
      <c r="BC496" s="3">
        <v>235</v>
      </c>
      <c r="BD496" s="159"/>
      <c r="BE496" s="159"/>
      <c r="BF496" s="3"/>
      <c r="BG496" s="40">
        <v>563.52302383472806</v>
      </c>
      <c r="BH496" s="40">
        <v>546.27427206027426</v>
      </c>
      <c r="BI496" s="49"/>
      <c r="BJ496" s="49">
        <v>1109.7972958950022</v>
      </c>
      <c r="BK496" s="66"/>
      <c r="BL496" s="66">
        <v>3.1575259272965894E-2</v>
      </c>
      <c r="BM496" s="51"/>
      <c r="BN496" s="51">
        <v>18.163621864075321</v>
      </c>
      <c r="BO496" s="52">
        <v>244</v>
      </c>
      <c r="BP496" s="40">
        <v>244</v>
      </c>
      <c r="BQ496" s="40">
        <v>220</v>
      </c>
      <c r="BR496" s="67">
        <v>0.10909090909090913</v>
      </c>
      <c r="BS496" s="54">
        <v>3.8001638001638005</v>
      </c>
      <c r="BT496" s="3">
        <v>150</v>
      </c>
      <c r="BU496" s="40">
        <v>149</v>
      </c>
      <c r="BV496" s="3">
        <v>117</v>
      </c>
      <c r="BW496" s="3">
        <v>128</v>
      </c>
      <c r="BX496" s="70">
        <v>6.7114093959732557E-3</v>
      </c>
      <c r="BY496" s="70">
        <v>-8.59375E-2</v>
      </c>
      <c r="BZ496" s="59">
        <v>1.1640625</v>
      </c>
      <c r="CA496" s="59">
        <v>1.2820512820512822</v>
      </c>
      <c r="CB496" s="59" t="s">
        <v>110</v>
      </c>
      <c r="CC496" s="59" t="s">
        <v>110</v>
      </c>
      <c r="CD496" s="60">
        <v>93</v>
      </c>
      <c r="CE496" s="60">
        <v>83</v>
      </c>
      <c r="CF496" s="61">
        <v>1.5233415233415235</v>
      </c>
      <c r="CG496" s="61">
        <v>1.3595413595413597</v>
      </c>
      <c r="CH496" s="61">
        <v>0.89247311827956988</v>
      </c>
      <c r="CI496" s="41"/>
      <c r="CJ496" s="40"/>
      <c r="CK496" s="3"/>
      <c r="CL496" s="114"/>
      <c r="CM496" s="115" t="s">
        <v>110</v>
      </c>
      <c r="CN496" s="3">
        <v>150</v>
      </c>
      <c r="CO496" s="3">
        <v>128</v>
      </c>
      <c r="CP496" s="41">
        <v>14.8</v>
      </c>
      <c r="CQ496" s="3" t="s">
        <v>110</v>
      </c>
      <c r="CR496" s="40">
        <v>149.5</v>
      </c>
      <c r="CS496" s="40">
        <v>122.5</v>
      </c>
      <c r="CT496" s="40">
        <v>232</v>
      </c>
      <c r="CU496" s="40"/>
      <c r="CV496" s="40"/>
      <c r="CW496" s="40"/>
      <c r="CX496" s="40"/>
      <c r="CY496" s="40">
        <v>0</v>
      </c>
      <c r="CZ496" s="40"/>
      <c r="DA496" s="40"/>
    </row>
    <row r="497" spans="1:105" ht="15.75" customHeight="1">
      <c r="A497" s="3">
        <v>134</v>
      </c>
      <c r="B497" s="38" t="s">
        <v>103</v>
      </c>
      <c r="C497" s="3" t="s">
        <v>115</v>
      </c>
      <c r="D497" s="3" t="s">
        <v>215</v>
      </c>
      <c r="E497" s="39">
        <v>44826</v>
      </c>
      <c r="F497" s="3" t="s">
        <v>106</v>
      </c>
      <c r="G497" s="3" t="s">
        <v>122</v>
      </c>
      <c r="H497" s="3">
        <v>2008</v>
      </c>
      <c r="I497" s="40" t="s">
        <v>108</v>
      </c>
      <c r="J497" s="39" t="s">
        <v>123</v>
      </c>
      <c r="K497" s="3">
        <v>179.3</v>
      </c>
      <c r="L497" s="3">
        <v>179.1</v>
      </c>
      <c r="M497" s="3"/>
      <c r="N497" s="3">
        <v>143.9</v>
      </c>
      <c r="O497" s="3">
        <v>144.1</v>
      </c>
      <c r="P497" s="3">
        <v>144.30000000000001</v>
      </c>
      <c r="Q497" s="3">
        <v>59.8</v>
      </c>
      <c r="R497" s="3"/>
      <c r="S497" s="3"/>
      <c r="T497" s="42">
        <v>179.2</v>
      </c>
      <c r="U497" s="42">
        <f>AVERAGE(paper3[[#This Row],[Sittende høyde 1]:[Sittende høyde 3]])-56.2</f>
        <v>87.899999999999991</v>
      </c>
      <c r="V497" s="12">
        <f>paper3[[#This Row],[height]]-paper3[[#This Row],[sittingheight]]</f>
        <v>91.3</v>
      </c>
      <c r="W497" s="73">
        <v>59.8</v>
      </c>
      <c r="X497" s="43" cm="1">
        <f t="array" ref="X497">INDEX([1]!phvny[yphv], MATCH(1, (paper3[[#This Row],[id]]=[1]!phvny[id])*(paper3[[#This Row],[time]]=[1]!phvny[time]), 0))</f>
        <v>0.68696483346031634</v>
      </c>
      <c r="Y497" s="3">
        <v>2.04</v>
      </c>
      <c r="Z497" s="3">
        <v>3.4</v>
      </c>
      <c r="AA497" s="3">
        <v>4.71</v>
      </c>
      <c r="AB497" s="3">
        <v>2.0299999999999998</v>
      </c>
      <c r="AC497" s="3">
        <v>3.38</v>
      </c>
      <c r="AD497" s="3">
        <v>4.68</v>
      </c>
      <c r="AE497" s="46"/>
      <c r="AF497" s="46"/>
      <c r="AG497" s="46"/>
      <c r="AH497" s="44">
        <v>2.0299999999999998</v>
      </c>
      <c r="AI497" s="44">
        <v>3.38</v>
      </c>
      <c r="AJ497" s="44">
        <v>4.68</v>
      </c>
      <c r="AK497" s="45">
        <v>7.6923076923076934</v>
      </c>
      <c r="AL497" s="3"/>
      <c r="AM497" s="3">
        <v>9.9499999999999993</v>
      </c>
      <c r="AN497" s="3">
        <v>10</v>
      </c>
      <c r="AO497" s="3">
        <v>9.92</v>
      </c>
      <c r="AP497" s="3">
        <v>9.92</v>
      </c>
      <c r="AQ497" s="47">
        <v>9.9499999999999993</v>
      </c>
      <c r="AR497" s="47">
        <v>9.92</v>
      </c>
      <c r="AS497" s="3">
        <v>37.729999999999997</v>
      </c>
      <c r="AT497" s="3">
        <v>34.69</v>
      </c>
      <c r="AU497" s="3"/>
      <c r="AV497" s="3"/>
      <c r="AW497" s="3"/>
      <c r="AX497" s="48">
        <v>37.729999999999997</v>
      </c>
      <c r="AY497" s="71"/>
      <c r="AZ497" s="3"/>
      <c r="BA497" s="3"/>
      <c r="BB497" s="3"/>
      <c r="BC497" s="3">
        <v>272</v>
      </c>
      <c r="BD497" s="40">
        <v>1163.7410211409431</v>
      </c>
      <c r="BE497" s="40">
        <v>1202.8440273411886</v>
      </c>
      <c r="BF497" s="40"/>
      <c r="BG497" s="40">
        <v>552.6703726293631</v>
      </c>
      <c r="BH497" s="40">
        <v>556.94547208789845</v>
      </c>
      <c r="BI497" s="49">
        <v>2366.5850484821317</v>
      </c>
      <c r="BJ497" s="49">
        <v>1109.6158447172616</v>
      </c>
      <c r="BK497" s="66">
        <v>-3.2508791922657099E-2</v>
      </c>
      <c r="BL497" s="66">
        <v>-7.6759748894423829E-3</v>
      </c>
      <c r="BM497" s="51">
        <v>39.57500081073799</v>
      </c>
      <c r="BN497" s="51">
        <v>18.555448908315412</v>
      </c>
      <c r="BO497" s="52">
        <v>320</v>
      </c>
      <c r="BP497" s="40">
        <v>320</v>
      </c>
      <c r="BQ497" s="40">
        <v>291</v>
      </c>
      <c r="BR497" s="67">
        <v>9.9656357388316241E-2</v>
      </c>
      <c r="BS497" s="54">
        <v>5.1086956521739131</v>
      </c>
      <c r="BT497" s="3">
        <v>148</v>
      </c>
      <c r="BU497" s="40">
        <v>144</v>
      </c>
      <c r="BV497" s="3">
        <v>105</v>
      </c>
      <c r="BW497" s="3">
        <v>112</v>
      </c>
      <c r="BX497" s="70">
        <v>2.7777777777777679E-2</v>
      </c>
      <c r="BY497" s="70">
        <v>-6.25E-2</v>
      </c>
      <c r="BZ497" s="59">
        <v>1.2857142857142858</v>
      </c>
      <c r="CA497" s="59">
        <v>1.4095238095238096</v>
      </c>
      <c r="CB497" s="59">
        <v>2.2290635451505016</v>
      </c>
      <c r="CC497" s="59">
        <v>1.6565301003344481</v>
      </c>
      <c r="CD497" s="60">
        <v>84</v>
      </c>
      <c r="CE497" s="60">
        <v>87</v>
      </c>
      <c r="CF497" s="61">
        <v>1.4046822742474918</v>
      </c>
      <c r="CG497" s="61">
        <v>1.4548494983277593</v>
      </c>
      <c r="CH497" s="61">
        <v>1.0357142857142856</v>
      </c>
      <c r="CI497" s="41">
        <v>16.600000000000001</v>
      </c>
      <c r="CJ497" s="40">
        <f>VLOOKUP(paper3[[#This Row],[YYIR nivå]],$DB:$DC,2)</f>
        <v>1320</v>
      </c>
      <c r="CK497" s="3" t="s">
        <v>190</v>
      </c>
      <c r="CL497" s="114">
        <v>41306</v>
      </c>
      <c r="CM497" s="115">
        <v>41.305999999999997</v>
      </c>
      <c r="CN497" s="3">
        <v>148</v>
      </c>
      <c r="CO497" s="3">
        <v>112</v>
      </c>
      <c r="CP497" s="41">
        <v>14.477777777777778</v>
      </c>
      <c r="CQ497" s="3" t="s">
        <v>124</v>
      </c>
      <c r="CR497" s="40">
        <v>146</v>
      </c>
      <c r="CS497" s="40">
        <v>108.5</v>
      </c>
      <c r="CT497" s="40">
        <v>305.5</v>
      </c>
      <c r="CU497" s="40"/>
      <c r="CV497" s="40"/>
      <c r="CW497" s="40"/>
      <c r="CX497" s="40"/>
      <c r="CY497" s="40" t="s">
        <v>125</v>
      </c>
      <c r="CZ497" s="40"/>
      <c r="DA497" s="40"/>
    </row>
    <row r="498" spans="1:105" ht="15.95" customHeight="1">
      <c r="A498" s="3">
        <v>135</v>
      </c>
      <c r="B498" s="38" t="s">
        <v>103</v>
      </c>
      <c r="C498" s="3" t="s">
        <v>115</v>
      </c>
      <c r="D498" s="3" t="s">
        <v>215</v>
      </c>
      <c r="E498" s="39">
        <v>44826</v>
      </c>
      <c r="F498" s="3" t="s">
        <v>106</v>
      </c>
      <c r="G498" s="3" t="s">
        <v>122</v>
      </c>
      <c r="H498" s="3">
        <v>2008</v>
      </c>
      <c r="I498" s="40" t="s">
        <v>108</v>
      </c>
      <c r="J498" s="39" t="s">
        <v>123</v>
      </c>
      <c r="K498" s="3">
        <v>170.1</v>
      </c>
      <c r="L498" s="3">
        <v>170.1</v>
      </c>
      <c r="M498" s="3"/>
      <c r="N498" s="3">
        <v>140.19999999999999</v>
      </c>
      <c r="O498" s="3">
        <v>140.4</v>
      </c>
      <c r="P498" s="3"/>
      <c r="Q498" s="3">
        <v>64.7</v>
      </c>
      <c r="R498" s="3"/>
      <c r="S498" s="3"/>
      <c r="T498" s="42">
        <v>170.1</v>
      </c>
      <c r="U498" s="42">
        <f>AVERAGE(paper3[[#This Row],[Sittende høyde 1]:[Sittende høyde 3]])-56.2</f>
        <v>84.100000000000009</v>
      </c>
      <c r="V498" s="12">
        <f>paper3[[#This Row],[height]]-paper3[[#This Row],[sittingheight]]</f>
        <v>85.999999999999986</v>
      </c>
      <c r="W498" s="73">
        <v>64.7</v>
      </c>
      <c r="X498" s="43" cm="1">
        <f t="array" ref="X498">INDEX([1]!phvny[yphv], MATCH(1, (paper3[[#This Row],[id]]=[1]!phvny[id])*(paper3[[#This Row],[time]]=[1]!phvny[time]), 0))</f>
        <v>0.37686617890652663</v>
      </c>
      <c r="Y498" s="3">
        <v>1.84</v>
      </c>
      <c r="Z498" s="3">
        <v>3.1</v>
      </c>
      <c r="AA498" s="3">
        <v>4.28</v>
      </c>
      <c r="AB498" s="3">
        <v>1.81</v>
      </c>
      <c r="AC498" s="3">
        <v>3.07</v>
      </c>
      <c r="AD498" s="3">
        <v>4.25</v>
      </c>
      <c r="AE498" s="3">
        <v>1.78</v>
      </c>
      <c r="AF498" s="3">
        <v>3.02</v>
      </c>
      <c r="AG498" s="3">
        <v>4.1900000000000004</v>
      </c>
      <c r="AH498" s="44">
        <v>1.78</v>
      </c>
      <c r="AI498" s="44">
        <v>3.02</v>
      </c>
      <c r="AJ498" s="44">
        <v>4.1900000000000004</v>
      </c>
      <c r="AK498" s="45">
        <v>8.5470085470085451</v>
      </c>
      <c r="AL498" s="3">
        <v>9.8000000000000007</v>
      </c>
      <c r="AM498" s="3">
        <v>9.67</v>
      </c>
      <c r="AN498" s="3">
        <v>9.58</v>
      </c>
      <c r="AO498" s="3">
        <v>9.3800000000000008</v>
      </c>
      <c r="AP498" s="3">
        <v>9.3800000000000008</v>
      </c>
      <c r="AQ498" s="47">
        <v>9.67</v>
      </c>
      <c r="AR498" s="47">
        <v>9.3800000000000008</v>
      </c>
      <c r="AS498" s="3">
        <v>41.02</v>
      </c>
      <c r="AT498" s="3">
        <v>42.17</v>
      </c>
      <c r="AU498" s="3">
        <v>39.549999999999997</v>
      </c>
      <c r="AV498" s="3"/>
      <c r="AW498" s="3"/>
      <c r="AX498" s="48">
        <v>42.17</v>
      </c>
      <c r="AY498" s="71"/>
      <c r="AZ498" s="3"/>
      <c r="BA498" s="3"/>
      <c r="BB498" s="3"/>
      <c r="BC498" s="3">
        <v>440</v>
      </c>
      <c r="BD498" s="40">
        <v>1662.6109695181881</v>
      </c>
      <c r="BE498" s="40">
        <v>1595.7372222946879</v>
      </c>
      <c r="BF498" s="40"/>
      <c r="BG498" s="40">
        <v>724.07082908482766</v>
      </c>
      <c r="BH498" s="40">
        <v>741.40617443959286</v>
      </c>
      <c r="BI498" s="49">
        <v>3258.3481918128759</v>
      </c>
      <c r="BJ498" s="49">
        <v>1465.4770035244205</v>
      </c>
      <c r="BK498" s="66">
        <v>4.1907744138057312E-2</v>
      </c>
      <c r="BL498" s="66">
        <v>-2.3381711607498357E-2</v>
      </c>
      <c r="BM498" s="51">
        <v>50.360868497880617</v>
      </c>
      <c r="BN498" s="51">
        <v>22.650340085385171</v>
      </c>
      <c r="BO498" s="52">
        <v>442</v>
      </c>
      <c r="BP498" s="40">
        <v>305</v>
      </c>
      <c r="BQ498" s="40">
        <v>442</v>
      </c>
      <c r="BR498" s="67">
        <v>-0.30995475113122173</v>
      </c>
      <c r="BS498" s="54">
        <v>5.7727975270479135</v>
      </c>
      <c r="BT498" s="3">
        <v>142</v>
      </c>
      <c r="BU498" s="40">
        <v>183</v>
      </c>
      <c r="BV498" s="3">
        <v>130</v>
      </c>
      <c r="BW498" s="3">
        <v>130</v>
      </c>
      <c r="BX498" s="70">
        <v>-0.22404371584699456</v>
      </c>
      <c r="BY498" s="70">
        <v>0</v>
      </c>
      <c r="BZ498" s="59">
        <v>1.4076923076923078</v>
      </c>
      <c r="CA498" s="59">
        <v>1.0923076923076922</v>
      </c>
      <c r="CB498" s="59">
        <v>2.1599690880989177</v>
      </c>
      <c r="CC498" s="59">
        <v>1.727975270479134</v>
      </c>
      <c r="CD498" s="60">
        <v>118</v>
      </c>
      <c r="CE498" s="60">
        <v>96</v>
      </c>
      <c r="CF498" s="61">
        <v>1.8238021638330757</v>
      </c>
      <c r="CG498" s="61">
        <v>1.4837712519319937</v>
      </c>
      <c r="CH498" s="61">
        <v>0.81355932203389825</v>
      </c>
      <c r="CI498" s="41">
        <v>16.8</v>
      </c>
      <c r="CJ498" s="40">
        <f>VLOOKUP(paper3[[#This Row],[YYIR nivå]],$DB:$DC,2)</f>
        <v>1400</v>
      </c>
      <c r="CK498" s="3" t="s">
        <v>190</v>
      </c>
      <c r="CL498" s="114">
        <v>49392</v>
      </c>
      <c r="CM498" s="115">
        <v>49.392000000000003</v>
      </c>
      <c r="CN498" s="3">
        <v>183</v>
      </c>
      <c r="CO498" s="3">
        <v>130</v>
      </c>
      <c r="CP498" s="41">
        <v>14.622222222222222</v>
      </c>
      <c r="CQ498" s="3" t="s">
        <v>126</v>
      </c>
      <c r="CR498" s="40">
        <v>162.5</v>
      </c>
      <c r="CS498" s="40">
        <v>130</v>
      </c>
      <c r="CT498" s="40">
        <v>373.5</v>
      </c>
      <c r="CU498" s="40"/>
      <c r="CV498" s="40"/>
      <c r="CW498" s="40"/>
      <c r="CX498" s="40"/>
      <c r="CY498" s="40">
        <v>0</v>
      </c>
      <c r="CZ498" s="40"/>
      <c r="DA498" s="40"/>
    </row>
    <row r="499" spans="1:105" ht="15.75" customHeight="1">
      <c r="A499" s="3">
        <v>136</v>
      </c>
      <c r="B499" s="38" t="s">
        <v>103</v>
      </c>
      <c r="C499" s="3" t="s">
        <v>164</v>
      </c>
      <c r="D499" s="3" t="s">
        <v>215</v>
      </c>
      <c r="E499" s="39">
        <v>44826</v>
      </c>
      <c r="F499" s="3" t="s">
        <v>106</v>
      </c>
      <c r="G499" s="3" t="s">
        <v>122</v>
      </c>
      <c r="H499" s="3">
        <v>2008</v>
      </c>
      <c r="I499" s="40" t="s">
        <v>108</v>
      </c>
      <c r="J499" s="39" t="s">
        <v>123</v>
      </c>
      <c r="K499" s="3">
        <v>151.9</v>
      </c>
      <c r="L499" s="3"/>
      <c r="M499" s="3">
        <v>151.80000000000001</v>
      </c>
      <c r="N499" s="3">
        <v>128</v>
      </c>
      <c r="O499" s="3">
        <v>128.4</v>
      </c>
      <c r="P499" s="3">
        <v>128</v>
      </c>
      <c r="Q499" s="3">
        <v>36.700000000000003</v>
      </c>
      <c r="R499" s="3"/>
      <c r="S499" s="3"/>
      <c r="T499" s="42">
        <v>151.85000000000002</v>
      </c>
      <c r="U499" s="42">
        <f>AVERAGE(paper3[[#This Row],[Sittende høyde 1]:[Sittende høyde 3]])-56.2</f>
        <v>71.933333333333323</v>
      </c>
      <c r="V499" s="12">
        <f>paper3[[#This Row],[height]]-paper3[[#This Row],[sittingheight]]</f>
        <v>79.9166666666667</v>
      </c>
      <c r="W499" s="73">
        <v>36.700000000000003</v>
      </c>
      <c r="X499" s="43" cm="1">
        <f t="array" ref="X499">INDEX([1]!phvny[yphv], MATCH(1, (paper3[[#This Row],[id]]=[1]!phvny[id])*(paper3[[#This Row],[time]]=[1]!phvny[time]), 0))</f>
        <v>-1.4765136641627672</v>
      </c>
      <c r="Y499" s="3"/>
      <c r="Z499" s="3"/>
      <c r="AA499" s="3"/>
      <c r="AB499" s="3">
        <v>2.06</v>
      </c>
      <c r="AC499" s="3">
        <v>3.6</v>
      </c>
      <c r="AD499" s="3">
        <v>5.0199999999999996</v>
      </c>
      <c r="AE499" s="3">
        <v>2.09</v>
      </c>
      <c r="AF499" s="3">
        <v>3.62</v>
      </c>
      <c r="AG499" s="3">
        <v>5.0999999999999996</v>
      </c>
      <c r="AH499" s="44">
        <v>2.06</v>
      </c>
      <c r="AI499" s="44">
        <v>3.6</v>
      </c>
      <c r="AJ499" s="44">
        <v>5.0199999999999996</v>
      </c>
      <c r="AK499" s="45">
        <v>7.0422535211267627</v>
      </c>
      <c r="AL499" s="3"/>
      <c r="AM499" s="3">
        <v>10.09</v>
      </c>
      <c r="AN499" s="3">
        <v>10.37</v>
      </c>
      <c r="AO499" s="3">
        <v>10.55</v>
      </c>
      <c r="AP499" s="3">
        <v>10.09</v>
      </c>
      <c r="AQ499" s="47">
        <v>10.09</v>
      </c>
      <c r="AR499" s="47">
        <v>10.37</v>
      </c>
      <c r="AS499" s="3">
        <v>29.8</v>
      </c>
      <c r="AT499" s="3">
        <v>30.06</v>
      </c>
      <c r="AU499" s="3">
        <v>26.09</v>
      </c>
      <c r="AV499" s="3"/>
      <c r="AW499" s="3"/>
      <c r="AX499" s="48">
        <v>30.06</v>
      </c>
      <c r="AY499" s="71"/>
      <c r="AZ499" s="3"/>
      <c r="BA499" s="3"/>
      <c r="BB499" s="3"/>
      <c r="BC499" s="3">
        <v>181</v>
      </c>
      <c r="BD499" s="40">
        <v>796.54334018250017</v>
      </c>
      <c r="BE499" s="40">
        <v>747.74942551160984</v>
      </c>
      <c r="BF499" s="40"/>
      <c r="BG499" s="40">
        <v>274.13980976655739</v>
      </c>
      <c r="BH499" s="40">
        <v>288.103778106731</v>
      </c>
      <c r="BI499" s="49">
        <v>1544.2927656941101</v>
      </c>
      <c r="BJ499" s="49">
        <v>562.24358787328833</v>
      </c>
      <c r="BK499" s="66">
        <v>6.5254365976283424E-2</v>
      </c>
      <c r="BL499" s="66">
        <v>-4.8468535997471363E-2</v>
      </c>
      <c r="BM499" s="51">
        <v>42.078821953517981</v>
      </c>
      <c r="BN499" s="51">
        <v>15.319988770389326</v>
      </c>
      <c r="BO499" s="52">
        <v>225</v>
      </c>
      <c r="BP499" s="40">
        <v>225</v>
      </c>
      <c r="BQ499" s="40">
        <v>188</v>
      </c>
      <c r="BR499" s="67">
        <v>0.19680851063829796</v>
      </c>
      <c r="BS499" s="54">
        <v>5.6267029972752036</v>
      </c>
      <c r="BT499" s="3">
        <v>123</v>
      </c>
      <c r="BU499" s="40">
        <v>112</v>
      </c>
      <c r="BV499" s="3">
        <v>84</v>
      </c>
      <c r="BW499" s="3">
        <v>81</v>
      </c>
      <c r="BX499" s="70">
        <v>9.8214285714285809E-2</v>
      </c>
      <c r="BY499" s="70">
        <v>3.7037037037036979E-2</v>
      </c>
      <c r="BZ499" s="59">
        <v>1.382716049382716</v>
      </c>
      <c r="CA499" s="59">
        <v>1.4642857142857142</v>
      </c>
      <c r="CB499" s="59">
        <v>2.5586398728428712</v>
      </c>
      <c r="CC499" s="59">
        <v>1.7964918256130797</v>
      </c>
      <c r="CD499" s="60">
        <v>100</v>
      </c>
      <c r="CE499" s="60">
        <v>143</v>
      </c>
      <c r="CF499" s="61">
        <v>2.7247956403269753</v>
      </c>
      <c r="CG499" s="61">
        <v>3.8964577656675745</v>
      </c>
      <c r="CH499" s="61">
        <v>1.43</v>
      </c>
      <c r="CI499" s="41">
        <v>16.7</v>
      </c>
      <c r="CJ499" s="40">
        <f>VLOOKUP(paper3[[#This Row],[YYIR nivå]],$DB:$DC,2)</f>
        <v>1360</v>
      </c>
      <c r="CK499" s="3" t="s">
        <v>190</v>
      </c>
      <c r="CL499" s="114">
        <v>26546</v>
      </c>
      <c r="CM499" s="115">
        <v>26.545999999999999</v>
      </c>
      <c r="CN499" s="3">
        <v>123</v>
      </c>
      <c r="CO499" s="3">
        <v>84</v>
      </c>
      <c r="CP499" s="41">
        <v>14.627777777777778</v>
      </c>
      <c r="CQ499" s="3" t="s">
        <v>128</v>
      </c>
      <c r="CR499" s="40">
        <v>117.5</v>
      </c>
      <c r="CS499" s="40">
        <v>82.5</v>
      </c>
      <c r="CT499" s="40">
        <v>206.5</v>
      </c>
      <c r="CU499" s="40"/>
      <c r="CV499" s="40"/>
      <c r="CW499" s="40"/>
      <c r="CX499" s="40"/>
      <c r="CY499" s="40">
        <v>0</v>
      </c>
      <c r="CZ499" s="40"/>
      <c r="DA499" s="40"/>
    </row>
    <row r="500" spans="1:105" ht="15.75" customHeight="1">
      <c r="A500" s="3">
        <v>137</v>
      </c>
      <c r="B500" s="38" t="s">
        <v>103</v>
      </c>
      <c r="C500" s="3" t="s">
        <v>115</v>
      </c>
      <c r="D500" s="3" t="s">
        <v>215</v>
      </c>
      <c r="E500" s="39">
        <v>44826</v>
      </c>
      <c r="F500" s="3" t="s">
        <v>106</v>
      </c>
      <c r="G500" s="3" t="s">
        <v>122</v>
      </c>
      <c r="H500" s="3">
        <v>2008</v>
      </c>
      <c r="I500" s="40" t="s">
        <v>108</v>
      </c>
      <c r="J500" s="39" t="s">
        <v>123</v>
      </c>
      <c r="K500" s="3">
        <v>162.5</v>
      </c>
      <c r="L500" s="3">
        <v>162.5</v>
      </c>
      <c r="M500" s="3"/>
      <c r="N500" s="3">
        <v>141.4</v>
      </c>
      <c r="O500" s="3">
        <v>141.30000000000001</v>
      </c>
      <c r="P500" s="3"/>
      <c r="Q500" s="3">
        <v>45.7</v>
      </c>
      <c r="R500" s="3"/>
      <c r="S500" s="3"/>
      <c r="T500" s="42">
        <v>162.5</v>
      </c>
      <c r="U500" s="42">
        <f>AVERAGE(paper3[[#This Row],[Sittende høyde 1]:[Sittende høyde 3]])-56.2</f>
        <v>85.15000000000002</v>
      </c>
      <c r="V500" s="12">
        <f>paper3[[#This Row],[height]]-paper3[[#This Row],[sittingheight]]</f>
        <v>77.34999999999998</v>
      </c>
      <c r="W500" s="73">
        <v>45.7</v>
      </c>
      <c r="X500" s="43" cm="1">
        <f t="array" ref="X500">INDEX([1]!phvny[yphv], MATCH(1, (paper3[[#This Row],[id]]=[1]!phvny[id])*(paper3[[#This Row],[time]]=[1]!phvny[time]), 0))</f>
        <v>0.14463676674359349</v>
      </c>
      <c r="Y500" s="3">
        <v>1.91</v>
      </c>
      <c r="Z500" s="3">
        <v>3.25</v>
      </c>
      <c r="AA500" s="3">
        <v>4.51</v>
      </c>
      <c r="AB500" s="3">
        <v>1.86</v>
      </c>
      <c r="AC500" s="3">
        <v>3.19</v>
      </c>
      <c r="AD500" s="3">
        <v>4.43</v>
      </c>
      <c r="AE500" s="3">
        <v>1.89</v>
      </c>
      <c r="AF500" s="3">
        <v>3.2</v>
      </c>
      <c r="AG500" s="3">
        <v>4.46</v>
      </c>
      <c r="AH500" s="44">
        <v>1.86</v>
      </c>
      <c r="AI500" s="44">
        <v>3.19</v>
      </c>
      <c r="AJ500" s="44">
        <v>4.43</v>
      </c>
      <c r="AK500" s="45">
        <v>8.0645161290322598</v>
      </c>
      <c r="AL500" s="3">
        <v>9.84</v>
      </c>
      <c r="AM500" s="3">
        <v>9.6300000000000008</v>
      </c>
      <c r="AN500" s="3">
        <v>10.02</v>
      </c>
      <c r="AO500" s="3">
        <v>9.89</v>
      </c>
      <c r="AP500" s="3">
        <v>9.6300000000000008</v>
      </c>
      <c r="AQ500" s="47">
        <v>9.6300000000000008</v>
      </c>
      <c r="AR500" s="47">
        <v>9.89</v>
      </c>
      <c r="AS500" s="46">
        <v>27.96</v>
      </c>
      <c r="AT500" s="46">
        <v>29.86</v>
      </c>
      <c r="AU500" s="46">
        <v>32.72</v>
      </c>
      <c r="AV500" s="3"/>
      <c r="AW500" s="3"/>
      <c r="AX500" s="48">
        <v>32.72</v>
      </c>
      <c r="AY500" s="71"/>
      <c r="AZ500" s="3"/>
      <c r="BA500" s="3"/>
      <c r="BB500" s="3"/>
      <c r="BC500" s="3">
        <v>199</v>
      </c>
      <c r="BD500" s="40">
        <v>1000.3839297926124</v>
      </c>
      <c r="BE500" s="40">
        <v>920.25091734065677</v>
      </c>
      <c r="BF500" s="40"/>
      <c r="BG500" s="40">
        <v>471.45896019160318</v>
      </c>
      <c r="BH500" s="40">
        <v>448.61598807901123</v>
      </c>
      <c r="BI500" s="49">
        <v>1920.6348471332692</v>
      </c>
      <c r="BJ500" s="49">
        <v>920.07494827061441</v>
      </c>
      <c r="BK500" s="66">
        <v>8.7077351341875664E-2</v>
      </c>
      <c r="BL500" s="66">
        <v>5.0918765089952078E-2</v>
      </c>
      <c r="BM500" s="51">
        <v>42.027020725016826</v>
      </c>
      <c r="BN500" s="51">
        <v>20.132931034367928</v>
      </c>
      <c r="BO500" s="52">
        <v>270</v>
      </c>
      <c r="BP500" s="40">
        <v>245</v>
      </c>
      <c r="BQ500" s="40">
        <v>270</v>
      </c>
      <c r="BR500" s="67">
        <v>-9.259259259259256E-2</v>
      </c>
      <c r="BS500" s="54">
        <v>5.6345733041575485</v>
      </c>
      <c r="BT500" s="3">
        <v>128</v>
      </c>
      <c r="BU500" s="40">
        <v>140</v>
      </c>
      <c r="BV500" s="3">
        <v>106</v>
      </c>
      <c r="BW500" s="3">
        <v>106</v>
      </c>
      <c r="BX500" s="70">
        <v>-8.5714285714285743E-2</v>
      </c>
      <c r="BY500" s="70">
        <v>0</v>
      </c>
      <c r="BZ500" s="59">
        <v>1.320754716981132</v>
      </c>
      <c r="CA500" s="59">
        <v>1.2075471698113207</v>
      </c>
      <c r="CB500" s="59">
        <v>2.2680306345733037</v>
      </c>
      <c r="CC500" s="59">
        <v>1.7941137855579865</v>
      </c>
      <c r="CD500" s="60">
        <v>103</v>
      </c>
      <c r="CE500" s="60">
        <v>101</v>
      </c>
      <c r="CF500" s="61">
        <v>2.2538293216630194</v>
      </c>
      <c r="CG500" s="61">
        <v>2.2100656455142231</v>
      </c>
      <c r="CH500" s="61">
        <v>0.98058252427184478</v>
      </c>
      <c r="CI500" s="41">
        <v>16.399999999999999</v>
      </c>
      <c r="CJ500" s="40">
        <f>VLOOKUP(paper3[[#This Row],[YYIR nivå]],$DB:$DC,2)</f>
        <v>1240</v>
      </c>
      <c r="CK500" s="3" t="s">
        <v>190</v>
      </c>
      <c r="CL500" s="114">
        <v>35260</v>
      </c>
      <c r="CM500" s="115">
        <v>35.26</v>
      </c>
      <c r="CN500" s="3">
        <v>140</v>
      </c>
      <c r="CO500" s="3">
        <v>106</v>
      </c>
      <c r="CP500" s="41">
        <v>14.311111111111112</v>
      </c>
      <c r="CQ500" s="3" t="s">
        <v>130</v>
      </c>
      <c r="CR500" s="40">
        <v>134</v>
      </c>
      <c r="CS500" s="40">
        <v>106</v>
      </c>
      <c r="CT500" s="40">
        <v>257.5</v>
      </c>
      <c r="CU500" s="40"/>
      <c r="CV500" s="40"/>
      <c r="CW500" s="40"/>
      <c r="CX500" s="40"/>
      <c r="CY500" s="40">
        <v>0</v>
      </c>
      <c r="CZ500" s="40"/>
      <c r="DA500" s="40"/>
    </row>
    <row r="501" spans="1:105" ht="15.95" customHeight="1">
      <c r="A501" s="3">
        <v>138</v>
      </c>
      <c r="B501" s="38" t="s">
        <v>103</v>
      </c>
      <c r="C501" s="3" t="s">
        <v>115</v>
      </c>
      <c r="D501" s="3" t="s">
        <v>215</v>
      </c>
      <c r="E501" s="39">
        <v>44826</v>
      </c>
      <c r="F501" s="3" t="s">
        <v>106</v>
      </c>
      <c r="G501" s="3" t="s">
        <v>122</v>
      </c>
      <c r="H501" s="3">
        <v>2008</v>
      </c>
      <c r="I501" s="40" t="s">
        <v>108</v>
      </c>
      <c r="J501" s="39" t="s">
        <v>123</v>
      </c>
      <c r="K501" s="3">
        <v>151.5</v>
      </c>
      <c r="L501" s="3">
        <v>151.4</v>
      </c>
      <c r="M501" s="3"/>
      <c r="N501" s="3">
        <v>131</v>
      </c>
      <c r="O501" s="3">
        <v>130.69999999999999</v>
      </c>
      <c r="P501" s="3">
        <v>130.6</v>
      </c>
      <c r="Q501" s="3">
        <v>38.1</v>
      </c>
      <c r="R501" s="3"/>
      <c r="S501" s="3"/>
      <c r="T501" s="42">
        <v>151.44999999999999</v>
      </c>
      <c r="U501" s="42">
        <f>AVERAGE(paper3[[#This Row],[Sittende høyde 1]:[Sittende høyde 3]])-56.2</f>
        <v>74.566666666666649</v>
      </c>
      <c r="V501" s="12">
        <f>paper3[[#This Row],[height]]-paper3[[#This Row],[sittingheight]]</f>
        <v>76.88333333333334</v>
      </c>
      <c r="W501" s="73">
        <v>38.1</v>
      </c>
      <c r="X501" s="43" cm="1">
        <f t="array" ref="X501">INDEX([1]!phvny[yphv], MATCH(1, (paper3[[#This Row],[id]]=[1]!phvny[id])*(paper3[[#This Row],[time]]=[1]!phvny[time]), 0))</f>
        <v>-1.3479492330071612</v>
      </c>
      <c r="Y501" s="3">
        <v>2.08</v>
      </c>
      <c r="Z501" s="3">
        <v>3.56</v>
      </c>
      <c r="AA501" s="3">
        <v>5</v>
      </c>
      <c r="AB501" s="3">
        <v>2.02</v>
      </c>
      <c r="AC501" s="3">
        <v>3.51</v>
      </c>
      <c r="AD501" s="3">
        <v>4.96</v>
      </c>
      <c r="AE501" s="3">
        <v>2.0699999999999998</v>
      </c>
      <c r="AF501" s="3">
        <v>3.56</v>
      </c>
      <c r="AG501" s="3">
        <v>5</v>
      </c>
      <c r="AH501" s="44">
        <v>2.02</v>
      </c>
      <c r="AI501" s="44">
        <v>3.51</v>
      </c>
      <c r="AJ501" s="44">
        <v>4.96</v>
      </c>
      <c r="AK501" s="45">
        <v>6.8965517241379306</v>
      </c>
      <c r="AL501" s="3">
        <v>10.37</v>
      </c>
      <c r="AM501" s="3">
        <v>10.26</v>
      </c>
      <c r="AN501" s="3">
        <v>10.5</v>
      </c>
      <c r="AO501" s="3">
        <v>10.41</v>
      </c>
      <c r="AP501" s="3">
        <v>10.26</v>
      </c>
      <c r="AQ501" s="47">
        <v>10.26</v>
      </c>
      <c r="AR501" s="47">
        <v>10.41</v>
      </c>
      <c r="AS501" s="3">
        <v>25.11</v>
      </c>
      <c r="AT501" s="3">
        <v>28.58</v>
      </c>
      <c r="AU501" s="3">
        <v>26.8</v>
      </c>
      <c r="AV501" s="3"/>
      <c r="AW501" s="3"/>
      <c r="AX501" s="48">
        <v>28.58</v>
      </c>
      <c r="AY501" s="71"/>
      <c r="AZ501" s="3"/>
      <c r="BA501" s="3"/>
      <c r="BB501" s="3"/>
      <c r="BC501" s="3">
        <v>254</v>
      </c>
      <c r="BD501" s="40">
        <v>985.92751155859673</v>
      </c>
      <c r="BE501" s="40">
        <v>961.17851612162667</v>
      </c>
      <c r="BF501" s="40"/>
      <c r="BG501" s="40">
        <v>351.38307643080066</v>
      </c>
      <c r="BH501" s="40">
        <v>379.87995116763705</v>
      </c>
      <c r="BI501" s="49">
        <v>1947.1060276802234</v>
      </c>
      <c r="BJ501" s="49">
        <v>731.2630275984377</v>
      </c>
      <c r="BK501" s="66">
        <v>2.5748594066409947E-2</v>
      </c>
      <c r="BL501" s="66">
        <v>-7.5015474360375034E-2</v>
      </c>
      <c r="BM501" s="51">
        <v>51.105145083470426</v>
      </c>
      <c r="BN501" s="51">
        <v>19.193255317544295</v>
      </c>
      <c r="BO501" s="52">
        <v>217</v>
      </c>
      <c r="BP501" s="40">
        <v>217</v>
      </c>
      <c r="BQ501" s="40">
        <v>214</v>
      </c>
      <c r="BR501" s="67">
        <v>1.4018691588784993E-2</v>
      </c>
      <c r="BS501" s="54">
        <v>5.6561679790026247</v>
      </c>
      <c r="BT501" s="3">
        <v>119</v>
      </c>
      <c r="BU501" s="40">
        <v>131</v>
      </c>
      <c r="BV501" s="3">
        <v>76</v>
      </c>
      <c r="BW501" s="3">
        <v>93</v>
      </c>
      <c r="BX501" s="70">
        <v>-9.1603053435114545E-2</v>
      </c>
      <c r="BY501" s="70">
        <v>-0.18279569892473113</v>
      </c>
      <c r="BZ501" s="59">
        <v>1.4086021505376345</v>
      </c>
      <c r="CA501" s="59">
        <v>1.5657894736842106</v>
      </c>
      <c r="CB501" s="59">
        <v>2.5224190726159232</v>
      </c>
      <c r="CC501" s="59">
        <v>1.705155293088364</v>
      </c>
      <c r="CD501" s="60">
        <v>134</v>
      </c>
      <c r="CE501" s="60">
        <v>137</v>
      </c>
      <c r="CF501" s="61">
        <v>3.5170603674540679</v>
      </c>
      <c r="CG501" s="61">
        <v>3.5958005249343832</v>
      </c>
      <c r="CH501" s="61">
        <v>1.0223880597014927</v>
      </c>
      <c r="CI501" s="41">
        <v>14.8</v>
      </c>
      <c r="CJ501" s="40">
        <f>VLOOKUP(paper3[[#This Row],[YYIR nivå]],$DB:$DC,2)</f>
        <v>760</v>
      </c>
      <c r="CK501" s="3" t="s">
        <v>190</v>
      </c>
      <c r="CL501" s="114">
        <v>28005</v>
      </c>
      <c r="CM501" s="115">
        <v>28.004999999999999</v>
      </c>
      <c r="CN501" s="3">
        <v>131</v>
      </c>
      <c r="CO501" s="3">
        <v>93</v>
      </c>
      <c r="CP501" s="41">
        <v>14.03888888888889</v>
      </c>
      <c r="CQ501" s="3" t="s">
        <v>132</v>
      </c>
      <c r="CR501" s="40">
        <v>125</v>
      </c>
      <c r="CS501" s="40">
        <v>84.5</v>
      </c>
      <c r="CT501" s="40">
        <v>215.5</v>
      </c>
      <c r="CU501" s="40"/>
      <c r="CV501" s="40"/>
      <c r="CW501" s="40"/>
      <c r="CX501" s="40"/>
      <c r="CY501" s="40">
        <v>0</v>
      </c>
      <c r="CZ501" s="40"/>
      <c r="DA501" s="40"/>
    </row>
    <row r="502" spans="1:105" ht="15.95" customHeight="1">
      <c r="A502" s="3">
        <v>139</v>
      </c>
      <c r="B502" s="38" t="s">
        <v>103</v>
      </c>
      <c r="C502" s="3" t="s">
        <v>115</v>
      </c>
      <c r="D502" s="3" t="s">
        <v>215</v>
      </c>
      <c r="E502" s="39">
        <v>44826</v>
      </c>
      <c r="F502" s="3" t="s">
        <v>106</v>
      </c>
      <c r="G502" s="3" t="s">
        <v>122</v>
      </c>
      <c r="H502" s="3">
        <v>2008</v>
      </c>
      <c r="I502" s="40" t="s">
        <v>108</v>
      </c>
      <c r="J502" s="39" t="s">
        <v>123</v>
      </c>
      <c r="K502" s="3">
        <v>171.5</v>
      </c>
      <c r="L502" s="3">
        <v>171.1</v>
      </c>
      <c r="M502" s="3">
        <v>170.9</v>
      </c>
      <c r="N502" s="3">
        <v>144</v>
      </c>
      <c r="O502" s="3">
        <v>144.4</v>
      </c>
      <c r="P502" s="3">
        <v>144.4</v>
      </c>
      <c r="Q502" s="3">
        <v>62.3</v>
      </c>
      <c r="R502" s="3"/>
      <c r="S502" s="3"/>
      <c r="T502" s="42">
        <v>171.16666666666666</v>
      </c>
      <c r="U502" s="42">
        <f>AVERAGE(paper3[[#This Row],[Sittende høyde 1]:[Sittende høyde 3]])-56.2</f>
        <v>88.066666666666649</v>
      </c>
      <c r="V502" s="12">
        <f>paper3[[#This Row],[height]]-paper3[[#This Row],[sittingheight]]</f>
        <v>83.100000000000009</v>
      </c>
      <c r="W502" s="73">
        <v>62.3</v>
      </c>
      <c r="X502" s="43" cm="1">
        <f t="array" ref="X502">INDEX([1]!phvny[yphv], MATCH(1, (paper3[[#This Row],[id]]=[1]!phvny[id])*(paper3[[#This Row],[time]]=[1]!phvny[time]), 0))</f>
        <v>0.88196212375321825</v>
      </c>
      <c r="Y502" s="3">
        <v>1.82</v>
      </c>
      <c r="Z502" s="3">
        <v>3.11</v>
      </c>
      <c r="AA502" s="3">
        <v>4.3099999999999996</v>
      </c>
      <c r="AB502" s="3">
        <v>1.78</v>
      </c>
      <c r="AC502" s="3">
        <v>3.05</v>
      </c>
      <c r="AD502" s="3">
        <v>4.2300000000000004</v>
      </c>
      <c r="AE502" s="3">
        <v>1.86</v>
      </c>
      <c r="AF502" s="3">
        <v>3.11</v>
      </c>
      <c r="AG502" s="3">
        <v>4.29</v>
      </c>
      <c r="AH502" s="44">
        <v>1.78</v>
      </c>
      <c r="AI502" s="44">
        <v>3.05</v>
      </c>
      <c r="AJ502" s="44">
        <v>4.2300000000000004</v>
      </c>
      <c r="AK502" s="45">
        <v>8.4745762711864359</v>
      </c>
      <c r="AL502" s="3">
        <v>9.65</v>
      </c>
      <c r="AM502" s="3"/>
      <c r="AN502" s="3">
        <v>9.77</v>
      </c>
      <c r="AO502" s="3">
        <v>10.26</v>
      </c>
      <c r="AP502" s="3">
        <v>9.65</v>
      </c>
      <c r="AQ502" s="47">
        <v>9.65</v>
      </c>
      <c r="AR502" s="47">
        <v>9.77</v>
      </c>
      <c r="AS502" s="3">
        <v>27.31</v>
      </c>
      <c r="AT502" s="3">
        <v>31.74</v>
      </c>
      <c r="AU502" s="3">
        <v>33.35</v>
      </c>
      <c r="AV502" s="3"/>
      <c r="AW502" s="3"/>
      <c r="AX502" s="48">
        <v>33.35</v>
      </c>
      <c r="AY502" s="71"/>
      <c r="AZ502" s="3"/>
      <c r="BA502" s="3"/>
      <c r="BB502" s="3"/>
      <c r="BC502" s="3">
        <v>349</v>
      </c>
      <c r="BD502" s="40">
        <v>1532.3575395768923</v>
      </c>
      <c r="BE502" s="40">
        <v>1474.9293399495764</v>
      </c>
      <c r="BF502" s="40"/>
      <c r="BG502" s="40">
        <v>662.07639055779464</v>
      </c>
      <c r="BH502" s="40">
        <v>613.04143016782382</v>
      </c>
      <c r="BI502" s="49">
        <v>3007.2868795264685</v>
      </c>
      <c r="BJ502" s="49">
        <v>1275.1178207256185</v>
      </c>
      <c r="BK502" s="66">
        <v>3.8936237873794965E-2</v>
      </c>
      <c r="BL502" s="66">
        <v>7.9986372824014884E-2</v>
      </c>
      <c r="BM502" s="51">
        <v>48.271057456283607</v>
      </c>
      <c r="BN502" s="51">
        <v>20.467380750009927</v>
      </c>
      <c r="BO502" s="52">
        <v>297</v>
      </c>
      <c r="BP502" s="40">
        <v>254</v>
      </c>
      <c r="BQ502" s="40">
        <v>297</v>
      </c>
      <c r="BR502" s="67">
        <v>-0.14478114478114479</v>
      </c>
      <c r="BS502" s="54">
        <v>4.42215088282504</v>
      </c>
      <c r="BT502" s="3">
        <v>154</v>
      </c>
      <c r="BU502" s="40">
        <v>164</v>
      </c>
      <c r="BV502" s="3">
        <v>124</v>
      </c>
      <c r="BW502" s="3">
        <v>124</v>
      </c>
      <c r="BX502" s="70">
        <v>-6.0975609756097615E-2</v>
      </c>
      <c r="BY502" s="70">
        <v>0</v>
      </c>
      <c r="BZ502" s="59">
        <v>1.3225806451612903</v>
      </c>
      <c r="CA502" s="59">
        <v>1.2419354838709677</v>
      </c>
      <c r="CB502" s="59">
        <v>2.1208507223113968</v>
      </c>
      <c r="CC502" s="59">
        <v>1.653996789727127</v>
      </c>
      <c r="CD502" s="60">
        <v>95</v>
      </c>
      <c r="CE502" s="60">
        <v>61</v>
      </c>
      <c r="CF502" s="61">
        <v>1.5248796147672552</v>
      </c>
      <c r="CG502" s="61">
        <v>0.9791332263242376</v>
      </c>
      <c r="CH502" s="61">
        <v>0.64210526315789473</v>
      </c>
      <c r="CI502" s="41">
        <v>16.399999999999999</v>
      </c>
      <c r="CJ502" s="40">
        <f>VLOOKUP(paper3[[#This Row],[YYIR nivå]],$DB:$DC,2)</f>
        <v>1240</v>
      </c>
      <c r="CK502" s="3" t="s">
        <v>190</v>
      </c>
      <c r="CL502" s="114"/>
      <c r="CM502" s="115" t="s">
        <v>110</v>
      </c>
      <c r="CN502" s="3">
        <v>164</v>
      </c>
      <c r="CO502" s="3">
        <v>124</v>
      </c>
      <c r="CP502" s="41">
        <v>14.683333333333334</v>
      </c>
      <c r="CQ502" s="3" t="s">
        <v>133</v>
      </c>
      <c r="CR502" s="40">
        <v>159</v>
      </c>
      <c r="CS502" s="40">
        <v>124</v>
      </c>
      <c r="CT502" s="40">
        <v>275.5</v>
      </c>
      <c r="CU502" s="40"/>
      <c r="CV502" s="40"/>
      <c r="CW502" s="40"/>
      <c r="CX502" s="40"/>
      <c r="CY502" s="40">
        <v>0</v>
      </c>
      <c r="CZ502" s="40"/>
      <c r="DA502" s="40"/>
    </row>
    <row r="503" spans="1:105" ht="15.95" customHeight="1">
      <c r="A503" s="46">
        <v>141</v>
      </c>
      <c r="B503" s="38" t="s">
        <v>103</v>
      </c>
      <c r="C503" s="46" t="s">
        <v>115</v>
      </c>
      <c r="D503" s="46" t="s">
        <v>215</v>
      </c>
      <c r="E503" s="86">
        <v>44826</v>
      </c>
      <c r="F503" s="46" t="s">
        <v>106</v>
      </c>
      <c r="G503" s="46" t="s">
        <v>122</v>
      </c>
      <c r="H503" s="46">
        <v>2008</v>
      </c>
      <c r="I503" s="84" t="s">
        <v>108</v>
      </c>
      <c r="J503" s="86" t="s">
        <v>123</v>
      </c>
      <c r="K503" s="3"/>
      <c r="L503" s="3"/>
      <c r="M503" s="3"/>
      <c r="N503" s="3"/>
      <c r="O503" s="3"/>
      <c r="P503" s="3"/>
      <c r="Q503" s="3"/>
      <c r="R503" s="3"/>
      <c r="S503" s="3"/>
      <c r="T503" s="42"/>
      <c r="U503" s="42"/>
      <c r="V503" s="12"/>
      <c r="W503" s="73"/>
      <c r="X503" s="43"/>
      <c r="Y503" s="3"/>
      <c r="Z503" s="3"/>
      <c r="AA503" s="3"/>
      <c r="AB503" s="3"/>
      <c r="AC503" s="3"/>
      <c r="AD503" s="3"/>
      <c r="AE503" s="3"/>
      <c r="AF503" s="3"/>
      <c r="AG503" s="3"/>
      <c r="AH503" s="44"/>
      <c r="AI503" s="44"/>
      <c r="AJ503" s="44"/>
      <c r="AK503" s="45"/>
      <c r="AL503" s="3"/>
      <c r="AM503" s="3"/>
      <c r="AN503" s="3"/>
      <c r="AO503" s="3"/>
      <c r="AP503" s="3"/>
      <c r="AQ503" s="47"/>
      <c r="AR503" s="47"/>
      <c r="AS503" s="3"/>
      <c r="AT503" s="3"/>
      <c r="AU503" s="3"/>
      <c r="AV503" s="3"/>
      <c r="AW503" s="3"/>
      <c r="AX503" s="48"/>
      <c r="AY503" s="71"/>
      <c r="AZ503" s="3"/>
      <c r="BA503" s="3"/>
      <c r="BB503" s="3"/>
      <c r="BC503" s="3"/>
      <c r="BD503" s="3"/>
      <c r="BE503" s="3"/>
      <c r="BF503" s="3"/>
      <c r="BG503" s="3"/>
      <c r="BH503" s="3"/>
      <c r="BI503" s="49"/>
      <c r="BJ503" s="49"/>
      <c r="BK503" s="66"/>
      <c r="BL503" s="66"/>
      <c r="BM503" s="51"/>
      <c r="BN503" s="51"/>
      <c r="BO503" s="52"/>
      <c r="BP503" s="40"/>
      <c r="BQ503" s="40"/>
      <c r="BR503" s="67"/>
      <c r="BS503" s="54" t="s">
        <v>110</v>
      </c>
      <c r="BT503" s="46"/>
      <c r="BU503" s="84"/>
      <c r="BV503" s="46"/>
      <c r="BW503" s="3"/>
      <c r="BX503" s="70"/>
      <c r="BY503" s="70"/>
      <c r="BZ503" s="59"/>
      <c r="CA503" s="59"/>
      <c r="CB503" s="59" t="s">
        <v>110</v>
      </c>
      <c r="CC503" s="59" t="s">
        <v>110</v>
      </c>
      <c r="CD503" s="60"/>
      <c r="CE503" s="60"/>
      <c r="CF503" s="61"/>
      <c r="CG503" s="61"/>
      <c r="CH503" s="61"/>
      <c r="CI503" s="41">
        <v>17.2</v>
      </c>
      <c r="CJ503" s="40">
        <f>VLOOKUP(paper3[[#This Row],[YYIR nivå]],$DB:$DC,2)</f>
        <v>1480</v>
      </c>
      <c r="CK503" s="3" t="s">
        <v>190</v>
      </c>
      <c r="CL503" s="114">
        <v>46877</v>
      </c>
      <c r="CM503" s="115">
        <v>46.877000000000002</v>
      </c>
      <c r="CN503" s="3"/>
      <c r="CO503" s="3"/>
      <c r="CP503" s="41">
        <v>13.33</v>
      </c>
      <c r="CQ503" s="3" t="s">
        <v>135</v>
      </c>
      <c r="CR503" s="40" t="s">
        <v>110</v>
      </c>
      <c r="CS503" s="40" t="s">
        <v>110</v>
      </c>
      <c r="CT503" s="40" t="s">
        <v>110</v>
      </c>
      <c r="CU503" s="40"/>
      <c r="CV503" s="40"/>
      <c r="CW503" s="40"/>
      <c r="CX503" s="40"/>
      <c r="CY503" s="40">
        <v>0</v>
      </c>
      <c r="CZ503" s="40"/>
      <c r="DA503" s="40"/>
    </row>
    <row r="504" spans="1:105" ht="15.75" customHeight="1">
      <c r="A504" s="3">
        <v>143</v>
      </c>
      <c r="B504" s="38" t="s">
        <v>103</v>
      </c>
      <c r="C504" s="3" t="s">
        <v>115</v>
      </c>
      <c r="D504" s="3" t="s">
        <v>215</v>
      </c>
      <c r="E504" s="39">
        <v>44826</v>
      </c>
      <c r="F504" s="3" t="s">
        <v>106</v>
      </c>
      <c r="G504" s="3" t="s">
        <v>122</v>
      </c>
      <c r="H504" s="3">
        <v>2008</v>
      </c>
      <c r="I504" s="40" t="s">
        <v>108</v>
      </c>
      <c r="J504" s="39" t="s">
        <v>123</v>
      </c>
      <c r="K504" s="3">
        <v>166.3</v>
      </c>
      <c r="L504" s="3">
        <v>166.1</v>
      </c>
      <c r="M504" s="3"/>
      <c r="N504" s="3">
        <v>140.30000000000001</v>
      </c>
      <c r="O504" s="3">
        <v>140</v>
      </c>
      <c r="P504" s="3">
        <v>140.30000000000001</v>
      </c>
      <c r="Q504" s="3">
        <v>50.7</v>
      </c>
      <c r="R504" s="3"/>
      <c r="S504" s="3"/>
      <c r="T504" s="42">
        <v>166.2</v>
      </c>
      <c r="U504" s="42">
        <f>AVERAGE(paper3[[#This Row],[Sittende høyde 1]:[Sittende høyde 3]])-56.2</f>
        <v>84.000000000000014</v>
      </c>
      <c r="V504" s="12">
        <f>paper3[[#This Row],[height]]-paper3[[#This Row],[sittingheight]]</f>
        <v>82.199999999999974</v>
      </c>
      <c r="W504" s="73">
        <v>50.7</v>
      </c>
      <c r="X504" s="43" cm="1">
        <f t="array" ref="X504">INDEX([1]!phvny[yphv], MATCH(1, (paper3[[#This Row],[id]]=[1]!phvny[id])*(paper3[[#This Row],[time]]=[1]!phvny[time]), 0))</f>
        <v>-0.10780059447653245</v>
      </c>
      <c r="Y504" s="3">
        <v>1.96</v>
      </c>
      <c r="Z504" s="3">
        <v>3.35</v>
      </c>
      <c r="AA504" s="3">
        <v>4.7</v>
      </c>
      <c r="AB504" s="3">
        <v>1.98</v>
      </c>
      <c r="AC504" s="3">
        <v>3.39</v>
      </c>
      <c r="AD504" s="3">
        <v>4.75</v>
      </c>
      <c r="AE504" s="3">
        <v>2.0299999999999998</v>
      </c>
      <c r="AF504" s="3">
        <v>3.44</v>
      </c>
      <c r="AG504" s="3">
        <v>4.83</v>
      </c>
      <c r="AH504" s="44">
        <v>1.96</v>
      </c>
      <c r="AI504" s="44">
        <v>3.35</v>
      </c>
      <c r="AJ504" s="44">
        <v>4.7</v>
      </c>
      <c r="AK504" s="45">
        <v>7.4074074074074066</v>
      </c>
      <c r="AL504" s="46"/>
      <c r="AM504" s="3">
        <v>9.8800000000000008</v>
      </c>
      <c r="AN504" s="3">
        <v>10.33</v>
      </c>
      <c r="AO504" s="3"/>
      <c r="AP504" s="3">
        <v>9.8800000000000008</v>
      </c>
      <c r="AQ504" s="47">
        <v>9.8800000000000008</v>
      </c>
      <c r="AR504" s="47">
        <v>10.33</v>
      </c>
      <c r="AS504" s="3">
        <v>41.26</v>
      </c>
      <c r="AT504" s="3">
        <v>34.409999999999997</v>
      </c>
      <c r="AU504" s="3">
        <v>38.99</v>
      </c>
      <c r="AV504" s="3"/>
      <c r="AW504" s="3"/>
      <c r="AX504" s="48">
        <v>41.26</v>
      </c>
      <c r="AY504" s="71"/>
      <c r="AZ504" s="3"/>
      <c r="BA504" s="3"/>
      <c r="BB504" s="3"/>
      <c r="BC504" s="3">
        <v>260</v>
      </c>
      <c r="BD504" s="40">
        <v>1102.753602037767</v>
      </c>
      <c r="BE504" s="40">
        <v>1070.4887165472423</v>
      </c>
      <c r="BF504" s="40"/>
      <c r="BG504" s="40">
        <v>439.63966753618803</v>
      </c>
      <c r="BH504" s="40">
        <v>430.12202538227109</v>
      </c>
      <c r="BI504" s="49">
        <v>2173.2423185850093</v>
      </c>
      <c r="BJ504" s="49">
        <v>869.76169291845918</v>
      </c>
      <c r="BK504" s="66">
        <v>3.014033216024159E-2</v>
      </c>
      <c r="BL504" s="66">
        <v>2.2127772102482179E-2</v>
      </c>
      <c r="BM504" s="51">
        <v>42.864740011538643</v>
      </c>
      <c r="BN504" s="51">
        <v>17.155062976695447</v>
      </c>
      <c r="BO504" s="52">
        <v>295</v>
      </c>
      <c r="BP504" s="40">
        <v>295</v>
      </c>
      <c r="BQ504" s="40">
        <v>258</v>
      </c>
      <c r="BR504" s="67">
        <v>0.14341085271317833</v>
      </c>
      <c r="BS504" s="54">
        <v>5.4536489151873768</v>
      </c>
      <c r="BT504" s="3">
        <v>127</v>
      </c>
      <c r="BU504" s="40">
        <v>136</v>
      </c>
      <c r="BV504" s="3">
        <v>116</v>
      </c>
      <c r="BW504" s="3">
        <v>114</v>
      </c>
      <c r="BX504" s="70">
        <v>-6.6176470588235281E-2</v>
      </c>
      <c r="BY504" s="70">
        <v>1.7543859649122862E-2</v>
      </c>
      <c r="BZ504" s="59">
        <v>1.1929824561403508</v>
      </c>
      <c r="CA504" s="59">
        <v>1.0948275862068966</v>
      </c>
      <c r="CB504" s="59">
        <v>2.1320118343195258</v>
      </c>
      <c r="CC504" s="59">
        <v>1.8644970414201176</v>
      </c>
      <c r="CD504" s="60">
        <v>94</v>
      </c>
      <c r="CE504" s="60">
        <v>83</v>
      </c>
      <c r="CF504" s="61">
        <v>1.8540433925049309</v>
      </c>
      <c r="CG504" s="61">
        <v>1.6370808678500985</v>
      </c>
      <c r="CH504" s="61">
        <v>0.88297872340425532</v>
      </c>
      <c r="CI504" s="41">
        <v>16.2</v>
      </c>
      <c r="CJ504" s="40">
        <f>VLOOKUP(paper3[[#This Row],[YYIR nivå]],$DB:$DC,2)</f>
        <v>1160</v>
      </c>
      <c r="CK504" s="3" t="s">
        <v>190</v>
      </c>
      <c r="CL504" s="114">
        <v>34345</v>
      </c>
      <c r="CM504" s="115">
        <v>34.344999999999999</v>
      </c>
      <c r="CN504" s="3">
        <v>136</v>
      </c>
      <c r="CO504" s="3">
        <v>116</v>
      </c>
      <c r="CP504" s="41">
        <v>13.972222222222221</v>
      </c>
      <c r="CQ504" s="3" t="s">
        <v>137</v>
      </c>
      <c r="CR504" s="40">
        <v>131.5</v>
      </c>
      <c r="CS504" s="40">
        <v>115</v>
      </c>
      <c r="CT504" s="40">
        <v>276.5</v>
      </c>
      <c r="CU504" s="40"/>
      <c r="CV504" s="40"/>
      <c r="CW504" s="40"/>
      <c r="CX504" s="40"/>
      <c r="CY504" s="40">
        <v>0</v>
      </c>
      <c r="CZ504" s="40"/>
      <c r="DA504" s="40"/>
    </row>
    <row r="505" spans="1:105" ht="15.75" customHeight="1">
      <c r="A505" s="3">
        <v>145</v>
      </c>
      <c r="B505" s="38" t="s">
        <v>103</v>
      </c>
      <c r="C505" s="3">
        <v>0</v>
      </c>
      <c r="D505" s="3" t="s">
        <v>215</v>
      </c>
      <c r="E505" s="39">
        <v>44826</v>
      </c>
      <c r="F505" s="3" t="s">
        <v>106</v>
      </c>
      <c r="G505" s="3" t="s">
        <v>122</v>
      </c>
      <c r="H505" s="3">
        <v>2008</v>
      </c>
      <c r="I505" s="40" t="s">
        <v>108</v>
      </c>
      <c r="J505" s="39" t="s">
        <v>123</v>
      </c>
      <c r="K505" s="3">
        <v>167.6</v>
      </c>
      <c r="L505" s="3">
        <v>167.5</v>
      </c>
      <c r="M505" s="3"/>
      <c r="N505" s="3">
        <v>138.9</v>
      </c>
      <c r="O505" s="3">
        <v>138</v>
      </c>
      <c r="P505" s="3">
        <v>137.9</v>
      </c>
      <c r="Q505" s="3">
        <v>48.3</v>
      </c>
      <c r="R505" s="3"/>
      <c r="S505" s="3"/>
      <c r="T505" s="42">
        <v>167.55</v>
      </c>
      <c r="U505" s="42">
        <f>AVERAGE(paper3[[#This Row],[Sittende høyde 1]:[Sittende høyde 3]])-56.2</f>
        <v>82.066666666666649</v>
      </c>
      <c r="V505" s="12">
        <f>paper3[[#This Row],[height]]-paper3[[#This Row],[sittingheight]]</f>
        <v>85.483333333333363</v>
      </c>
      <c r="W505" s="73">
        <v>48.3</v>
      </c>
      <c r="X505" s="43" cm="1">
        <f t="array" ref="X505">INDEX([1]!phvny[yphv], MATCH(1, (paper3[[#This Row],[id]]=[1]!phvny[id])*(paper3[[#This Row],[time]]=[1]!phvny[time]), 0))</f>
        <v>-0.36129723487049548</v>
      </c>
      <c r="Y505" s="3">
        <v>2</v>
      </c>
      <c r="Z505" s="3">
        <v>3.36</v>
      </c>
      <c r="AA505" s="3">
        <v>4.63</v>
      </c>
      <c r="AB505" s="3">
        <v>1.98</v>
      </c>
      <c r="AC505" s="3">
        <v>3.34</v>
      </c>
      <c r="AD505" s="3">
        <v>4.62</v>
      </c>
      <c r="AE505" s="3">
        <v>1.94</v>
      </c>
      <c r="AF505" s="3">
        <v>3.27</v>
      </c>
      <c r="AG505" s="3">
        <v>4.53</v>
      </c>
      <c r="AH505" s="44">
        <v>1.94</v>
      </c>
      <c r="AI505" s="44">
        <v>3.27</v>
      </c>
      <c r="AJ505" s="44">
        <v>4.53</v>
      </c>
      <c r="AK505" s="45">
        <v>7.936507936507935</v>
      </c>
      <c r="AL505" s="3">
        <v>10.6</v>
      </c>
      <c r="AM505" s="3">
        <v>10.5</v>
      </c>
      <c r="AN505" s="3">
        <v>10.56</v>
      </c>
      <c r="AO505" s="3">
        <v>10.41</v>
      </c>
      <c r="AP505" s="3">
        <v>10.41</v>
      </c>
      <c r="AQ505" s="47">
        <v>10.5</v>
      </c>
      <c r="AR505" s="47">
        <v>10.41</v>
      </c>
      <c r="AS505" s="3">
        <v>37.14</v>
      </c>
      <c r="AT505" s="3">
        <v>40.89</v>
      </c>
      <c r="AU505" s="3">
        <v>36.659999999999997</v>
      </c>
      <c r="AV505" s="3"/>
      <c r="AW505" s="3"/>
      <c r="AX505" s="48">
        <v>40.89</v>
      </c>
      <c r="AY505" s="71"/>
      <c r="AZ505" s="3"/>
      <c r="BA505" s="3"/>
      <c r="BB505" s="3"/>
      <c r="BC505" s="3">
        <v>301</v>
      </c>
      <c r="BD505" s="40">
        <v>1284.8277191801963</v>
      </c>
      <c r="BE505" s="40">
        <v>1234.3202777342997</v>
      </c>
      <c r="BF505" s="40"/>
      <c r="BG505" s="40">
        <v>538.97395704781763</v>
      </c>
      <c r="BH505" s="40">
        <v>476.5919456092056</v>
      </c>
      <c r="BI505" s="49">
        <v>2519.1479969144957</v>
      </c>
      <c r="BJ505" s="49">
        <v>1015.5659026570232</v>
      </c>
      <c r="BK505" s="66">
        <v>4.0919234948167071E-2</v>
      </c>
      <c r="BL505" s="66">
        <v>0.13089187094606047</v>
      </c>
      <c r="BM505" s="51">
        <v>52.156273228043389</v>
      </c>
      <c r="BN505" s="51">
        <v>21.026209164741683</v>
      </c>
      <c r="BO505" s="52">
        <v>284</v>
      </c>
      <c r="BP505" s="40">
        <v>238</v>
      </c>
      <c r="BQ505" s="40">
        <v>284</v>
      </c>
      <c r="BR505" s="67">
        <v>-0.1619718309859155</v>
      </c>
      <c r="BS505" s="54">
        <v>5.4037267080745348</v>
      </c>
      <c r="BT505" s="3">
        <v>122</v>
      </c>
      <c r="BU505" s="40">
        <v>120</v>
      </c>
      <c r="BV505" s="3">
        <v>124</v>
      </c>
      <c r="BW505" s="3">
        <v>115</v>
      </c>
      <c r="BX505" s="70">
        <v>1.6666666666666607E-2</v>
      </c>
      <c r="BY505" s="70">
        <v>7.8260869565217384E-2</v>
      </c>
      <c r="BZ505" s="59">
        <v>1.0434782608695652</v>
      </c>
      <c r="CA505" s="59">
        <v>0.9838709677419355</v>
      </c>
      <c r="CB505" s="59">
        <v>2.1415079365079372</v>
      </c>
      <c r="CC505" s="59">
        <v>2.1149603174603184</v>
      </c>
      <c r="CD505" s="60">
        <v>67</v>
      </c>
      <c r="CE505" s="60">
        <v>71</v>
      </c>
      <c r="CF505" s="61">
        <v>1.3871635610766047</v>
      </c>
      <c r="CG505" s="61">
        <v>1.4699792960662528</v>
      </c>
      <c r="CH505" s="61">
        <v>1.0597014925373134</v>
      </c>
      <c r="CI505" s="41">
        <v>15.7</v>
      </c>
      <c r="CJ505" s="40">
        <f>VLOOKUP(paper3[[#This Row],[YYIR nivå]],$DB:$DC,2)</f>
        <v>1040</v>
      </c>
      <c r="CK505" s="3" t="s">
        <v>190</v>
      </c>
      <c r="CL505" s="114">
        <v>34794</v>
      </c>
      <c r="CM505" s="115">
        <v>34.793999999999997</v>
      </c>
      <c r="CN505" s="3">
        <v>122</v>
      </c>
      <c r="CO505" s="3">
        <v>124</v>
      </c>
      <c r="CP505" s="41">
        <v>14.030555555555555</v>
      </c>
      <c r="CQ505" s="3" t="s">
        <v>140</v>
      </c>
      <c r="CR505" s="40">
        <v>121</v>
      </c>
      <c r="CS505" s="40">
        <v>119.5</v>
      </c>
      <c r="CT505" s="40">
        <v>261</v>
      </c>
      <c r="CU505" s="40"/>
      <c r="CV505" s="40"/>
      <c r="CW505" s="40"/>
      <c r="CX505" s="40"/>
      <c r="CY505" s="40">
        <v>0</v>
      </c>
      <c r="CZ505" s="40"/>
      <c r="DA505" s="40"/>
    </row>
    <row r="506" spans="1:105" ht="15.95" customHeight="1">
      <c r="A506" s="3">
        <v>146</v>
      </c>
      <c r="B506" s="38" t="s">
        <v>103</v>
      </c>
      <c r="C506" s="3" t="s">
        <v>115</v>
      </c>
      <c r="D506" s="3" t="s">
        <v>215</v>
      </c>
      <c r="E506" s="39">
        <v>44826</v>
      </c>
      <c r="F506" s="3" t="s">
        <v>106</v>
      </c>
      <c r="G506" s="3" t="s">
        <v>122</v>
      </c>
      <c r="H506" s="3">
        <v>2008</v>
      </c>
      <c r="I506" s="40" t="s">
        <v>108</v>
      </c>
      <c r="J506" s="39" t="s">
        <v>123</v>
      </c>
      <c r="K506" s="3">
        <v>162.19999999999999</v>
      </c>
      <c r="L506" s="3">
        <v>162.19999999999999</v>
      </c>
      <c r="M506" s="3"/>
      <c r="N506" s="3">
        <v>136.69999999999999</v>
      </c>
      <c r="O506" s="3">
        <v>136.69999999999999</v>
      </c>
      <c r="P506" s="3"/>
      <c r="Q506" s="3">
        <v>45.7</v>
      </c>
      <c r="R506" s="3"/>
      <c r="S506" s="3"/>
      <c r="T506" s="42">
        <v>162.19999999999999</v>
      </c>
      <c r="U506" s="42">
        <f>AVERAGE(paper3[[#This Row],[Sittende høyde 1]:[Sittende høyde 3]])-56.2</f>
        <v>80.499999999999986</v>
      </c>
      <c r="V506" s="12">
        <f>paper3[[#This Row],[height]]-paper3[[#This Row],[sittingheight]]</f>
        <v>81.7</v>
      </c>
      <c r="W506" s="73">
        <v>45.7</v>
      </c>
      <c r="X506" s="43" cm="1">
        <f t="array" ref="X506">INDEX([1]!phvny[yphv], MATCH(1, (paper3[[#This Row],[id]]=[1]!phvny[id])*(paper3[[#This Row],[time]]=[1]!phvny[time]), 0))</f>
        <v>-0.51587867289457712</v>
      </c>
      <c r="Y506" s="3">
        <v>1.98</v>
      </c>
      <c r="Z506" s="3">
        <v>3.3</v>
      </c>
      <c r="AA506" s="3">
        <v>4.58</v>
      </c>
      <c r="AB506" s="3">
        <v>2.0099999999999998</v>
      </c>
      <c r="AC506" s="3">
        <v>3.36</v>
      </c>
      <c r="AD506" s="3">
        <v>4.6399999999999997</v>
      </c>
      <c r="AE506" s="3">
        <v>1.91</v>
      </c>
      <c r="AF506" s="3">
        <v>3.24</v>
      </c>
      <c r="AG506" s="3">
        <v>4.5199999999999996</v>
      </c>
      <c r="AH506" s="44">
        <v>1.91</v>
      </c>
      <c r="AI506" s="44">
        <v>3.24</v>
      </c>
      <c r="AJ506" s="44">
        <v>4.5199999999999996</v>
      </c>
      <c r="AK506" s="45">
        <v>7.8125000000000036</v>
      </c>
      <c r="AL506" s="3">
        <v>9.8800000000000008</v>
      </c>
      <c r="AM506" s="3">
        <v>9.9700000000000006</v>
      </c>
      <c r="AN506" s="3">
        <v>10.039999999999999</v>
      </c>
      <c r="AO506" s="3">
        <v>9.83</v>
      </c>
      <c r="AP506" s="3">
        <v>9.83</v>
      </c>
      <c r="AQ506" s="47">
        <v>9.8800000000000008</v>
      </c>
      <c r="AR506" s="47">
        <v>9.83</v>
      </c>
      <c r="AS506" s="3">
        <v>30.69</v>
      </c>
      <c r="AT506" s="3">
        <v>32.18</v>
      </c>
      <c r="AU506" s="3">
        <v>33.590000000000003</v>
      </c>
      <c r="AV506" s="3"/>
      <c r="AW506" s="3"/>
      <c r="AX506" s="48">
        <v>33.590000000000003</v>
      </c>
      <c r="AY506" s="71"/>
      <c r="AZ506" s="3"/>
      <c r="BA506" s="3"/>
      <c r="BB506" s="3"/>
      <c r="BC506" s="3">
        <v>262</v>
      </c>
      <c r="BD506" s="40">
        <v>961.14529761439826</v>
      </c>
      <c r="BE506" s="40">
        <v>1010.2856206602096</v>
      </c>
      <c r="BF506" s="40"/>
      <c r="BG506" s="40">
        <v>400.43344972090972</v>
      </c>
      <c r="BH506" s="40">
        <v>433.41470728224681</v>
      </c>
      <c r="BI506" s="49">
        <v>1971.4309182746078</v>
      </c>
      <c r="BJ506" s="49">
        <v>833.84815700315653</v>
      </c>
      <c r="BK506" s="66">
        <v>-4.8640030146819946E-2</v>
      </c>
      <c r="BL506" s="66">
        <v>-7.6096304548934346E-2</v>
      </c>
      <c r="BM506" s="51">
        <v>43.138532128547212</v>
      </c>
      <c r="BN506" s="51">
        <v>18.246130350178479</v>
      </c>
      <c r="BO506" s="52">
        <v>250</v>
      </c>
      <c r="BP506" s="40">
        <v>237</v>
      </c>
      <c r="BQ506" s="40">
        <v>250</v>
      </c>
      <c r="BR506" s="67">
        <v>-5.2000000000000046E-2</v>
      </c>
      <c r="BS506" s="54">
        <v>5.3282275711159732</v>
      </c>
      <c r="BT506" s="3">
        <v>128</v>
      </c>
      <c r="BU506" s="40">
        <v>125</v>
      </c>
      <c r="BV506" s="3">
        <v>97</v>
      </c>
      <c r="BW506" s="3">
        <v>106</v>
      </c>
      <c r="BX506" s="70">
        <v>2.4000000000000021E-2</v>
      </c>
      <c r="BY506" s="70">
        <v>-8.4905660377358472E-2</v>
      </c>
      <c r="BZ506" s="59">
        <v>1.179245283018868</v>
      </c>
      <c r="CA506" s="59">
        <v>1.3195876288659794</v>
      </c>
      <c r="CB506" s="59">
        <v>2.2614989059080965</v>
      </c>
      <c r="CC506" s="59">
        <v>1.8145623632385119</v>
      </c>
      <c r="CD506" s="60">
        <v>121</v>
      </c>
      <c r="CE506" s="60">
        <v>100</v>
      </c>
      <c r="CF506" s="61">
        <v>2.6477024070021882</v>
      </c>
      <c r="CG506" s="61">
        <v>2.1881838074398248</v>
      </c>
      <c r="CH506" s="61">
        <v>0.82644628099173545</v>
      </c>
      <c r="CI506" s="41">
        <v>17.2</v>
      </c>
      <c r="CJ506" s="40">
        <f>VLOOKUP(paper3[[#This Row],[YYIR nivå]],$DB:$DC,2)</f>
        <v>1480</v>
      </c>
      <c r="CK506" s="3" t="s">
        <v>190</v>
      </c>
      <c r="CL506" s="114">
        <v>31630</v>
      </c>
      <c r="CM506" s="115">
        <v>31.63</v>
      </c>
      <c r="CN506" s="3">
        <v>128</v>
      </c>
      <c r="CO506" s="3">
        <v>106</v>
      </c>
      <c r="CP506" s="41">
        <v>14.141666666666667</v>
      </c>
      <c r="CQ506" s="3" t="s">
        <v>141</v>
      </c>
      <c r="CR506" s="40">
        <v>126.5</v>
      </c>
      <c r="CS506" s="40">
        <v>101.5</v>
      </c>
      <c r="CT506" s="40">
        <v>243.5</v>
      </c>
      <c r="CU506" s="40"/>
      <c r="CV506" s="40"/>
      <c r="CW506" s="40"/>
      <c r="CX506" s="40"/>
      <c r="CY506" s="40">
        <v>0</v>
      </c>
      <c r="CZ506" s="40"/>
      <c r="DA506" s="40"/>
    </row>
    <row r="507" spans="1:105" ht="15.95" customHeight="1">
      <c r="A507" s="3">
        <v>147</v>
      </c>
      <c r="B507" s="38" t="s">
        <v>103</v>
      </c>
      <c r="C507" s="3" t="s">
        <v>115</v>
      </c>
      <c r="D507" s="3" t="s">
        <v>215</v>
      </c>
      <c r="E507" s="39">
        <v>44826</v>
      </c>
      <c r="F507" s="3" t="s">
        <v>106</v>
      </c>
      <c r="G507" s="3" t="s">
        <v>122</v>
      </c>
      <c r="H507" s="3">
        <v>2008</v>
      </c>
      <c r="I507" s="40" t="s">
        <v>108</v>
      </c>
      <c r="J507" s="39" t="s">
        <v>123</v>
      </c>
      <c r="K507" s="3">
        <v>159.1</v>
      </c>
      <c r="L507" s="3">
        <v>159</v>
      </c>
      <c r="M507" s="3"/>
      <c r="N507" s="3">
        <v>138.19999999999999</v>
      </c>
      <c r="O507" s="3">
        <v>138.1</v>
      </c>
      <c r="P507" s="3"/>
      <c r="Q507" s="3">
        <v>53</v>
      </c>
      <c r="R507" s="3"/>
      <c r="S507" s="3"/>
      <c r="T507" s="42">
        <v>159.05000000000001</v>
      </c>
      <c r="U507" s="42">
        <f>AVERAGE(paper3[[#This Row],[Sittende høyde 1]:[Sittende høyde 3]])-56.2</f>
        <v>81.949999999999974</v>
      </c>
      <c r="V507" s="12">
        <f>paper3[[#This Row],[height]]-paper3[[#This Row],[sittingheight]]</f>
        <v>77.100000000000037</v>
      </c>
      <c r="W507" s="73">
        <v>53</v>
      </c>
      <c r="X507" s="43" cm="1">
        <f t="array" ref="X507">INDEX([1]!phvny[yphv], MATCH(1, (paper3[[#This Row],[id]]=[1]!phvny[id])*(paper3[[#This Row],[time]]=[1]!phvny[time]), 0))</f>
        <v>-4.7077283100829148E-2</v>
      </c>
      <c r="Y507" s="3">
        <v>2</v>
      </c>
      <c r="Z507" s="3">
        <v>3.42</v>
      </c>
      <c r="AA507" s="3">
        <v>4.78</v>
      </c>
      <c r="AB507" s="3">
        <v>1.91</v>
      </c>
      <c r="AC507" s="3">
        <v>3.29</v>
      </c>
      <c r="AD507" s="3">
        <v>4.58</v>
      </c>
      <c r="AE507" s="3">
        <v>1.94</v>
      </c>
      <c r="AF507" s="3">
        <v>3.34</v>
      </c>
      <c r="AG507" s="3">
        <v>4.67</v>
      </c>
      <c r="AH507" s="44">
        <v>1.91</v>
      </c>
      <c r="AI507" s="44">
        <v>3.29</v>
      </c>
      <c r="AJ507" s="44">
        <v>4.58</v>
      </c>
      <c r="AK507" s="45">
        <v>7.7519379844961236</v>
      </c>
      <c r="AL507" s="3">
        <v>9.6999999999999993</v>
      </c>
      <c r="AM507" s="3">
        <v>12.42</v>
      </c>
      <c r="AN507" s="3"/>
      <c r="AO507" s="3">
        <v>9.9700000000000006</v>
      </c>
      <c r="AP507" s="3">
        <v>9.6999999999999993</v>
      </c>
      <c r="AQ507" s="47">
        <v>9.6999999999999993</v>
      </c>
      <c r="AR507" s="47">
        <v>9.9700000000000006</v>
      </c>
      <c r="AS507" s="3">
        <v>27.91</v>
      </c>
      <c r="AT507" s="3">
        <v>33.380000000000003</v>
      </c>
      <c r="AU507" s="3">
        <v>34.450000000000003</v>
      </c>
      <c r="AV507" s="3"/>
      <c r="AW507" s="3"/>
      <c r="AX507" s="48">
        <v>34.450000000000003</v>
      </c>
      <c r="AY507" s="71"/>
      <c r="AZ507" s="3"/>
      <c r="BA507" s="3"/>
      <c r="BB507" s="3"/>
      <c r="BC507" s="3">
        <v>285</v>
      </c>
      <c r="BD507" s="40">
        <v>1121.5869618563938</v>
      </c>
      <c r="BE507" s="40">
        <v>1112.8036772144374</v>
      </c>
      <c r="BF507" s="40"/>
      <c r="BG507" s="40">
        <v>442.51875369924022</v>
      </c>
      <c r="BH507" s="40">
        <v>435.76210339899842</v>
      </c>
      <c r="BI507" s="49">
        <v>2234.3906390708312</v>
      </c>
      <c r="BJ507" s="49">
        <v>878.28085709823858</v>
      </c>
      <c r="BK507" s="66">
        <v>7.8929327983014996E-3</v>
      </c>
      <c r="BL507" s="66">
        <v>1.5505364618765727E-2</v>
      </c>
      <c r="BM507" s="51">
        <v>42.158313944732662</v>
      </c>
      <c r="BN507" s="51">
        <v>16.571336926381861</v>
      </c>
      <c r="BO507" s="52">
        <v>348</v>
      </c>
      <c r="BP507" s="40">
        <v>309</v>
      </c>
      <c r="BQ507" s="40">
        <v>348</v>
      </c>
      <c r="BR507" s="67">
        <v>-0.11206896551724133</v>
      </c>
      <c r="BS507" s="54">
        <v>6.1981132075471699</v>
      </c>
      <c r="BT507" s="3">
        <v>161</v>
      </c>
      <c r="BU507" s="40">
        <v>171</v>
      </c>
      <c r="BV507" s="3">
        <v>141</v>
      </c>
      <c r="BW507" s="3">
        <v>155</v>
      </c>
      <c r="BX507" s="70">
        <v>-5.8479532163742687E-2</v>
      </c>
      <c r="BY507" s="70">
        <v>-9.0322580645161299E-2</v>
      </c>
      <c r="BZ507" s="59">
        <v>1.1032258064516129</v>
      </c>
      <c r="CA507" s="59">
        <v>1.1418439716312057</v>
      </c>
      <c r="CB507" s="59">
        <v>2.4148301886792463</v>
      </c>
      <c r="CC507" s="59">
        <v>2.1529811320754724</v>
      </c>
      <c r="CD507" s="60">
        <v>125</v>
      </c>
      <c r="CE507" s="60">
        <v>122</v>
      </c>
      <c r="CF507" s="61">
        <v>2.358490566037736</v>
      </c>
      <c r="CG507" s="61">
        <v>2.3018867924528301</v>
      </c>
      <c r="CH507" s="61">
        <v>0.97599999999999987</v>
      </c>
      <c r="CI507" s="41">
        <v>17.399999999999999</v>
      </c>
      <c r="CJ507" s="40">
        <f>VLOOKUP(paper3[[#This Row],[YYIR nivå]],$DB:$DC,2)</f>
        <v>1560</v>
      </c>
      <c r="CK507" s="3" t="s">
        <v>190</v>
      </c>
      <c r="CL507" s="114">
        <v>36591</v>
      </c>
      <c r="CM507" s="115">
        <v>36.591000000000001</v>
      </c>
      <c r="CN507" s="3">
        <v>171</v>
      </c>
      <c r="CO507" s="3">
        <v>155</v>
      </c>
      <c r="CP507" s="41">
        <v>14.497222222222222</v>
      </c>
      <c r="CQ507" s="3" t="s">
        <v>142</v>
      </c>
      <c r="CR507" s="40">
        <v>166</v>
      </c>
      <c r="CS507" s="40">
        <v>148</v>
      </c>
      <c r="CT507" s="40">
        <v>328.5</v>
      </c>
      <c r="CU507" s="40"/>
      <c r="CV507" s="40"/>
      <c r="CW507" s="40"/>
      <c r="CX507" s="40"/>
      <c r="CY507" s="40">
        <v>0</v>
      </c>
      <c r="CZ507" s="40"/>
      <c r="DA507" s="40"/>
    </row>
    <row r="508" spans="1:105" ht="18.75" customHeight="1">
      <c r="A508" s="3">
        <v>149</v>
      </c>
      <c r="B508" s="38" t="s">
        <v>103</v>
      </c>
      <c r="C508" s="3" t="s">
        <v>115</v>
      </c>
      <c r="D508" s="3" t="s">
        <v>215</v>
      </c>
      <c r="E508" s="39">
        <v>44826</v>
      </c>
      <c r="F508" s="3" t="s">
        <v>106</v>
      </c>
      <c r="G508" s="3" t="s">
        <v>122</v>
      </c>
      <c r="H508" s="3">
        <v>2008</v>
      </c>
      <c r="I508" s="40" t="s">
        <v>108</v>
      </c>
      <c r="J508" s="39" t="s">
        <v>123</v>
      </c>
      <c r="K508" s="3">
        <v>187.8</v>
      </c>
      <c r="L508" s="3">
        <v>187.8</v>
      </c>
      <c r="M508" s="3"/>
      <c r="N508" s="3">
        <v>150.6</v>
      </c>
      <c r="O508" s="3">
        <v>150.5</v>
      </c>
      <c r="P508" s="3"/>
      <c r="Q508" s="3">
        <v>76.3</v>
      </c>
      <c r="R508" s="3"/>
      <c r="S508" s="3"/>
      <c r="T508" s="42">
        <v>187.8</v>
      </c>
      <c r="U508" s="42">
        <f>AVERAGE(paper3[[#This Row],[Sittende høyde 1]:[Sittende høyde 3]])-56.2</f>
        <v>94.350000000000009</v>
      </c>
      <c r="V508" s="12">
        <f>paper3[[#This Row],[height]]-paper3[[#This Row],[sittingheight]]</f>
        <v>93.45</v>
      </c>
      <c r="W508" s="73">
        <v>76.3</v>
      </c>
      <c r="X508" s="43" cm="1">
        <f t="array" ref="X508">INDEX([1]!phvny[yphv], MATCH(1, (paper3[[#This Row],[id]]=[1]!phvny[id])*(paper3[[#This Row],[time]]=[1]!phvny[time]), 0))</f>
        <v>1.6606033589552749</v>
      </c>
      <c r="Y508" s="3">
        <v>1.77</v>
      </c>
      <c r="Z508" s="3">
        <v>3.05</v>
      </c>
      <c r="AA508" s="3">
        <v>4.3099999999999996</v>
      </c>
      <c r="AB508" s="3">
        <v>1.78</v>
      </c>
      <c r="AC508" s="3">
        <v>3.06</v>
      </c>
      <c r="AD508" s="3">
        <v>4.2699999999999996</v>
      </c>
      <c r="AE508" s="3">
        <v>1.76</v>
      </c>
      <c r="AF508" s="3">
        <v>3.04</v>
      </c>
      <c r="AG508" s="3">
        <v>4.26</v>
      </c>
      <c r="AH508" s="44">
        <v>1.76</v>
      </c>
      <c r="AI508" s="44">
        <v>3.04</v>
      </c>
      <c r="AJ508" s="44">
        <v>4.26</v>
      </c>
      <c r="AK508" s="45">
        <v>8.1967213114754109</v>
      </c>
      <c r="AL508" s="46">
        <v>9.84</v>
      </c>
      <c r="AM508" s="3">
        <v>9.7100000000000009</v>
      </c>
      <c r="AN508" s="3"/>
      <c r="AO508" s="3">
        <v>9.7799999999999994</v>
      </c>
      <c r="AP508" s="3">
        <v>9.7100000000000009</v>
      </c>
      <c r="AQ508" s="47">
        <v>9.7100000000000009</v>
      </c>
      <c r="AR508" s="47">
        <v>9.7799999999999994</v>
      </c>
      <c r="AS508" s="3">
        <v>38.520000000000003</v>
      </c>
      <c r="AT508" s="3">
        <v>40.25</v>
      </c>
      <c r="AU508" s="3">
        <v>37.56</v>
      </c>
      <c r="AV508" s="3"/>
      <c r="AW508" s="3"/>
      <c r="AX508" s="48">
        <v>40.25</v>
      </c>
      <c r="AY508" s="71"/>
      <c r="AZ508" s="3"/>
      <c r="BA508" s="3"/>
      <c r="BB508" s="3"/>
      <c r="BC508" s="3">
        <v>403</v>
      </c>
      <c r="BD508" s="40">
        <v>1630.642509860777</v>
      </c>
      <c r="BE508" s="40">
        <v>1660.604473855502</v>
      </c>
      <c r="BF508" s="40"/>
      <c r="BG508" s="40">
        <v>557.4136420631537</v>
      </c>
      <c r="BH508" s="40">
        <v>588.69735515297566</v>
      </c>
      <c r="BI508" s="49">
        <v>3291.2469837162789</v>
      </c>
      <c r="BJ508" s="49">
        <v>1146.1109972161294</v>
      </c>
      <c r="BK508" s="66">
        <v>-1.8042805777320869E-2</v>
      </c>
      <c r="BL508" s="66">
        <v>-5.3140570135044585E-2</v>
      </c>
      <c r="BM508" s="51">
        <v>43.135609223018072</v>
      </c>
      <c r="BN508" s="51">
        <v>15.021113987105235</v>
      </c>
      <c r="BO508" s="52">
        <v>347</v>
      </c>
      <c r="BP508" s="40">
        <v>347</v>
      </c>
      <c r="BQ508" s="40">
        <v>333</v>
      </c>
      <c r="BR508" s="67">
        <v>4.2042042042041983E-2</v>
      </c>
      <c r="BS508" s="54">
        <v>4.4560943643512454</v>
      </c>
      <c r="BT508" s="3">
        <v>210</v>
      </c>
      <c r="BU508" s="40">
        <v>224</v>
      </c>
      <c r="BV508" s="3">
        <v>119</v>
      </c>
      <c r="BW508" s="3">
        <v>108</v>
      </c>
      <c r="BX508" s="70">
        <v>-6.25E-2</v>
      </c>
      <c r="BY508" s="70">
        <v>0.10185185185185186</v>
      </c>
      <c r="BZ508" s="59">
        <v>2.074074074074074</v>
      </c>
      <c r="CA508" s="59">
        <v>1.7647058823529411</v>
      </c>
      <c r="CB508" s="59">
        <v>2.6577522935779818</v>
      </c>
      <c r="CC508" s="59">
        <v>1.3901146788990826</v>
      </c>
      <c r="CD508" s="60">
        <v>90</v>
      </c>
      <c r="CE508" s="60">
        <v>109</v>
      </c>
      <c r="CF508" s="61">
        <v>1.1795543905635648</v>
      </c>
      <c r="CG508" s="61">
        <v>1.4285714285714286</v>
      </c>
      <c r="CH508" s="61">
        <v>1.2111111111111112</v>
      </c>
      <c r="CI508" s="41"/>
      <c r="CJ508" s="40"/>
      <c r="CK508" s="3"/>
      <c r="CL508" s="114">
        <v>57095</v>
      </c>
      <c r="CM508" s="115">
        <v>57.094999999999999</v>
      </c>
      <c r="CN508" s="3">
        <v>224</v>
      </c>
      <c r="CO508" s="3">
        <v>119</v>
      </c>
      <c r="CP508" s="41">
        <v>14.422222222222222</v>
      </c>
      <c r="CQ508" s="3" t="s">
        <v>216</v>
      </c>
      <c r="CR508" s="40">
        <v>217</v>
      </c>
      <c r="CS508" s="40">
        <v>113.5</v>
      </c>
      <c r="CT508" s="40">
        <v>340</v>
      </c>
      <c r="CU508" s="40"/>
      <c r="CV508" s="40"/>
      <c r="CW508" s="40"/>
      <c r="CX508" s="40"/>
      <c r="CY508" s="40">
        <v>0</v>
      </c>
      <c r="CZ508" s="40"/>
      <c r="DA508" s="40"/>
    </row>
    <row r="509" spans="1:105" ht="18.75" customHeight="1">
      <c r="A509" s="3">
        <v>152</v>
      </c>
      <c r="B509" s="38" t="s">
        <v>103</v>
      </c>
      <c r="C509" s="3" t="s">
        <v>104</v>
      </c>
      <c r="D509" s="76" t="s">
        <v>215</v>
      </c>
      <c r="E509" s="39">
        <v>44820</v>
      </c>
      <c r="F509" s="3" t="s">
        <v>106</v>
      </c>
      <c r="G509" s="3" t="s">
        <v>122</v>
      </c>
      <c r="H509" s="3">
        <v>2008</v>
      </c>
      <c r="I509" s="40" t="s">
        <v>108</v>
      </c>
      <c r="J509" s="39" t="s">
        <v>123</v>
      </c>
      <c r="K509" s="3">
        <v>173.8</v>
      </c>
      <c r="L509" s="3">
        <v>173.9</v>
      </c>
      <c r="M509" s="3"/>
      <c r="N509" s="3">
        <v>144.30000000000001</v>
      </c>
      <c r="O509" s="3">
        <v>144.5</v>
      </c>
      <c r="P509" s="3"/>
      <c r="Q509" s="3">
        <v>67.7</v>
      </c>
      <c r="R509" s="3">
        <v>67.7</v>
      </c>
      <c r="S509" s="3"/>
      <c r="T509" s="42">
        <v>173.85000000000002</v>
      </c>
      <c r="U509" s="42">
        <f>AVERAGE(paper3[[#This Row],[Sittende høyde 1]:[Sittende høyde 3]])-56.2</f>
        <v>88.2</v>
      </c>
      <c r="V509" s="12">
        <f>paper3[[#This Row],[height]]-paper3[[#This Row],[sittingheight]]</f>
        <v>85.65000000000002</v>
      </c>
      <c r="W509" s="73">
        <v>67.7</v>
      </c>
      <c r="X509" s="43" cm="1">
        <f t="array" ref="X509">INDEX([1]!phvny[yphv], MATCH(1, (paper3[[#This Row],[id]]=[1]!phvny[id])*(paper3[[#This Row],[time]]=[1]!phvny[time]), 0))</f>
        <v>0.58827808958599437</v>
      </c>
      <c r="Y509" s="60">
        <v>2.09</v>
      </c>
      <c r="Z509" s="60">
        <v>3.54</v>
      </c>
      <c r="AA509" s="60">
        <v>4.91</v>
      </c>
      <c r="AB509" s="3">
        <v>2.0499999999999998</v>
      </c>
      <c r="AC509" s="3">
        <v>3.47</v>
      </c>
      <c r="AD509" s="3">
        <v>4.84</v>
      </c>
      <c r="AE509" s="3">
        <v>2.06</v>
      </c>
      <c r="AF509" s="3">
        <v>3.51</v>
      </c>
      <c r="AG509" s="60">
        <v>4.91</v>
      </c>
      <c r="AH509" s="44">
        <v>2.0499999999999998</v>
      </c>
      <c r="AI509" s="44">
        <v>3.47</v>
      </c>
      <c r="AJ509" s="44">
        <v>4.84</v>
      </c>
      <c r="AK509" s="45">
        <v>7.2992700729927025</v>
      </c>
      <c r="AL509" s="60"/>
      <c r="AM509" s="60">
        <v>10.64</v>
      </c>
      <c r="AN509" s="60">
        <v>10.8</v>
      </c>
      <c r="AO509" s="60">
        <v>10.67</v>
      </c>
      <c r="AP509" s="3">
        <v>10.64</v>
      </c>
      <c r="AQ509" s="47">
        <v>10.64</v>
      </c>
      <c r="AR509" s="47">
        <v>10.67</v>
      </c>
      <c r="AS509" s="3">
        <v>27.15</v>
      </c>
      <c r="AT509" s="3">
        <v>30.62</v>
      </c>
      <c r="AU509" s="3">
        <v>26.8</v>
      </c>
      <c r="AV509" s="3"/>
      <c r="AW509" s="3"/>
      <c r="AX509" s="48">
        <v>30.62</v>
      </c>
      <c r="AY509" s="3"/>
      <c r="AZ509" s="3"/>
      <c r="BA509" s="3"/>
      <c r="BB509" s="3"/>
      <c r="BC509" s="3">
        <v>272</v>
      </c>
      <c r="BD509" s="40">
        <v>1051.7088945098637</v>
      </c>
      <c r="BE509" s="40">
        <v>1064.5976398702473</v>
      </c>
      <c r="BF509" s="40"/>
      <c r="BG509" s="40">
        <v>490.07761774394419</v>
      </c>
      <c r="BH509" s="40">
        <v>536.32991625557088</v>
      </c>
      <c r="BI509" s="49">
        <v>2116.3065343801109</v>
      </c>
      <c r="BJ509" s="49">
        <v>1026.4075339995152</v>
      </c>
      <c r="BK509" s="66">
        <v>-1.2106682259745094E-2</v>
      </c>
      <c r="BL509" s="66">
        <v>-8.6238520563127863E-2</v>
      </c>
      <c r="BM509" s="51">
        <v>31.260066977549641</v>
      </c>
      <c r="BN509" s="51">
        <v>15.161115716388702</v>
      </c>
      <c r="BO509" s="52">
        <v>302</v>
      </c>
      <c r="BP509" s="40">
        <v>281</v>
      </c>
      <c r="BQ509" s="40">
        <v>302</v>
      </c>
      <c r="BR509" s="67">
        <v>-6.9536423841059625E-2</v>
      </c>
      <c r="BS509" s="54">
        <v>4.3057607090103396</v>
      </c>
      <c r="BT509" s="160">
        <v>125</v>
      </c>
      <c r="BU509" s="161">
        <v>147</v>
      </c>
      <c r="BV509" s="160">
        <v>124</v>
      </c>
      <c r="BW509" s="160">
        <v>117</v>
      </c>
      <c r="BX509" s="70">
        <v>-0.14965986394557829</v>
      </c>
      <c r="BY509" s="70">
        <v>5.9829059829059839E-2</v>
      </c>
      <c r="BZ509" s="59">
        <v>1.2564102564102564</v>
      </c>
      <c r="CA509" s="59">
        <v>1.0080645161290323</v>
      </c>
      <c r="CB509" s="59">
        <v>1.7205908419497786</v>
      </c>
      <c r="CC509" s="59">
        <v>1.5244940915805025</v>
      </c>
      <c r="CD509" s="60">
        <v>79</v>
      </c>
      <c r="CE509" s="60">
        <v>69</v>
      </c>
      <c r="CF509" s="61">
        <v>1.1669128508124076</v>
      </c>
      <c r="CG509" s="61">
        <v>1.0192023633677991</v>
      </c>
      <c r="CH509" s="61">
        <v>0.87341772151898744</v>
      </c>
      <c r="CI509" s="41"/>
      <c r="CJ509" s="40"/>
      <c r="CK509" s="3"/>
      <c r="CL509" s="114">
        <v>46264</v>
      </c>
      <c r="CM509" s="115">
        <v>46.264000000000003</v>
      </c>
      <c r="CN509" s="3">
        <v>147</v>
      </c>
      <c r="CO509" s="3">
        <v>124</v>
      </c>
      <c r="CP509" s="41">
        <v>13.938888888888888</v>
      </c>
      <c r="CQ509" s="3" t="s">
        <v>144</v>
      </c>
      <c r="CR509" s="40">
        <v>136</v>
      </c>
      <c r="CS509" s="40">
        <v>120.5</v>
      </c>
      <c r="CT509" s="40">
        <v>291.5</v>
      </c>
      <c r="CU509" s="40"/>
      <c r="CV509" s="40"/>
      <c r="CW509" s="40"/>
      <c r="CX509" s="40"/>
      <c r="CY509" s="40" t="s">
        <v>125</v>
      </c>
      <c r="CZ509" s="40"/>
      <c r="DA509" s="40"/>
    </row>
    <row r="510" spans="1:105" ht="18.75" customHeight="1">
      <c r="A510" s="3">
        <v>154</v>
      </c>
      <c r="B510" s="38" t="s">
        <v>103</v>
      </c>
      <c r="C510" s="3" t="s">
        <v>104</v>
      </c>
      <c r="D510" s="3" t="s">
        <v>215</v>
      </c>
      <c r="E510" s="39">
        <v>44820</v>
      </c>
      <c r="F510" s="3" t="s">
        <v>106</v>
      </c>
      <c r="G510" s="3" t="s">
        <v>122</v>
      </c>
      <c r="H510" s="3">
        <v>2008</v>
      </c>
      <c r="I510" s="40" t="s">
        <v>108</v>
      </c>
      <c r="J510" s="39" t="s">
        <v>123</v>
      </c>
      <c r="K510" s="3">
        <v>168.6</v>
      </c>
      <c r="L510" s="3">
        <v>168.6</v>
      </c>
      <c r="M510" s="3"/>
      <c r="N510" s="3">
        <v>140</v>
      </c>
      <c r="O510" s="3">
        <v>140</v>
      </c>
      <c r="P510" s="3"/>
      <c r="Q510" s="3">
        <v>57.2</v>
      </c>
      <c r="R510" s="3">
        <v>57.3</v>
      </c>
      <c r="S510" s="3"/>
      <c r="T510" s="42">
        <v>168.6</v>
      </c>
      <c r="U510" s="42">
        <f>AVERAGE(paper3[[#This Row],[Sittende høyde 1]:[Sittende høyde 3]])-56.2</f>
        <v>83.8</v>
      </c>
      <c r="V510" s="12">
        <f>paper3[[#This Row],[height]]-paper3[[#This Row],[sittingheight]]</f>
        <v>84.8</v>
      </c>
      <c r="W510" s="73">
        <v>57.25</v>
      </c>
      <c r="X510" s="43"/>
      <c r="Y510" s="3">
        <v>2.2599999999999998</v>
      </c>
      <c r="Z510" s="3">
        <v>3.82</v>
      </c>
      <c r="AA510" s="3">
        <v>5.32</v>
      </c>
      <c r="AB510" s="3">
        <v>2.15</v>
      </c>
      <c r="AC510" s="3">
        <v>3.69</v>
      </c>
      <c r="AD510" s="3">
        <v>5.2</v>
      </c>
      <c r="AE510" s="3">
        <v>2.16</v>
      </c>
      <c r="AF510" s="3">
        <v>3.71</v>
      </c>
      <c r="AG510" s="3">
        <v>5.21</v>
      </c>
      <c r="AH510" s="44">
        <v>2.15</v>
      </c>
      <c r="AI510" s="44">
        <v>3.69</v>
      </c>
      <c r="AJ510" s="44">
        <v>5.2</v>
      </c>
      <c r="AK510" s="45">
        <v>6.6225165562913899</v>
      </c>
      <c r="AL510" s="3">
        <v>10.9</v>
      </c>
      <c r="AM510" s="3">
        <v>10.83</v>
      </c>
      <c r="AN510" s="3">
        <v>11.03</v>
      </c>
      <c r="AO510" s="3">
        <v>10.94</v>
      </c>
      <c r="AP510" s="3">
        <v>10.83</v>
      </c>
      <c r="AQ510" s="47">
        <v>10.83</v>
      </c>
      <c r="AR510" s="47">
        <v>10.94</v>
      </c>
      <c r="AS510" s="3">
        <v>27.26</v>
      </c>
      <c r="AT510" s="3">
        <v>27.54</v>
      </c>
      <c r="AU510" s="3"/>
      <c r="AV510" s="3">
        <v>27.93</v>
      </c>
      <c r="AW510" s="3"/>
      <c r="AX510" s="48">
        <v>27.93</v>
      </c>
      <c r="AY510" s="3"/>
      <c r="AZ510" s="3"/>
      <c r="BA510" s="3">
        <v>220</v>
      </c>
      <c r="BB510" s="3"/>
      <c r="BC510" s="3">
        <v>260</v>
      </c>
      <c r="BD510" s="40">
        <v>1044.5416345586041</v>
      </c>
      <c r="BE510" s="40">
        <v>1039.5877533493335</v>
      </c>
      <c r="BF510" s="40"/>
      <c r="BG510" s="40">
        <v>436.35790243118475</v>
      </c>
      <c r="BH510" s="40">
        <v>428.00697426434067</v>
      </c>
      <c r="BI510" s="49">
        <v>2084.1293879079376</v>
      </c>
      <c r="BJ510" s="49">
        <v>864.36487669552548</v>
      </c>
      <c r="BK510" s="66">
        <v>4.765236213402968E-3</v>
      </c>
      <c r="BL510" s="66">
        <v>1.9511196473369852E-2</v>
      </c>
      <c r="BM510" s="51">
        <v>36.435828459928977</v>
      </c>
      <c r="BN510" s="51">
        <v>15.111274068103592</v>
      </c>
      <c r="BO510" s="52">
        <v>288</v>
      </c>
      <c r="BP510" s="40">
        <v>281</v>
      </c>
      <c r="BQ510" s="40">
        <v>288</v>
      </c>
      <c r="BR510" s="67">
        <v>-2.430555555555558E-2</v>
      </c>
      <c r="BS510" s="54">
        <v>4.9694323144104802</v>
      </c>
      <c r="BT510" s="160">
        <v>151</v>
      </c>
      <c r="BU510" s="161">
        <v>145</v>
      </c>
      <c r="BV510" s="160">
        <v>110</v>
      </c>
      <c r="BW510" s="160">
        <v>111</v>
      </c>
      <c r="BX510" s="70">
        <v>4.1379310344827669E-2</v>
      </c>
      <c r="BY510" s="70">
        <v>-9.009009009009028E-3</v>
      </c>
      <c r="BZ510" s="59">
        <v>1.3063063063063063</v>
      </c>
      <c r="CA510" s="59">
        <v>1.3727272727272728</v>
      </c>
      <c r="CB510" s="59">
        <v>2.1922096069868995</v>
      </c>
      <c r="CC510" s="59">
        <v>1.6367510917030565</v>
      </c>
      <c r="CD510" s="60">
        <v>84</v>
      </c>
      <c r="CE510" s="60">
        <v>70</v>
      </c>
      <c r="CF510" s="61">
        <v>1.4672489082969433</v>
      </c>
      <c r="CG510" s="61">
        <v>1.222707423580786</v>
      </c>
      <c r="CH510" s="61">
        <v>0.83333333333333326</v>
      </c>
      <c r="CI510" s="41">
        <v>16.5</v>
      </c>
      <c r="CJ510" s="40">
        <f>VLOOKUP(paper3[[#This Row],[YYIR nivå]],$DB:$DC,2)</f>
        <v>1280</v>
      </c>
      <c r="CK510" s="3"/>
      <c r="CL510" s="114">
        <v>38349</v>
      </c>
      <c r="CM510" s="115">
        <v>38.348999999999997</v>
      </c>
      <c r="CN510" s="3">
        <v>151</v>
      </c>
      <c r="CO510" s="3">
        <v>111</v>
      </c>
      <c r="CP510" s="41">
        <v>14.080555555555556</v>
      </c>
      <c r="CQ510" s="3" t="s">
        <v>145</v>
      </c>
      <c r="CR510" s="40">
        <v>148</v>
      </c>
      <c r="CS510" s="40">
        <v>110.5</v>
      </c>
      <c r="CT510" s="40">
        <v>284.5</v>
      </c>
      <c r="CU510" s="40"/>
      <c r="CV510" s="40"/>
      <c r="CW510" s="40"/>
      <c r="CX510" s="40"/>
      <c r="CY510" s="40">
        <v>0</v>
      </c>
      <c r="CZ510" s="40"/>
      <c r="DA510" s="40"/>
    </row>
    <row r="511" spans="1:105" ht="18.75" customHeight="1">
      <c r="A511" s="3">
        <v>155</v>
      </c>
      <c r="B511" s="38" t="s">
        <v>103</v>
      </c>
      <c r="C511" s="3" t="s">
        <v>104</v>
      </c>
      <c r="D511" s="3" t="s">
        <v>215</v>
      </c>
      <c r="E511" s="39">
        <v>44820</v>
      </c>
      <c r="F511" s="3" t="s">
        <v>106</v>
      </c>
      <c r="G511" s="3" t="s">
        <v>122</v>
      </c>
      <c r="H511" s="3">
        <v>2008</v>
      </c>
      <c r="I511" s="40" t="s">
        <v>108</v>
      </c>
      <c r="J511" s="39" t="s">
        <v>123</v>
      </c>
      <c r="K511" s="3">
        <v>174.7</v>
      </c>
      <c r="L511" s="3">
        <v>174.8</v>
      </c>
      <c r="M511" s="3"/>
      <c r="N511" s="3">
        <v>141.5</v>
      </c>
      <c r="O511" s="3">
        <v>141.4</v>
      </c>
      <c r="P511" s="3"/>
      <c r="Q511" s="3">
        <v>59.7</v>
      </c>
      <c r="R511" s="3">
        <v>59.7</v>
      </c>
      <c r="S511" s="3"/>
      <c r="T511" s="42">
        <v>174.75</v>
      </c>
      <c r="U511" s="42">
        <f>AVERAGE(paper3[[#This Row],[Sittende høyde 1]:[Sittende høyde 3]])-56.2</f>
        <v>85.249999999999986</v>
      </c>
      <c r="V511" s="12">
        <f>paper3[[#This Row],[height]]-paper3[[#This Row],[sittingheight]]</f>
        <v>89.500000000000014</v>
      </c>
      <c r="W511" s="73">
        <v>59.7</v>
      </c>
      <c r="X511" s="43" cm="1">
        <f t="array" ref="X511">INDEX([1]!phvny[yphv], MATCH(1, (paper3[[#This Row],[id]]=[1]!phvny[id])*(paper3[[#This Row],[time]]=[1]!phvny[time]), 0))</f>
        <v>0.17671958825106993</v>
      </c>
      <c r="Y511" s="3">
        <v>2.0299999999999998</v>
      </c>
      <c r="Z511" s="3">
        <v>3.49</v>
      </c>
      <c r="AA511" s="3">
        <v>4.9000000000000004</v>
      </c>
      <c r="AB511" s="3">
        <v>2.12</v>
      </c>
      <c r="AC511" s="3">
        <v>3.59</v>
      </c>
      <c r="AD511" s="3">
        <v>5.0199999999999996</v>
      </c>
      <c r="AE511" s="3">
        <v>2.13</v>
      </c>
      <c r="AF511" s="3">
        <v>3.61</v>
      </c>
      <c r="AG511" s="3">
        <v>5.04</v>
      </c>
      <c r="AH511" s="44">
        <v>2.0299999999999998</v>
      </c>
      <c r="AI511" s="44">
        <v>3.49</v>
      </c>
      <c r="AJ511" s="44">
        <v>4.9000000000000004</v>
      </c>
      <c r="AK511" s="45">
        <v>7.0921985815602833</v>
      </c>
      <c r="AL511" s="3">
        <v>10.56</v>
      </c>
      <c r="AM511" s="3">
        <v>10.42</v>
      </c>
      <c r="AN511" s="3">
        <v>10.62</v>
      </c>
      <c r="AO511" s="3">
        <v>10.6</v>
      </c>
      <c r="AP511" s="3">
        <v>10.42</v>
      </c>
      <c r="AQ511" s="47">
        <v>10.42</v>
      </c>
      <c r="AR511" s="47">
        <v>10.6</v>
      </c>
      <c r="AS511" s="3">
        <v>26</v>
      </c>
      <c r="AT511" s="3">
        <v>28.53</v>
      </c>
      <c r="AU511" s="3">
        <v>25.6</v>
      </c>
      <c r="AV511" s="3"/>
      <c r="AW511" s="3"/>
      <c r="AX511" s="48">
        <v>28.53</v>
      </c>
      <c r="AY511" s="3"/>
      <c r="AZ511" s="3"/>
      <c r="BA511" s="3">
        <v>220</v>
      </c>
      <c r="BB511" s="3"/>
      <c r="BC511" s="3">
        <v>219</v>
      </c>
      <c r="BD511" s="40">
        <v>929.12084725419777</v>
      </c>
      <c r="BE511" s="40">
        <v>913.46194572599074</v>
      </c>
      <c r="BF511" s="40"/>
      <c r="BG511" s="40">
        <v>444.17155909454181</v>
      </c>
      <c r="BH511" s="40">
        <v>424.97731108509998</v>
      </c>
      <c r="BI511" s="49">
        <v>1842.5827929801885</v>
      </c>
      <c r="BJ511" s="49">
        <v>869.14887017964179</v>
      </c>
      <c r="BK511" s="66">
        <v>1.7142368766946081E-2</v>
      </c>
      <c r="BL511" s="66">
        <v>4.5165347675698131E-2</v>
      </c>
      <c r="BM511" s="51">
        <v>30.864033383252739</v>
      </c>
      <c r="BN511" s="51">
        <v>14.558607540697517</v>
      </c>
      <c r="BO511" s="52">
        <v>252</v>
      </c>
      <c r="BP511" s="40">
        <v>249</v>
      </c>
      <c r="BQ511" s="40">
        <v>252</v>
      </c>
      <c r="BR511" s="67">
        <v>-1.1904761904761862E-2</v>
      </c>
      <c r="BS511" s="54">
        <v>4.1959798994974875</v>
      </c>
      <c r="BT511" s="160" t="s">
        <v>217</v>
      </c>
      <c r="BU511" s="161" t="s">
        <v>217</v>
      </c>
      <c r="BV511" s="160">
        <v>136</v>
      </c>
      <c r="BW511" s="160">
        <v>134</v>
      </c>
      <c r="BX511" s="70"/>
      <c r="BY511" s="70">
        <v>1.4925373134328401E-2</v>
      </c>
      <c r="BZ511" s="59"/>
      <c r="CA511" s="59"/>
      <c r="CB511" s="59" t="s">
        <v>110</v>
      </c>
      <c r="CC511" s="59">
        <v>2.0238693467336684</v>
      </c>
      <c r="CD511" s="60">
        <v>153</v>
      </c>
      <c r="CE511" s="60">
        <v>118</v>
      </c>
      <c r="CF511" s="61">
        <v>2.5628140703517586</v>
      </c>
      <c r="CG511" s="61">
        <v>1.9765494137353432</v>
      </c>
      <c r="CH511" s="61">
        <v>0.77124183006535951</v>
      </c>
      <c r="CI511" s="41"/>
      <c r="CJ511" s="40"/>
      <c r="CK511" s="3"/>
      <c r="CL511" s="114">
        <v>38211</v>
      </c>
      <c r="CM511" s="115">
        <v>38.210999999999999</v>
      </c>
      <c r="CN511" s="3"/>
      <c r="CO511" s="3">
        <v>136</v>
      </c>
      <c r="CP511" s="41">
        <v>14.074999999999999</v>
      </c>
      <c r="CQ511" s="3" t="s">
        <v>146</v>
      </c>
      <c r="CR511" s="40"/>
      <c r="CS511" s="40">
        <v>135</v>
      </c>
      <c r="CT511" s="40">
        <v>250.5</v>
      </c>
      <c r="CU511" s="40"/>
      <c r="CV511" s="40"/>
      <c r="CW511" s="40"/>
      <c r="CX511" s="40"/>
      <c r="CY511" s="40">
        <v>0</v>
      </c>
      <c r="CZ511" s="40"/>
      <c r="DA511" s="40"/>
    </row>
    <row r="512" spans="1:105" ht="18.75" customHeight="1">
      <c r="A512" s="3">
        <v>158</v>
      </c>
      <c r="B512" s="38" t="s">
        <v>103</v>
      </c>
      <c r="C512" s="3" t="s">
        <v>104</v>
      </c>
      <c r="D512" s="3" t="s">
        <v>215</v>
      </c>
      <c r="E512" s="39">
        <v>44820</v>
      </c>
      <c r="F512" s="3" t="s">
        <v>106</v>
      </c>
      <c r="G512" s="3" t="s">
        <v>122</v>
      </c>
      <c r="H512" s="3">
        <v>2008</v>
      </c>
      <c r="I512" s="40" t="s">
        <v>108</v>
      </c>
      <c r="J512" s="39" t="s">
        <v>123</v>
      </c>
      <c r="K512" s="3">
        <v>158.30000000000001</v>
      </c>
      <c r="L512" s="3">
        <v>158</v>
      </c>
      <c r="M512" s="3">
        <v>158.1</v>
      </c>
      <c r="N512" s="3">
        <v>137.19999999999999</v>
      </c>
      <c r="O512" s="3">
        <v>137.1</v>
      </c>
      <c r="P512" s="3"/>
      <c r="Q512" s="3">
        <v>55.6</v>
      </c>
      <c r="R512" s="3">
        <v>55.6</v>
      </c>
      <c r="S512" s="3"/>
      <c r="T512" s="42">
        <v>158.13333333333333</v>
      </c>
      <c r="U512" s="42">
        <f>AVERAGE(paper3[[#This Row],[Sittende høyde 1]:[Sittende høyde 3]])-56.2</f>
        <v>80.949999999999974</v>
      </c>
      <c r="V512" s="12">
        <f>paper3[[#This Row],[height]]-paper3[[#This Row],[sittingheight]]</f>
        <v>77.183333333333351</v>
      </c>
      <c r="W512" s="73">
        <v>55.6</v>
      </c>
      <c r="X512" s="43" cm="1">
        <f t="array" ref="X512">INDEX([1]!phvny[yphv], MATCH(1, (paper3[[#This Row],[id]]=[1]!phvny[id])*(paper3[[#This Row],[time]]=[1]!phvny[time]), 0))</f>
        <v>-0.46614242542574291</v>
      </c>
      <c r="Y512" s="3">
        <v>2.16</v>
      </c>
      <c r="Z512" s="3">
        <v>3.64</v>
      </c>
      <c r="AA512" s="3">
        <v>5.0599999999999996</v>
      </c>
      <c r="AB512" s="3">
        <v>2.1</v>
      </c>
      <c r="AC512" s="3">
        <v>3.61</v>
      </c>
      <c r="AD512" s="3">
        <v>5.0199999999999996</v>
      </c>
      <c r="AE512" s="3">
        <v>2.1800000000000002</v>
      </c>
      <c r="AF512" s="3">
        <v>3.69</v>
      </c>
      <c r="AG512" s="3">
        <v>5.14</v>
      </c>
      <c r="AH512" s="44">
        <v>2.1</v>
      </c>
      <c r="AI512" s="44">
        <v>3.61</v>
      </c>
      <c r="AJ512" s="44">
        <v>5.0199999999999996</v>
      </c>
      <c r="AK512" s="45">
        <v>7.092198581560285</v>
      </c>
      <c r="AL512" s="3">
        <v>10.75</v>
      </c>
      <c r="AM512" s="3">
        <v>10.74</v>
      </c>
      <c r="AN512" s="3">
        <v>11.13</v>
      </c>
      <c r="AO512" s="3">
        <v>10.95</v>
      </c>
      <c r="AP512" s="3">
        <v>10.74</v>
      </c>
      <c r="AQ512" s="47">
        <v>10.74</v>
      </c>
      <c r="AR512" s="47">
        <v>10.95</v>
      </c>
      <c r="AS512" s="3">
        <v>25.08</v>
      </c>
      <c r="AT512" s="3">
        <v>24.08</v>
      </c>
      <c r="AU512" s="3">
        <v>23.04</v>
      </c>
      <c r="AV512" s="3"/>
      <c r="AW512" s="3"/>
      <c r="AX512" s="48">
        <v>25.08</v>
      </c>
      <c r="AY512" s="3"/>
      <c r="AZ512" s="3"/>
      <c r="BA512" s="3">
        <v>220</v>
      </c>
      <c r="BB512" s="3"/>
      <c r="BC512" s="3">
        <v>219</v>
      </c>
      <c r="BD512" s="40">
        <v>876.96755833836437</v>
      </c>
      <c r="BE512" s="40">
        <v>738.61827268724687</v>
      </c>
      <c r="BF512" s="40"/>
      <c r="BG512" s="40">
        <v>363.03506421171403</v>
      </c>
      <c r="BH512" s="40">
        <v>359.36400115658256</v>
      </c>
      <c r="BI512" s="49">
        <v>1615.5858310256112</v>
      </c>
      <c r="BJ512" s="49">
        <v>722.39906536829653</v>
      </c>
      <c r="BK512" s="66">
        <v>0.18730823588722489</v>
      </c>
      <c r="BL512" s="66">
        <v>1.0215444628055348E-2</v>
      </c>
      <c r="BM512" s="51">
        <v>29.05729911916567</v>
      </c>
      <c r="BN512" s="51">
        <v>12.992788945472959</v>
      </c>
      <c r="BO512" s="52">
        <v>258</v>
      </c>
      <c r="BP512" s="40">
        <v>258</v>
      </c>
      <c r="BQ512" s="40">
        <v>250</v>
      </c>
      <c r="BR512" s="67">
        <v>3.2000000000000028E-2</v>
      </c>
      <c r="BS512" s="54">
        <v>4.5683453237410072</v>
      </c>
      <c r="BT512" s="160">
        <v>215</v>
      </c>
      <c r="BU512" s="161">
        <v>213</v>
      </c>
      <c r="BV512" s="160">
        <v>109</v>
      </c>
      <c r="BW512" s="160">
        <v>114</v>
      </c>
      <c r="BX512" s="70">
        <v>9.3896713615022609E-3</v>
      </c>
      <c r="BY512" s="70">
        <v>-4.3859649122807043E-2</v>
      </c>
      <c r="BZ512" s="59">
        <v>1.868421052631579</v>
      </c>
      <c r="CA512" s="59">
        <v>1.9724770642201834</v>
      </c>
      <c r="CB512" s="59">
        <v>2.970725419664269</v>
      </c>
      <c r="CC512" s="59">
        <v>1.5478312350119905</v>
      </c>
      <c r="CD512" s="60">
        <v>103</v>
      </c>
      <c r="CE512" s="60">
        <v>101</v>
      </c>
      <c r="CF512" s="61">
        <v>1.8525179856115108</v>
      </c>
      <c r="CG512" s="61">
        <v>1.8165467625899281</v>
      </c>
      <c r="CH512" s="61">
        <v>0.98058252427184467</v>
      </c>
      <c r="CI512" s="41">
        <v>14.2</v>
      </c>
      <c r="CJ512" s="40">
        <f>VLOOKUP(paper3[[#This Row],[YYIR nivå]],$DB:$DC,2)</f>
        <v>520</v>
      </c>
      <c r="CK512" s="3"/>
      <c r="CL512" s="114">
        <v>33163</v>
      </c>
      <c r="CM512" s="115">
        <v>33.162999999999997</v>
      </c>
      <c r="CN512" s="3">
        <v>215</v>
      </c>
      <c r="CO512" s="3">
        <v>114</v>
      </c>
      <c r="CP512" s="41">
        <v>13.761111111111111</v>
      </c>
      <c r="CQ512" s="3" t="s">
        <v>148</v>
      </c>
      <c r="CR512" s="40">
        <v>214</v>
      </c>
      <c r="CS512" s="40">
        <v>111.5</v>
      </c>
      <c r="CT512" s="40">
        <v>254</v>
      </c>
      <c r="CU512" s="40"/>
      <c r="CV512" s="40"/>
      <c r="CW512" s="40"/>
      <c r="CX512" s="40"/>
      <c r="CY512" s="40">
        <v>0</v>
      </c>
      <c r="CZ512" s="40"/>
      <c r="DA512" s="40"/>
    </row>
    <row r="513" spans="1:105" ht="18.75" customHeight="1">
      <c r="A513" s="162">
        <v>160</v>
      </c>
      <c r="B513" s="38" t="s">
        <v>103</v>
      </c>
      <c r="C513" s="78" t="s">
        <v>104</v>
      </c>
      <c r="D513" s="78" t="s">
        <v>215</v>
      </c>
      <c r="E513" s="163">
        <v>44880</v>
      </c>
      <c r="F513" s="78" t="s">
        <v>106</v>
      </c>
      <c r="G513" s="78" t="s">
        <v>122</v>
      </c>
      <c r="H513" s="78">
        <v>2008</v>
      </c>
      <c r="I513" s="79" t="s">
        <v>108</v>
      </c>
      <c r="J513" s="163" t="s">
        <v>123</v>
      </c>
      <c r="K513" s="78">
        <v>159.30000000000001</v>
      </c>
      <c r="L513" s="78">
        <v>159</v>
      </c>
      <c r="M513" s="78">
        <v>159.1</v>
      </c>
      <c r="N513" s="78">
        <v>136.6</v>
      </c>
      <c r="O513" s="78">
        <v>136.69999999999999</v>
      </c>
      <c r="P513" s="78"/>
      <c r="Q513" s="78">
        <v>40.700000000000003</v>
      </c>
      <c r="R513" s="78">
        <v>40.700000000000003</v>
      </c>
      <c r="S513" s="78"/>
      <c r="T513" s="164">
        <v>159.1</v>
      </c>
      <c r="U513" s="42">
        <f>AVERAGE(paper3[[#This Row],[Sittende høyde 1]:[Sittende høyde 3]])-56.2</f>
        <v>80.449999999999974</v>
      </c>
      <c r="V513" s="12">
        <f>paper3[[#This Row],[height]]-paper3[[#This Row],[sittingheight]]</f>
        <v>78.65000000000002</v>
      </c>
      <c r="W513" s="165">
        <v>40.700000000000003</v>
      </c>
      <c r="X513" s="43" cm="1">
        <f t="array" ref="X513">INDEX([1]!phvny[yphv], MATCH(1, (paper3[[#This Row],[id]]=[1]!phvny[id])*(paper3[[#This Row],[time]]=[1]!phvny[time]), 0))</f>
        <v>-0.65620536085465575</v>
      </c>
      <c r="Y513" s="76">
        <v>2.02</v>
      </c>
      <c r="Z513" s="3">
        <v>3.49</v>
      </c>
      <c r="AA513" s="76">
        <v>4.92</v>
      </c>
      <c r="AB513" s="78">
        <v>2</v>
      </c>
      <c r="AC513" s="78">
        <v>3.45</v>
      </c>
      <c r="AD513" s="78">
        <v>4.9000000000000004</v>
      </c>
      <c r="AE513" s="78">
        <v>2.02</v>
      </c>
      <c r="AF513" s="78">
        <v>3.49</v>
      </c>
      <c r="AG513" s="78">
        <v>4.93</v>
      </c>
      <c r="AH513" s="166">
        <v>2</v>
      </c>
      <c r="AI513" s="166">
        <v>3.45</v>
      </c>
      <c r="AJ513" s="166">
        <v>4.9000000000000004</v>
      </c>
      <c r="AK513" s="167">
        <v>6.8965517241379306</v>
      </c>
      <c r="AL513" s="78">
        <v>10.6</v>
      </c>
      <c r="AM513" s="78">
        <v>10.53</v>
      </c>
      <c r="AN513" s="78" t="s">
        <v>218</v>
      </c>
      <c r="AO513" s="78"/>
      <c r="AP513" s="78">
        <v>10.53</v>
      </c>
      <c r="AQ513" s="168">
        <v>10.53</v>
      </c>
      <c r="AR513" s="168">
        <v>0</v>
      </c>
      <c r="AS513" s="78">
        <v>35.020000000000003</v>
      </c>
      <c r="AT513" s="78">
        <v>33.93</v>
      </c>
      <c r="AU513" s="78">
        <v>31.73</v>
      </c>
      <c r="AV513" s="78"/>
      <c r="AW513" s="76"/>
      <c r="AX513" s="169">
        <v>35</v>
      </c>
      <c r="AY513" s="78"/>
      <c r="AZ513" s="78">
        <v>6</v>
      </c>
      <c r="BA513" s="78">
        <v>220</v>
      </c>
      <c r="BB513" s="78">
        <v>7</v>
      </c>
      <c r="BC513" s="78">
        <v>179</v>
      </c>
      <c r="BD513" s="78"/>
      <c r="BE513" s="78"/>
      <c r="BF513" s="78"/>
      <c r="BG513" s="78">
        <v>345</v>
      </c>
      <c r="BH513" s="78">
        <v>350</v>
      </c>
      <c r="BI513" s="170"/>
      <c r="BJ513" s="170">
        <v>696</v>
      </c>
      <c r="BK513" s="66"/>
      <c r="BL513" s="66">
        <v>-1.43E-2</v>
      </c>
      <c r="BM513" s="51"/>
      <c r="BN513" s="51">
        <v>17.100000000000001</v>
      </c>
      <c r="BO513" s="171">
        <v>202</v>
      </c>
      <c r="BP513" s="79">
        <v>190</v>
      </c>
      <c r="BQ513" s="79">
        <v>202</v>
      </c>
      <c r="BR513" s="172">
        <v>-5.9400000000000001E-2</v>
      </c>
      <c r="BS513" s="54">
        <v>4.8157248157248151</v>
      </c>
      <c r="BT513" s="78"/>
      <c r="BU513" s="79"/>
      <c r="BV513" s="78"/>
      <c r="BW513" s="78"/>
      <c r="BX513" s="81"/>
      <c r="BY513" s="81"/>
      <c r="BZ513" s="59"/>
      <c r="CA513" s="173"/>
      <c r="CB513" s="173" t="s">
        <v>110</v>
      </c>
      <c r="CC513" s="173" t="s">
        <v>110</v>
      </c>
      <c r="CD513" s="174">
        <v>75</v>
      </c>
      <c r="CE513" s="174">
        <v>61</v>
      </c>
      <c r="CF513" s="175">
        <v>1.84</v>
      </c>
      <c r="CG513" s="175">
        <v>1.5</v>
      </c>
      <c r="CH513" s="175">
        <v>0.81</v>
      </c>
      <c r="CI513" s="140"/>
      <c r="CJ513" s="40"/>
      <c r="CK513" s="78"/>
      <c r="CL513" s="62"/>
      <c r="CM513" s="63" t="s">
        <v>110</v>
      </c>
      <c r="CN513" s="3"/>
      <c r="CO513" s="3"/>
      <c r="CP513" s="41">
        <v>13.963888888888889</v>
      </c>
      <c r="CQ513" s="3" t="s">
        <v>110</v>
      </c>
      <c r="CR513" s="40"/>
      <c r="CS513" s="40"/>
      <c r="CT513" s="40">
        <v>196</v>
      </c>
      <c r="CU513" s="40"/>
      <c r="CV513" s="40"/>
      <c r="CW513" s="40"/>
      <c r="CX513" s="40"/>
      <c r="CY513" s="40">
        <v>0</v>
      </c>
      <c r="CZ513" s="40"/>
      <c r="DA513" s="40"/>
    </row>
    <row r="514" spans="1:105" ht="18.75" customHeight="1">
      <c r="A514" s="3">
        <v>161</v>
      </c>
      <c r="B514" s="38" t="s">
        <v>103</v>
      </c>
      <c r="C514" s="3" t="s">
        <v>104</v>
      </c>
      <c r="D514" s="3" t="s">
        <v>215</v>
      </c>
      <c r="E514" s="39">
        <v>44820</v>
      </c>
      <c r="F514" s="3" t="s">
        <v>106</v>
      </c>
      <c r="G514" s="3" t="s">
        <v>122</v>
      </c>
      <c r="H514" s="3">
        <v>2008</v>
      </c>
      <c r="I514" s="40" t="s">
        <v>108</v>
      </c>
      <c r="J514" s="39" t="s">
        <v>123</v>
      </c>
      <c r="K514" s="3">
        <v>163.30000000000001</v>
      </c>
      <c r="L514" s="3">
        <v>163.5</v>
      </c>
      <c r="M514" s="3"/>
      <c r="N514" s="3">
        <v>138.69999999999999</v>
      </c>
      <c r="O514" s="3">
        <v>138.9</v>
      </c>
      <c r="P514" s="3"/>
      <c r="Q514" s="3">
        <v>53.3</v>
      </c>
      <c r="R514" s="3">
        <v>53.3</v>
      </c>
      <c r="S514" s="3"/>
      <c r="T514" s="42">
        <v>163.4</v>
      </c>
      <c r="U514" s="42">
        <f>AVERAGE(paper3[[#This Row],[Sittende høyde 1]:[Sittende høyde 3]])-56.2</f>
        <v>82.600000000000009</v>
      </c>
      <c r="V514" s="12">
        <f>paper3[[#This Row],[height]]-paper3[[#This Row],[sittingheight]]</f>
        <v>80.8</v>
      </c>
      <c r="W514" s="73">
        <v>53.3</v>
      </c>
      <c r="X514" s="43" cm="1">
        <f t="array" ref="X514">INDEX([1]!phvny[yphv], MATCH(1, (paper3[[#This Row],[id]]=[1]!phvny[id])*(paper3[[#This Row],[time]]=[1]!phvny[time]), 0))</f>
        <v>-0.15991818508200617</v>
      </c>
      <c r="Y514" s="3">
        <v>2.14</v>
      </c>
      <c r="Z514" s="3">
        <v>3.63</v>
      </c>
      <c r="AA514" s="3">
        <v>5.07</v>
      </c>
      <c r="AB514" s="3">
        <v>2.1</v>
      </c>
      <c r="AC514" s="3">
        <v>3.58</v>
      </c>
      <c r="AD514" s="3">
        <v>4.96</v>
      </c>
      <c r="AE514" s="3">
        <v>2.14</v>
      </c>
      <c r="AF514" s="3">
        <v>3.64</v>
      </c>
      <c r="AG514" s="3">
        <v>5.08</v>
      </c>
      <c r="AH514" s="44">
        <v>2.1</v>
      </c>
      <c r="AI514" s="44">
        <v>3.58</v>
      </c>
      <c r="AJ514" s="44">
        <v>4.96</v>
      </c>
      <c r="AK514" s="45">
        <v>7.2463768115942031</v>
      </c>
      <c r="AL514" s="3">
        <v>10.93</v>
      </c>
      <c r="AM514" s="3">
        <v>10.73</v>
      </c>
      <c r="AN514" s="3">
        <v>10.99</v>
      </c>
      <c r="AO514" s="3">
        <v>10.86</v>
      </c>
      <c r="AP514" s="3">
        <v>10.73</v>
      </c>
      <c r="AQ514" s="47">
        <v>10.73</v>
      </c>
      <c r="AR514" s="47">
        <v>10.86</v>
      </c>
      <c r="AS514" s="3">
        <v>29.3</v>
      </c>
      <c r="AT514" s="3">
        <v>25.76</v>
      </c>
      <c r="AU514" s="3">
        <v>24.13</v>
      </c>
      <c r="AV514" s="3"/>
      <c r="AW514" s="3"/>
      <c r="AX514" s="48">
        <v>29.3</v>
      </c>
      <c r="AY514" s="3"/>
      <c r="AZ514" s="3"/>
      <c r="BA514" s="3">
        <v>230</v>
      </c>
      <c r="BB514" s="3"/>
      <c r="BC514" s="3">
        <v>272</v>
      </c>
      <c r="BD514" s="40">
        <v>1352.0822667759469</v>
      </c>
      <c r="BE514" s="40">
        <v>1200.6906767449314</v>
      </c>
      <c r="BF514" s="40"/>
      <c r="BG514" s="40">
        <v>332.73669307040302</v>
      </c>
      <c r="BH514" s="40">
        <v>322.48694459671532</v>
      </c>
      <c r="BI514" s="49">
        <v>2552.7729435208785</v>
      </c>
      <c r="BJ514" s="49">
        <v>655.22363766711828</v>
      </c>
      <c r="BK514" s="66">
        <v>0.12608708717672212</v>
      </c>
      <c r="BL514" s="66">
        <v>3.1783452463495898E-2</v>
      </c>
      <c r="BM514" s="51">
        <v>47.894426707708789</v>
      </c>
      <c r="BN514" s="51">
        <v>12.293126410264884</v>
      </c>
      <c r="BO514" s="52">
        <v>245</v>
      </c>
      <c r="BP514" s="40">
        <v>231</v>
      </c>
      <c r="BQ514" s="40">
        <v>245</v>
      </c>
      <c r="BR514" s="67">
        <v>-5.7142857142857162E-2</v>
      </c>
      <c r="BS514" s="54">
        <v>4.4652908067542212</v>
      </c>
      <c r="BT514" s="160">
        <v>158</v>
      </c>
      <c r="BU514" s="161">
        <v>158</v>
      </c>
      <c r="BV514" s="160">
        <v>141</v>
      </c>
      <c r="BW514" s="160">
        <v>147</v>
      </c>
      <c r="BX514" s="70">
        <v>0</v>
      </c>
      <c r="BY514" s="70">
        <v>-4.081632653061229E-2</v>
      </c>
      <c r="BZ514" s="59">
        <v>1.0748299319727892</v>
      </c>
      <c r="CA514" s="59">
        <v>1.1205673758865249</v>
      </c>
      <c r="CB514" s="59">
        <v>2.3951969981238275</v>
      </c>
      <c r="CC514" s="59">
        <v>2.1829643527204503</v>
      </c>
      <c r="CD514" s="60">
        <v>94</v>
      </c>
      <c r="CE514" s="60">
        <v>78</v>
      </c>
      <c r="CF514" s="61">
        <v>1.7636022514071295</v>
      </c>
      <c r="CG514" s="61">
        <v>1.4634146341463414</v>
      </c>
      <c r="CH514" s="61">
        <v>0.82978723404255317</v>
      </c>
      <c r="CI514" s="41">
        <v>14.7</v>
      </c>
      <c r="CJ514" s="40">
        <f>VLOOKUP(paper3[[#This Row],[YYIR nivå]],$DB:$DC,2)</f>
        <v>720</v>
      </c>
      <c r="CK514" s="3"/>
      <c r="CL514" s="114">
        <v>34600</v>
      </c>
      <c r="CM514" s="115">
        <v>34.6</v>
      </c>
      <c r="CN514" s="3">
        <v>158</v>
      </c>
      <c r="CO514" s="3">
        <v>147</v>
      </c>
      <c r="CP514" s="41">
        <v>14.125</v>
      </c>
      <c r="CQ514" s="3" t="s">
        <v>150</v>
      </c>
      <c r="CR514" s="40">
        <v>158</v>
      </c>
      <c r="CS514" s="40">
        <v>144</v>
      </c>
      <c r="CT514" s="40">
        <v>238</v>
      </c>
      <c r="CU514" s="40"/>
      <c r="CV514" s="40"/>
      <c r="CW514" s="40"/>
      <c r="CX514" s="40"/>
      <c r="CY514" s="40">
        <v>0</v>
      </c>
      <c r="CZ514" s="40"/>
      <c r="DA514" s="40"/>
    </row>
    <row r="515" spans="1:105" ht="18.75" customHeight="1">
      <c r="A515" s="3">
        <v>162</v>
      </c>
      <c r="B515" s="38" t="s">
        <v>103</v>
      </c>
      <c r="C515" s="3" t="s">
        <v>104</v>
      </c>
      <c r="D515" s="76" t="s">
        <v>215</v>
      </c>
      <c r="E515" s="39">
        <v>44820</v>
      </c>
      <c r="F515" s="3" t="s">
        <v>106</v>
      </c>
      <c r="G515" s="3" t="s">
        <v>122</v>
      </c>
      <c r="H515" s="3">
        <v>2008</v>
      </c>
      <c r="I515" s="40" t="s">
        <v>108</v>
      </c>
      <c r="J515" s="39" t="s">
        <v>123</v>
      </c>
      <c r="K515" s="3"/>
      <c r="L515" s="3"/>
      <c r="M515" s="3"/>
      <c r="N515" s="3"/>
      <c r="O515" s="3"/>
      <c r="P515" s="3"/>
      <c r="Q515" s="3"/>
      <c r="R515" s="3"/>
      <c r="S515" s="3"/>
      <c r="T515" s="42"/>
      <c r="U515" s="42"/>
      <c r="V515" s="12"/>
      <c r="W515" s="73"/>
      <c r="X515" s="43" cm="1">
        <f t="array" ref="X515">INDEX([1]!phvny[yphv], MATCH(1, (paper3[[#This Row],[id]]=[1]!phvny[id])*(paper3[[#This Row],[time]]=[1]!phvny[time]), 0))</f>
        <v>-7.8268585968489068E-2</v>
      </c>
      <c r="Y515" s="3"/>
      <c r="Z515" s="3"/>
      <c r="AA515" s="3"/>
      <c r="AB515" s="3"/>
      <c r="AC515" s="3"/>
      <c r="AD515" s="3"/>
      <c r="AE515" s="3"/>
      <c r="AF515" s="3"/>
      <c r="AG515" s="3"/>
      <c r="AH515" s="44"/>
      <c r="AI515" s="44"/>
      <c r="AJ515" s="44"/>
      <c r="AK515" s="45"/>
      <c r="AL515" s="3"/>
      <c r="AM515" s="3"/>
      <c r="AN515" s="3"/>
      <c r="AO515" s="3"/>
      <c r="AP515" s="3"/>
      <c r="AQ515" s="47"/>
      <c r="AR515" s="47"/>
      <c r="AS515" s="3"/>
      <c r="AT515" s="3"/>
      <c r="AU515" s="3"/>
      <c r="AV515" s="3"/>
      <c r="AW515" s="3"/>
      <c r="AX515" s="48"/>
      <c r="AY515" s="3"/>
      <c r="AZ515" s="3"/>
      <c r="BA515" s="3"/>
      <c r="BB515" s="3"/>
      <c r="BC515" s="3"/>
      <c r="BD515" s="40"/>
      <c r="BE515" s="40"/>
      <c r="BF515" s="40"/>
      <c r="BG515" s="40"/>
      <c r="BH515" s="40"/>
      <c r="BI515" s="49"/>
      <c r="BJ515" s="49"/>
      <c r="BK515" s="66"/>
      <c r="BL515" s="66"/>
      <c r="BM515" s="51"/>
      <c r="BN515" s="51"/>
      <c r="BO515" s="52"/>
      <c r="BP515" s="40"/>
      <c r="BQ515" s="40"/>
      <c r="BR515" s="67"/>
      <c r="BS515" s="54" t="s">
        <v>110</v>
      </c>
      <c r="BT515" s="160"/>
      <c r="BU515" s="161"/>
      <c r="BV515" s="160"/>
      <c r="BW515" s="160"/>
      <c r="BX515" s="70"/>
      <c r="BY515" s="70"/>
      <c r="BZ515" s="59"/>
      <c r="CA515" s="59"/>
      <c r="CB515" s="59" t="s">
        <v>110</v>
      </c>
      <c r="CC515" s="59" t="s">
        <v>110</v>
      </c>
      <c r="CD515" s="60"/>
      <c r="CE515" s="60"/>
      <c r="CF515" s="61"/>
      <c r="CG515" s="61"/>
      <c r="CH515" s="61"/>
      <c r="CI515" s="41">
        <v>14.7</v>
      </c>
      <c r="CJ515" s="40">
        <f>VLOOKUP(paper3[[#This Row],[YYIR nivå]],$DB:$DC,2)</f>
        <v>720</v>
      </c>
      <c r="CK515" s="3"/>
      <c r="CL515" s="114">
        <v>33652</v>
      </c>
      <c r="CM515" s="115">
        <v>33.652000000000001</v>
      </c>
      <c r="CN515" s="3"/>
      <c r="CO515" s="3"/>
      <c r="CP515" s="41">
        <v>14.327777777777778</v>
      </c>
      <c r="CQ515" s="3" t="s">
        <v>151</v>
      </c>
      <c r="CR515" s="40"/>
      <c r="CS515" s="40"/>
      <c r="CT515" s="40"/>
      <c r="CU515" s="40"/>
      <c r="CV515" s="40"/>
      <c r="CW515" s="40"/>
      <c r="CX515" s="40"/>
      <c r="CY515" s="40">
        <v>0</v>
      </c>
      <c r="CZ515" s="40"/>
      <c r="DA515" s="40"/>
    </row>
    <row r="516" spans="1:105" ht="18.75" customHeight="1">
      <c r="A516" s="3">
        <v>162</v>
      </c>
      <c r="B516" s="38" t="s">
        <v>103</v>
      </c>
      <c r="C516" s="76" t="s">
        <v>104</v>
      </c>
      <c r="D516" s="76" t="s">
        <v>215</v>
      </c>
      <c r="E516" s="176">
        <v>44880</v>
      </c>
      <c r="F516" s="76" t="s">
        <v>106</v>
      </c>
      <c r="G516" s="76" t="s">
        <v>122</v>
      </c>
      <c r="H516" s="76">
        <v>2008</v>
      </c>
      <c r="I516" s="77" t="s">
        <v>108</v>
      </c>
      <c r="J516" s="176" t="s">
        <v>123</v>
      </c>
      <c r="K516" s="76">
        <v>167.5</v>
      </c>
      <c r="L516" s="76">
        <v>167.5</v>
      </c>
      <c r="M516" s="76"/>
      <c r="N516" s="76">
        <v>138.80000000000001</v>
      </c>
      <c r="O516" s="76">
        <v>138.80000000000001</v>
      </c>
      <c r="P516" s="76"/>
      <c r="Q516" s="76">
        <v>54.2</v>
      </c>
      <c r="R516" s="76">
        <v>54.2</v>
      </c>
      <c r="S516" s="76"/>
      <c r="T516" s="164">
        <v>167.5</v>
      </c>
      <c r="U516" s="42">
        <f>AVERAGE(paper3[[#This Row],[Sittende høyde 1]:[Sittende høyde 3]])-56.2</f>
        <v>82.600000000000009</v>
      </c>
      <c r="V516" s="12">
        <f>paper3[[#This Row],[height]]-paper3[[#This Row],[sittingheight]]</f>
        <v>84.899999999999991</v>
      </c>
      <c r="W516" s="165">
        <v>54.2</v>
      </c>
      <c r="X516" s="43" cm="1">
        <f t="array" ref="X516">INDEX([1]!phvny[yphv], MATCH(1, (paper3[[#This Row],[id]]=[1]!phvny[id])*(paper3[[#This Row],[time]]=[1]!phvny[time]), 0))</f>
        <v>-7.8268585968489068E-2</v>
      </c>
      <c r="Y516" s="76">
        <v>1.94</v>
      </c>
      <c r="Z516" s="3">
        <v>3.33</v>
      </c>
      <c r="AA516" s="76">
        <v>4.72</v>
      </c>
      <c r="AB516" s="76">
        <v>1.99</v>
      </c>
      <c r="AC516" s="76">
        <v>3.41</v>
      </c>
      <c r="AD516" s="76">
        <v>4.79</v>
      </c>
      <c r="AE516" s="76">
        <v>2</v>
      </c>
      <c r="AF516" s="76">
        <v>3.46</v>
      </c>
      <c r="AG516" s="76">
        <v>4.8600000000000003</v>
      </c>
      <c r="AH516" s="166">
        <v>1.94</v>
      </c>
      <c r="AI516" s="166">
        <v>3.33</v>
      </c>
      <c r="AJ516" s="166">
        <v>4.72</v>
      </c>
      <c r="AK516" s="167">
        <v>7.1942446043165482</v>
      </c>
      <c r="AL516" s="76">
        <v>10.8</v>
      </c>
      <c r="AM516" s="76">
        <v>10.48</v>
      </c>
      <c r="AN516" s="76"/>
      <c r="AO516" s="76">
        <v>10.89</v>
      </c>
      <c r="AP516" s="76">
        <v>10.48</v>
      </c>
      <c r="AQ516" s="168">
        <v>10.48</v>
      </c>
      <c r="AR516" s="168">
        <v>10.89</v>
      </c>
      <c r="AS516" s="76">
        <v>28.98</v>
      </c>
      <c r="AT516" s="76">
        <v>27.55</v>
      </c>
      <c r="AU516" s="76">
        <v>25.81</v>
      </c>
      <c r="AV516" s="76"/>
      <c r="AW516" s="76"/>
      <c r="AX516" s="169">
        <v>29</v>
      </c>
      <c r="AY516" s="76"/>
      <c r="AZ516" s="76">
        <v>8</v>
      </c>
      <c r="BA516" s="76">
        <v>240</v>
      </c>
      <c r="BB516" s="76">
        <v>8</v>
      </c>
      <c r="BC516" s="76">
        <v>217</v>
      </c>
      <c r="BD516" s="76">
        <v>985</v>
      </c>
      <c r="BE516" s="76">
        <v>945</v>
      </c>
      <c r="BF516" s="76"/>
      <c r="BG516" s="76">
        <v>420</v>
      </c>
      <c r="BH516" s="76">
        <v>408</v>
      </c>
      <c r="BI516" s="170">
        <v>1930</v>
      </c>
      <c r="BJ516" s="170">
        <v>828</v>
      </c>
      <c r="BK516" s="66">
        <v>4.2000000000000003E-2</v>
      </c>
      <c r="BL516" s="66">
        <v>2.8899999999999999E-2</v>
      </c>
      <c r="BM516" s="51">
        <v>35.6</v>
      </c>
      <c r="BN516" s="51">
        <v>15.3</v>
      </c>
      <c r="BO516" s="171">
        <v>292</v>
      </c>
      <c r="BP516" s="77">
        <v>277</v>
      </c>
      <c r="BQ516" s="77">
        <v>292</v>
      </c>
      <c r="BR516" s="172">
        <v>-5.1400000000000001E-2</v>
      </c>
      <c r="BS516" s="54">
        <v>5.2490774907749076</v>
      </c>
      <c r="BT516" s="76">
        <v>141</v>
      </c>
      <c r="BU516" s="77">
        <v>145</v>
      </c>
      <c r="BV516" s="76">
        <v>112</v>
      </c>
      <c r="BW516" s="76">
        <v>111</v>
      </c>
      <c r="BX516" s="81">
        <v>-2.8000000000000001E-2</v>
      </c>
      <c r="BY516" s="81">
        <v>8.9999999999999993E-3</v>
      </c>
      <c r="BZ516" s="59">
        <v>1.31</v>
      </c>
      <c r="CA516" s="173">
        <v>1.26</v>
      </c>
      <c r="CB516" s="173">
        <v>2.2399815498154978</v>
      </c>
      <c r="CC516" s="173">
        <v>1.7465590405904055</v>
      </c>
      <c r="CD516" s="177">
        <v>84</v>
      </c>
      <c r="CE516" s="177">
        <v>89</v>
      </c>
      <c r="CF516" s="175">
        <v>1.55</v>
      </c>
      <c r="CG516" s="175">
        <v>1.64</v>
      </c>
      <c r="CH516" s="175">
        <v>1.06</v>
      </c>
      <c r="CI516" s="96"/>
      <c r="CJ516" s="40"/>
      <c r="CK516" s="76"/>
      <c r="CL516" s="62"/>
      <c r="CM516" s="63" t="s">
        <v>110</v>
      </c>
      <c r="CN516" s="3">
        <v>145</v>
      </c>
      <c r="CO516" s="3">
        <v>112</v>
      </c>
      <c r="CP516" s="41">
        <v>14.327777777777778</v>
      </c>
      <c r="CQ516" s="3" t="s">
        <v>151</v>
      </c>
      <c r="CR516" s="40">
        <v>143</v>
      </c>
      <c r="CS516" s="40">
        <v>111.5</v>
      </c>
      <c r="CT516" s="40">
        <v>284.5</v>
      </c>
      <c r="CU516" s="40"/>
      <c r="CV516" s="40"/>
      <c r="CW516" s="40"/>
      <c r="CX516" s="40"/>
      <c r="CY516" s="40">
        <v>0</v>
      </c>
      <c r="CZ516" s="40"/>
      <c r="DA516" s="40"/>
    </row>
    <row r="517" spans="1:105" ht="18.75" customHeight="1">
      <c r="A517" s="3">
        <v>163</v>
      </c>
      <c r="B517" s="38" t="s">
        <v>103</v>
      </c>
      <c r="C517" s="3" t="s">
        <v>104</v>
      </c>
      <c r="D517" s="76" t="s">
        <v>215</v>
      </c>
      <c r="E517" s="39">
        <v>44820</v>
      </c>
      <c r="F517" s="3" t="s">
        <v>106</v>
      </c>
      <c r="G517" s="3" t="s">
        <v>122</v>
      </c>
      <c r="H517" s="3">
        <v>2008</v>
      </c>
      <c r="I517" s="40" t="s">
        <v>108</v>
      </c>
      <c r="J517" s="39" t="s">
        <v>123</v>
      </c>
      <c r="K517" s="3"/>
      <c r="L517" s="3"/>
      <c r="M517" s="3"/>
      <c r="N517" s="3"/>
      <c r="O517" s="3"/>
      <c r="P517" s="3"/>
      <c r="Q517" s="3"/>
      <c r="R517" s="3"/>
      <c r="S517" s="3"/>
      <c r="T517" s="42"/>
      <c r="U517" s="42"/>
      <c r="V517" s="12"/>
      <c r="W517" s="73"/>
      <c r="X517" s="43" cm="1">
        <f t="array" ref="X517">INDEX([1]!phvny[yphv], MATCH(1, (paper3[[#This Row],[id]]=[1]!phvny[id])*(paper3[[#This Row],[time]]=[1]!phvny[time]), 0))</f>
        <v>1.0909028552910176</v>
      </c>
      <c r="Y517" s="3"/>
      <c r="Z517" s="3"/>
      <c r="AA517" s="3"/>
      <c r="AB517" s="3"/>
      <c r="AC517" s="3"/>
      <c r="AD517" s="3"/>
      <c r="AE517" s="3"/>
      <c r="AF517" s="3"/>
      <c r="AG517" s="3"/>
      <c r="AH517" s="44"/>
      <c r="AI517" s="44"/>
      <c r="AJ517" s="44"/>
      <c r="AK517" s="45"/>
      <c r="AL517" s="3"/>
      <c r="AM517" s="3"/>
      <c r="AN517" s="3"/>
      <c r="AO517" s="3"/>
      <c r="AP517" s="3"/>
      <c r="AQ517" s="47"/>
      <c r="AR517" s="47"/>
      <c r="AS517" s="3"/>
      <c r="AT517" s="3"/>
      <c r="AU517" s="3"/>
      <c r="AV517" s="3"/>
      <c r="AW517" s="3"/>
      <c r="AX517" s="48"/>
      <c r="AY517" s="3"/>
      <c r="AZ517" s="3"/>
      <c r="BA517" s="3"/>
      <c r="BB517" s="3"/>
      <c r="BC517" s="3"/>
      <c r="BD517" s="40"/>
      <c r="BE517" s="40"/>
      <c r="BF517" s="40"/>
      <c r="BG517" s="40"/>
      <c r="BH517" s="40"/>
      <c r="BI517" s="49"/>
      <c r="BJ517" s="49"/>
      <c r="BK517" s="66"/>
      <c r="BL517" s="66"/>
      <c r="BM517" s="51"/>
      <c r="BN517" s="51"/>
      <c r="BO517" s="52"/>
      <c r="BP517" s="40"/>
      <c r="BQ517" s="40"/>
      <c r="BR517" s="67"/>
      <c r="BS517" s="54" t="s">
        <v>110</v>
      </c>
      <c r="BT517" s="160"/>
      <c r="BU517" s="161"/>
      <c r="BV517" s="160"/>
      <c r="BW517" s="160"/>
      <c r="BX517" s="70"/>
      <c r="BY517" s="70"/>
      <c r="BZ517" s="59"/>
      <c r="CA517" s="59"/>
      <c r="CB517" s="59" t="s">
        <v>110</v>
      </c>
      <c r="CC517" s="59" t="s">
        <v>110</v>
      </c>
      <c r="CD517" s="60"/>
      <c r="CE517" s="60"/>
      <c r="CF517" s="61"/>
      <c r="CG517" s="61"/>
      <c r="CH517" s="61"/>
      <c r="CI517" s="41">
        <v>16.7</v>
      </c>
      <c r="CJ517" s="40">
        <f>VLOOKUP(paper3[[#This Row],[YYIR nivå]],$DB:$DC,2)</f>
        <v>1360</v>
      </c>
      <c r="CK517" s="3"/>
      <c r="CL517" s="114">
        <v>43221</v>
      </c>
      <c r="CM517" s="115">
        <v>43.220999999999997</v>
      </c>
      <c r="CN517" s="3"/>
      <c r="CO517" s="3"/>
      <c r="CP517" s="41">
        <v>14.797222222222222</v>
      </c>
      <c r="CQ517" s="3" t="s">
        <v>152</v>
      </c>
      <c r="CR517" s="40"/>
      <c r="CS517" s="40"/>
      <c r="CT517" s="40"/>
      <c r="CU517" s="40"/>
      <c r="CV517" s="40"/>
      <c r="CW517" s="40"/>
      <c r="CX517" s="40"/>
      <c r="CY517" s="40">
        <v>0</v>
      </c>
      <c r="CZ517" s="40"/>
      <c r="DA517" s="40"/>
    </row>
    <row r="518" spans="1:105" ht="18.75" customHeight="1">
      <c r="A518" s="162">
        <v>163</v>
      </c>
      <c r="B518" s="38" t="s">
        <v>103</v>
      </c>
      <c r="C518" s="78" t="s">
        <v>104</v>
      </c>
      <c r="D518" s="78" t="s">
        <v>215</v>
      </c>
      <c r="E518" s="163">
        <v>44880</v>
      </c>
      <c r="F518" s="78" t="s">
        <v>106</v>
      </c>
      <c r="G518" s="78" t="s">
        <v>122</v>
      </c>
      <c r="H518" s="78">
        <v>2008</v>
      </c>
      <c r="I518" s="79" t="s">
        <v>108</v>
      </c>
      <c r="J518" s="163" t="s">
        <v>123</v>
      </c>
      <c r="K518" s="78">
        <v>180.3</v>
      </c>
      <c r="L518" s="78">
        <v>180.4</v>
      </c>
      <c r="M518" s="78"/>
      <c r="N518" s="78">
        <v>146</v>
      </c>
      <c r="O518" s="78">
        <v>145.9</v>
      </c>
      <c r="P518" s="78"/>
      <c r="Q518" s="78">
        <v>60.7</v>
      </c>
      <c r="R518" s="78">
        <v>60.7</v>
      </c>
      <c r="S518" s="78"/>
      <c r="T518" s="164">
        <v>180.4</v>
      </c>
      <c r="U518" s="42">
        <f>AVERAGE(paper3[[#This Row],[Sittende høyde 1]:[Sittende høyde 3]])-56.2</f>
        <v>89.749999999999986</v>
      </c>
      <c r="V518" s="12">
        <f>paper3[[#This Row],[height]]-paper3[[#This Row],[sittingheight]]</f>
        <v>90.65000000000002</v>
      </c>
      <c r="W518" s="165">
        <v>60.7</v>
      </c>
      <c r="X518" s="43" cm="1">
        <f t="array" ref="X518">INDEX([1]!phvny[yphv], MATCH(1, (paper3[[#This Row],[id]]=[1]!phvny[id])*(paper3[[#This Row],[time]]=[1]!phvny[time]), 0))</f>
        <v>1.0909028552910176</v>
      </c>
      <c r="Y518" s="76">
        <v>1.86</v>
      </c>
      <c r="Z518" s="3">
        <v>3.1</v>
      </c>
      <c r="AA518" s="76">
        <v>4.43</v>
      </c>
      <c r="AB518" s="78">
        <v>1.85</v>
      </c>
      <c r="AC518" s="78">
        <v>3.12</v>
      </c>
      <c r="AD518" s="78">
        <v>4.3899999999999997</v>
      </c>
      <c r="AE518" s="78">
        <v>1.82</v>
      </c>
      <c r="AF518" s="78">
        <v>3.12</v>
      </c>
      <c r="AG518" s="78">
        <v>4.41</v>
      </c>
      <c r="AH518" s="166">
        <v>1.82</v>
      </c>
      <c r="AI518" s="166">
        <v>3.1</v>
      </c>
      <c r="AJ518" s="166">
        <v>4.3899999999999997</v>
      </c>
      <c r="AK518" s="167">
        <v>7.7519379844961263</v>
      </c>
      <c r="AL518" s="78">
        <v>10.14</v>
      </c>
      <c r="AM518" s="78">
        <v>9.9499999999999993</v>
      </c>
      <c r="AN518" s="78">
        <v>10.039999999999999</v>
      </c>
      <c r="AO518" s="78">
        <v>9.8000000000000007</v>
      </c>
      <c r="AP518" s="78">
        <v>9.8000000000000007</v>
      </c>
      <c r="AQ518" s="168">
        <v>9.9499999999999993</v>
      </c>
      <c r="AR518" s="168">
        <v>9.8000000000000007</v>
      </c>
      <c r="AS518" s="78">
        <v>35.29</v>
      </c>
      <c r="AT518" s="78">
        <v>29.43</v>
      </c>
      <c r="AU518" s="78">
        <v>34.4</v>
      </c>
      <c r="AV518" s="78"/>
      <c r="AW518" s="76"/>
      <c r="AX518" s="169">
        <v>35.299999999999997</v>
      </c>
      <c r="AY518" s="78"/>
      <c r="AZ518" s="78">
        <v>10</v>
      </c>
      <c r="BA518" s="78">
        <v>240</v>
      </c>
      <c r="BB518" s="78">
        <v>8</v>
      </c>
      <c r="BC518" s="78">
        <v>217</v>
      </c>
      <c r="BD518" s="78"/>
      <c r="BE518" s="78"/>
      <c r="BF518" s="78"/>
      <c r="BG518" s="78">
        <v>457</v>
      </c>
      <c r="BH518" s="78">
        <v>461</v>
      </c>
      <c r="BI518" s="170"/>
      <c r="BJ518" s="170">
        <v>917</v>
      </c>
      <c r="BK518" s="66"/>
      <c r="BL518" s="66">
        <v>-8.3999999999999995E-3</v>
      </c>
      <c r="BM518" s="51"/>
      <c r="BN518" s="51">
        <v>15.1</v>
      </c>
      <c r="BO518" s="171">
        <v>219</v>
      </c>
      <c r="BP518" s="79">
        <v>192</v>
      </c>
      <c r="BQ518" s="79">
        <v>219</v>
      </c>
      <c r="BR518" s="172">
        <v>-0.12330000000000001</v>
      </c>
      <c r="BS518" s="54">
        <v>3.3855024711696866</v>
      </c>
      <c r="BT518" s="78">
        <v>156</v>
      </c>
      <c r="BU518" s="79">
        <v>147</v>
      </c>
      <c r="BV518" s="78">
        <v>135</v>
      </c>
      <c r="BW518" s="78">
        <v>128</v>
      </c>
      <c r="BX518" s="81">
        <v>6.0999999999999999E-2</v>
      </c>
      <c r="BY518" s="81">
        <v>5.5E-2</v>
      </c>
      <c r="BZ518" s="59">
        <v>1.1499999999999999</v>
      </c>
      <c r="CA518" s="173">
        <v>1.1599999999999999</v>
      </c>
      <c r="CB518" s="173">
        <v>2.2625164744645807</v>
      </c>
      <c r="CC518" s="173">
        <v>1.9638344316309724</v>
      </c>
      <c r="CD518" s="174">
        <v>69</v>
      </c>
      <c r="CE518" s="174">
        <v>59</v>
      </c>
      <c r="CF518" s="175">
        <v>1.1399999999999999</v>
      </c>
      <c r="CG518" s="175">
        <v>0.97</v>
      </c>
      <c r="CH518" s="175">
        <v>0.86</v>
      </c>
      <c r="CI518" s="140"/>
      <c r="CJ518" s="40"/>
      <c r="CK518" s="78"/>
      <c r="CL518" s="62"/>
      <c r="CM518" s="63" t="s">
        <v>110</v>
      </c>
      <c r="CN518" s="3">
        <v>156</v>
      </c>
      <c r="CO518" s="3">
        <v>135</v>
      </c>
      <c r="CP518" s="41">
        <v>14.797222222222222</v>
      </c>
      <c r="CQ518" s="3" t="s">
        <v>152</v>
      </c>
      <c r="CR518" s="40">
        <v>151.5</v>
      </c>
      <c r="CS518" s="40">
        <v>131.5</v>
      </c>
      <c r="CT518" s="40">
        <v>205.5</v>
      </c>
      <c r="CU518" s="40"/>
      <c r="CV518" s="40"/>
      <c r="CW518" s="40"/>
      <c r="CX518" s="40"/>
      <c r="CY518" s="40">
        <v>0</v>
      </c>
      <c r="CZ518" s="40"/>
      <c r="DA518" s="40"/>
    </row>
    <row r="519" spans="1:105" ht="18.75" customHeight="1">
      <c r="A519" s="3">
        <v>164</v>
      </c>
      <c r="B519" s="38" t="s">
        <v>103</v>
      </c>
      <c r="C519" s="3" t="s">
        <v>104</v>
      </c>
      <c r="D519" s="76" t="s">
        <v>215</v>
      </c>
      <c r="E519" s="39">
        <v>44820</v>
      </c>
      <c r="F519" s="3" t="s">
        <v>106</v>
      </c>
      <c r="G519" s="3" t="s">
        <v>122</v>
      </c>
      <c r="H519" s="3">
        <v>2008</v>
      </c>
      <c r="I519" s="40" t="s">
        <v>108</v>
      </c>
      <c r="J519" s="39" t="s">
        <v>123</v>
      </c>
      <c r="K519" s="3">
        <v>161.80000000000001</v>
      </c>
      <c r="L519" s="3">
        <v>161.5</v>
      </c>
      <c r="M519" s="3">
        <v>161.80000000000001</v>
      </c>
      <c r="N519" s="3">
        <v>135.19999999999999</v>
      </c>
      <c r="O519" s="3">
        <v>135.80000000000001</v>
      </c>
      <c r="P519" s="3">
        <v>135.80000000000001</v>
      </c>
      <c r="Q519" s="3">
        <v>55.1</v>
      </c>
      <c r="R519" s="3">
        <v>55.1</v>
      </c>
      <c r="S519" s="3"/>
      <c r="T519" s="42">
        <v>161.70000000000002</v>
      </c>
      <c r="U519" s="42">
        <f>AVERAGE(paper3[[#This Row],[Sittende høyde 1]:[Sittende høyde 3]])-56.2</f>
        <v>79.399999999999991</v>
      </c>
      <c r="V519" s="12">
        <f>paper3[[#This Row],[height]]-paper3[[#This Row],[sittingheight]]</f>
        <v>82.300000000000026</v>
      </c>
      <c r="W519" s="73">
        <v>55.1</v>
      </c>
      <c r="X519" s="43" cm="1">
        <f t="array" ref="X519">INDEX([1]!phvny[yphv], MATCH(1, (paper3[[#This Row],[id]]=[1]!phvny[id])*(paper3[[#This Row],[time]]=[1]!phvny[time]), 0))</f>
        <v>-0.50996040811770971</v>
      </c>
      <c r="Y519" s="3">
        <v>2.09</v>
      </c>
      <c r="Z519" s="3">
        <v>3.59</v>
      </c>
      <c r="AA519" s="3">
        <v>5.0599999999999996</v>
      </c>
      <c r="AB519" s="3">
        <v>2.13</v>
      </c>
      <c r="AC519" s="3">
        <v>3.65</v>
      </c>
      <c r="AD519" s="3">
        <v>5.16</v>
      </c>
      <c r="AE519" s="3">
        <v>2.27</v>
      </c>
      <c r="AF519" s="3">
        <v>3.79</v>
      </c>
      <c r="AG519" s="3">
        <v>5.26</v>
      </c>
      <c r="AH519" s="44">
        <v>2.09</v>
      </c>
      <c r="AI519" s="44">
        <v>3.59</v>
      </c>
      <c r="AJ519" s="44">
        <v>5.0599999999999996</v>
      </c>
      <c r="AK519" s="45">
        <v>6.8027210884353755</v>
      </c>
      <c r="AL519" s="3">
        <v>11.29</v>
      </c>
      <c r="AM519" s="3">
        <v>11</v>
      </c>
      <c r="AN519" s="3">
        <v>11.07</v>
      </c>
      <c r="AO519" s="3">
        <v>11.07</v>
      </c>
      <c r="AP519" s="3">
        <v>11</v>
      </c>
      <c r="AQ519" s="47">
        <v>11</v>
      </c>
      <c r="AR519" s="47">
        <v>11.07</v>
      </c>
      <c r="AS519" s="3">
        <v>24.33</v>
      </c>
      <c r="AT519" s="3">
        <v>24</v>
      </c>
      <c r="AU519" s="3">
        <v>21.79</v>
      </c>
      <c r="AV519" s="3"/>
      <c r="AW519" s="3"/>
      <c r="AX519" s="48">
        <v>24.33</v>
      </c>
      <c r="AY519" s="3"/>
      <c r="AZ519" s="3"/>
      <c r="BA519" s="3">
        <v>235</v>
      </c>
      <c r="BB519" s="3"/>
      <c r="BC519" s="3">
        <v>234</v>
      </c>
      <c r="BD519" s="40">
        <v>988.95586670895568</v>
      </c>
      <c r="BE519" s="40">
        <v>985.55956534497955</v>
      </c>
      <c r="BF519" s="40"/>
      <c r="BG519" s="40">
        <v>378.00418433137793</v>
      </c>
      <c r="BH519" s="40">
        <v>376.96829116399056</v>
      </c>
      <c r="BI519" s="49">
        <v>1974.5154320539352</v>
      </c>
      <c r="BJ519" s="49">
        <v>754.97247549536849</v>
      </c>
      <c r="BK519" s="66">
        <v>3.4460640263658249E-3</v>
      </c>
      <c r="BL519" s="66">
        <v>2.7479583606058178E-3</v>
      </c>
      <c r="BM519" s="51">
        <v>35.835125808601362</v>
      </c>
      <c r="BN519" s="51">
        <v>13.70185980935333</v>
      </c>
      <c r="BO519" s="52">
        <v>239</v>
      </c>
      <c r="BP519" s="40">
        <v>239</v>
      </c>
      <c r="BQ519" s="40">
        <v>238</v>
      </c>
      <c r="BR519" s="67">
        <v>4.2016806722688926E-3</v>
      </c>
      <c r="BS519" s="54">
        <v>4.3284936479128859</v>
      </c>
      <c r="BT519" s="160">
        <v>130</v>
      </c>
      <c r="BU519" s="161">
        <v>164</v>
      </c>
      <c r="BV519" s="160">
        <v>101</v>
      </c>
      <c r="BW519" s="160">
        <v>103</v>
      </c>
      <c r="BX519" s="70">
        <v>-0.20731707317073167</v>
      </c>
      <c r="BY519" s="70">
        <v>-1.9417475728155331E-2</v>
      </c>
      <c r="BZ519" s="59">
        <v>1.5922330097087378</v>
      </c>
      <c r="CA519" s="59">
        <v>1.2871287128712872</v>
      </c>
      <c r="CB519" s="59">
        <v>2.1956624319419245</v>
      </c>
      <c r="CC519" s="59">
        <v>1.5235208711433761</v>
      </c>
      <c r="CD519" s="60">
        <v>94</v>
      </c>
      <c r="CE519" s="60">
        <v>83</v>
      </c>
      <c r="CF519" s="61">
        <v>1.705989110707804</v>
      </c>
      <c r="CG519" s="61">
        <v>1.5063520871143374</v>
      </c>
      <c r="CH519" s="61">
        <v>0.88297872340425521</v>
      </c>
      <c r="CI519" s="41">
        <v>14.7</v>
      </c>
      <c r="CJ519" s="40">
        <f>VLOOKUP(paper3[[#This Row],[YYIR nivå]],$DB:$DC,2)</f>
        <v>720</v>
      </c>
      <c r="CK519" s="3"/>
      <c r="CL519" s="114"/>
      <c r="CM519" s="115" t="s">
        <v>110</v>
      </c>
      <c r="CN519" s="3">
        <v>164</v>
      </c>
      <c r="CO519" s="3">
        <v>103</v>
      </c>
      <c r="CP519" s="41">
        <v>14.161111111111111</v>
      </c>
      <c r="CQ519" s="3" t="s">
        <v>110</v>
      </c>
      <c r="CR519" s="40">
        <v>147</v>
      </c>
      <c r="CS519" s="40">
        <v>102</v>
      </c>
      <c r="CT519" s="40">
        <v>238.5</v>
      </c>
      <c r="CU519" s="40"/>
      <c r="CV519" s="40"/>
      <c r="CW519" s="40"/>
      <c r="CX519" s="40"/>
      <c r="CY519" s="40">
        <v>0</v>
      </c>
      <c r="CZ519" s="40"/>
      <c r="DA519" s="40"/>
    </row>
    <row r="520" spans="1:105" ht="18.75" customHeight="1">
      <c r="A520" s="3">
        <v>165</v>
      </c>
      <c r="B520" s="38" t="s">
        <v>103</v>
      </c>
      <c r="C520" s="3" t="s">
        <v>104</v>
      </c>
      <c r="D520" s="76" t="s">
        <v>215</v>
      </c>
      <c r="E520" s="39">
        <v>44820</v>
      </c>
      <c r="F520" s="3" t="s">
        <v>106</v>
      </c>
      <c r="G520" s="3" t="s">
        <v>122</v>
      </c>
      <c r="H520" s="3">
        <v>2008</v>
      </c>
      <c r="I520" s="40" t="s">
        <v>108</v>
      </c>
      <c r="J520" s="39" t="s">
        <v>123</v>
      </c>
      <c r="K520" s="3">
        <v>172.4</v>
      </c>
      <c r="L520" s="3">
        <v>172.4</v>
      </c>
      <c r="M520" s="3"/>
      <c r="N520" s="3">
        <v>144.69999999999999</v>
      </c>
      <c r="O520" s="3">
        <v>144.80000000000001</v>
      </c>
      <c r="P520" s="3"/>
      <c r="Q520" s="3">
        <v>61.1</v>
      </c>
      <c r="R520" s="3">
        <v>61.1</v>
      </c>
      <c r="S520" s="3"/>
      <c r="T520" s="42">
        <v>172.4</v>
      </c>
      <c r="U520" s="42">
        <f>AVERAGE(paper3[[#This Row],[Sittende høyde 1]:[Sittende høyde 3]])-56.2</f>
        <v>88.55</v>
      </c>
      <c r="V520" s="12">
        <f>paper3[[#This Row],[height]]-paper3[[#This Row],[sittingheight]]</f>
        <v>83.850000000000009</v>
      </c>
      <c r="W520" s="73">
        <v>61.1</v>
      </c>
      <c r="X520" s="43" cm="1">
        <f t="array" ref="X520">INDEX([1]!phvny[yphv], MATCH(1, (paper3[[#This Row],[id]]=[1]!phvny[id])*(paper3[[#This Row],[time]]=[1]!phvny[time]), 0))</f>
        <v>0.72476099775999037</v>
      </c>
      <c r="Y520" s="3">
        <v>2.04</v>
      </c>
      <c r="Z520" s="3">
        <v>3.5</v>
      </c>
      <c r="AA520" s="3">
        <v>4.92</v>
      </c>
      <c r="AB520" s="3">
        <v>2.0699999999999998</v>
      </c>
      <c r="AC520" s="3">
        <v>3.52</v>
      </c>
      <c r="AD520" s="3">
        <v>4.92</v>
      </c>
      <c r="AE520" s="3">
        <v>2.0699999999999998</v>
      </c>
      <c r="AF520" s="3">
        <v>3.54</v>
      </c>
      <c r="AG520" s="3">
        <v>4.93</v>
      </c>
      <c r="AH520" s="44">
        <v>2.04</v>
      </c>
      <c r="AI520" s="44">
        <v>3.5</v>
      </c>
      <c r="AJ520" s="44">
        <v>4.92</v>
      </c>
      <c r="AK520" s="45">
        <v>7.042253521126761</v>
      </c>
      <c r="AL520" s="3">
        <v>10.65</v>
      </c>
      <c r="AM520" s="3">
        <v>10.69</v>
      </c>
      <c r="AN520" s="3">
        <v>10.54</v>
      </c>
      <c r="AO520" s="3">
        <v>10.58</v>
      </c>
      <c r="AP520" s="3">
        <v>10.54</v>
      </c>
      <c r="AQ520" s="47">
        <v>10.65</v>
      </c>
      <c r="AR520" s="47">
        <v>10.54</v>
      </c>
      <c r="AS520" s="3">
        <v>22.05</v>
      </c>
      <c r="AT520" s="3">
        <v>22.7</v>
      </c>
      <c r="AU520" s="3">
        <v>21.69</v>
      </c>
      <c r="AV520" s="3"/>
      <c r="AW520" s="3"/>
      <c r="AX520" s="48">
        <v>22.7</v>
      </c>
      <c r="AY520" s="3"/>
      <c r="AZ520" s="3"/>
      <c r="BA520" s="3">
        <v>220</v>
      </c>
      <c r="BB520" s="3"/>
      <c r="BC520" s="3">
        <v>199</v>
      </c>
      <c r="BD520" s="40">
        <v>820.77119693846794</v>
      </c>
      <c r="BE520" s="40">
        <v>815.31609422979488</v>
      </c>
      <c r="BF520" s="40"/>
      <c r="BG520" s="40">
        <v>299.7270640767286</v>
      </c>
      <c r="BH520" s="40">
        <v>310.44297478417258</v>
      </c>
      <c r="BI520" s="49">
        <v>1636.0872911682627</v>
      </c>
      <c r="BJ520" s="49">
        <v>610.17003886090117</v>
      </c>
      <c r="BK520" s="66">
        <v>6.690782565535347E-3</v>
      </c>
      <c r="BL520" s="66">
        <v>-3.4518129182642743E-2</v>
      </c>
      <c r="BM520" s="51">
        <v>26.777206074766983</v>
      </c>
      <c r="BN520" s="51">
        <v>9.9864163479689232</v>
      </c>
      <c r="BO520" s="52">
        <v>271</v>
      </c>
      <c r="BP520" s="40">
        <v>271</v>
      </c>
      <c r="BQ520" s="40">
        <v>249</v>
      </c>
      <c r="BR520" s="67">
        <v>8.8353413654618462E-2</v>
      </c>
      <c r="BS520" s="54">
        <v>4.2553191489361701</v>
      </c>
      <c r="BT520" s="160">
        <v>126</v>
      </c>
      <c r="BU520" s="161">
        <v>117</v>
      </c>
      <c r="BV520" s="160">
        <v>119</v>
      </c>
      <c r="BW520" s="160">
        <v>117</v>
      </c>
      <c r="BX520" s="70">
        <v>7.6923076923076872E-2</v>
      </c>
      <c r="BY520" s="70">
        <v>1.7094017094017033E-2</v>
      </c>
      <c r="BZ520" s="59">
        <v>1</v>
      </c>
      <c r="CA520" s="59">
        <v>1.0588235294117647</v>
      </c>
      <c r="CB520" s="59">
        <v>1.6673936170212769</v>
      </c>
      <c r="CC520" s="59">
        <v>1.6193617021276598</v>
      </c>
      <c r="CD520" s="60">
        <v>76</v>
      </c>
      <c r="CE520" s="60">
        <v>65</v>
      </c>
      <c r="CF520" s="61">
        <v>1.2438625204582652</v>
      </c>
      <c r="CG520" s="61">
        <v>1.0638297872340425</v>
      </c>
      <c r="CH520" s="61">
        <v>0.85526315789473684</v>
      </c>
      <c r="CI520" s="41">
        <v>16.3</v>
      </c>
      <c r="CJ520" s="40">
        <f>VLOOKUP(paper3[[#This Row],[YYIR nivå]],$DB:$DC,2)</f>
        <v>1200</v>
      </c>
      <c r="CK520" s="3"/>
      <c r="CL520" s="114">
        <v>39056</v>
      </c>
      <c r="CM520" s="115">
        <v>39.055999999999997</v>
      </c>
      <c r="CN520" s="3">
        <v>126</v>
      </c>
      <c r="CO520" s="3">
        <v>119</v>
      </c>
      <c r="CP520" s="41">
        <v>14.28888888888889</v>
      </c>
      <c r="CQ520" s="3" t="s">
        <v>153</v>
      </c>
      <c r="CR520" s="40">
        <v>121.5</v>
      </c>
      <c r="CS520" s="40">
        <v>118</v>
      </c>
      <c r="CT520" s="40">
        <v>260</v>
      </c>
      <c r="CU520" s="40"/>
      <c r="CV520" s="40"/>
      <c r="CW520" s="40"/>
      <c r="CX520" s="40"/>
      <c r="CY520" s="40">
        <v>0</v>
      </c>
      <c r="CZ520" s="40"/>
      <c r="DA520" s="40"/>
    </row>
    <row r="521" spans="1:105" ht="18.75" customHeight="1">
      <c r="A521" s="3">
        <v>166</v>
      </c>
      <c r="B521" s="38" t="s">
        <v>103</v>
      </c>
      <c r="C521" s="3" t="s">
        <v>104</v>
      </c>
      <c r="D521" s="76" t="s">
        <v>215</v>
      </c>
      <c r="E521" s="39">
        <v>44820</v>
      </c>
      <c r="F521" s="3" t="s">
        <v>106</v>
      </c>
      <c r="G521" s="3" t="s">
        <v>122</v>
      </c>
      <c r="H521" s="3">
        <v>2008</v>
      </c>
      <c r="I521" s="40" t="s">
        <v>108</v>
      </c>
      <c r="J521" s="39" t="s">
        <v>123</v>
      </c>
      <c r="K521" s="3"/>
      <c r="L521" s="3"/>
      <c r="M521" s="3"/>
      <c r="N521" s="3"/>
      <c r="O521" s="3"/>
      <c r="P521" s="3"/>
      <c r="Q521" s="3"/>
      <c r="R521" s="3"/>
      <c r="S521" s="3"/>
      <c r="T521" s="42"/>
      <c r="U521" s="42"/>
      <c r="V521" s="12"/>
      <c r="W521" s="73"/>
      <c r="X521" s="43" cm="1">
        <f t="array" ref="X521">INDEX([1]!phvny[yphv], MATCH(1, (paper3[[#This Row],[id]]=[1]!phvny[id])*(paper3[[#This Row],[time]]=[1]!phvny[time]), 0))</f>
        <v>9.1616008022521234E-2</v>
      </c>
      <c r="Y521" s="3"/>
      <c r="Z521" s="3"/>
      <c r="AA521" s="3"/>
      <c r="AB521" s="3"/>
      <c r="AC521" s="3"/>
      <c r="AD521" s="3"/>
      <c r="AE521" s="3"/>
      <c r="AF521" s="3"/>
      <c r="AG521" s="3"/>
      <c r="AH521" s="44"/>
      <c r="AI521" s="44"/>
      <c r="AJ521" s="44"/>
      <c r="AK521" s="45"/>
      <c r="AL521" s="3"/>
      <c r="AM521" s="3"/>
      <c r="AN521" s="3"/>
      <c r="AO521" s="3"/>
      <c r="AP521" s="3"/>
      <c r="AQ521" s="47"/>
      <c r="AR521" s="47"/>
      <c r="AS521" s="3"/>
      <c r="AT521" s="3"/>
      <c r="AU521" s="3"/>
      <c r="AV521" s="3"/>
      <c r="AW521" s="3"/>
      <c r="AX521" s="48"/>
      <c r="AY521" s="3"/>
      <c r="AZ521" s="3"/>
      <c r="BA521" s="3"/>
      <c r="BB521" s="3"/>
      <c r="BC521" s="3"/>
      <c r="BD521" s="40"/>
      <c r="BE521" s="40"/>
      <c r="BF521" s="40"/>
      <c r="BG521" s="40"/>
      <c r="BH521" s="40"/>
      <c r="BI521" s="49"/>
      <c r="BJ521" s="49"/>
      <c r="BK521" s="66"/>
      <c r="BL521" s="66"/>
      <c r="BM521" s="51"/>
      <c r="BN521" s="51"/>
      <c r="BO521" s="52"/>
      <c r="BP521" s="40"/>
      <c r="BQ521" s="40"/>
      <c r="BR521" s="67"/>
      <c r="BS521" s="54" t="s">
        <v>110</v>
      </c>
      <c r="BT521" s="160"/>
      <c r="BU521" s="161"/>
      <c r="BV521" s="160"/>
      <c r="BW521" s="160"/>
      <c r="BX521" s="70"/>
      <c r="BY521" s="70"/>
      <c r="BZ521" s="59"/>
      <c r="CA521" s="59"/>
      <c r="CB521" s="59" t="s">
        <v>110</v>
      </c>
      <c r="CC521" s="59" t="s">
        <v>110</v>
      </c>
      <c r="CD521" s="60"/>
      <c r="CE521" s="60"/>
      <c r="CF521" s="61"/>
      <c r="CG521" s="61"/>
      <c r="CH521" s="61"/>
      <c r="CI521" s="41">
        <v>16.3</v>
      </c>
      <c r="CJ521" s="40">
        <f>VLOOKUP(paper3[[#This Row],[YYIR nivå]],$DB:$DC,2)</f>
        <v>1200</v>
      </c>
      <c r="CK521" s="3"/>
      <c r="CL521" s="114">
        <v>32702</v>
      </c>
      <c r="CM521" s="115">
        <v>32.701999999999998</v>
      </c>
      <c r="CN521" s="3"/>
      <c r="CO521" s="3"/>
      <c r="CP521" s="41">
        <v>14.786111111111111</v>
      </c>
      <c r="CQ521" s="3" t="s">
        <v>154</v>
      </c>
      <c r="CR521" s="40"/>
      <c r="CS521" s="40"/>
      <c r="CT521" s="40"/>
      <c r="CU521" s="40"/>
      <c r="CV521" s="40"/>
      <c r="CW521" s="40"/>
      <c r="CX521" s="40"/>
      <c r="CY521" s="40">
        <v>0</v>
      </c>
      <c r="CZ521" s="40"/>
      <c r="DA521" s="40"/>
    </row>
    <row r="522" spans="1:105" ht="18.75" customHeight="1">
      <c r="A522" s="3">
        <v>166</v>
      </c>
      <c r="B522" s="38" t="s">
        <v>103</v>
      </c>
      <c r="C522" s="76" t="s">
        <v>104</v>
      </c>
      <c r="D522" s="76" t="s">
        <v>215</v>
      </c>
      <c r="E522" s="176">
        <v>44880</v>
      </c>
      <c r="F522" s="76" t="s">
        <v>106</v>
      </c>
      <c r="G522" s="76" t="s">
        <v>122</v>
      </c>
      <c r="H522" s="76">
        <v>2008</v>
      </c>
      <c r="I522" s="77" t="s">
        <v>108</v>
      </c>
      <c r="J522" s="176" t="s">
        <v>123</v>
      </c>
      <c r="K522" s="76">
        <v>166.5</v>
      </c>
      <c r="L522" s="76">
        <v>166.5</v>
      </c>
      <c r="M522" s="76"/>
      <c r="N522" s="76">
        <v>139</v>
      </c>
      <c r="O522" s="76">
        <v>139</v>
      </c>
      <c r="P522" s="76"/>
      <c r="Q522" s="76">
        <v>49</v>
      </c>
      <c r="R522" s="76">
        <v>49</v>
      </c>
      <c r="S522" s="76"/>
      <c r="T522" s="164">
        <v>166.5</v>
      </c>
      <c r="U522" s="42">
        <f>AVERAGE(paper3[[#This Row],[Sittende høyde 1]:[Sittende høyde 3]])-56.2</f>
        <v>82.8</v>
      </c>
      <c r="V522" s="12">
        <f>paper3[[#This Row],[height]]-paper3[[#This Row],[sittingheight]]</f>
        <v>83.7</v>
      </c>
      <c r="W522" s="165">
        <v>49</v>
      </c>
      <c r="X522" s="43" cm="1">
        <f t="array" ref="X522">INDEX([1]!phvny[yphv], MATCH(1, (paper3[[#This Row],[id]]=[1]!phvny[id])*(paper3[[#This Row],[time]]=[1]!phvny[time]), 0))</f>
        <v>9.1616008022521234E-2</v>
      </c>
      <c r="Y522" s="76">
        <v>1.94</v>
      </c>
      <c r="Z522" s="3">
        <v>3.38</v>
      </c>
      <c r="AA522" s="76">
        <v>4.78</v>
      </c>
      <c r="AB522" s="76">
        <v>1.96</v>
      </c>
      <c r="AC522" s="76">
        <v>3.39</v>
      </c>
      <c r="AD522" s="76">
        <v>4.75</v>
      </c>
      <c r="AE522" s="76">
        <v>1.98</v>
      </c>
      <c r="AF522" s="76">
        <v>3.43</v>
      </c>
      <c r="AG522" s="76">
        <v>4.88</v>
      </c>
      <c r="AH522" s="166">
        <v>1.94</v>
      </c>
      <c r="AI522" s="166">
        <v>3.38</v>
      </c>
      <c r="AJ522" s="166">
        <v>4.75</v>
      </c>
      <c r="AK522" s="167">
        <v>7.2992700729926998</v>
      </c>
      <c r="AL522" s="76">
        <v>10.18</v>
      </c>
      <c r="AM522" s="76">
        <v>10.210000000000001</v>
      </c>
      <c r="AN522" s="76"/>
      <c r="AO522" s="76">
        <v>10.07</v>
      </c>
      <c r="AP522" s="76">
        <v>10.07</v>
      </c>
      <c r="AQ522" s="168">
        <v>10.18</v>
      </c>
      <c r="AR522" s="168">
        <v>10.07</v>
      </c>
      <c r="AS522" s="76">
        <v>29.02</v>
      </c>
      <c r="AT522" s="76">
        <v>29.94</v>
      </c>
      <c r="AU522" s="76">
        <v>27.53</v>
      </c>
      <c r="AV522" s="76"/>
      <c r="AW522" s="76"/>
      <c r="AX522" s="169">
        <v>29.9</v>
      </c>
      <c r="AY522" s="76"/>
      <c r="AZ522" s="76">
        <v>8</v>
      </c>
      <c r="BA522" s="76">
        <v>200</v>
      </c>
      <c r="BB522" s="76">
        <v>8</v>
      </c>
      <c r="BC522" s="76">
        <v>181</v>
      </c>
      <c r="BD522" s="76">
        <v>737</v>
      </c>
      <c r="BE522" s="76">
        <v>720</v>
      </c>
      <c r="BF522" s="76"/>
      <c r="BG522" s="76">
        <v>335</v>
      </c>
      <c r="BH522" s="76">
        <v>339</v>
      </c>
      <c r="BI522" s="170">
        <v>1457</v>
      </c>
      <c r="BJ522" s="170">
        <v>673</v>
      </c>
      <c r="BK522" s="66">
        <v>2.2800000000000001E-2</v>
      </c>
      <c r="BL522" s="66">
        <v>-1.21E-2</v>
      </c>
      <c r="BM522" s="51">
        <v>29.7</v>
      </c>
      <c r="BN522" s="51">
        <v>13.7</v>
      </c>
      <c r="BO522" s="171">
        <v>268</v>
      </c>
      <c r="BP522" s="77">
        <v>229</v>
      </c>
      <c r="BQ522" s="77">
        <v>268</v>
      </c>
      <c r="BR522" s="172">
        <v>-0.14549999999999999</v>
      </c>
      <c r="BS522" s="54">
        <v>5.0714285714285712</v>
      </c>
      <c r="BT522" s="76">
        <v>144</v>
      </c>
      <c r="BU522" s="77">
        <v>172</v>
      </c>
      <c r="BV522" s="76">
        <v>98</v>
      </c>
      <c r="BW522" s="76">
        <v>118</v>
      </c>
      <c r="BX522" s="81">
        <v>-0.16300000000000001</v>
      </c>
      <c r="BY522" s="81">
        <v>-0.16900000000000001</v>
      </c>
      <c r="BZ522" s="59">
        <v>1.46</v>
      </c>
      <c r="CA522" s="173">
        <v>1.47</v>
      </c>
      <c r="CB522" s="173">
        <v>2.6988979591836735</v>
      </c>
      <c r="CC522" s="173">
        <v>1.8448163265306126</v>
      </c>
      <c r="CD522" s="72">
        <v>81</v>
      </c>
      <c r="CE522" s="72">
        <v>81</v>
      </c>
      <c r="CF522" s="175">
        <v>1.65</v>
      </c>
      <c r="CG522" s="175">
        <v>1.65</v>
      </c>
      <c r="CH522" s="175">
        <v>1</v>
      </c>
      <c r="CI522" s="96"/>
      <c r="CJ522" s="40"/>
      <c r="CK522" s="76"/>
      <c r="CL522" s="62"/>
      <c r="CM522" s="63" t="s">
        <v>110</v>
      </c>
      <c r="CN522" s="3">
        <v>172</v>
      </c>
      <c r="CO522" s="3">
        <v>118</v>
      </c>
      <c r="CP522" s="41">
        <v>14.786111111111111</v>
      </c>
      <c r="CQ522" s="3" t="s">
        <v>154</v>
      </c>
      <c r="CR522" s="40">
        <v>158</v>
      </c>
      <c r="CS522" s="40">
        <v>108</v>
      </c>
      <c r="CT522" s="40">
        <v>248.5</v>
      </c>
      <c r="CU522" s="40"/>
      <c r="CV522" s="40"/>
      <c r="CW522" s="40"/>
      <c r="CX522" s="40"/>
      <c r="CY522" s="40">
        <v>0</v>
      </c>
      <c r="CZ522" s="40"/>
      <c r="DA522" s="40"/>
    </row>
    <row r="523" spans="1:105" ht="18.75" customHeight="1">
      <c r="A523" s="3">
        <v>168</v>
      </c>
      <c r="B523" s="38" t="s">
        <v>103</v>
      </c>
      <c r="C523" s="3" t="s">
        <v>104</v>
      </c>
      <c r="D523" s="3" t="s">
        <v>215</v>
      </c>
      <c r="E523" s="39">
        <v>44820</v>
      </c>
      <c r="F523" s="3" t="s">
        <v>106</v>
      </c>
      <c r="G523" s="3" t="s">
        <v>122</v>
      </c>
      <c r="H523" s="3">
        <v>2008</v>
      </c>
      <c r="I523" s="40" t="s">
        <v>108</v>
      </c>
      <c r="J523" s="39" t="s">
        <v>123</v>
      </c>
      <c r="K523" s="3">
        <v>175.6</v>
      </c>
      <c r="L523" s="3">
        <v>175.7</v>
      </c>
      <c r="M523" s="3"/>
      <c r="N523" s="3">
        <v>142.69999999999999</v>
      </c>
      <c r="O523" s="3">
        <v>143</v>
      </c>
      <c r="P523" s="3">
        <v>143</v>
      </c>
      <c r="Q523" s="3">
        <v>62.3</v>
      </c>
      <c r="R523" s="3">
        <v>62.3</v>
      </c>
      <c r="S523" s="3"/>
      <c r="T523" s="42">
        <v>175.64999999999998</v>
      </c>
      <c r="U523" s="42">
        <f>AVERAGE(paper3[[#This Row],[Sittende høyde 1]:[Sittende høyde 3]])-56.2</f>
        <v>86.7</v>
      </c>
      <c r="V523" s="12">
        <f>paper3[[#This Row],[height]]-paper3[[#This Row],[sittingheight]]</f>
        <v>88.949999999999974</v>
      </c>
      <c r="W523" s="73">
        <v>62.3</v>
      </c>
      <c r="X523" s="43" cm="1">
        <f t="array" ref="X523">INDEX([1]!phvny[yphv], MATCH(1, (paper3[[#This Row],[id]]=[1]!phvny[id])*(paper3[[#This Row],[time]]=[1]!phvny[time]), 0))</f>
        <v>0.53895308329376512</v>
      </c>
      <c r="Y523" s="3"/>
      <c r="Z523" s="3"/>
      <c r="AA523" s="3"/>
      <c r="AB523" s="3">
        <v>2.15</v>
      </c>
      <c r="AC523" s="3">
        <v>3.61</v>
      </c>
      <c r="AD523" s="3">
        <v>5</v>
      </c>
      <c r="AE523" s="3">
        <v>2.25</v>
      </c>
      <c r="AF523" s="3">
        <v>3.71</v>
      </c>
      <c r="AG523" s="3">
        <v>5.09</v>
      </c>
      <c r="AH523" s="44">
        <v>2.15</v>
      </c>
      <c r="AI523" s="44">
        <v>3.61</v>
      </c>
      <c r="AJ523" s="44">
        <v>5</v>
      </c>
      <c r="AK523" s="45">
        <v>7.1942446043165464</v>
      </c>
      <c r="AL523" s="3">
        <v>11.06</v>
      </c>
      <c r="AM523" s="3">
        <v>10.93</v>
      </c>
      <c r="AN523" s="3">
        <v>11.03</v>
      </c>
      <c r="AO523" s="3">
        <v>11.21</v>
      </c>
      <c r="AP523" s="3">
        <v>10.93</v>
      </c>
      <c r="AQ523" s="47">
        <v>10.93</v>
      </c>
      <c r="AR523" s="47">
        <v>11.03</v>
      </c>
      <c r="AS523" s="3">
        <v>21.33</v>
      </c>
      <c r="AT523" s="3">
        <v>24.44</v>
      </c>
      <c r="AU523" s="3">
        <v>24.47</v>
      </c>
      <c r="AV523" s="3"/>
      <c r="AW523" s="3"/>
      <c r="AX523" s="48">
        <v>24.47</v>
      </c>
      <c r="AY523" s="3"/>
      <c r="AZ523" s="3"/>
      <c r="BA523" s="3">
        <v>230</v>
      </c>
      <c r="BB523" s="3"/>
      <c r="BC523" s="3">
        <v>191</v>
      </c>
      <c r="BD523" s="40">
        <v>960.57593808220622</v>
      </c>
      <c r="BE523" s="40">
        <v>955.77681453190894</v>
      </c>
      <c r="BF523" s="40"/>
      <c r="BG523" s="40">
        <v>352.73895092640305</v>
      </c>
      <c r="BH523" s="40">
        <v>365.47838121324764</v>
      </c>
      <c r="BI523" s="49">
        <v>1916.3527526141152</v>
      </c>
      <c r="BJ523" s="49">
        <v>718.21733213965069</v>
      </c>
      <c r="BK523" s="66">
        <v>5.0211759453986371E-3</v>
      </c>
      <c r="BL523" s="66">
        <v>-3.4856864158571033E-2</v>
      </c>
      <c r="BM523" s="51">
        <v>30.760076285940855</v>
      </c>
      <c r="BN523" s="51">
        <v>11.528368092129226</v>
      </c>
      <c r="BO523" s="52">
        <v>235</v>
      </c>
      <c r="BP523" s="40">
        <v>224</v>
      </c>
      <c r="BQ523" s="40">
        <v>235</v>
      </c>
      <c r="BR523" s="67">
        <v>-4.6808510638297829E-2</v>
      </c>
      <c r="BS523" s="54">
        <v>3.6837881219903692</v>
      </c>
      <c r="BT523" s="160">
        <v>135</v>
      </c>
      <c r="BU523" s="161">
        <v>146</v>
      </c>
      <c r="BV523" s="160">
        <v>112</v>
      </c>
      <c r="BW523" s="160">
        <v>109</v>
      </c>
      <c r="BX523" s="70">
        <v>-7.5342465753424626E-2</v>
      </c>
      <c r="BY523" s="70">
        <v>2.7522935779816571E-2</v>
      </c>
      <c r="BZ523" s="59">
        <v>1.3394495412844036</v>
      </c>
      <c r="CA523" s="59">
        <v>1.2053571428571428</v>
      </c>
      <c r="CB523" s="59">
        <v>2.0060152487961469</v>
      </c>
      <c r="CC523" s="59">
        <v>1.5776845906902082</v>
      </c>
      <c r="CD523" s="60">
        <v>84</v>
      </c>
      <c r="CE523" s="60">
        <v>70</v>
      </c>
      <c r="CF523" s="61">
        <v>1.348314606741573</v>
      </c>
      <c r="CG523" s="61">
        <v>1.1235955056179776</v>
      </c>
      <c r="CH523" s="61">
        <v>0.83333333333333337</v>
      </c>
      <c r="CI523" s="41"/>
      <c r="CJ523" s="40"/>
      <c r="CK523" s="3"/>
      <c r="CL523" s="114">
        <v>40378</v>
      </c>
      <c r="CM523" s="115">
        <v>40.378</v>
      </c>
      <c r="CN523" s="3">
        <v>146</v>
      </c>
      <c r="CO523" s="3">
        <v>112</v>
      </c>
      <c r="CP523" s="41">
        <v>14.388888888888889</v>
      </c>
      <c r="CQ523" s="3" t="s">
        <v>156</v>
      </c>
      <c r="CR523" s="40">
        <v>140.5</v>
      </c>
      <c r="CS523" s="40">
        <v>110.5</v>
      </c>
      <c r="CT523" s="40">
        <v>229.5</v>
      </c>
      <c r="CU523" s="40"/>
      <c r="CV523" s="40"/>
      <c r="CW523" s="40"/>
      <c r="CX523" s="40"/>
      <c r="CY523" s="40">
        <v>0</v>
      </c>
      <c r="CZ523" s="40"/>
      <c r="DA523" s="40"/>
    </row>
    <row r="524" spans="1:105" ht="18.75" customHeight="1">
      <c r="A524" s="3">
        <v>170</v>
      </c>
      <c r="B524" s="38" t="s">
        <v>103</v>
      </c>
      <c r="C524" s="3" t="s">
        <v>115</v>
      </c>
      <c r="D524" s="76" t="s">
        <v>215</v>
      </c>
      <c r="E524" s="39">
        <v>44861</v>
      </c>
      <c r="F524" s="3" t="s">
        <v>106</v>
      </c>
      <c r="G524" s="3" t="s">
        <v>122</v>
      </c>
      <c r="H524" s="3">
        <v>2006</v>
      </c>
      <c r="I524" s="40" t="s">
        <v>116</v>
      </c>
      <c r="J524" s="39" t="s">
        <v>157</v>
      </c>
      <c r="K524" s="3">
        <v>169.3</v>
      </c>
      <c r="L524" s="3">
        <v>169.2</v>
      </c>
      <c r="M524" s="3"/>
      <c r="N524" s="3">
        <v>141.9</v>
      </c>
      <c r="O524" s="3">
        <v>142</v>
      </c>
      <c r="P524" s="3"/>
      <c r="Q524" s="3">
        <v>50.6</v>
      </c>
      <c r="R524" s="3">
        <v>50.6</v>
      </c>
      <c r="S524" s="3"/>
      <c r="T524" s="42">
        <v>169.25</v>
      </c>
      <c r="U524" s="42">
        <f>AVERAGE(paper3[[#This Row],[Sittende høyde 1]:[Sittende høyde 3]])-56.2</f>
        <v>85.749999999999986</v>
      </c>
      <c r="V524" s="12">
        <f>paper3[[#This Row],[height]]-paper3[[#This Row],[sittingheight]]</f>
        <v>83.500000000000014</v>
      </c>
      <c r="W524" s="73">
        <v>50.6</v>
      </c>
      <c r="X524" s="43" cm="1">
        <f t="array" ref="X524">INDEX([1]!phvny[yphv], MATCH(1, (paper3[[#This Row],[id]]=[1]!phvny[id])*(paper3[[#This Row],[time]]=[1]!phvny[time]), 0))</f>
        <v>1.072108332939437</v>
      </c>
      <c r="Y524" s="3">
        <v>1.9</v>
      </c>
      <c r="Z524" s="3">
        <v>3.23</v>
      </c>
      <c r="AA524" s="3">
        <v>4.46</v>
      </c>
      <c r="AB524" s="3">
        <v>1.81</v>
      </c>
      <c r="AC524" s="3">
        <v>3.14</v>
      </c>
      <c r="AD524" s="3">
        <v>4.37</v>
      </c>
      <c r="AE524" s="3">
        <v>1.83</v>
      </c>
      <c r="AF524" s="3">
        <v>3.15</v>
      </c>
      <c r="AG524" s="3">
        <v>4.3899999999999997</v>
      </c>
      <c r="AH524" s="44">
        <v>1.81</v>
      </c>
      <c r="AI524" s="44">
        <v>3.14</v>
      </c>
      <c r="AJ524" s="44">
        <v>4.37</v>
      </c>
      <c r="AK524" s="45">
        <v>8.1300813008130088</v>
      </c>
      <c r="AL524" s="3">
        <v>9.5</v>
      </c>
      <c r="AM524" s="3">
        <v>9.56</v>
      </c>
      <c r="AN524" s="3">
        <v>9.58</v>
      </c>
      <c r="AO524" s="3">
        <v>9.33</v>
      </c>
      <c r="AP524" s="3">
        <v>9.33</v>
      </c>
      <c r="AQ524" s="47">
        <v>9.5</v>
      </c>
      <c r="AR524" s="47">
        <v>9.33</v>
      </c>
      <c r="AS524" s="3">
        <v>36.36</v>
      </c>
      <c r="AT524" s="3">
        <v>34.86</v>
      </c>
      <c r="AU524" s="3">
        <v>33.25</v>
      </c>
      <c r="AV524" s="3"/>
      <c r="AW524" s="3"/>
      <c r="AX524" s="48">
        <v>36.36</v>
      </c>
      <c r="AY524" s="3"/>
      <c r="AZ524" s="3"/>
      <c r="BA524" s="3"/>
      <c r="BB524" s="46">
        <v>8</v>
      </c>
      <c r="BC524" s="46">
        <v>316</v>
      </c>
      <c r="BD524" s="40">
        <v>1066.8386538305581</v>
      </c>
      <c r="BE524" s="40">
        <v>1100.8061625898426</v>
      </c>
      <c r="BF524" s="3"/>
      <c r="BG524" s="40">
        <v>409.06270629850934</v>
      </c>
      <c r="BH524" s="40">
        <v>393.70620129501089</v>
      </c>
      <c r="BI524" s="49">
        <v>2167.6448164204007</v>
      </c>
      <c r="BJ524" s="49">
        <v>802.76890759352023</v>
      </c>
      <c r="BK524" s="66">
        <v>-3.0856939135742056E-2</v>
      </c>
      <c r="BL524" s="66">
        <v>3.9004986340033687E-2</v>
      </c>
      <c r="BM524" s="51">
        <v>42.838830364039538</v>
      </c>
      <c r="BN524" s="51">
        <v>15.864998173784985</v>
      </c>
      <c r="BO524" s="52">
        <v>272</v>
      </c>
      <c r="BP524" s="40">
        <v>272</v>
      </c>
      <c r="BQ524" s="40">
        <v>243</v>
      </c>
      <c r="BR524" s="67">
        <v>0.11934156378600824</v>
      </c>
      <c r="BS524" s="54">
        <v>5.0889328063241104</v>
      </c>
      <c r="BT524" s="3">
        <v>125</v>
      </c>
      <c r="BU524" s="40">
        <v>121</v>
      </c>
      <c r="BV524" s="3">
        <v>103</v>
      </c>
      <c r="BW524" s="3">
        <v>101</v>
      </c>
      <c r="BX524" s="70">
        <v>3.3057851239669311E-2</v>
      </c>
      <c r="BY524" s="70">
        <v>1.980198019801982E-2</v>
      </c>
      <c r="BZ524" s="59">
        <v>1.198019801980198</v>
      </c>
      <c r="CA524" s="59">
        <v>1.2135922330097086</v>
      </c>
      <c r="CB524" s="59">
        <v>2.0297430830039529</v>
      </c>
      <c r="CC524" s="59">
        <v>1.6832015810276681</v>
      </c>
      <c r="CD524" s="60">
        <v>98</v>
      </c>
      <c r="CE524" s="60">
        <v>84</v>
      </c>
      <c r="CF524" s="61">
        <v>1.9367588932806323</v>
      </c>
      <c r="CG524" s="61">
        <v>1.6600790513833992</v>
      </c>
      <c r="CH524" s="61">
        <v>0.85714285714285721</v>
      </c>
      <c r="CI524" s="41">
        <v>17.399999999999999</v>
      </c>
      <c r="CJ524" s="40">
        <f>VLOOKUP(paper3[[#This Row],[YYIR nivå]],$DB:$DC,2)</f>
        <v>1560</v>
      </c>
      <c r="CK524" s="3" t="s">
        <v>193</v>
      </c>
      <c r="CL524" s="62"/>
      <c r="CM524" s="63" t="s">
        <v>110</v>
      </c>
      <c r="CN524" s="3">
        <v>125</v>
      </c>
      <c r="CO524" s="3">
        <v>103</v>
      </c>
      <c r="CP524" s="41">
        <v>16.011111111111113</v>
      </c>
      <c r="CQ524" s="3" t="s">
        <v>110</v>
      </c>
      <c r="CR524" s="40">
        <v>123</v>
      </c>
      <c r="CS524" s="40">
        <v>102</v>
      </c>
      <c r="CT524" s="40">
        <v>257.5</v>
      </c>
      <c r="CU524" s="40"/>
      <c r="CV524" s="40"/>
      <c r="CW524" s="40"/>
      <c r="CX524" s="40"/>
      <c r="CY524" s="40">
        <v>0</v>
      </c>
      <c r="CZ524" s="40"/>
      <c r="DA524" s="40"/>
    </row>
    <row r="525" spans="1:105" ht="18.75" customHeight="1">
      <c r="A525" s="3">
        <v>171</v>
      </c>
      <c r="B525" s="38" t="s">
        <v>103</v>
      </c>
      <c r="C525" s="78" t="s">
        <v>115</v>
      </c>
      <c r="D525" s="78" t="s">
        <v>215</v>
      </c>
      <c r="E525" s="163">
        <v>44880</v>
      </c>
      <c r="F525" s="78" t="s">
        <v>106</v>
      </c>
      <c r="G525" s="78" t="s">
        <v>122</v>
      </c>
      <c r="H525" s="78">
        <v>2006</v>
      </c>
      <c r="I525" s="79" t="s">
        <v>116</v>
      </c>
      <c r="J525" s="163" t="s">
        <v>157</v>
      </c>
      <c r="K525" s="78">
        <v>183.7</v>
      </c>
      <c r="L525" s="78">
        <v>183.8</v>
      </c>
      <c r="M525" s="78"/>
      <c r="N525" s="78">
        <v>149.9</v>
      </c>
      <c r="O525" s="78">
        <v>149.69999999999999</v>
      </c>
      <c r="P525" s="78"/>
      <c r="Q525" s="78">
        <v>77.5</v>
      </c>
      <c r="R525" s="78">
        <v>77.5</v>
      </c>
      <c r="S525" s="78"/>
      <c r="T525" s="164">
        <v>183.8</v>
      </c>
      <c r="U525" s="42">
        <f>AVERAGE(paper3[[#This Row],[Sittende høyde 1]:[Sittende høyde 3]])-56.2</f>
        <v>93.600000000000009</v>
      </c>
      <c r="V525" s="12">
        <f>paper3[[#This Row],[height]]-paper3[[#This Row],[sittingheight]]</f>
        <v>90.2</v>
      </c>
      <c r="W525" s="165">
        <v>77.5</v>
      </c>
      <c r="X525" s="43" cm="1">
        <f t="array" ref="X525">INDEX([1]!phvny[yphv], MATCH(1, (paper3[[#This Row],[id]]=[1]!phvny[id])*(paper3[[#This Row],[time]]=[1]!phvny[time]), 0))</f>
        <v>2.878719145822271</v>
      </c>
      <c r="Y525" s="76">
        <v>1.83</v>
      </c>
      <c r="Z525" s="3">
        <v>3.11</v>
      </c>
      <c r="AA525" s="76">
        <v>4.33</v>
      </c>
      <c r="AB525" s="78">
        <v>1.83</v>
      </c>
      <c r="AC525" s="78">
        <v>3.1</v>
      </c>
      <c r="AD525" s="78">
        <v>4.34</v>
      </c>
      <c r="AE525" s="78">
        <v>1.83</v>
      </c>
      <c r="AF525" s="78">
        <v>3.09</v>
      </c>
      <c r="AG525" s="78">
        <v>4.33</v>
      </c>
      <c r="AH525" s="166">
        <v>1.83</v>
      </c>
      <c r="AI525" s="166">
        <v>3.09</v>
      </c>
      <c r="AJ525" s="166">
        <v>4.33</v>
      </c>
      <c r="AK525" s="167">
        <v>8.0645161290322562</v>
      </c>
      <c r="AL525" s="78">
        <v>10.029999999999999</v>
      </c>
      <c r="AM525" s="78">
        <v>9.6199999999999992</v>
      </c>
      <c r="AN525" s="78"/>
      <c r="AO525" s="78">
        <v>9.44</v>
      </c>
      <c r="AP525" s="78">
        <v>9.44</v>
      </c>
      <c r="AQ525" s="168">
        <v>9.6199999999999992</v>
      </c>
      <c r="AR525" s="168">
        <v>9.44</v>
      </c>
      <c r="AS525" s="78">
        <v>28.57</v>
      </c>
      <c r="AT525" s="78">
        <v>31.03</v>
      </c>
      <c r="AU525" s="78">
        <v>30.74</v>
      </c>
      <c r="AV525" s="78"/>
      <c r="AW525" s="76"/>
      <c r="AX525" s="169">
        <v>31</v>
      </c>
      <c r="AY525" s="78"/>
      <c r="AZ525" s="78">
        <v>10</v>
      </c>
      <c r="BA525" s="78">
        <v>350</v>
      </c>
      <c r="BB525" s="178">
        <v>8</v>
      </c>
      <c r="BC525" s="178">
        <v>316</v>
      </c>
      <c r="BD525" s="78">
        <v>1412</v>
      </c>
      <c r="BE525" s="78">
        <v>1423</v>
      </c>
      <c r="BF525" s="78"/>
      <c r="BG525" s="78">
        <v>663</v>
      </c>
      <c r="BH525" s="78">
        <v>733</v>
      </c>
      <c r="BI525" s="170">
        <v>2835</v>
      </c>
      <c r="BJ525" s="170">
        <v>1395</v>
      </c>
      <c r="BK525" s="66">
        <v>-7.4999999999999997E-3</v>
      </c>
      <c r="BL525" s="66">
        <v>-9.5200000000000007E-2</v>
      </c>
      <c r="BM525" s="51">
        <v>36.6</v>
      </c>
      <c r="BN525" s="51">
        <v>18</v>
      </c>
      <c r="BO525" s="171">
        <v>384</v>
      </c>
      <c r="BP525" s="79">
        <v>362</v>
      </c>
      <c r="BQ525" s="79">
        <v>384</v>
      </c>
      <c r="BR525" s="172">
        <v>-5.7299999999999997E-2</v>
      </c>
      <c r="BS525" s="54">
        <v>4.8129032258064512</v>
      </c>
      <c r="BT525" s="78">
        <v>175</v>
      </c>
      <c r="BU525" s="79">
        <v>195</v>
      </c>
      <c r="BV525" s="78">
        <v>156</v>
      </c>
      <c r="BW525" s="78">
        <v>168</v>
      </c>
      <c r="BX525" s="81">
        <v>-0.10299999999999999</v>
      </c>
      <c r="BY525" s="81">
        <v>-7.0999999999999994E-2</v>
      </c>
      <c r="BZ525" s="59">
        <v>1.1599999999999999</v>
      </c>
      <c r="CA525" s="173">
        <v>1.1200000000000001</v>
      </c>
      <c r="CB525" s="173">
        <v>2.1531612903225805</v>
      </c>
      <c r="CC525" s="173">
        <v>1.8854709677419355</v>
      </c>
      <c r="CD525" s="179">
        <v>195</v>
      </c>
      <c r="CE525" s="179">
        <v>237</v>
      </c>
      <c r="CF525" s="175">
        <v>2.52</v>
      </c>
      <c r="CG525" s="175">
        <v>3.06</v>
      </c>
      <c r="CH525" s="175">
        <v>1.22</v>
      </c>
      <c r="CI525" s="140"/>
      <c r="CJ525" s="40"/>
      <c r="CK525" s="78"/>
      <c r="CL525" s="62"/>
      <c r="CM525" s="63" t="s">
        <v>110</v>
      </c>
      <c r="CN525" s="3">
        <v>195</v>
      </c>
      <c r="CO525" s="3">
        <v>168</v>
      </c>
      <c r="CP525" s="41">
        <v>16.866666666666667</v>
      </c>
      <c r="CQ525" s="3" t="s">
        <v>110</v>
      </c>
      <c r="CR525" s="40">
        <v>185</v>
      </c>
      <c r="CS525" s="40">
        <v>162</v>
      </c>
      <c r="CT525" s="40">
        <v>373</v>
      </c>
      <c r="CU525" s="40"/>
      <c r="CV525" s="40"/>
      <c r="CW525" s="40"/>
      <c r="CX525" s="40"/>
      <c r="CY525" s="40">
        <v>0</v>
      </c>
      <c r="CZ525" s="40"/>
      <c r="DA525" s="40"/>
    </row>
    <row r="526" spans="1:105" ht="18.75" customHeight="1">
      <c r="A526" s="3">
        <v>173</v>
      </c>
      <c r="B526" s="38" t="s">
        <v>103</v>
      </c>
      <c r="C526" s="76" t="s">
        <v>159</v>
      </c>
      <c r="D526" s="76" t="s">
        <v>215</v>
      </c>
      <c r="E526" s="176">
        <v>44880</v>
      </c>
      <c r="F526" s="76" t="s">
        <v>106</v>
      </c>
      <c r="G526" s="76" t="s">
        <v>122</v>
      </c>
      <c r="H526" s="76">
        <v>2006</v>
      </c>
      <c r="I526" s="77" t="s">
        <v>116</v>
      </c>
      <c r="J526" s="176" t="s">
        <v>157</v>
      </c>
      <c r="K526" s="76">
        <v>176.6</v>
      </c>
      <c r="L526" s="76">
        <v>176.6</v>
      </c>
      <c r="M526" s="76"/>
      <c r="N526" s="76">
        <v>142.5</v>
      </c>
      <c r="O526" s="76">
        <v>142.6</v>
      </c>
      <c r="P526" s="76"/>
      <c r="Q526" s="76">
        <v>58.5</v>
      </c>
      <c r="R526" s="76">
        <v>58.5</v>
      </c>
      <c r="S526" s="76"/>
      <c r="T526" s="164">
        <v>176.6</v>
      </c>
      <c r="U526" s="42">
        <f>AVERAGE(paper3[[#This Row],[Sittende høyde 1]:[Sittende høyde 3]])-56.2</f>
        <v>86.350000000000009</v>
      </c>
      <c r="V526" s="12">
        <f>paper3[[#This Row],[height]]-paper3[[#This Row],[sittingheight]]</f>
        <v>90.249999999999986</v>
      </c>
      <c r="W526" s="165">
        <v>58.5</v>
      </c>
      <c r="X526" s="43" cm="1">
        <f t="array" ref="X526">INDEX([1]!phvny[yphv], MATCH(1, (paper3[[#This Row],[id]]=[1]!phvny[id])*(paper3[[#This Row],[time]]=[1]!phvny[time]), 0))</f>
        <v>1.4488823064363909</v>
      </c>
      <c r="Y526" s="76">
        <v>1.85</v>
      </c>
      <c r="Z526" s="3">
        <v>3.15</v>
      </c>
      <c r="AA526" s="76">
        <v>4.41</v>
      </c>
      <c r="AB526" s="76">
        <v>1.86</v>
      </c>
      <c r="AC526" s="76">
        <v>3.17</v>
      </c>
      <c r="AD526" s="76">
        <v>4.42</v>
      </c>
      <c r="AE526" s="76">
        <v>1.84</v>
      </c>
      <c r="AF526" s="76">
        <v>3.17</v>
      </c>
      <c r="AG526" s="76">
        <v>4.43</v>
      </c>
      <c r="AH526" s="166">
        <v>1.84</v>
      </c>
      <c r="AI526" s="166">
        <v>3.15</v>
      </c>
      <c r="AJ526" s="166">
        <v>4.41</v>
      </c>
      <c r="AK526" s="167">
        <v>7.936507936507935</v>
      </c>
      <c r="AL526" s="76">
        <v>9.58</v>
      </c>
      <c r="AM526" s="76">
        <v>9.49</v>
      </c>
      <c r="AN526" s="76">
        <v>9.6300000000000008</v>
      </c>
      <c r="AO526" s="76">
        <v>9.57</v>
      </c>
      <c r="AP526" s="76">
        <v>9.49</v>
      </c>
      <c r="AQ526" s="168">
        <v>9.49</v>
      </c>
      <c r="AR526" s="168">
        <v>9.57</v>
      </c>
      <c r="AS526" s="76">
        <v>34.93</v>
      </c>
      <c r="AT526" s="76">
        <v>34.19</v>
      </c>
      <c r="AU526" s="76">
        <v>33.700000000000003</v>
      </c>
      <c r="AV526" s="76"/>
      <c r="AW526" s="76"/>
      <c r="AX526" s="169">
        <v>34.9</v>
      </c>
      <c r="AY526" s="76"/>
      <c r="AZ526" s="76">
        <v>9</v>
      </c>
      <c r="BA526" s="76">
        <v>280</v>
      </c>
      <c r="BB526" s="76">
        <v>7</v>
      </c>
      <c r="BC526" s="76">
        <v>227</v>
      </c>
      <c r="BD526" s="76">
        <v>1044</v>
      </c>
      <c r="BE526" s="76">
        <v>1094</v>
      </c>
      <c r="BF526" s="76"/>
      <c r="BG526" s="76">
        <v>506</v>
      </c>
      <c r="BH526" s="76">
        <v>527</v>
      </c>
      <c r="BI526" s="170">
        <v>2138</v>
      </c>
      <c r="BJ526" s="170">
        <v>1032</v>
      </c>
      <c r="BK526" s="66">
        <v>-4.4999999999999998E-2</v>
      </c>
      <c r="BL526" s="66">
        <v>-4.0599999999999997E-2</v>
      </c>
      <c r="BM526" s="51">
        <v>36.6</v>
      </c>
      <c r="BN526" s="51">
        <v>17.600000000000001</v>
      </c>
      <c r="BO526" s="171">
        <v>329</v>
      </c>
      <c r="BP526" s="77">
        <v>295</v>
      </c>
      <c r="BQ526" s="77">
        <v>329</v>
      </c>
      <c r="BR526" s="172">
        <v>-0.1033</v>
      </c>
      <c r="BS526" s="54">
        <v>5.333333333333333</v>
      </c>
      <c r="BT526" s="76">
        <v>200</v>
      </c>
      <c r="BU526" s="77">
        <v>188</v>
      </c>
      <c r="BV526" s="76">
        <v>139</v>
      </c>
      <c r="BW526" s="76">
        <v>135</v>
      </c>
      <c r="BX526" s="81">
        <v>6.4000000000000001E-2</v>
      </c>
      <c r="BY526" s="81">
        <v>0.03</v>
      </c>
      <c r="BZ526" s="59">
        <v>1.39</v>
      </c>
      <c r="CA526" s="173">
        <v>1.44</v>
      </c>
      <c r="CB526" s="173">
        <v>2.9929059829059828</v>
      </c>
      <c r="CC526" s="173">
        <v>2.1135470085470081</v>
      </c>
      <c r="CD526" s="177">
        <v>77</v>
      </c>
      <c r="CE526" s="177">
        <v>84.5</v>
      </c>
      <c r="CF526" s="175">
        <v>1.32</v>
      </c>
      <c r="CG526" s="175">
        <v>1.4444444444444444</v>
      </c>
      <c r="CH526" s="175">
        <v>1.0942760942760943</v>
      </c>
      <c r="CI526" s="96"/>
      <c r="CJ526" s="40"/>
      <c r="CK526" s="76"/>
      <c r="CL526" s="62"/>
      <c r="CM526" s="63" t="s">
        <v>110</v>
      </c>
      <c r="CN526" s="3">
        <v>200</v>
      </c>
      <c r="CO526" s="3">
        <v>139</v>
      </c>
      <c r="CP526" s="41">
        <v>16.522222222222222</v>
      </c>
      <c r="CQ526" s="3" t="s">
        <v>110</v>
      </c>
      <c r="CR526" s="40">
        <v>194</v>
      </c>
      <c r="CS526" s="40">
        <v>137</v>
      </c>
      <c r="CT526" s="40">
        <v>312</v>
      </c>
      <c r="CU526" s="40"/>
      <c r="CV526" s="40"/>
      <c r="CW526" s="40"/>
      <c r="CX526" s="40"/>
      <c r="CY526" s="40">
        <v>0</v>
      </c>
      <c r="CZ526" s="40"/>
      <c r="DA526" s="40"/>
    </row>
    <row r="527" spans="1:105" ht="18.75" customHeight="1">
      <c r="A527" s="162">
        <v>174</v>
      </c>
      <c r="B527" s="38" t="s">
        <v>103</v>
      </c>
      <c r="C527" s="78" t="s">
        <v>158</v>
      </c>
      <c r="D527" s="78" t="s">
        <v>215</v>
      </c>
      <c r="E527" s="163">
        <v>44880</v>
      </c>
      <c r="F527" s="78" t="s">
        <v>106</v>
      </c>
      <c r="G527" s="78" t="s">
        <v>122</v>
      </c>
      <c r="H527" s="78">
        <v>2006</v>
      </c>
      <c r="I527" s="79" t="s">
        <v>116</v>
      </c>
      <c r="J527" s="163" t="s">
        <v>157</v>
      </c>
      <c r="K527" s="78">
        <v>181.5</v>
      </c>
      <c r="L527" s="78">
        <v>181.4</v>
      </c>
      <c r="M527" s="78"/>
      <c r="N527" s="78">
        <v>149.1</v>
      </c>
      <c r="O527" s="78">
        <v>149.1</v>
      </c>
      <c r="P527" s="78"/>
      <c r="Q527" s="78">
        <v>71</v>
      </c>
      <c r="R527" s="78">
        <v>71</v>
      </c>
      <c r="S527" s="78"/>
      <c r="T527" s="164">
        <v>181.5</v>
      </c>
      <c r="U527" s="42">
        <f>AVERAGE(paper3[[#This Row],[Sittende høyde 1]:[Sittende høyde 3]])-56.2</f>
        <v>92.899999999999991</v>
      </c>
      <c r="V527" s="12">
        <f>paper3[[#This Row],[height]]-paper3[[#This Row],[sittingheight]]</f>
        <v>88.600000000000009</v>
      </c>
      <c r="W527" s="165">
        <v>71</v>
      </c>
      <c r="X527" s="43" cm="1">
        <f t="array" ref="X527">INDEX([1]!phvny[yphv], MATCH(1, (paper3[[#This Row],[id]]=[1]!phvny[id])*(paper3[[#This Row],[time]]=[1]!phvny[time]), 0))</f>
        <v>2.618233028877869</v>
      </c>
      <c r="Y527" s="76">
        <v>1.92</v>
      </c>
      <c r="Z527" s="3">
        <v>3.29</v>
      </c>
      <c r="AA527" s="76">
        <v>4.5999999999999996</v>
      </c>
      <c r="AB527" s="78">
        <v>1.94</v>
      </c>
      <c r="AC527" s="78">
        <v>3.29</v>
      </c>
      <c r="AD527" s="78">
        <v>4.6100000000000003</v>
      </c>
      <c r="AE527" s="78">
        <v>1.87</v>
      </c>
      <c r="AF527" s="78">
        <v>3.2</v>
      </c>
      <c r="AG527" s="78">
        <v>4.53</v>
      </c>
      <c r="AH527" s="166">
        <v>1.87</v>
      </c>
      <c r="AI527" s="166">
        <v>3.2</v>
      </c>
      <c r="AJ527" s="166">
        <v>4.53</v>
      </c>
      <c r="AK527" s="167">
        <v>7.518796992481203</v>
      </c>
      <c r="AL527" s="78">
        <v>10.26</v>
      </c>
      <c r="AM527" s="78">
        <v>9.74</v>
      </c>
      <c r="AN527" s="78" t="s">
        <v>219</v>
      </c>
      <c r="AO527" s="78">
        <v>10.26</v>
      </c>
      <c r="AP527" s="78">
        <v>9.74</v>
      </c>
      <c r="AQ527" s="168">
        <v>9.74</v>
      </c>
      <c r="AR527" s="168">
        <v>10.26</v>
      </c>
      <c r="AS527" s="78">
        <v>31.72</v>
      </c>
      <c r="AT527" s="78">
        <v>31.69</v>
      </c>
      <c r="AU527" s="78">
        <v>30.88</v>
      </c>
      <c r="AV527" s="78"/>
      <c r="AW527" s="76"/>
      <c r="AX527" s="169">
        <v>31.7</v>
      </c>
      <c r="AY527" s="78"/>
      <c r="AZ527" s="78">
        <v>10</v>
      </c>
      <c r="BA527" s="78">
        <v>320</v>
      </c>
      <c r="BB527" s="78">
        <v>8</v>
      </c>
      <c r="BC527" s="78">
        <v>289</v>
      </c>
      <c r="BD527" s="78">
        <v>1185</v>
      </c>
      <c r="BE527" s="78">
        <v>1154</v>
      </c>
      <c r="BF527" s="78"/>
      <c r="BG527" s="78">
        <v>510</v>
      </c>
      <c r="BH527" s="78">
        <v>518</v>
      </c>
      <c r="BI527" s="170">
        <v>2339</v>
      </c>
      <c r="BJ527" s="170">
        <v>1029</v>
      </c>
      <c r="BK527" s="66">
        <v>2.7099999999999999E-2</v>
      </c>
      <c r="BL527" s="66">
        <v>-1.5100000000000001E-2</v>
      </c>
      <c r="BM527" s="51">
        <v>32.9</v>
      </c>
      <c r="BN527" s="51">
        <v>14.5</v>
      </c>
      <c r="BO527" s="171">
        <v>364</v>
      </c>
      <c r="BP527" s="79">
        <v>364</v>
      </c>
      <c r="BQ527" s="79">
        <v>304</v>
      </c>
      <c r="BR527" s="172">
        <v>0.19739999999999999</v>
      </c>
      <c r="BS527" s="54">
        <v>4.704225352112676</v>
      </c>
      <c r="BT527" s="78">
        <v>216</v>
      </c>
      <c r="BU527" s="79">
        <v>299</v>
      </c>
      <c r="BV527" s="78">
        <v>154</v>
      </c>
      <c r="BW527" s="78">
        <v>147</v>
      </c>
      <c r="BX527" s="81">
        <v>-0.27800000000000002</v>
      </c>
      <c r="BY527" s="81">
        <v>4.8000000000000001E-2</v>
      </c>
      <c r="BZ527" s="59">
        <v>2.0299999999999998</v>
      </c>
      <c r="CA527" s="173">
        <v>1.4</v>
      </c>
      <c r="CB527" s="173">
        <v>3.2133098591549301</v>
      </c>
      <c r="CC527" s="173">
        <v>1.8780704225352116</v>
      </c>
      <c r="CD527" s="174">
        <v>155</v>
      </c>
      <c r="CE527" s="174">
        <v>135</v>
      </c>
      <c r="CF527" s="175">
        <v>2.1800000000000002</v>
      </c>
      <c r="CG527" s="175">
        <v>1.9</v>
      </c>
      <c r="CH527" s="175">
        <v>0.87</v>
      </c>
      <c r="CI527" s="140"/>
      <c r="CJ527" s="40"/>
      <c r="CK527" s="78"/>
      <c r="CL527" s="62"/>
      <c r="CM527" s="63" t="s">
        <v>110</v>
      </c>
      <c r="CN527" s="3">
        <v>299</v>
      </c>
      <c r="CO527" s="3">
        <v>154</v>
      </c>
      <c r="CP527" s="41">
        <v>16.68888888888889</v>
      </c>
      <c r="CQ527" s="3" t="s">
        <v>110</v>
      </c>
      <c r="CR527" s="40">
        <v>257.5</v>
      </c>
      <c r="CS527" s="40">
        <v>150.5</v>
      </c>
      <c r="CT527" s="40">
        <v>334</v>
      </c>
      <c r="CU527" s="40"/>
      <c r="CV527" s="40"/>
      <c r="CW527" s="40"/>
      <c r="CX527" s="40"/>
      <c r="CY527" s="40">
        <v>0</v>
      </c>
      <c r="CZ527" s="40"/>
      <c r="DA527" s="40"/>
    </row>
    <row r="528" spans="1:105" ht="18.75" customHeight="1">
      <c r="A528" s="3">
        <v>175</v>
      </c>
      <c r="B528" s="38" t="s">
        <v>103</v>
      </c>
      <c r="C528" s="3" t="s">
        <v>115</v>
      </c>
      <c r="D528" s="76" t="s">
        <v>215</v>
      </c>
      <c r="E528" s="39">
        <v>44861</v>
      </c>
      <c r="F528" s="3" t="s">
        <v>106</v>
      </c>
      <c r="G528" s="3" t="s">
        <v>122</v>
      </c>
      <c r="H528" s="3">
        <v>2006</v>
      </c>
      <c r="I528" s="40" t="s">
        <v>116</v>
      </c>
      <c r="J528" s="39" t="s">
        <v>157</v>
      </c>
      <c r="K528" s="3">
        <v>187.4</v>
      </c>
      <c r="L528" s="3">
        <v>187.2</v>
      </c>
      <c r="M528" s="3"/>
      <c r="N528" s="3">
        <v>149</v>
      </c>
      <c r="O528" s="3">
        <v>149</v>
      </c>
      <c r="P528" s="3"/>
      <c r="Q528" s="3">
        <v>66.599999999999994</v>
      </c>
      <c r="R528" s="3">
        <v>66.599999999999994</v>
      </c>
      <c r="S528" s="3"/>
      <c r="T528" s="42">
        <v>187.3</v>
      </c>
      <c r="U528" s="42">
        <f>AVERAGE(paper3[[#This Row],[Sittende høyde 1]:[Sittende høyde 3]])-56.2</f>
        <v>92.8</v>
      </c>
      <c r="V528" s="12">
        <f>paper3[[#This Row],[height]]-paper3[[#This Row],[sittingheight]]</f>
        <v>94.500000000000014</v>
      </c>
      <c r="W528" s="73">
        <v>66.599999999999994</v>
      </c>
      <c r="X528" s="43" cm="1">
        <f t="array" ref="X528">INDEX([1]!phvny[yphv], MATCH(1, (paper3[[#This Row],[id]]=[1]!phvny[id])*(paper3[[#This Row],[time]]=[1]!phvny[time]), 0))</f>
        <v>2.2832026121793603</v>
      </c>
      <c r="Y528" s="3">
        <v>1.81</v>
      </c>
      <c r="Z528" s="3">
        <v>3.05</v>
      </c>
      <c r="AA528" s="3">
        <v>4.22</v>
      </c>
      <c r="AB528" s="3">
        <v>1.83</v>
      </c>
      <c r="AC528" s="3">
        <v>3.06</v>
      </c>
      <c r="AD528" s="3">
        <v>4.22</v>
      </c>
      <c r="AE528" s="3">
        <v>1.84</v>
      </c>
      <c r="AF528" s="3">
        <v>3.07</v>
      </c>
      <c r="AG528" s="3">
        <v>4.24</v>
      </c>
      <c r="AH528" s="44">
        <v>1.81</v>
      </c>
      <c r="AI528" s="44">
        <v>3.05</v>
      </c>
      <c r="AJ528" s="44">
        <v>4.22</v>
      </c>
      <c r="AK528" s="45">
        <v>8.5470085470085468</v>
      </c>
      <c r="AL528" s="3">
        <v>9.57</v>
      </c>
      <c r="AM528" s="3">
        <v>9.41</v>
      </c>
      <c r="AN528" s="3">
        <v>9.52</v>
      </c>
      <c r="AO528" s="3" t="s">
        <v>220</v>
      </c>
      <c r="AP528" s="3">
        <v>9.41</v>
      </c>
      <c r="AQ528" s="47">
        <v>9.41</v>
      </c>
      <c r="AR528" s="47">
        <v>9.52</v>
      </c>
      <c r="AS528" s="46">
        <v>47.21</v>
      </c>
      <c r="AT528" s="3">
        <v>40.549999999999997</v>
      </c>
      <c r="AU528" s="3">
        <v>41.84</v>
      </c>
      <c r="AV528" s="3"/>
      <c r="AW528" s="3"/>
      <c r="AX528" s="48">
        <v>47.21</v>
      </c>
      <c r="AY528" s="3"/>
      <c r="AZ528" s="3"/>
      <c r="BA528" s="3"/>
      <c r="BB528" s="46">
        <v>8</v>
      </c>
      <c r="BC528" s="46">
        <v>364</v>
      </c>
      <c r="BD528" s="40">
        <v>1475.6069841135782</v>
      </c>
      <c r="BE528" s="40">
        <v>1444.8964862336061</v>
      </c>
      <c r="BF528" s="3"/>
      <c r="BG528" s="40">
        <v>778.54489460267655</v>
      </c>
      <c r="BH528" s="40">
        <v>809.85482436126199</v>
      </c>
      <c r="BI528" s="49">
        <v>2920.5034703471842</v>
      </c>
      <c r="BJ528" s="49">
        <v>1588.3997189639385</v>
      </c>
      <c r="BK528" s="66">
        <v>2.1254462290253517E-2</v>
      </c>
      <c r="BL528" s="66">
        <v>-3.8661163478626914E-2</v>
      </c>
      <c r="BM528" s="51">
        <v>43.851403458666432</v>
      </c>
      <c r="BN528" s="51">
        <v>23.84984563008917</v>
      </c>
      <c r="BO528" s="52">
        <v>249</v>
      </c>
      <c r="BP528" s="40">
        <v>249</v>
      </c>
      <c r="BQ528" s="40">
        <v>203</v>
      </c>
      <c r="BR528" s="67">
        <v>0.22660098522167482</v>
      </c>
      <c r="BS528" s="54">
        <v>3.3933933933933935</v>
      </c>
      <c r="BT528" s="3">
        <v>178</v>
      </c>
      <c r="BU528" s="40">
        <v>170</v>
      </c>
      <c r="BV528" s="3">
        <v>126</v>
      </c>
      <c r="BW528" s="3">
        <v>125</v>
      </c>
      <c r="BX528" s="70">
        <v>4.705882352941182E-2</v>
      </c>
      <c r="BY528" s="70">
        <v>8.0000000000000071E-3</v>
      </c>
      <c r="BZ528" s="59">
        <v>1.36</v>
      </c>
      <c r="CA528" s="59">
        <v>1.4126984126984128</v>
      </c>
      <c r="CB528" s="59">
        <v>2.4689189189189196</v>
      </c>
      <c r="CC528" s="59">
        <v>1.7807432432432437</v>
      </c>
      <c r="CD528" s="60">
        <v>168</v>
      </c>
      <c r="CE528" s="60">
        <v>113</v>
      </c>
      <c r="CF528" s="61">
        <v>2.522522522522523</v>
      </c>
      <c r="CG528" s="61">
        <v>1.6966966966966968</v>
      </c>
      <c r="CH528" s="61">
        <v>0.67261904761904756</v>
      </c>
      <c r="CI528" s="41"/>
      <c r="CJ528" s="40"/>
      <c r="CK528" s="3"/>
      <c r="CL528" s="62"/>
      <c r="CM528" s="63" t="s">
        <v>110</v>
      </c>
      <c r="CN528" s="3">
        <v>178</v>
      </c>
      <c r="CO528" s="3">
        <v>126</v>
      </c>
      <c r="CP528" s="41">
        <v>16.252777777777776</v>
      </c>
      <c r="CQ528" s="3" t="s">
        <v>110</v>
      </c>
      <c r="CR528" s="40">
        <v>174</v>
      </c>
      <c r="CS528" s="40">
        <v>125.5</v>
      </c>
      <c r="CT528" s="40">
        <v>226</v>
      </c>
      <c r="CU528" s="40"/>
      <c r="CV528" s="40"/>
      <c r="CW528" s="40"/>
      <c r="CX528" s="40"/>
      <c r="CY528" s="40">
        <v>0</v>
      </c>
      <c r="CZ528" s="40"/>
      <c r="DA528" s="40"/>
    </row>
    <row r="529" spans="1:105" ht="18.75" customHeight="1">
      <c r="A529" s="3">
        <v>177</v>
      </c>
      <c r="B529" s="38" t="s">
        <v>103</v>
      </c>
      <c r="C529" s="3" t="s">
        <v>115</v>
      </c>
      <c r="D529" s="76" t="s">
        <v>215</v>
      </c>
      <c r="E529" s="39">
        <v>44861</v>
      </c>
      <c r="F529" s="3" t="s">
        <v>106</v>
      </c>
      <c r="G529" s="3" t="s">
        <v>122</v>
      </c>
      <c r="H529" s="3">
        <v>2006</v>
      </c>
      <c r="I529" s="40" t="s">
        <v>116</v>
      </c>
      <c r="J529" s="39" t="s">
        <v>157</v>
      </c>
      <c r="K529" s="3">
        <v>168.9</v>
      </c>
      <c r="L529" s="3">
        <v>169.1</v>
      </c>
      <c r="M529" s="3"/>
      <c r="N529" s="3">
        <v>141.69999999999999</v>
      </c>
      <c r="O529" s="3">
        <v>141.30000000000001</v>
      </c>
      <c r="P529" s="3">
        <v>141.6</v>
      </c>
      <c r="Q529" s="3">
        <v>56.8</v>
      </c>
      <c r="R529" s="3">
        <v>56.8</v>
      </c>
      <c r="S529" s="3"/>
      <c r="T529" s="42">
        <v>169</v>
      </c>
      <c r="U529" s="42">
        <f>AVERAGE(paper3[[#This Row],[Sittende høyde 1]:[Sittende høyde 3]])-56.2</f>
        <v>85.333333333333329</v>
      </c>
      <c r="V529" s="12">
        <f>paper3[[#This Row],[height]]-paper3[[#This Row],[sittingheight]]</f>
        <v>83.666666666666671</v>
      </c>
      <c r="W529" s="73">
        <v>56.8</v>
      </c>
      <c r="X529" s="43" cm="1">
        <f t="array" ref="X529">INDEX([1]!phvny[yphv], MATCH(1, (paper3[[#This Row],[id]]=[1]!phvny[id])*(paper3[[#This Row],[time]]=[1]!phvny[time]), 0))</f>
        <v>1.0302129496383952</v>
      </c>
      <c r="Y529" s="3">
        <v>1.81</v>
      </c>
      <c r="Z529" s="3">
        <v>3.16</v>
      </c>
      <c r="AA529" s="3">
        <v>4.43</v>
      </c>
      <c r="AB529" s="3">
        <v>1.88</v>
      </c>
      <c r="AC529" s="3">
        <v>3.24</v>
      </c>
      <c r="AD529" s="3">
        <v>4.54</v>
      </c>
      <c r="AE529" s="3">
        <v>1.82</v>
      </c>
      <c r="AF529" s="3">
        <v>3.16</v>
      </c>
      <c r="AG529" s="3">
        <v>4.46</v>
      </c>
      <c r="AH529" s="44">
        <v>1.81</v>
      </c>
      <c r="AI529" s="44">
        <v>3.16</v>
      </c>
      <c r="AJ529" s="44">
        <v>4.43</v>
      </c>
      <c r="AK529" s="45">
        <v>7.874015748031499</v>
      </c>
      <c r="AL529" s="3">
        <v>9.66</v>
      </c>
      <c r="AM529" s="3">
        <v>9.68</v>
      </c>
      <c r="AN529" s="3">
        <v>9.58</v>
      </c>
      <c r="AO529" s="3">
        <v>9.4499999999999993</v>
      </c>
      <c r="AP529" s="3">
        <v>9.4499999999999993</v>
      </c>
      <c r="AQ529" s="47">
        <v>9.66</v>
      </c>
      <c r="AR529" s="47">
        <v>9.4499999999999993</v>
      </c>
      <c r="AS529" s="3">
        <v>31.07</v>
      </c>
      <c r="AT529" s="3">
        <v>30.72</v>
      </c>
      <c r="AU529" s="3">
        <v>28.67</v>
      </c>
      <c r="AV529" s="3"/>
      <c r="AW529" s="3"/>
      <c r="AX529" s="48">
        <v>31.07</v>
      </c>
      <c r="AY529" s="3"/>
      <c r="AZ529" s="3"/>
      <c r="BA529" s="3"/>
      <c r="BB529" s="46">
        <v>10</v>
      </c>
      <c r="BC529" s="46">
        <v>328</v>
      </c>
      <c r="BD529" s="40">
        <v>1304.3329497791824</v>
      </c>
      <c r="BE529" s="40">
        <v>1285.3192753259482</v>
      </c>
      <c r="BF529" s="3"/>
      <c r="BG529" s="40">
        <v>446.78555269016692</v>
      </c>
      <c r="BH529" s="40">
        <v>483.8287201739588</v>
      </c>
      <c r="BI529" s="49">
        <v>2589.6522251051306</v>
      </c>
      <c r="BJ529" s="49">
        <v>930.61427286412572</v>
      </c>
      <c r="BK529" s="66">
        <v>1.4792958308675885E-2</v>
      </c>
      <c r="BL529" s="66">
        <v>-7.6562564269589295E-2</v>
      </c>
      <c r="BM529" s="51">
        <v>45.592468751850895</v>
      </c>
      <c r="BN529" s="51">
        <v>16.384054099720522</v>
      </c>
      <c r="BO529" s="52">
        <v>252</v>
      </c>
      <c r="BP529" s="40">
        <v>229</v>
      </c>
      <c r="BQ529" s="40">
        <v>252</v>
      </c>
      <c r="BR529" s="67">
        <v>-9.1269841269841279E-2</v>
      </c>
      <c r="BS529" s="54">
        <v>4.234154929577465</v>
      </c>
      <c r="BT529" s="3">
        <v>146</v>
      </c>
      <c r="BU529" s="40">
        <v>147</v>
      </c>
      <c r="BV529" s="3">
        <v>129</v>
      </c>
      <c r="BW529" s="3">
        <v>136</v>
      </c>
      <c r="BX529" s="70">
        <v>-6.8027210884353817E-3</v>
      </c>
      <c r="BY529" s="70">
        <v>-5.1470588235294157E-2</v>
      </c>
      <c r="BZ529" s="59">
        <v>1.0808823529411764</v>
      </c>
      <c r="CA529" s="59">
        <v>1.1317829457364341</v>
      </c>
      <c r="CB529" s="59">
        <v>2.1579518779342726</v>
      </c>
      <c r="CC529" s="59">
        <v>1.951731220657277</v>
      </c>
      <c r="CD529" s="60">
        <v>86</v>
      </c>
      <c r="CE529" s="60">
        <v>82</v>
      </c>
      <c r="CF529" s="61">
        <v>1.5140845070422535</v>
      </c>
      <c r="CG529" s="61">
        <v>1.443661971830986</v>
      </c>
      <c r="CH529" s="61">
        <v>0.95348837209302328</v>
      </c>
      <c r="CI529" s="41"/>
      <c r="CJ529" s="40"/>
      <c r="CK529" s="3"/>
      <c r="CL529" s="62"/>
      <c r="CM529" s="63" t="s">
        <v>110</v>
      </c>
      <c r="CN529" s="3">
        <v>147</v>
      </c>
      <c r="CO529" s="3">
        <v>136</v>
      </c>
      <c r="CP529" s="41">
        <v>15.866666666666667</v>
      </c>
      <c r="CQ529" s="3" t="s">
        <v>110</v>
      </c>
      <c r="CR529" s="40">
        <v>146.5</v>
      </c>
      <c r="CS529" s="40">
        <v>132.5</v>
      </c>
      <c r="CT529" s="40">
        <v>240.5</v>
      </c>
      <c r="CU529" s="40"/>
      <c r="CV529" s="40"/>
      <c r="CW529" s="40"/>
      <c r="CX529" s="40"/>
      <c r="CY529" s="40">
        <v>0</v>
      </c>
      <c r="CZ529" s="40"/>
      <c r="DA529" s="40"/>
    </row>
    <row r="530" spans="1:105" ht="18.75" customHeight="1">
      <c r="A530" s="3">
        <v>179</v>
      </c>
      <c r="B530" s="38" t="s">
        <v>103</v>
      </c>
      <c r="C530" s="90" t="s">
        <v>115</v>
      </c>
      <c r="D530" s="76" t="s">
        <v>215</v>
      </c>
      <c r="E530" s="39">
        <v>44861</v>
      </c>
      <c r="F530" s="3" t="s">
        <v>106</v>
      </c>
      <c r="G530" s="3" t="s">
        <v>122</v>
      </c>
      <c r="H530" s="3">
        <v>2006</v>
      </c>
      <c r="I530" s="40" t="s">
        <v>116</v>
      </c>
      <c r="J530" s="39" t="s">
        <v>157</v>
      </c>
      <c r="K530" s="3">
        <v>174.3</v>
      </c>
      <c r="L530" s="3">
        <v>174.2</v>
      </c>
      <c r="M530" s="3"/>
      <c r="N530" s="3">
        <v>142.80000000000001</v>
      </c>
      <c r="O530" s="3">
        <v>142.80000000000001</v>
      </c>
      <c r="P530" s="3"/>
      <c r="Q530" s="3">
        <v>59.6</v>
      </c>
      <c r="R530" s="3">
        <v>59.6</v>
      </c>
      <c r="S530" s="3"/>
      <c r="T530" s="42">
        <v>174.25</v>
      </c>
      <c r="U530" s="42">
        <f>AVERAGE(paper3[[#This Row],[Sittende høyde 1]:[Sittende høyde 3]])-56.2</f>
        <v>86.600000000000009</v>
      </c>
      <c r="V530" s="12">
        <f>paper3[[#This Row],[height]]-paper3[[#This Row],[sittingheight]]</f>
        <v>87.649999999999991</v>
      </c>
      <c r="W530" s="73">
        <v>59.6</v>
      </c>
      <c r="X530" s="43" cm="1">
        <f t="array" ref="X530">INDEX([1]!phvny[yphv], MATCH(1, (paper3[[#This Row],[id]]=[1]!phvny[id])*(paper3[[#This Row],[time]]=[1]!phvny[time]), 0))</f>
        <v>1.5000077327645855</v>
      </c>
      <c r="Y530" s="3">
        <v>1.87</v>
      </c>
      <c r="Z530" s="3">
        <v>3.19</v>
      </c>
      <c r="AA530" s="3">
        <v>4.42</v>
      </c>
      <c r="AB530" s="3">
        <v>1.92</v>
      </c>
      <c r="AC530" s="3">
        <v>3.25</v>
      </c>
      <c r="AD530" s="3">
        <v>4.46</v>
      </c>
      <c r="AE530" s="3">
        <v>1.87</v>
      </c>
      <c r="AF530" s="3">
        <v>3.18</v>
      </c>
      <c r="AG530" s="3">
        <v>4.42</v>
      </c>
      <c r="AH530" s="44">
        <v>1.87</v>
      </c>
      <c r="AI530" s="44">
        <v>3.18</v>
      </c>
      <c r="AJ530" s="44">
        <v>4.42</v>
      </c>
      <c r="AK530" s="45">
        <v>8.0645161290322598</v>
      </c>
      <c r="AL530" s="3">
        <v>9.57</v>
      </c>
      <c r="AM530" s="3">
        <v>9.6199999999999992</v>
      </c>
      <c r="AN530" s="3">
        <v>9.7799999999999994</v>
      </c>
      <c r="AO530" s="3">
        <v>9.58</v>
      </c>
      <c r="AP530" s="3">
        <v>9.57</v>
      </c>
      <c r="AQ530" s="47">
        <v>9.57</v>
      </c>
      <c r="AR530" s="47">
        <v>9.58</v>
      </c>
      <c r="AS530" s="3">
        <v>28.23</v>
      </c>
      <c r="AT530" s="3">
        <v>29.84</v>
      </c>
      <c r="AU530" s="3">
        <v>37.11</v>
      </c>
      <c r="AV530" s="3">
        <v>37.94</v>
      </c>
      <c r="AW530" s="3">
        <v>36.369999999999997</v>
      </c>
      <c r="AX530" s="48">
        <v>37.94</v>
      </c>
      <c r="AY530" s="3"/>
      <c r="AZ530" s="3"/>
      <c r="BA530" s="3"/>
      <c r="BB530" s="3"/>
      <c r="BC530" s="3"/>
      <c r="BD530" s="40">
        <v>1445.2037235352077</v>
      </c>
      <c r="BE530" s="40">
        <v>1412.5576962455912</v>
      </c>
      <c r="BF530" s="3"/>
      <c r="BG530" s="40">
        <v>578.68521141164933</v>
      </c>
      <c r="BH530" s="40">
        <v>568.15477290806712</v>
      </c>
      <c r="BI530" s="49">
        <v>2857.7614197807989</v>
      </c>
      <c r="BJ530" s="49">
        <v>1146.8399843197165</v>
      </c>
      <c r="BK530" s="66">
        <v>2.3111287685016801E-2</v>
      </c>
      <c r="BL530" s="66">
        <v>1.8534454000417533E-2</v>
      </c>
      <c r="BM530" s="51">
        <v>47.949017110416086</v>
      </c>
      <c r="BN530" s="51">
        <v>19.242281616102623</v>
      </c>
      <c r="BO530" s="52">
        <v>223</v>
      </c>
      <c r="BP530" s="40">
        <v>223</v>
      </c>
      <c r="BQ530" s="40">
        <v>184</v>
      </c>
      <c r="BR530" s="67">
        <v>0.21195652173913038</v>
      </c>
      <c r="BS530" s="54">
        <v>3.4144295302013421</v>
      </c>
      <c r="BT530" s="3">
        <v>138</v>
      </c>
      <c r="BU530" s="40">
        <v>142</v>
      </c>
      <c r="BV530" s="3">
        <v>110</v>
      </c>
      <c r="BW530" s="3">
        <v>155</v>
      </c>
      <c r="BX530" s="70">
        <v>-2.8169014084507005E-2</v>
      </c>
      <c r="BY530" s="70">
        <v>-0.29032258064516125</v>
      </c>
      <c r="BZ530" s="59">
        <v>0.91612903225806452</v>
      </c>
      <c r="CA530" s="59">
        <v>1.2545454545454546</v>
      </c>
      <c r="CB530" s="59">
        <v>2.0588926174496645</v>
      </c>
      <c r="CC530" s="59">
        <v>1.9485947986577179</v>
      </c>
      <c r="CD530" s="60">
        <v>122</v>
      </c>
      <c r="CE530" s="60">
        <v>88</v>
      </c>
      <c r="CF530" s="61">
        <v>2.0469798657718119</v>
      </c>
      <c r="CG530" s="61">
        <v>1.4765100671140938</v>
      </c>
      <c r="CH530" s="61">
        <v>0.72131147540983609</v>
      </c>
      <c r="CI530" s="41">
        <v>16.3</v>
      </c>
      <c r="CJ530" s="40">
        <f>VLOOKUP(paper3[[#This Row],[YYIR nivå]],$DB:$DC,2)</f>
        <v>1200</v>
      </c>
      <c r="CK530" s="3"/>
      <c r="CL530" s="62"/>
      <c r="CM530" s="63" t="s">
        <v>110</v>
      </c>
      <c r="CN530" s="3">
        <v>142</v>
      </c>
      <c r="CO530" s="3">
        <v>155</v>
      </c>
      <c r="CP530" s="41">
        <v>16.480555555555554</v>
      </c>
      <c r="CQ530" s="3" t="s">
        <v>110</v>
      </c>
      <c r="CR530" s="40">
        <v>140</v>
      </c>
      <c r="CS530" s="40">
        <v>132.5</v>
      </c>
      <c r="CT530" s="40">
        <v>203.5</v>
      </c>
      <c r="CU530" s="40"/>
      <c r="CV530" s="40"/>
      <c r="CW530" s="40"/>
      <c r="CX530" s="40"/>
      <c r="CY530" s="40">
        <v>0</v>
      </c>
      <c r="CZ530" s="40"/>
      <c r="DA530" s="40"/>
    </row>
    <row r="531" spans="1:105" ht="18.75" customHeight="1">
      <c r="A531" s="3">
        <v>181</v>
      </c>
      <c r="B531" s="38" t="s">
        <v>103</v>
      </c>
      <c r="C531" s="3" t="s">
        <v>115</v>
      </c>
      <c r="D531" s="76" t="s">
        <v>215</v>
      </c>
      <c r="E531" s="39">
        <v>44861</v>
      </c>
      <c r="F531" s="3" t="s">
        <v>106</v>
      </c>
      <c r="G531" s="3" t="s">
        <v>122</v>
      </c>
      <c r="H531" s="3">
        <v>2006</v>
      </c>
      <c r="I531" s="40" t="s">
        <v>116</v>
      </c>
      <c r="J531" s="39" t="s">
        <v>157</v>
      </c>
      <c r="K531" s="3">
        <v>174.5</v>
      </c>
      <c r="L531" s="3">
        <v>174.4</v>
      </c>
      <c r="M531" s="3"/>
      <c r="N531" s="3">
        <v>144.19999999999999</v>
      </c>
      <c r="O531" s="3">
        <v>144.19999999999999</v>
      </c>
      <c r="P531" s="3"/>
      <c r="Q531" s="3">
        <v>80.7</v>
      </c>
      <c r="R531" s="3"/>
      <c r="S531" s="3"/>
      <c r="T531" s="42">
        <v>174.45</v>
      </c>
      <c r="U531" s="42">
        <f>AVERAGE(paper3[[#This Row],[Sittende høyde 1]:[Sittende høyde 3]])-56.2</f>
        <v>87.999999999999986</v>
      </c>
      <c r="V531" s="12">
        <f>paper3[[#This Row],[height]]-paper3[[#This Row],[sittingheight]]</f>
        <v>86.45</v>
      </c>
      <c r="W531" s="73">
        <v>80.7</v>
      </c>
      <c r="X531" s="43" cm="1">
        <f t="array" ref="X531">INDEX([1]!phvny[yphv], MATCH(1, (paper3[[#This Row],[id]]=[1]!phvny[id])*(paper3[[#This Row],[time]]=[1]!phvny[time]), 0))</f>
        <v>1.8220561190086679</v>
      </c>
      <c r="Y531" s="3">
        <v>1.9</v>
      </c>
      <c r="Z531" s="3">
        <v>3.22</v>
      </c>
      <c r="AA531" s="3">
        <v>4.45</v>
      </c>
      <c r="AB531" s="3">
        <v>1.87</v>
      </c>
      <c r="AC531" s="3">
        <v>3.16</v>
      </c>
      <c r="AD531" s="3">
        <v>4.3499999999999996</v>
      </c>
      <c r="AE531" s="3">
        <v>1.88</v>
      </c>
      <c r="AF531" s="3">
        <v>3.16</v>
      </c>
      <c r="AG531" s="3">
        <v>4.3600000000000003</v>
      </c>
      <c r="AH531" s="44">
        <v>1.87</v>
      </c>
      <c r="AI531" s="44">
        <v>3.16</v>
      </c>
      <c r="AJ531" s="44">
        <v>4.3499999999999996</v>
      </c>
      <c r="AK531" s="45">
        <v>8.403361344537819</v>
      </c>
      <c r="AL531" s="3">
        <v>9.91</v>
      </c>
      <c r="AM531" s="3">
        <v>9.4</v>
      </c>
      <c r="AN531" s="3">
        <v>9.48</v>
      </c>
      <c r="AO531" s="3">
        <v>9.5500000000000007</v>
      </c>
      <c r="AP531" s="3">
        <v>9.4</v>
      </c>
      <c r="AQ531" s="47">
        <v>9.4</v>
      </c>
      <c r="AR531" s="47">
        <v>9.48</v>
      </c>
      <c r="AS531" s="3">
        <v>39.69</v>
      </c>
      <c r="AT531" s="3">
        <v>37.659999999999997</v>
      </c>
      <c r="AU531" s="3">
        <v>30.06</v>
      </c>
      <c r="AV531" s="3"/>
      <c r="AW531" s="3"/>
      <c r="AX531" s="48">
        <v>39.69</v>
      </c>
      <c r="AY531" s="3"/>
      <c r="AZ531" s="3"/>
      <c r="BA531" s="3"/>
      <c r="BB531" s="3"/>
      <c r="BC531" s="3"/>
      <c r="BD531" s="40">
        <v>1252.1687561675626</v>
      </c>
      <c r="BE531" s="40">
        <v>1282.5412049426554</v>
      </c>
      <c r="BF531" s="3"/>
      <c r="BG531" s="40">
        <v>453.94429295366876</v>
      </c>
      <c r="BH531" s="40">
        <v>475.93802236838292</v>
      </c>
      <c r="BI531" s="49">
        <v>2534.709961110218</v>
      </c>
      <c r="BJ531" s="49">
        <v>929.88231532205168</v>
      </c>
      <c r="BK531" s="66">
        <v>-2.368146041471697E-2</v>
      </c>
      <c r="BL531" s="66">
        <v>-4.621133084780249E-2</v>
      </c>
      <c r="BM531" s="51">
        <v>31.409045366917198</v>
      </c>
      <c r="BN531" s="51">
        <v>11.522705270409562</v>
      </c>
      <c r="BO531" s="52">
        <v>282</v>
      </c>
      <c r="BP531" s="40">
        <v>233</v>
      </c>
      <c r="BQ531" s="40">
        <v>282</v>
      </c>
      <c r="BR531" s="67">
        <v>-0.17375886524822692</v>
      </c>
      <c r="BS531" s="54">
        <v>3.190830235439901</v>
      </c>
      <c r="BT531" s="3">
        <v>190</v>
      </c>
      <c r="BU531" s="40">
        <v>205</v>
      </c>
      <c r="BV531" s="3">
        <v>103</v>
      </c>
      <c r="BW531" s="3">
        <v>112</v>
      </c>
      <c r="BX531" s="70">
        <v>-7.3170731707317027E-2</v>
      </c>
      <c r="BY531" s="70">
        <v>-8.0357142857142905E-2</v>
      </c>
      <c r="BZ531" s="59">
        <v>1.8303571428571428</v>
      </c>
      <c r="CA531" s="59">
        <v>1.8446601941747574</v>
      </c>
      <c r="CB531" s="59">
        <v>2.1157218091697647</v>
      </c>
      <c r="CC531" s="59">
        <v>1.1515954151177199</v>
      </c>
      <c r="CD531" s="60">
        <v>110</v>
      </c>
      <c r="CE531" s="60">
        <v>107</v>
      </c>
      <c r="CF531" s="61">
        <v>1.3630731102850062</v>
      </c>
      <c r="CG531" s="61">
        <v>1.325898389095415</v>
      </c>
      <c r="CH531" s="61">
        <v>0.97272727272727266</v>
      </c>
      <c r="CI531" s="41">
        <v>16.2</v>
      </c>
      <c r="CJ531" s="40">
        <f>VLOOKUP(paper3[[#This Row],[YYIR nivå]],$DB:$DC,2)</f>
        <v>1160</v>
      </c>
      <c r="CK531" s="3" t="s">
        <v>190</v>
      </c>
      <c r="CL531" s="62"/>
      <c r="CM531" s="63" t="s">
        <v>110</v>
      </c>
      <c r="CN531" s="3">
        <v>205</v>
      </c>
      <c r="CO531" s="3">
        <v>112</v>
      </c>
      <c r="CP531" s="41">
        <v>16.158333333333335</v>
      </c>
      <c r="CQ531" s="3" t="s">
        <v>110</v>
      </c>
      <c r="CR531" s="40">
        <v>197.5</v>
      </c>
      <c r="CS531" s="40">
        <v>107.5</v>
      </c>
      <c r="CT531" s="40">
        <v>257.5</v>
      </c>
      <c r="CU531" s="40"/>
      <c r="CV531" s="40"/>
      <c r="CW531" s="40"/>
      <c r="CX531" s="40"/>
      <c r="CY531" s="40">
        <v>0</v>
      </c>
      <c r="CZ531" s="40"/>
      <c r="DA531" s="40"/>
    </row>
    <row r="532" spans="1:105" ht="18.75" customHeight="1">
      <c r="A532" s="3">
        <v>183</v>
      </c>
      <c r="B532" s="38" t="s">
        <v>103</v>
      </c>
      <c r="C532" s="3" t="s">
        <v>159</v>
      </c>
      <c r="D532" s="76" t="s">
        <v>215</v>
      </c>
      <c r="E532" s="39">
        <v>44861</v>
      </c>
      <c r="F532" s="3" t="s">
        <v>106</v>
      </c>
      <c r="G532" s="3" t="s">
        <v>122</v>
      </c>
      <c r="H532" s="3">
        <v>2006</v>
      </c>
      <c r="I532" s="40" t="s">
        <v>116</v>
      </c>
      <c r="J532" s="39" t="s">
        <v>157</v>
      </c>
      <c r="K532" s="3">
        <v>180.7</v>
      </c>
      <c r="L532" s="3">
        <v>180.8</v>
      </c>
      <c r="M532" s="3"/>
      <c r="N532" s="3">
        <v>147.1</v>
      </c>
      <c r="O532" s="3">
        <v>146.6</v>
      </c>
      <c r="P532" s="3">
        <v>146.69999999999999</v>
      </c>
      <c r="Q532" s="3">
        <v>67.7</v>
      </c>
      <c r="R532" s="3">
        <v>67.7</v>
      </c>
      <c r="S532" s="3"/>
      <c r="T532" s="42">
        <v>180.75</v>
      </c>
      <c r="U532" s="42">
        <f>AVERAGE(paper3[[#This Row],[Sittende høyde 1]:[Sittende høyde 3]])-56.2</f>
        <v>90.59999999999998</v>
      </c>
      <c r="V532" s="12">
        <f>paper3[[#This Row],[height]]-paper3[[#This Row],[sittingheight]]</f>
        <v>90.15000000000002</v>
      </c>
      <c r="W532" s="73">
        <v>67.7</v>
      </c>
      <c r="X532" s="43" cm="1">
        <f t="array" ref="X532">INDEX([1]!phvny[yphv], MATCH(1, (paper3[[#This Row],[id]]=[1]!phvny[id])*(paper3[[#This Row],[time]]=[1]!phvny[time]), 0))</f>
        <v>2.2205589115435647</v>
      </c>
      <c r="Y532" s="3">
        <v>1.93</v>
      </c>
      <c r="Z532" s="3">
        <v>3.24</v>
      </c>
      <c r="AA532" s="3">
        <v>4.5</v>
      </c>
      <c r="AB532" s="3">
        <v>1.93</v>
      </c>
      <c r="AC532" s="3">
        <v>3.26</v>
      </c>
      <c r="AD532" s="3">
        <v>4.53</v>
      </c>
      <c r="AE532" s="3">
        <v>1.89</v>
      </c>
      <c r="AF532" s="3">
        <v>3.22</v>
      </c>
      <c r="AG532" s="3">
        <v>4.47</v>
      </c>
      <c r="AH532" s="44">
        <v>1.89</v>
      </c>
      <c r="AI532" s="44">
        <v>3.22</v>
      </c>
      <c r="AJ532" s="44">
        <v>4.47</v>
      </c>
      <c r="AK532" s="45">
        <v>8.0000000000000036</v>
      </c>
      <c r="AL532" s="3">
        <v>9.84</v>
      </c>
      <c r="AM532" s="3">
        <v>9.8699999999999992</v>
      </c>
      <c r="AN532" s="3">
        <v>9.75</v>
      </c>
      <c r="AO532" s="3">
        <v>9.7899999999999991</v>
      </c>
      <c r="AP532" s="3">
        <v>9.75</v>
      </c>
      <c r="AQ532" s="47">
        <v>9.84</v>
      </c>
      <c r="AR532" s="47">
        <v>9.75</v>
      </c>
      <c r="AS532" s="3">
        <v>29.08</v>
      </c>
      <c r="AT532" s="3">
        <v>35.11</v>
      </c>
      <c r="AU532" s="3">
        <v>34.97</v>
      </c>
      <c r="AV532" s="3"/>
      <c r="AW532" s="3"/>
      <c r="AX532" s="48">
        <v>35.11</v>
      </c>
      <c r="AY532" s="3"/>
      <c r="AZ532" s="3"/>
      <c r="BA532" s="3"/>
      <c r="BB532" s="3"/>
      <c r="BC532" s="3"/>
      <c r="BD532" s="40">
        <v>1312.2577135486847</v>
      </c>
      <c r="BE532" s="40">
        <v>1291.0166451533032</v>
      </c>
      <c r="BF532" s="3"/>
      <c r="BG532" s="40">
        <v>555.12246411144554</v>
      </c>
      <c r="BH532" s="40">
        <v>577.26684769545147</v>
      </c>
      <c r="BI532" s="49">
        <v>2603.2743587019877</v>
      </c>
      <c r="BJ532" s="49">
        <v>1132.389311806897</v>
      </c>
      <c r="BK532" s="66">
        <v>1.6452977949683367E-2</v>
      </c>
      <c r="BL532" s="66">
        <v>-3.8360740223364886E-2</v>
      </c>
      <c r="BM532" s="51">
        <v>38.453092447592134</v>
      </c>
      <c r="BN532" s="51">
        <v>16.726577722406159</v>
      </c>
      <c r="BO532" s="52">
        <v>307.5</v>
      </c>
      <c r="BP532" s="40">
        <v>295.25</v>
      </c>
      <c r="BQ532" s="40">
        <v>307.5</v>
      </c>
      <c r="BR532" s="67">
        <v>-3.9837398373983701E-2</v>
      </c>
      <c r="BS532" s="54">
        <v>4.4516248153618907</v>
      </c>
      <c r="BT532" s="3">
        <v>183</v>
      </c>
      <c r="BU532" s="40">
        <v>179</v>
      </c>
      <c r="BV532" s="3">
        <v>168</v>
      </c>
      <c r="BW532" s="3">
        <v>173</v>
      </c>
      <c r="BX532" s="70">
        <v>2.2346368715083775E-2</v>
      </c>
      <c r="BY532" s="70">
        <v>-2.8901734104046284E-2</v>
      </c>
      <c r="BZ532" s="59">
        <v>1.0346820809248556</v>
      </c>
      <c r="CA532" s="59">
        <v>1.0892857142857142</v>
      </c>
      <c r="CB532" s="59">
        <v>2.4102141802067951</v>
      </c>
      <c r="CC532" s="59">
        <v>2.2703951255539145</v>
      </c>
      <c r="CD532" s="60">
        <v>106</v>
      </c>
      <c r="CE532" s="60">
        <v>116</v>
      </c>
      <c r="CF532" s="61">
        <v>1.5657311669128506</v>
      </c>
      <c r="CG532" s="61">
        <v>1.7134416543574593</v>
      </c>
      <c r="CH532" s="61">
        <v>1.0943396226415094</v>
      </c>
      <c r="CI532" s="41"/>
      <c r="CJ532" s="40"/>
      <c r="CK532" s="3"/>
      <c r="CL532" s="62"/>
      <c r="CM532" s="63" t="s">
        <v>110</v>
      </c>
      <c r="CN532" s="3">
        <v>183</v>
      </c>
      <c r="CO532" s="3">
        <v>173</v>
      </c>
      <c r="CP532" s="41">
        <v>16.644444444444446</v>
      </c>
      <c r="CQ532" s="3" t="s">
        <v>110</v>
      </c>
      <c r="CR532" s="40">
        <v>181</v>
      </c>
      <c r="CS532" s="40">
        <v>170.5</v>
      </c>
      <c r="CT532" s="40">
        <v>301.375</v>
      </c>
      <c r="CU532" s="40"/>
      <c r="CV532" s="40"/>
      <c r="CW532" s="40"/>
      <c r="CX532" s="40"/>
      <c r="CY532" s="40">
        <v>0</v>
      </c>
      <c r="CZ532" s="40"/>
      <c r="DA532" s="40"/>
    </row>
    <row r="533" spans="1:105" ht="18.75" customHeight="1">
      <c r="A533" s="3">
        <v>192</v>
      </c>
      <c r="B533" s="38" t="s">
        <v>103</v>
      </c>
      <c r="C533" s="3" t="s">
        <v>115</v>
      </c>
      <c r="D533" s="76" t="s">
        <v>215</v>
      </c>
      <c r="E533" s="39">
        <v>44861</v>
      </c>
      <c r="F533" s="3" t="s">
        <v>106</v>
      </c>
      <c r="G533" s="3" t="s">
        <v>122</v>
      </c>
      <c r="H533" s="3">
        <v>2006</v>
      </c>
      <c r="I533" s="40" t="s">
        <v>116</v>
      </c>
      <c r="J533" s="39" t="s">
        <v>157</v>
      </c>
      <c r="K533" s="3">
        <v>184.9</v>
      </c>
      <c r="L533" s="3">
        <v>185.2</v>
      </c>
      <c r="M533" s="3">
        <v>185</v>
      </c>
      <c r="N533" s="3">
        <v>149.69999999999999</v>
      </c>
      <c r="O533" s="3">
        <v>149.80000000000001</v>
      </c>
      <c r="P533" s="3"/>
      <c r="Q533" s="3">
        <v>88.6</v>
      </c>
      <c r="R533" s="3">
        <v>88.5</v>
      </c>
      <c r="S533" s="3"/>
      <c r="T533" s="42">
        <v>185.03333333333333</v>
      </c>
      <c r="U533" s="42">
        <f>AVERAGE(paper3[[#This Row],[Sittende høyde 1]:[Sittende høyde 3]])-56.2</f>
        <v>93.55</v>
      </c>
      <c r="V533" s="12">
        <f>paper3[[#This Row],[height]]-paper3[[#This Row],[sittingheight]]</f>
        <v>91.483333333333334</v>
      </c>
      <c r="W533" s="73">
        <v>88.55</v>
      </c>
      <c r="X533" s="43" cm="1">
        <f t="array" ref="X533">INDEX([1]!phvny[yphv], MATCH(1, (paper3[[#This Row],[id]]=[1]!phvny[id])*(paper3[[#This Row],[time]]=[1]!phvny[time]), 0))</f>
        <v>2.5596892797087252</v>
      </c>
      <c r="Y533" s="3">
        <v>2.02</v>
      </c>
      <c r="Z533" s="3">
        <v>3.38</v>
      </c>
      <c r="AA533" s="3">
        <v>4.68</v>
      </c>
      <c r="AB533" s="3">
        <v>1.91</v>
      </c>
      <c r="AC533" s="3">
        <v>3.26</v>
      </c>
      <c r="AD533" s="3">
        <v>4.54</v>
      </c>
      <c r="AE533" s="3">
        <v>1.93</v>
      </c>
      <c r="AF533" s="3">
        <v>3.27</v>
      </c>
      <c r="AG533" s="3">
        <v>4.49</v>
      </c>
      <c r="AH533" s="44">
        <v>1.91</v>
      </c>
      <c r="AI533" s="44">
        <v>3.26</v>
      </c>
      <c r="AJ533" s="44">
        <v>4.49</v>
      </c>
      <c r="AK533" s="45">
        <v>8.1300813008130053</v>
      </c>
      <c r="AL533" s="3">
        <v>10.36</v>
      </c>
      <c r="AM533" s="3">
        <v>10.08</v>
      </c>
      <c r="AN533" s="3">
        <v>10.09</v>
      </c>
      <c r="AO533" s="3">
        <v>9.98</v>
      </c>
      <c r="AP533" s="3">
        <v>9.98</v>
      </c>
      <c r="AQ533" s="47">
        <v>10.08</v>
      </c>
      <c r="AR533" s="47">
        <v>9.98</v>
      </c>
      <c r="AS533" s="3">
        <v>30.21</v>
      </c>
      <c r="AT533" s="3">
        <v>30.74</v>
      </c>
      <c r="AU533" s="3">
        <v>32.61</v>
      </c>
      <c r="AV533" s="3">
        <v>31.9</v>
      </c>
      <c r="AW533" s="3"/>
      <c r="AX533" s="48">
        <v>32.61</v>
      </c>
      <c r="AY533" s="3"/>
      <c r="AZ533" s="3"/>
      <c r="BA533" s="3"/>
      <c r="BB533" s="3"/>
      <c r="BC533" s="3"/>
      <c r="BD533" s="40">
        <v>1582.3147371547402</v>
      </c>
      <c r="BE533" s="40">
        <v>1593.522966597287</v>
      </c>
      <c r="BF533" s="3"/>
      <c r="BG533" s="40">
        <v>761.12013419527932</v>
      </c>
      <c r="BH533" s="40">
        <v>761.7562023529573</v>
      </c>
      <c r="BI533" s="49">
        <v>3175.8377037520272</v>
      </c>
      <c r="BJ533" s="49">
        <v>1522.8763365482366</v>
      </c>
      <c r="BK533" s="66">
        <v>-7.0336165072538703E-3</v>
      </c>
      <c r="BL533" s="66">
        <v>-8.3500226937860411E-4</v>
      </c>
      <c r="BM533" s="51">
        <v>35.844669342573674</v>
      </c>
      <c r="BN533" s="51">
        <v>17.188220502801769</v>
      </c>
      <c r="BO533" s="52">
        <v>446</v>
      </c>
      <c r="BP533" s="40">
        <v>414</v>
      </c>
      <c r="BQ533" s="40">
        <v>446</v>
      </c>
      <c r="BR533" s="67">
        <v>-7.1748878923766801E-2</v>
      </c>
      <c r="BS533" s="54">
        <v>4.8560135516657255</v>
      </c>
      <c r="BT533" s="3">
        <v>217</v>
      </c>
      <c r="BU533" s="40">
        <v>225</v>
      </c>
      <c r="BV533" s="3">
        <v>177</v>
      </c>
      <c r="BW533" s="3">
        <v>179</v>
      </c>
      <c r="BX533" s="70">
        <v>-3.5555555555555562E-2</v>
      </c>
      <c r="BY533" s="70">
        <v>-1.1173184357541888E-2</v>
      </c>
      <c r="BZ533" s="59">
        <v>1.2569832402234637</v>
      </c>
      <c r="CA533" s="59">
        <v>1.2259887005649717</v>
      </c>
      <c r="CB533" s="59">
        <v>2.2832091097308491</v>
      </c>
      <c r="CC533" s="59">
        <v>1.8389648033126296</v>
      </c>
      <c r="CD533" s="60">
        <v>134</v>
      </c>
      <c r="CE533" s="60">
        <v>152</v>
      </c>
      <c r="CF533" s="61">
        <v>1.5132693393562959</v>
      </c>
      <c r="CG533" s="61">
        <v>1.7165443252399775</v>
      </c>
      <c r="CH533" s="61">
        <v>1.1343283582089552</v>
      </c>
      <c r="CI533" s="41">
        <v>15.6</v>
      </c>
      <c r="CJ533" s="40">
        <f>VLOOKUP(paper3[[#This Row],[YYIR nivå]],$DB:$DC,2)</f>
        <v>1000</v>
      </c>
      <c r="CK533" s="3"/>
      <c r="CL533" s="62"/>
      <c r="CM533" s="63" t="s">
        <v>110</v>
      </c>
      <c r="CN533" s="3">
        <v>225</v>
      </c>
      <c r="CO533" s="3">
        <v>179</v>
      </c>
      <c r="CP533" s="41">
        <v>16.027777777777779</v>
      </c>
      <c r="CQ533" s="3" t="s">
        <v>110</v>
      </c>
      <c r="CR533" s="40">
        <v>221</v>
      </c>
      <c r="CS533" s="40">
        <v>178</v>
      </c>
      <c r="CT533" s="40">
        <v>430</v>
      </c>
      <c r="CU533" s="40"/>
      <c r="CV533" s="40"/>
      <c r="CW533" s="40"/>
      <c r="CX533" s="40"/>
      <c r="CY533" s="40" t="s">
        <v>125</v>
      </c>
      <c r="CZ533" s="40"/>
      <c r="DA533" s="40"/>
    </row>
    <row r="534" spans="1:105" ht="18.75" customHeight="1">
      <c r="A534" s="3">
        <v>193</v>
      </c>
      <c r="B534" s="38" t="s">
        <v>103</v>
      </c>
      <c r="C534" s="3" t="s">
        <v>115</v>
      </c>
      <c r="D534" s="76" t="s">
        <v>215</v>
      </c>
      <c r="E534" s="39">
        <v>44861</v>
      </c>
      <c r="F534" s="3" t="s">
        <v>106</v>
      </c>
      <c r="G534" s="3" t="s">
        <v>122</v>
      </c>
      <c r="H534" s="3">
        <v>2006</v>
      </c>
      <c r="I534" s="40" t="s">
        <v>116</v>
      </c>
      <c r="J534" s="39" t="s">
        <v>157</v>
      </c>
      <c r="K534" s="180"/>
      <c r="L534" s="180"/>
      <c r="M534" s="180"/>
      <c r="N534" s="180"/>
      <c r="O534" s="180"/>
      <c r="P534" s="180"/>
      <c r="Q534" s="3">
        <v>53.72</v>
      </c>
      <c r="R534" s="3"/>
      <c r="S534" s="3"/>
      <c r="T534" s="42"/>
      <c r="U534" s="42"/>
      <c r="V534" s="12"/>
      <c r="W534" s="3">
        <v>53.72</v>
      </c>
      <c r="X534" s="43"/>
      <c r="Y534" s="3">
        <v>1.93</v>
      </c>
      <c r="Z534" s="3">
        <v>3.27</v>
      </c>
      <c r="AA534" s="3">
        <v>4.5599999999999996</v>
      </c>
      <c r="AB534" s="3">
        <v>2</v>
      </c>
      <c r="AC534" s="3">
        <v>3.4</v>
      </c>
      <c r="AD534" s="3">
        <v>4.7</v>
      </c>
      <c r="AE534" s="3">
        <v>1.91</v>
      </c>
      <c r="AF534" s="3">
        <v>3.28</v>
      </c>
      <c r="AG534" s="3">
        <v>4.57</v>
      </c>
      <c r="AH534" s="44">
        <v>1.91</v>
      </c>
      <c r="AI534" s="44">
        <v>3.27</v>
      </c>
      <c r="AJ534" s="44">
        <v>4.5599999999999996</v>
      </c>
      <c r="AK534" s="45">
        <v>7.7519379844961263</v>
      </c>
      <c r="AL534" s="3">
        <v>9.98</v>
      </c>
      <c r="AM534" s="3">
        <v>10.07</v>
      </c>
      <c r="AN534" s="3">
        <v>9.94</v>
      </c>
      <c r="AO534" s="3">
        <v>9.8699999999999992</v>
      </c>
      <c r="AP534" s="3">
        <v>9.8699999999999992</v>
      </c>
      <c r="AQ534" s="47">
        <v>9.98</v>
      </c>
      <c r="AR534" s="47">
        <v>9.8699999999999992</v>
      </c>
      <c r="AS534" s="3">
        <v>30.01</v>
      </c>
      <c r="AT534" s="3">
        <v>29.48</v>
      </c>
      <c r="AU534" s="3">
        <v>29</v>
      </c>
      <c r="AV534" s="3"/>
      <c r="AW534" s="3"/>
      <c r="AX534" s="48">
        <v>30.01</v>
      </c>
      <c r="AY534" s="3"/>
      <c r="AZ534" s="3"/>
      <c r="BA534" s="3"/>
      <c r="BB534" s="3"/>
      <c r="BC534" s="3"/>
      <c r="BD534" s="25"/>
      <c r="BE534" s="25"/>
      <c r="BF534" s="3"/>
      <c r="BG534" s="40"/>
      <c r="BH534" s="40"/>
      <c r="BI534" s="49"/>
      <c r="BJ534" s="49"/>
      <c r="BK534" s="66"/>
      <c r="BL534" s="66"/>
      <c r="BM534" s="51"/>
      <c r="BN534" s="51"/>
      <c r="BO534" s="52">
        <v>254.5</v>
      </c>
      <c r="BP534" s="40">
        <v>254.5</v>
      </c>
      <c r="BQ534" s="40">
        <v>226</v>
      </c>
      <c r="BR534" s="67">
        <v>0.12610619469026552</v>
      </c>
      <c r="BS534" s="54">
        <v>4.4722635889798958</v>
      </c>
      <c r="BT534" s="3">
        <v>119</v>
      </c>
      <c r="BU534" s="40">
        <v>115</v>
      </c>
      <c r="BV534" s="3">
        <v>81</v>
      </c>
      <c r="BW534" s="3">
        <v>88</v>
      </c>
      <c r="BX534" s="70">
        <v>3.4782608695652195E-2</v>
      </c>
      <c r="BY534" s="70">
        <v>-7.9545454545454586E-2</v>
      </c>
      <c r="BZ534" s="59">
        <v>1.3068181818181819</v>
      </c>
      <c r="CA534" s="59">
        <v>1.4691358024691359</v>
      </c>
      <c r="CB534" s="59" t="s">
        <v>110</v>
      </c>
      <c r="CC534" s="59" t="s">
        <v>110</v>
      </c>
      <c r="CD534" s="60">
        <v>79</v>
      </c>
      <c r="CE534" s="60">
        <v>83</v>
      </c>
      <c r="CF534" s="61">
        <v>1.4705882352941178</v>
      </c>
      <c r="CG534" s="61">
        <v>1.5450483991064781</v>
      </c>
      <c r="CH534" s="61"/>
      <c r="CI534" s="41"/>
      <c r="CJ534" s="40"/>
      <c r="CK534" s="3"/>
      <c r="CL534" s="62"/>
      <c r="CM534" s="63" t="s">
        <v>110</v>
      </c>
      <c r="CN534" s="3">
        <v>119</v>
      </c>
      <c r="CO534" s="3">
        <v>88</v>
      </c>
      <c r="CP534" s="41">
        <v>16.672222222222221</v>
      </c>
      <c r="CQ534" s="3" t="s">
        <v>110</v>
      </c>
      <c r="CR534" s="40">
        <v>117</v>
      </c>
      <c r="CS534" s="40">
        <v>84.5</v>
      </c>
      <c r="CT534" s="40">
        <v>240.25</v>
      </c>
      <c r="CU534" s="40"/>
      <c r="CV534" s="40"/>
      <c r="CW534" s="40"/>
      <c r="CX534" s="40"/>
      <c r="CY534" s="40">
        <v>0</v>
      </c>
      <c r="CZ534" s="40"/>
      <c r="DA534" s="40"/>
    </row>
    <row r="535" spans="1:105" ht="18.75">
      <c r="A535" s="181">
        <v>199</v>
      </c>
      <c r="B535" s="38" t="s">
        <v>103</v>
      </c>
      <c r="C535" s="90"/>
      <c r="D535" s="76" t="s">
        <v>215</v>
      </c>
      <c r="E535" s="39">
        <v>44935</v>
      </c>
      <c r="F535" s="3" t="s">
        <v>106</v>
      </c>
      <c r="G535" s="3" t="s">
        <v>122</v>
      </c>
      <c r="H535" s="3">
        <v>2006</v>
      </c>
      <c r="I535" s="40" t="s">
        <v>116</v>
      </c>
      <c r="J535" s="39" t="s">
        <v>157</v>
      </c>
      <c r="K535" s="145"/>
      <c r="L535" s="145"/>
      <c r="M535" s="145"/>
      <c r="N535" s="145"/>
      <c r="O535" s="145"/>
      <c r="P535" s="145"/>
      <c r="Q535" s="145"/>
      <c r="R535" s="145"/>
      <c r="S535" s="145"/>
      <c r="T535" s="42"/>
      <c r="U535" s="42"/>
      <c r="V535" s="12"/>
      <c r="W535" s="42">
        <v>52.22</v>
      </c>
      <c r="X535" s="43"/>
      <c r="Y535" s="60">
        <v>1.88</v>
      </c>
      <c r="Z535" s="60">
        <v>3.16</v>
      </c>
      <c r="AA535" s="60">
        <v>4.3499999999999996</v>
      </c>
      <c r="AB535" s="60">
        <v>1.78</v>
      </c>
      <c r="AC535" s="60">
        <v>3.05</v>
      </c>
      <c r="AD535" s="60">
        <v>4.26</v>
      </c>
      <c r="AE535" s="60">
        <v>1.8</v>
      </c>
      <c r="AF535" s="60">
        <v>3.08</v>
      </c>
      <c r="AG535" s="60">
        <v>4.3099999999999996</v>
      </c>
      <c r="AH535" s="44">
        <v>1.78</v>
      </c>
      <c r="AI535" s="44">
        <v>3.05</v>
      </c>
      <c r="AJ535" s="44">
        <v>4.26</v>
      </c>
      <c r="AK535" s="45">
        <v>8.2644628099173563</v>
      </c>
      <c r="AL535" s="3">
        <v>9.7200000000000006</v>
      </c>
      <c r="AM535" s="3">
        <v>9.24</v>
      </c>
      <c r="AN535" s="3"/>
      <c r="AO535" s="3">
        <v>9.2100000000000009</v>
      </c>
      <c r="AP535" s="3">
        <v>9.2100000000000009</v>
      </c>
      <c r="AQ535" s="47">
        <v>9.24</v>
      </c>
      <c r="AR535" s="47">
        <v>9.2100000000000009</v>
      </c>
      <c r="AS535" s="3">
        <v>32.46</v>
      </c>
      <c r="AT535" s="3">
        <v>32.01</v>
      </c>
      <c r="AU535" s="3">
        <v>38.880000000000003</v>
      </c>
      <c r="AV535" s="3">
        <v>37.24</v>
      </c>
      <c r="AW535" s="145"/>
      <c r="AX535" s="48">
        <v>38.880000000000003</v>
      </c>
      <c r="AY535" s="145"/>
      <c r="AZ535" s="145"/>
      <c r="BA535" s="145"/>
      <c r="BB535" s="145"/>
      <c r="BC535" s="145"/>
      <c r="BD535" s="145"/>
      <c r="BE535" s="145"/>
      <c r="BF535" s="145"/>
      <c r="BG535" s="145"/>
      <c r="BH535" s="145"/>
      <c r="BI535" s="145"/>
      <c r="BJ535" s="145"/>
      <c r="BK535" s="145"/>
      <c r="BL535" s="145"/>
      <c r="BM535" s="145"/>
      <c r="BN535" s="145"/>
      <c r="BO535" s="52"/>
      <c r="BP535" s="92"/>
      <c r="BQ535" s="92"/>
      <c r="BR535" s="145"/>
      <c r="BS535" s="54" t="s">
        <v>110</v>
      </c>
      <c r="BT535" s="145"/>
      <c r="BU535" s="182"/>
      <c r="BV535" s="145"/>
      <c r="BW535" s="145"/>
      <c r="BX535" s="59"/>
      <c r="BY535" s="59"/>
      <c r="BZ535" s="59"/>
      <c r="CA535" s="59"/>
      <c r="CB535" s="59" t="s">
        <v>110</v>
      </c>
      <c r="CC535" s="59" t="s">
        <v>110</v>
      </c>
      <c r="CD535" s="183"/>
      <c r="CE535" s="183"/>
      <c r="CF535" s="183"/>
      <c r="CG535" s="183"/>
      <c r="CH535" s="145"/>
      <c r="CI535" s="74">
        <v>18.3</v>
      </c>
      <c r="CJ535" s="40">
        <f>VLOOKUP(paper3[[#This Row],[YYIR nivå]],$DB:$DC,2)</f>
        <v>1840</v>
      </c>
      <c r="CK535" s="145"/>
      <c r="CL535" s="62"/>
      <c r="CM535" s="63" t="s">
        <v>110</v>
      </c>
      <c r="CN535" s="3"/>
      <c r="CO535" s="3"/>
      <c r="CP535" s="41">
        <v>16.180555555555557</v>
      </c>
      <c r="CQ535" s="3" t="s">
        <v>110</v>
      </c>
      <c r="CR535" s="40" t="s">
        <v>110</v>
      </c>
      <c r="CS535" s="40" t="s">
        <v>110</v>
      </c>
      <c r="CT535" s="40" t="s">
        <v>110</v>
      </c>
      <c r="CU535" s="40"/>
      <c r="CV535" s="40"/>
      <c r="CW535" s="40"/>
      <c r="CX535" s="40"/>
      <c r="CY535" s="40">
        <v>0</v>
      </c>
      <c r="CZ535" s="40"/>
      <c r="DA535" s="40"/>
    </row>
    <row r="536" spans="1:105" ht="18.75" customHeight="1">
      <c r="A536" s="3">
        <v>201</v>
      </c>
      <c r="B536" s="38" t="s">
        <v>103</v>
      </c>
      <c r="C536" s="3" t="s">
        <v>115</v>
      </c>
      <c r="D536" s="76" t="s">
        <v>215</v>
      </c>
      <c r="E536" s="39">
        <v>44819</v>
      </c>
      <c r="F536" s="3" t="s">
        <v>106</v>
      </c>
      <c r="G536" s="3" t="s">
        <v>122</v>
      </c>
      <c r="H536" s="3">
        <v>2006</v>
      </c>
      <c r="I536" s="40" t="s">
        <v>116</v>
      </c>
      <c r="J536" s="39" t="s">
        <v>157</v>
      </c>
      <c r="K536" s="3">
        <v>174.4</v>
      </c>
      <c r="L536" s="3">
        <v>174</v>
      </c>
      <c r="M536" s="3">
        <v>174.1</v>
      </c>
      <c r="N536" s="3">
        <v>145.4</v>
      </c>
      <c r="O536" s="3">
        <v>145.4</v>
      </c>
      <c r="P536" s="3"/>
      <c r="Q536" s="3">
        <v>60.5</v>
      </c>
      <c r="R536" s="3"/>
      <c r="S536" s="3"/>
      <c r="T536" s="42">
        <v>174.16666666666666</v>
      </c>
      <c r="U536" s="42">
        <f>AVERAGE(paper3[[#This Row],[Sittende høyde 1]:[Sittende høyde 3]])-56.2</f>
        <v>89.2</v>
      </c>
      <c r="V536" s="12">
        <f>paper3[[#This Row],[height]]-paper3[[#This Row],[sittingheight]]</f>
        <v>84.966666666666654</v>
      </c>
      <c r="W536" s="73">
        <v>60.5</v>
      </c>
      <c r="X536" s="43" cm="1">
        <f t="array" ref="X536">INDEX([1]!phvny[yphv], MATCH(1, (paper3[[#This Row],[id]]=[1]!phvny[id])*(paper3[[#This Row],[time]]=[1]!phvny[time]), 0))</f>
        <v>1.5583502429415192</v>
      </c>
      <c r="Y536" s="60">
        <v>2.02</v>
      </c>
      <c r="Z536" s="60">
        <v>3.3</v>
      </c>
      <c r="AA536" s="60">
        <v>4.5599999999999996</v>
      </c>
      <c r="AB536" s="3">
        <v>1.91</v>
      </c>
      <c r="AC536" s="3">
        <v>3.24</v>
      </c>
      <c r="AD536" s="3">
        <v>4.47</v>
      </c>
      <c r="AE536" s="3">
        <v>1.94</v>
      </c>
      <c r="AF536" s="3">
        <v>3.27</v>
      </c>
      <c r="AG536" s="60">
        <v>4.5</v>
      </c>
      <c r="AH536" s="44">
        <v>1.91</v>
      </c>
      <c r="AI536" s="44">
        <v>3.24</v>
      </c>
      <c r="AJ536" s="44">
        <v>4.47</v>
      </c>
      <c r="AK536" s="45">
        <v>8.1300813008130106</v>
      </c>
      <c r="AL536" s="60">
        <v>10.17</v>
      </c>
      <c r="AM536" s="60">
        <v>10.14</v>
      </c>
      <c r="AN536" s="60">
        <v>10.32</v>
      </c>
      <c r="AO536" s="60">
        <v>10.28</v>
      </c>
      <c r="AP536" s="3">
        <v>10.14</v>
      </c>
      <c r="AQ536" s="47">
        <v>10.14</v>
      </c>
      <c r="AR536" s="47">
        <v>10.28</v>
      </c>
      <c r="AS536" s="3">
        <v>26.61</v>
      </c>
      <c r="AT536" s="3">
        <v>27.82</v>
      </c>
      <c r="AU536" s="3">
        <v>31.49</v>
      </c>
      <c r="AV536" s="3">
        <v>33.04</v>
      </c>
      <c r="AW536" s="3"/>
      <c r="AX536" s="48">
        <v>33.04</v>
      </c>
      <c r="AY536" s="3"/>
      <c r="AZ536" s="3"/>
      <c r="BA536" s="3"/>
      <c r="BB536" s="3"/>
      <c r="BC536" s="3">
        <v>320</v>
      </c>
      <c r="BD536" s="40">
        <v>1409.0139166934846</v>
      </c>
      <c r="BE536" s="40">
        <v>1369.8041728222433</v>
      </c>
      <c r="BF536" s="40"/>
      <c r="BG536" s="40">
        <v>643.78414103637101</v>
      </c>
      <c r="BH536" s="40">
        <v>623.25378414316287</v>
      </c>
      <c r="BI536" s="49">
        <v>2778.8180895157279</v>
      </c>
      <c r="BJ536" s="49">
        <v>1267.0379251795339</v>
      </c>
      <c r="BK536" s="66">
        <v>2.8624342551429427E-2</v>
      </c>
      <c r="BL536" s="66">
        <v>3.294060528077325E-2</v>
      </c>
      <c r="BM536" s="51">
        <v>45.930877512656657</v>
      </c>
      <c r="BN536" s="51">
        <v>20.942775622802213</v>
      </c>
      <c r="BO536" s="52">
        <v>365</v>
      </c>
      <c r="BP536" s="40">
        <v>365</v>
      </c>
      <c r="BQ536" s="40">
        <v>359</v>
      </c>
      <c r="BR536" s="67">
        <v>1.6713091922005541E-2</v>
      </c>
      <c r="BS536" s="54">
        <v>5.9834710743801649</v>
      </c>
      <c r="BT536" s="3">
        <v>176</v>
      </c>
      <c r="BU536" s="40">
        <v>172</v>
      </c>
      <c r="BV536" s="3">
        <v>132</v>
      </c>
      <c r="BW536" s="3">
        <v>132</v>
      </c>
      <c r="BX536" s="70">
        <v>2.3255813953488413E-2</v>
      </c>
      <c r="BY536" s="70">
        <v>0</v>
      </c>
      <c r="BZ536" s="59">
        <v>1.303030303030303</v>
      </c>
      <c r="CA536" s="59">
        <v>1.3333333333333333</v>
      </c>
      <c r="CB536" s="59">
        <v>2.4436694214876029</v>
      </c>
      <c r="CC536" s="59">
        <v>1.8538181818181816</v>
      </c>
      <c r="CD536" s="60">
        <v>110</v>
      </c>
      <c r="CE536" s="60">
        <v>83</v>
      </c>
      <c r="CF536" s="61">
        <v>1.8181818181818181</v>
      </c>
      <c r="CG536" s="61">
        <v>1.3719008264462811</v>
      </c>
      <c r="CH536" s="61">
        <v>0.75454545454545463</v>
      </c>
      <c r="CI536" s="41"/>
      <c r="CJ536" s="40"/>
      <c r="CK536" s="3" t="s">
        <v>193</v>
      </c>
      <c r="CL536" s="62"/>
      <c r="CM536" s="63" t="s">
        <v>110</v>
      </c>
      <c r="CN536" s="3">
        <v>176</v>
      </c>
      <c r="CO536" s="3">
        <v>132</v>
      </c>
      <c r="CP536" s="41">
        <v>15.816666666666666</v>
      </c>
      <c r="CQ536" s="3" t="s">
        <v>110</v>
      </c>
      <c r="CR536" s="40">
        <v>174</v>
      </c>
      <c r="CS536" s="40">
        <v>132</v>
      </c>
      <c r="CT536" s="40">
        <v>362</v>
      </c>
      <c r="CU536" s="40"/>
      <c r="CV536" s="40"/>
      <c r="CW536" s="40"/>
      <c r="CX536" s="40"/>
      <c r="CY536" s="40">
        <v>0</v>
      </c>
      <c r="CZ536" s="40"/>
      <c r="DA536" s="40"/>
    </row>
    <row r="537" spans="1:105" ht="18.75" customHeight="1">
      <c r="A537" s="3">
        <v>205</v>
      </c>
      <c r="B537" s="38" t="s">
        <v>103</v>
      </c>
      <c r="C537" s="3" t="s">
        <v>115</v>
      </c>
      <c r="D537" s="76" t="s">
        <v>215</v>
      </c>
      <c r="E537" s="39">
        <v>44819</v>
      </c>
      <c r="F537" s="3" t="s">
        <v>106</v>
      </c>
      <c r="G537" s="3" t="s">
        <v>122</v>
      </c>
      <c r="H537" s="3">
        <v>2006</v>
      </c>
      <c r="I537" s="40" t="s">
        <v>116</v>
      </c>
      <c r="J537" s="39" t="s">
        <v>157</v>
      </c>
      <c r="K537" s="3">
        <v>171.4</v>
      </c>
      <c r="L537" s="3">
        <v>171.6</v>
      </c>
      <c r="M537" s="3"/>
      <c r="N537" s="3">
        <v>146.19999999999999</v>
      </c>
      <c r="O537" s="3">
        <v>146.4</v>
      </c>
      <c r="P537" s="3"/>
      <c r="Q537" s="3">
        <v>84.7</v>
      </c>
      <c r="R537" s="3"/>
      <c r="S537" s="3"/>
      <c r="T537" s="42">
        <v>171.5</v>
      </c>
      <c r="U537" s="42">
        <f>AVERAGE(paper3[[#This Row],[Sittende høyde 1]:[Sittende høyde 3]])-56.2</f>
        <v>90.100000000000009</v>
      </c>
      <c r="V537" s="12">
        <f>paper3[[#This Row],[height]]-paper3[[#This Row],[sittingheight]]</f>
        <v>81.399999999999991</v>
      </c>
      <c r="W537" s="73">
        <v>84.7</v>
      </c>
      <c r="X537" s="43" cm="1">
        <f t="array" ref="X537">INDEX([1]!phvny[yphv], MATCH(1, (paper3[[#This Row],[id]]=[1]!phvny[id])*(paper3[[#This Row],[time]]=[1]!phvny[time]), 0))</f>
        <v>2.2503051722721121</v>
      </c>
      <c r="Y537" s="60">
        <v>1.97</v>
      </c>
      <c r="Z537" s="60">
        <v>3.37</v>
      </c>
      <c r="AA537" s="60">
        <v>4.71</v>
      </c>
      <c r="AB537" s="3">
        <v>1.91</v>
      </c>
      <c r="AC537" s="3">
        <v>3.34</v>
      </c>
      <c r="AD537" s="3">
        <v>4.66</v>
      </c>
      <c r="AE537" s="3">
        <v>2</v>
      </c>
      <c r="AF537" s="3">
        <v>3.44</v>
      </c>
      <c r="AG537" s="60">
        <v>4.8099999999999996</v>
      </c>
      <c r="AH537" s="44">
        <v>1.91</v>
      </c>
      <c r="AI537" s="44">
        <v>3.34</v>
      </c>
      <c r="AJ537" s="44">
        <v>4.66</v>
      </c>
      <c r="AK537" s="45">
        <v>7.5757575757575744</v>
      </c>
      <c r="AL537" s="60">
        <v>10.37</v>
      </c>
      <c r="AM537" s="60">
        <v>10.19</v>
      </c>
      <c r="AN537" s="60">
        <v>10.43</v>
      </c>
      <c r="AO537" s="60">
        <v>10.42</v>
      </c>
      <c r="AP537" s="3">
        <v>10.19</v>
      </c>
      <c r="AQ537" s="47">
        <v>10.19</v>
      </c>
      <c r="AR537" s="47">
        <v>10.42</v>
      </c>
      <c r="AS537" s="3">
        <v>30.95</v>
      </c>
      <c r="AT537" s="3">
        <v>35.11</v>
      </c>
      <c r="AU537" s="3">
        <v>30.28</v>
      </c>
      <c r="AV537" s="3">
        <v>29.69</v>
      </c>
      <c r="AW537" s="3"/>
      <c r="AX537" s="48">
        <v>35.11</v>
      </c>
      <c r="AY537" s="3"/>
      <c r="AZ537" s="3"/>
      <c r="BA537" s="3"/>
      <c r="BB537" s="3"/>
      <c r="BC537" s="3">
        <v>398</v>
      </c>
      <c r="BD537" s="40">
        <v>1684.8122404121682</v>
      </c>
      <c r="BE537" s="40">
        <v>1638.3879857286361</v>
      </c>
      <c r="BF537" s="40"/>
      <c r="BG537" s="40">
        <v>716.0205970645726</v>
      </c>
      <c r="BH537" s="40">
        <v>696.88851170826092</v>
      </c>
      <c r="BI537" s="49">
        <v>3323.2002261408043</v>
      </c>
      <c r="BJ537" s="49">
        <v>1412.9091087728334</v>
      </c>
      <c r="BK537" s="66">
        <v>2.8335324164920461E-2</v>
      </c>
      <c r="BL537" s="66">
        <v>2.7453581218341183E-2</v>
      </c>
      <c r="BM537" s="51">
        <v>39.234949541213744</v>
      </c>
      <c r="BN537" s="51">
        <v>16.681335404637938</v>
      </c>
      <c r="BO537" s="52"/>
      <c r="BP537" s="40"/>
      <c r="BQ537" s="40"/>
      <c r="BR537" s="136"/>
      <c r="BS537" s="54" t="s">
        <v>110</v>
      </c>
      <c r="BT537" s="3">
        <v>207</v>
      </c>
      <c r="BU537" s="40">
        <v>232</v>
      </c>
      <c r="BV537" s="3">
        <v>196</v>
      </c>
      <c r="BW537" s="3">
        <v>201</v>
      </c>
      <c r="BX537" s="70">
        <v>-0.10775862068965514</v>
      </c>
      <c r="BY537" s="70">
        <v>-2.4875621890547261E-2</v>
      </c>
      <c r="BZ537" s="59">
        <v>1.1542288557213931</v>
      </c>
      <c r="CA537" s="59">
        <v>1.0561224489795917</v>
      </c>
      <c r="CB537" s="59">
        <v>2.1094805194805195</v>
      </c>
      <c r="CC537" s="59">
        <v>1.9076623376623374</v>
      </c>
      <c r="CD537" s="60">
        <v>159</v>
      </c>
      <c r="CE537" s="60">
        <v>173</v>
      </c>
      <c r="CF537" s="61">
        <v>1.8772136953955134</v>
      </c>
      <c r="CG537" s="61">
        <v>2.0425029515938604</v>
      </c>
      <c r="CH537" s="61">
        <v>1.0880503144654088</v>
      </c>
      <c r="CI537" s="41"/>
      <c r="CJ537" s="40"/>
      <c r="CK537" s="3"/>
      <c r="CL537" s="62"/>
      <c r="CM537" s="63" t="s">
        <v>110</v>
      </c>
      <c r="CN537" s="3">
        <v>232</v>
      </c>
      <c r="CO537" s="3">
        <v>201</v>
      </c>
      <c r="CP537" s="41">
        <v>16.255555555555556</v>
      </c>
      <c r="CQ537" s="3" t="s">
        <v>110</v>
      </c>
      <c r="CR537" s="40">
        <v>219.5</v>
      </c>
      <c r="CS537" s="40">
        <v>198.5</v>
      </c>
      <c r="CT537" s="40" t="s">
        <v>110</v>
      </c>
      <c r="CU537" s="40"/>
      <c r="CV537" s="40"/>
      <c r="CW537" s="40"/>
      <c r="CX537" s="40"/>
      <c r="CY537" s="40">
        <v>0</v>
      </c>
      <c r="CZ537" s="40"/>
      <c r="DA537" s="40"/>
    </row>
    <row r="538" spans="1:105" ht="18.75" customHeight="1">
      <c r="A538" s="3">
        <v>213</v>
      </c>
      <c r="B538" s="38" t="s">
        <v>103</v>
      </c>
      <c r="C538" s="3" t="s">
        <v>115</v>
      </c>
      <c r="D538" s="76" t="s">
        <v>215</v>
      </c>
      <c r="E538" s="39">
        <v>44819</v>
      </c>
      <c r="F538" s="3" t="s">
        <v>106</v>
      </c>
      <c r="G538" s="3" t="s">
        <v>122</v>
      </c>
      <c r="H538" s="3">
        <v>2006</v>
      </c>
      <c r="I538" s="40" t="s">
        <v>116</v>
      </c>
      <c r="J538" s="39" t="s">
        <v>157</v>
      </c>
      <c r="K538" s="3">
        <v>184.5</v>
      </c>
      <c r="L538" s="3">
        <v>184.5</v>
      </c>
      <c r="M538" s="3"/>
      <c r="N538" s="3">
        <v>148.19999999999999</v>
      </c>
      <c r="O538" s="3">
        <v>148</v>
      </c>
      <c r="P538" s="3"/>
      <c r="Q538" s="3">
        <v>64.7</v>
      </c>
      <c r="R538" s="3"/>
      <c r="S538" s="3"/>
      <c r="T538" s="42">
        <v>184.5</v>
      </c>
      <c r="U538" s="42">
        <f>AVERAGE(paper3[[#This Row],[Sittende høyde 1]:[Sittende høyde 3]])-56.2</f>
        <v>91.899999999999991</v>
      </c>
      <c r="V538" s="12">
        <f>paper3[[#This Row],[height]]-paper3[[#This Row],[sittingheight]]</f>
        <v>92.600000000000009</v>
      </c>
      <c r="W538" s="73">
        <v>64.7</v>
      </c>
      <c r="X538" s="43" cm="1">
        <f t="array" ref="X538">INDEX([1]!phvny[yphv], MATCH(1, (paper3[[#This Row],[id]]=[1]!phvny[id])*(paper3[[#This Row],[time]]=[1]!phvny[time]), 0))</f>
        <v>2.3454590158617861</v>
      </c>
      <c r="Y538" s="60">
        <v>1.92</v>
      </c>
      <c r="Z538" s="60">
        <v>3.34</v>
      </c>
      <c r="AA538" s="60">
        <v>4.68</v>
      </c>
      <c r="AB538" s="3">
        <v>1.92</v>
      </c>
      <c r="AC538" s="3">
        <v>3.35</v>
      </c>
      <c r="AD538" s="3">
        <v>4.67</v>
      </c>
      <c r="AE538" s="3">
        <v>2</v>
      </c>
      <c r="AF538" s="3">
        <v>3.39</v>
      </c>
      <c r="AG538" s="60">
        <v>4.7300000000000004</v>
      </c>
      <c r="AH538" s="44">
        <v>1.92</v>
      </c>
      <c r="AI538" s="44">
        <v>3.34</v>
      </c>
      <c r="AJ538" s="44">
        <v>4.67</v>
      </c>
      <c r="AK538" s="45">
        <v>7.518796992481203</v>
      </c>
      <c r="AL538" s="60">
        <v>10.17</v>
      </c>
      <c r="AM538" s="60">
        <v>10.27</v>
      </c>
      <c r="AN538" s="60">
        <v>10.35</v>
      </c>
      <c r="AO538" s="60">
        <v>10.24</v>
      </c>
      <c r="AP538" s="3">
        <v>10.17</v>
      </c>
      <c r="AQ538" s="47">
        <v>10.17</v>
      </c>
      <c r="AR538" s="47">
        <v>10.24</v>
      </c>
      <c r="AS538" s="3">
        <v>25.65</v>
      </c>
      <c r="AT538" s="3">
        <v>28.61</v>
      </c>
      <c r="AU538" s="3">
        <v>26.09</v>
      </c>
      <c r="AV538" s="3"/>
      <c r="AW538" s="3"/>
      <c r="AX538" s="48">
        <v>28.61</v>
      </c>
      <c r="AY538" s="3"/>
      <c r="AZ538" s="3"/>
      <c r="BA538" s="3"/>
      <c r="BB538" s="3"/>
      <c r="BC538" s="3"/>
      <c r="BD538" s="40"/>
      <c r="BE538" s="40"/>
      <c r="BF538" s="40"/>
      <c r="BG538" s="40"/>
      <c r="BH538" s="40"/>
      <c r="BI538" s="49"/>
      <c r="BJ538" s="49"/>
      <c r="BK538" s="66"/>
      <c r="BL538" s="66"/>
      <c r="BM538" s="51"/>
      <c r="BN538" s="51"/>
      <c r="BO538" s="52"/>
      <c r="BP538" s="40"/>
      <c r="BQ538" s="40"/>
      <c r="BR538" s="136"/>
      <c r="BS538" s="54" t="s">
        <v>110</v>
      </c>
      <c r="BT538" s="3"/>
      <c r="BU538" s="40"/>
      <c r="BV538" s="3"/>
      <c r="BW538" s="3"/>
      <c r="BX538" s="70"/>
      <c r="BY538" s="70"/>
      <c r="BZ538" s="59"/>
      <c r="CA538" s="59"/>
      <c r="CB538" s="59" t="s">
        <v>110</v>
      </c>
      <c r="CC538" s="59" t="s">
        <v>110</v>
      </c>
      <c r="CD538" s="60"/>
      <c r="CE538" s="60"/>
      <c r="CF538" s="61"/>
      <c r="CG538" s="61"/>
      <c r="CH538" s="61"/>
      <c r="CI538" s="41"/>
      <c r="CJ538" s="40"/>
      <c r="CK538" s="3"/>
      <c r="CL538" s="62"/>
      <c r="CM538" s="63" t="s">
        <v>110</v>
      </c>
      <c r="CN538" s="3"/>
      <c r="CO538" s="3"/>
      <c r="CP538" s="41">
        <v>16.641666666666666</v>
      </c>
      <c r="CQ538" s="3" t="s">
        <v>110</v>
      </c>
      <c r="CR538" s="40" t="s">
        <v>110</v>
      </c>
      <c r="CS538" s="40" t="s">
        <v>110</v>
      </c>
      <c r="CT538" s="40" t="s">
        <v>110</v>
      </c>
      <c r="CU538" s="40"/>
      <c r="CV538" s="40"/>
      <c r="CW538" s="40"/>
      <c r="CX538" s="40"/>
      <c r="CY538" s="40">
        <v>0</v>
      </c>
      <c r="CZ538" s="40"/>
      <c r="DA538" s="40"/>
    </row>
    <row r="539" spans="1:105" ht="18.75" customHeight="1">
      <c r="A539" s="3">
        <v>214</v>
      </c>
      <c r="B539" s="38" t="s">
        <v>103</v>
      </c>
      <c r="C539" s="3" t="s">
        <v>115</v>
      </c>
      <c r="D539" s="76" t="s">
        <v>215</v>
      </c>
      <c r="E539" s="39">
        <v>44819</v>
      </c>
      <c r="F539" s="3" t="s">
        <v>106</v>
      </c>
      <c r="G539" s="3" t="s">
        <v>122</v>
      </c>
      <c r="H539" s="3">
        <v>2006</v>
      </c>
      <c r="I539" s="40" t="s">
        <v>116</v>
      </c>
      <c r="J539" s="39" t="s">
        <v>157</v>
      </c>
      <c r="K539" s="3"/>
      <c r="L539" s="3"/>
      <c r="M539" s="3"/>
      <c r="N539" s="3"/>
      <c r="O539" s="3"/>
      <c r="P539" s="3"/>
      <c r="Q539" s="3"/>
      <c r="R539" s="3"/>
      <c r="S539" s="3"/>
      <c r="T539" s="42"/>
      <c r="U539" s="42"/>
      <c r="V539" s="12"/>
      <c r="W539" s="73"/>
      <c r="X539" s="43"/>
      <c r="Y539" s="60"/>
      <c r="Z539" s="60"/>
      <c r="AA539" s="60"/>
      <c r="AB539" s="3"/>
      <c r="AC539" s="3"/>
      <c r="AD539" s="3"/>
      <c r="AE539" s="3"/>
      <c r="AF539" s="3"/>
      <c r="AG539" s="60"/>
      <c r="AH539" s="44"/>
      <c r="AI539" s="44"/>
      <c r="AJ539" s="44"/>
      <c r="AK539" s="45"/>
      <c r="AL539" s="60"/>
      <c r="AM539" s="60"/>
      <c r="AN539" s="60"/>
      <c r="AO539" s="60"/>
      <c r="AP539" s="3"/>
      <c r="AQ539" s="47"/>
      <c r="AR539" s="47"/>
      <c r="AS539" s="3"/>
      <c r="AT539" s="3"/>
      <c r="AU539" s="3"/>
      <c r="AV539" s="3"/>
      <c r="AW539" s="3"/>
      <c r="AX539" s="48"/>
      <c r="AY539" s="3"/>
      <c r="AZ539" s="3"/>
      <c r="BA539" s="3"/>
      <c r="BB539" s="3"/>
      <c r="BC539" s="3"/>
      <c r="BD539" s="40"/>
      <c r="BE539" s="40"/>
      <c r="BF539" s="40"/>
      <c r="BG539" s="40"/>
      <c r="BH539" s="40"/>
      <c r="BI539" s="49"/>
      <c r="BJ539" s="49"/>
      <c r="BK539" s="66"/>
      <c r="BL539" s="66"/>
      <c r="BM539" s="51"/>
      <c r="BN539" s="51"/>
      <c r="BO539" s="52"/>
      <c r="BP539" s="40"/>
      <c r="BQ539" s="40"/>
      <c r="BR539" s="67"/>
      <c r="BS539" s="54" t="s">
        <v>110</v>
      </c>
      <c r="BT539" s="3"/>
      <c r="BU539" s="40"/>
      <c r="BV539" s="3"/>
      <c r="BW539" s="3"/>
      <c r="BX539" s="70"/>
      <c r="BY539" s="70"/>
      <c r="BZ539" s="59"/>
      <c r="CA539" s="59"/>
      <c r="CB539" s="59" t="s">
        <v>110</v>
      </c>
      <c r="CC539" s="59" t="s">
        <v>110</v>
      </c>
      <c r="CD539" s="60"/>
      <c r="CE539" s="60"/>
      <c r="CF539" s="61"/>
      <c r="CG539" s="61"/>
      <c r="CH539" s="61"/>
      <c r="CI539" s="41">
        <v>15.6</v>
      </c>
      <c r="CJ539" s="40">
        <f>VLOOKUP(paper3[[#This Row],[YYIR nivå]],$DB:$DC,2)</f>
        <v>1000</v>
      </c>
      <c r="CK539" s="3" t="s">
        <v>193</v>
      </c>
      <c r="CL539" s="62"/>
      <c r="CM539" s="63" t="s">
        <v>110</v>
      </c>
      <c r="CN539" s="3"/>
      <c r="CO539" s="3"/>
      <c r="CP539" s="41">
        <v>16.074999999999999</v>
      </c>
      <c r="CQ539" s="3" t="s">
        <v>110</v>
      </c>
      <c r="CR539" s="40" t="s">
        <v>110</v>
      </c>
      <c r="CS539" s="40" t="s">
        <v>110</v>
      </c>
      <c r="CT539" s="40" t="s">
        <v>110</v>
      </c>
      <c r="CU539" s="40"/>
      <c r="CV539" s="40"/>
      <c r="CW539" s="40"/>
      <c r="CX539" s="40"/>
      <c r="CY539" s="40">
        <v>0</v>
      </c>
      <c r="CZ539" s="40"/>
      <c r="DA539" s="40"/>
    </row>
    <row r="540" spans="1:105" ht="18.75" customHeight="1">
      <c r="A540" s="3">
        <v>215</v>
      </c>
      <c r="B540" s="38" t="s">
        <v>103</v>
      </c>
      <c r="C540" s="3" t="s">
        <v>115</v>
      </c>
      <c r="D540" s="76" t="s">
        <v>215</v>
      </c>
      <c r="E540" s="39">
        <v>44819</v>
      </c>
      <c r="F540" s="3" t="s">
        <v>106</v>
      </c>
      <c r="G540" s="3" t="s">
        <v>122</v>
      </c>
      <c r="H540" s="3">
        <v>2006</v>
      </c>
      <c r="I540" s="40" t="s">
        <v>116</v>
      </c>
      <c r="J540" s="39" t="s">
        <v>157</v>
      </c>
      <c r="K540" s="3">
        <v>176.5</v>
      </c>
      <c r="L540" s="3">
        <v>176.1</v>
      </c>
      <c r="M540" s="3">
        <v>176.5</v>
      </c>
      <c r="N540" s="3">
        <v>142.9</v>
      </c>
      <c r="O540" s="3">
        <v>143.19999999999999</v>
      </c>
      <c r="P540" s="3">
        <v>143.1</v>
      </c>
      <c r="Q540" s="3">
        <v>59.5</v>
      </c>
      <c r="R540" s="3"/>
      <c r="S540" s="3"/>
      <c r="T540" s="42">
        <v>176.36666666666667</v>
      </c>
      <c r="U540" s="42">
        <f>AVERAGE(paper3[[#This Row],[Sittende høyde 1]:[Sittende høyde 3]])-56.2</f>
        <v>86.866666666666688</v>
      </c>
      <c r="V540" s="12">
        <f>paper3[[#This Row],[height]]-paper3[[#This Row],[sittingheight]]</f>
        <v>89.499999999999986</v>
      </c>
      <c r="W540" s="73">
        <v>59.5</v>
      </c>
      <c r="X540" s="43" cm="1">
        <f t="array" ref="X540">INDEX([1]!phvny[yphv], MATCH(1, (paper3[[#This Row],[id]]=[1]!phvny[id])*(paper3[[#This Row],[time]]=[1]!phvny[time]), 0))</f>
        <v>1.3541880554635775</v>
      </c>
      <c r="Y540" s="60">
        <v>2.15</v>
      </c>
      <c r="Z540" s="60">
        <v>3.65</v>
      </c>
      <c r="AA540" s="60">
        <v>5.05</v>
      </c>
      <c r="AB540" s="3">
        <v>2.14</v>
      </c>
      <c r="AC540" s="3">
        <v>3.6</v>
      </c>
      <c r="AD540" s="3">
        <v>5</v>
      </c>
      <c r="AE540" s="3">
        <v>2.1</v>
      </c>
      <c r="AF540" s="3">
        <v>3.56</v>
      </c>
      <c r="AG540" s="60">
        <v>4.97</v>
      </c>
      <c r="AH540" s="44">
        <v>2.1</v>
      </c>
      <c r="AI540" s="44">
        <v>3.56</v>
      </c>
      <c r="AJ540" s="44">
        <v>4.97</v>
      </c>
      <c r="AK540" s="45">
        <v>7.092198581560285</v>
      </c>
      <c r="AL540" s="60">
        <v>10.35</v>
      </c>
      <c r="AM540" s="60">
        <v>10.6</v>
      </c>
      <c r="AN540" s="60">
        <v>10.58</v>
      </c>
      <c r="AO540" s="60">
        <v>10.31</v>
      </c>
      <c r="AP540" s="3">
        <v>10.31</v>
      </c>
      <c r="AQ540" s="47">
        <v>10.35</v>
      </c>
      <c r="AR540" s="47">
        <v>10.31</v>
      </c>
      <c r="AS540" s="3">
        <v>26.98</v>
      </c>
      <c r="AT540" s="3">
        <v>26.92</v>
      </c>
      <c r="AU540" s="3">
        <v>30.28</v>
      </c>
      <c r="AV540" s="3">
        <v>25.18</v>
      </c>
      <c r="AW540" s="3"/>
      <c r="AX540" s="48">
        <v>30.28</v>
      </c>
      <c r="AY540" s="3"/>
      <c r="AZ540" s="3"/>
      <c r="BA540" s="3"/>
      <c r="BB540" s="3"/>
      <c r="BC540" s="3">
        <v>219</v>
      </c>
      <c r="BD540" s="40">
        <v>821.44017753961498</v>
      </c>
      <c r="BE540" s="40">
        <v>850.19938057029663</v>
      </c>
      <c r="BF540" s="40"/>
      <c r="BG540" s="40">
        <v>296.0163787373973</v>
      </c>
      <c r="BH540" s="40">
        <v>281.38260105448154</v>
      </c>
      <c r="BI540" s="49">
        <v>1671.6395581099116</v>
      </c>
      <c r="BJ540" s="49">
        <v>577.3989797918789</v>
      </c>
      <c r="BK540" s="66">
        <v>-3.3826421999261558E-2</v>
      </c>
      <c r="BL540" s="66">
        <v>5.2006689923526528E-2</v>
      </c>
      <c r="BM540" s="51">
        <v>28.094782489242213</v>
      </c>
      <c r="BN540" s="51">
        <v>9.7041845343172923</v>
      </c>
      <c r="BO540" s="52">
        <v>353</v>
      </c>
      <c r="BP540" s="40">
        <v>353</v>
      </c>
      <c r="BQ540" s="40">
        <v>326</v>
      </c>
      <c r="BR540" s="67">
        <v>8.2822085889570518E-2</v>
      </c>
      <c r="BS540" s="54">
        <v>5.7058823529411766</v>
      </c>
      <c r="BT540" s="3">
        <v>121</v>
      </c>
      <c r="BU540" s="40">
        <v>121</v>
      </c>
      <c r="BV540" s="3">
        <v>122</v>
      </c>
      <c r="BW540" s="3">
        <v>122</v>
      </c>
      <c r="BX540" s="70">
        <v>0</v>
      </c>
      <c r="BY540" s="70">
        <v>0</v>
      </c>
      <c r="BZ540" s="59">
        <v>0.99180327868852458</v>
      </c>
      <c r="CA540" s="59">
        <v>0.99180327868852458</v>
      </c>
      <c r="CB540" s="59">
        <v>1.8200840336134452</v>
      </c>
      <c r="CC540" s="59">
        <v>1.8351260504201679</v>
      </c>
      <c r="CD540" s="60">
        <v>98</v>
      </c>
      <c r="CE540" s="60">
        <v>89</v>
      </c>
      <c r="CF540" s="61">
        <v>1.6470588235294117</v>
      </c>
      <c r="CG540" s="61">
        <v>1.4957983193277311</v>
      </c>
      <c r="CH540" s="61">
        <v>0.90816326530612246</v>
      </c>
      <c r="CI540" s="41"/>
      <c r="CJ540" s="40"/>
      <c r="CK540" s="3"/>
      <c r="CL540" s="62"/>
      <c r="CM540" s="63" t="s">
        <v>110</v>
      </c>
      <c r="CN540" s="3">
        <v>121</v>
      </c>
      <c r="CO540" s="3">
        <v>122</v>
      </c>
      <c r="CP540" s="41">
        <v>16.133333333333333</v>
      </c>
      <c r="CQ540" s="3" t="s">
        <v>110</v>
      </c>
      <c r="CR540" s="40">
        <v>121</v>
      </c>
      <c r="CS540" s="40">
        <v>122</v>
      </c>
      <c r="CT540" s="40">
        <v>339.5</v>
      </c>
      <c r="CU540" s="40"/>
      <c r="CV540" s="40"/>
      <c r="CW540" s="40"/>
      <c r="CX540" s="40"/>
      <c r="CY540" s="40">
        <v>0</v>
      </c>
      <c r="CZ540" s="40"/>
      <c r="DA540" s="40"/>
    </row>
    <row r="541" spans="1:105" ht="18.75" customHeight="1">
      <c r="A541" s="3">
        <v>217</v>
      </c>
      <c r="B541" s="38" t="s">
        <v>103</v>
      </c>
      <c r="C541" s="3" t="s">
        <v>115</v>
      </c>
      <c r="D541" s="76" t="s">
        <v>215</v>
      </c>
      <c r="E541" s="39">
        <v>44819</v>
      </c>
      <c r="F541" s="3" t="s">
        <v>106</v>
      </c>
      <c r="G541" s="3" t="s">
        <v>122</v>
      </c>
      <c r="H541" s="3">
        <v>2006</v>
      </c>
      <c r="I541" s="40" t="s">
        <v>116</v>
      </c>
      <c r="J541" s="39" t="s">
        <v>157</v>
      </c>
      <c r="K541" s="3">
        <v>181.8</v>
      </c>
      <c r="L541" s="3">
        <v>181.4</v>
      </c>
      <c r="M541" s="3">
        <v>181.4</v>
      </c>
      <c r="N541" s="3">
        <v>145.5</v>
      </c>
      <c r="O541" s="3">
        <v>145.30000000000001</v>
      </c>
      <c r="P541" s="3"/>
      <c r="Q541" s="3">
        <v>68.099999999999994</v>
      </c>
      <c r="R541" s="3"/>
      <c r="S541" s="3"/>
      <c r="T541" s="42">
        <v>181.53333333333333</v>
      </c>
      <c r="U541" s="42">
        <f>AVERAGE(paper3[[#This Row],[Sittende høyde 1]:[Sittende høyde 3]])-56.2</f>
        <v>89.2</v>
      </c>
      <c r="V541" s="12">
        <f>paper3[[#This Row],[height]]-paper3[[#This Row],[sittingheight]]</f>
        <v>92.333333333333329</v>
      </c>
      <c r="W541" s="73">
        <v>68.099999999999994</v>
      </c>
      <c r="X541" s="43" cm="1">
        <f t="array" ref="X541">INDEX([1]!phvny[yphv], MATCH(1, (paper3[[#This Row],[id]]=[1]!phvny[id])*(paper3[[#This Row],[time]]=[1]!phvny[time]), 0))</f>
        <v>1.691946110620842</v>
      </c>
      <c r="Y541" s="60">
        <v>2.0099999999999998</v>
      </c>
      <c r="Z541" s="60">
        <v>3.4</v>
      </c>
      <c r="AA541" s="60">
        <v>4.71</v>
      </c>
      <c r="AB541" s="3">
        <v>2.04</v>
      </c>
      <c r="AC541" s="3">
        <v>3.44</v>
      </c>
      <c r="AD541" s="3">
        <v>4.7699999999999996</v>
      </c>
      <c r="AE541" s="3">
        <v>1.95</v>
      </c>
      <c r="AF541" s="3">
        <v>3.35</v>
      </c>
      <c r="AG541" s="60">
        <v>4.6900000000000004</v>
      </c>
      <c r="AH541" s="44">
        <v>1.95</v>
      </c>
      <c r="AI541" s="44">
        <v>3.35</v>
      </c>
      <c r="AJ541" s="44">
        <v>4.6900000000000004</v>
      </c>
      <c r="AK541" s="45">
        <v>7.4626865671641776</v>
      </c>
      <c r="AL541" s="60">
        <v>10.130000000000001</v>
      </c>
      <c r="AM541" s="60"/>
      <c r="AN541" s="60">
        <v>10.28</v>
      </c>
      <c r="AO541" s="60">
        <v>10.199999999999999</v>
      </c>
      <c r="AP541" s="3">
        <v>10.130000000000001</v>
      </c>
      <c r="AQ541" s="47">
        <v>10.130000000000001</v>
      </c>
      <c r="AR541" s="47">
        <v>10.199999999999999</v>
      </c>
      <c r="AS541" s="3">
        <v>28.1</v>
      </c>
      <c r="AT541" s="3">
        <v>30.44</v>
      </c>
      <c r="AU541" s="3">
        <v>27.41</v>
      </c>
      <c r="AV541" s="3"/>
      <c r="AW541" s="3"/>
      <c r="AX541" s="48">
        <v>30.44</v>
      </c>
      <c r="AY541" s="3"/>
      <c r="AZ541" s="3"/>
      <c r="BA541" s="3"/>
      <c r="BB541" s="3"/>
      <c r="BC541" s="3">
        <v>370</v>
      </c>
      <c r="BD541" s="40">
        <v>1390.2849862285357</v>
      </c>
      <c r="BE541" s="40">
        <v>1369.3694071213995</v>
      </c>
      <c r="BF541" s="40"/>
      <c r="BG541" s="40">
        <v>624.29956230815606</v>
      </c>
      <c r="BH541" s="40">
        <v>643.29201213001159</v>
      </c>
      <c r="BI541" s="49">
        <v>2759.6543933499352</v>
      </c>
      <c r="BJ541" s="49">
        <v>1267.5915744381678</v>
      </c>
      <c r="BK541" s="66">
        <v>1.5273876426890265E-2</v>
      </c>
      <c r="BL541" s="66">
        <v>-2.9523839040017652E-2</v>
      </c>
      <c r="BM541" s="51">
        <v>40.523559373714178</v>
      </c>
      <c r="BN541" s="51">
        <v>18.613679507168396</v>
      </c>
      <c r="BO541" s="52">
        <v>399</v>
      </c>
      <c r="BP541" s="40">
        <v>356</v>
      </c>
      <c r="BQ541" s="40">
        <v>399</v>
      </c>
      <c r="BR541" s="67">
        <v>-0.10776942355889729</v>
      </c>
      <c r="BS541" s="54">
        <v>5.5433186490455215</v>
      </c>
      <c r="BT541" s="3">
        <v>205</v>
      </c>
      <c r="BU541" s="40">
        <v>229</v>
      </c>
      <c r="BV541" s="3">
        <v>157</v>
      </c>
      <c r="BW541" s="3">
        <v>149</v>
      </c>
      <c r="BX541" s="70">
        <v>-0.10480349344978168</v>
      </c>
      <c r="BY541" s="70">
        <v>5.3691275167785157E-2</v>
      </c>
      <c r="BZ541" s="59">
        <v>1.5369127516778522</v>
      </c>
      <c r="CA541" s="59">
        <v>1.3057324840764331</v>
      </c>
      <c r="CB541" s="59">
        <v>2.9421928536465987</v>
      </c>
      <c r="CC541" s="59">
        <v>2.0744493392070487</v>
      </c>
      <c r="CD541" s="60">
        <v>117</v>
      </c>
      <c r="CE541" s="60">
        <v>83</v>
      </c>
      <c r="CF541" s="61">
        <v>1.7180616740088108</v>
      </c>
      <c r="CG541" s="61">
        <v>1.2187958883994128</v>
      </c>
      <c r="CH541" s="61">
        <v>0.70940170940170943</v>
      </c>
      <c r="CI541" s="41">
        <v>16.600000000000001</v>
      </c>
      <c r="CJ541" s="40">
        <f>VLOOKUP(paper3[[#This Row],[YYIR nivå]],$DB:$DC,2)</f>
        <v>1320</v>
      </c>
      <c r="CK541" s="3"/>
      <c r="CL541" s="62"/>
      <c r="CM541" s="63" t="s">
        <v>110</v>
      </c>
      <c r="CN541" s="3">
        <v>229</v>
      </c>
      <c r="CO541" s="3">
        <v>157</v>
      </c>
      <c r="CP541" s="41">
        <v>15.991666666666667</v>
      </c>
      <c r="CQ541" s="3" t="s">
        <v>110</v>
      </c>
      <c r="CR541" s="40">
        <v>217</v>
      </c>
      <c r="CS541" s="40">
        <v>153</v>
      </c>
      <c r="CT541" s="40">
        <v>377.5</v>
      </c>
      <c r="CU541" s="40"/>
      <c r="CV541" s="40"/>
      <c r="CW541" s="40"/>
      <c r="CX541" s="40"/>
      <c r="CY541" s="40">
        <v>0</v>
      </c>
      <c r="CZ541" s="40"/>
      <c r="DA541" s="40"/>
    </row>
    <row r="542" spans="1:105" ht="18.75" customHeight="1">
      <c r="A542" s="3">
        <v>221</v>
      </c>
      <c r="B542" s="38" t="s">
        <v>103</v>
      </c>
      <c r="C542" s="3" t="s">
        <v>104</v>
      </c>
      <c r="D542" s="3" t="s">
        <v>215</v>
      </c>
      <c r="E542" s="39">
        <v>44826</v>
      </c>
      <c r="F542" s="3" t="s">
        <v>106</v>
      </c>
      <c r="G542" s="3" t="s">
        <v>122</v>
      </c>
      <c r="H542" s="3">
        <v>2008</v>
      </c>
      <c r="I542" s="40" t="s">
        <v>108</v>
      </c>
      <c r="J542" s="39" t="s">
        <v>123</v>
      </c>
      <c r="K542" s="3">
        <v>162.19999999999999</v>
      </c>
      <c r="L542" s="3">
        <v>162</v>
      </c>
      <c r="M542" s="3"/>
      <c r="N542" s="3">
        <v>135.19999999999999</v>
      </c>
      <c r="O542" s="3">
        <v>135.5</v>
      </c>
      <c r="P542" s="3">
        <v>136.69999999999999</v>
      </c>
      <c r="Q542" s="3">
        <v>48.9</v>
      </c>
      <c r="R542" s="3"/>
      <c r="S542" s="3"/>
      <c r="T542" s="42">
        <v>162.1</v>
      </c>
      <c r="U542" s="42">
        <f>AVERAGE(paper3[[#This Row],[Sittende høyde 1]:[Sittende høyde 3]])-56.2</f>
        <v>79.59999999999998</v>
      </c>
      <c r="V542" s="12">
        <f>paper3[[#This Row],[height]]-paper3[[#This Row],[sittingheight]]</f>
        <v>82.500000000000014</v>
      </c>
      <c r="W542" s="73">
        <v>48.9</v>
      </c>
      <c r="X542" s="43" cm="1">
        <f t="array" ref="X542">INDEX([1]!phvny[yphv], MATCH(1, (paper3[[#This Row],[id]]=[1]!phvny[id])*(paper3[[#This Row],[time]]=[1]!phvny[time]), 0))</f>
        <v>-0.35645815712557771</v>
      </c>
      <c r="Y542" s="3">
        <v>2.09</v>
      </c>
      <c r="Z542" s="3">
        <v>3.5</v>
      </c>
      <c r="AA542" s="3">
        <v>4.83</v>
      </c>
      <c r="AB542" s="3">
        <v>1.87</v>
      </c>
      <c r="AC542" s="3">
        <v>3.26</v>
      </c>
      <c r="AD542" s="3">
        <v>4.6100000000000003</v>
      </c>
      <c r="AE542" s="3">
        <v>2.11</v>
      </c>
      <c r="AF542" s="3">
        <v>3.52</v>
      </c>
      <c r="AG542" s="3">
        <v>4.8899999999999997</v>
      </c>
      <c r="AH542" s="44">
        <v>1.87</v>
      </c>
      <c r="AI542" s="44">
        <v>3.26</v>
      </c>
      <c r="AJ542" s="44">
        <v>4.6100000000000003</v>
      </c>
      <c r="AK542" s="45">
        <v>7.4074074074074048</v>
      </c>
      <c r="AL542" s="3"/>
      <c r="AM542" s="3">
        <v>10.23</v>
      </c>
      <c r="AN542" s="3">
        <v>10.29</v>
      </c>
      <c r="AO542" s="3">
        <v>10.199999999999999</v>
      </c>
      <c r="AP542" s="3">
        <v>10.199999999999999</v>
      </c>
      <c r="AQ542" s="47">
        <v>10.23</v>
      </c>
      <c r="AR542" s="47">
        <v>10.199999999999999</v>
      </c>
      <c r="AS542" s="3">
        <v>31.1</v>
      </c>
      <c r="AT542" s="3">
        <v>31.46</v>
      </c>
      <c r="AU542" s="3">
        <v>27.6</v>
      </c>
      <c r="AV542" s="3"/>
      <c r="AW542" s="3"/>
      <c r="AX542" s="48">
        <v>31.46</v>
      </c>
      <c r="AY542" s="71"/>
      <c r="AZ542" s="3"/>
      <c r="BA542" s="3"/>
      <c r="BB542" s="3"/>
      <c r="BC542" s="3">
        <v>221</v>
      </c>
      <c r="BD542" s="40">
        <v>949.83774538008129</v>
      </c>
      <c r="BE542" s="40">
        <v>1019.3291967906109</v>
      </c>
      <c r="BF542" s="40"/>
      <c r="BG542" s="40">
        <v>422.38311023581764</v>
      </c>
      <c r="BH542" s="40">
        <v>438.20461467058925</v>
      </c>
      <c r="BI542" s="49">
        <v>1969.1669421706922</v>
      </c>
      <c r="BJ542" s="49">
        <v>860.58772490640695</v>
      </c>
      <c r="BK542" s="66">
        <v>-6.8173708385206311E-2</v>
      </c>
      <c r="BL542" s="66">
        <v>-3.6105289412949437E-2</v>
      </c>
      <c r="BM542" s="51">
        <v>40.269262621077552</v>
      </c>
      <c r="BN542" s="51">
        <v>17.598930979681125</v>
      </c>
      <c r="BO542" s="52">
        <v>262</v>
      </c>
      <c r="BP542" s="40">
        <v>262</v>
      </c>
      <c r="BQ542" s="40">
        <v>256</v>
      </c>
      <c r="BR542" s="67">
        <v>2.34375E-2</v>
      </c>
      <c r="BS542" s="54">
        <v>5.296523517382413</v>
      </c>
      <c r="BT542" s="3">
        <v>113</v>
      </c>
      <c r="BU542" s="40">
        <v>105</v>
      </c>
      <c r="BV542" s="3">
        <v>101</v>
      </c>
      <c r="BW542" s="3">
        <v>101</v>
      </c>
      <c r="BX542" s="70">
        <v>7.6190476190476142E-2</v>
      </c>
      <c r="BY542" s="70">
        <v>0</v>
      </c>
      <c r="BZ542" s="59">
        <v>1.0396039603960396</v>
      </c>
      <c r="CA542" s="59">
        <v>1.1188118811881189</v>
      </c>
      <c r="CB542" s="59">
        <v>1.8389570552147245</v>
      </c>
      <c r="CC542" s="59">
        <v>1.7039877300613502</v>
      </c>
      <c r="CD542" s="60">
        <v>127</v>
      </c>
      <c r="CE542" s="60">
        <v>150</v>
      </c>
      <c r="CF542" s="61">
        <v>2.5971370143149284</v>
      </c>
      <c r="CG542" s="61">
        <v>3.0674846625766872</v>
      </c>
      <c r="CH542" s="61">
        <v>1.1811023622047245</v>
      </c>
      <c r="CI542" s="41">
        <v>18.3</v>
      </c>
      <c r="CJ542" s="40">
        <f>VLOOKUP(paper3[[#This Row],[YYIR nivå]],$DB:$DC,2)</f>
        <v>1840</v>
      </c>
      <c r="CK542" s="3" t="s">
        <v>190</v>
      </c>
      <c r="CL542" s="114">
        <v>36113</v>
      </c>
      <c r="CM542" s="115">
        <v>36.113</v>
      </c>
      <c r="CN542" s="3">
        <v>113</v>
      </c>
      <c r="CO542" s="3">
        <v>101</v>
      </c>
      <c r="CP542" s="41">
        <v>14.66</v>
      </c>
      <c r="CQ542" s="3" t="s">
        <v>221</v>
      </c>
      <c r="CR542" s="40">
        <v>109</v>
      </c>
      <c r="CS542" s="40">
        <v>101</v>
      </c>
      <c r="CT542" s="40">
        <v>259</v>
      </c>
      <c r="CU542" s="40"/>
      <c r="CV542" s="40"/>
      <c r="CW542" s="40"/>
      <c r="CX542" s="40"/>
      <c r="CY542" s="40">
        <v>0</v>
      </c>
      <c r="CZ542" s="40"/>
      <c r="DA542" s="40"/>
    </row>
    <row r="543" spans="1:105" ht="18.75" customHeight="1">
      <c r="A543" s="3">
        <v>225</v>
      </c>
      <c r="B543" s="38" t="s">
        <v>103</v>
      </c>
      <c r="C543" s="3" t="s">
        <v>115</v>
      </c>
      <c r="D543" s="3" t="s">
        <v>215</v>
      </c>
      <c r="E543" s="39">
        <v>44833</v>
      </c>
      <c r="F543" s="3" t="s">
        <v>106</v>
      </c>
      <c r="G543" s="3" t="s">
        <v>107</v>
      </c>
      <c r="H543" s="3">
        <v>2008</v>
      </c>
      <c r="I543" s="40" t="s">
        <v>108</v>
      </c>
      <c r="J543" s="39" t="s">
        <v>109</v>
      </c>
      <c r="K543" s="3">
        <v>158.69999999999999</v>
      </c>
      <c r="L543" s="3">
        <v>158.9</v>
      </c>
      <c r="M543" s="3"/>
      <c r="N543" s="3">
        <v>136.5</v>
      </c>
      <c r="O543" s="3">
        <v>136.5</v>
      </c>
      <c r="P543" s="3"/>
      <c r="Q543" s="3">
        <v>42.3</v>
      </c>
      <c r="R543" s="3"/>
      <c r="S543" s="3"/>
      <c r="T543" s="42">
        <v>158.80000000000001</v>
      </c>
      <c r="U543" s="42">
        <f>AVERAGE(paper3[[#This Row],[Sittende høyde 1]:[Sittende høyde 3]])-56.2</f>
        <v>80.3</v>
      </c>
      <c r="V543" s="12">
        <f>paper3[[#This Row],[height]]-paper3[[#This Row],[sittingheight]]</f>
        <v>78.500000000000014</v>
      </c>
      <c r="W543" s="73">
        <v>42.3</v>
      </c>
      <c r="X543" s="43" cm="1">
        <f t="array" ref="X543">INDEX([1]!phvny[yphv], MATCH(1, (paper3[[#This Row],[id]]=[1]!phvny[id])*(paper3[[#This Row],[time]]=[1]!phvny[time]), 0))</f>
        <v>1.5843574199510231</v>
      </c>
      <c r="Y543" s="3">
        <v>2.23</v>
      </c>
      <c r="Z543" s="3">
        <v>3.84</v>
      </c>
      <c r="AA543" s="3">
        <v>5.44</v>
      </c>
      <c r="AB543" s="3">
        <v>2.36</v>
      </c>
      <c r="AC543" s="3">
        <v>4.07</v>
      </c>
      <c r="AD543" s="3">
        <v>5.73</v>
      </c>
      <c r="AE543" s="3">
        <v>2.3199999999999998</v>
      </c>
      <c r="AF543" s="3">
        <v>4.03</v>
      </c>
      <c r="AG543" s="3">
        <v>5.64</v>
      </c>
      <c r="AH543" s="44">
        <v>2.23</v>
      </c>
      <c r="AI543" s="44">
        <v>3.84</v>
      </c>
      <c r="AJ543" s="44">
        <v>5.44</v>
      </c>
      <c r="AK543" s="45">
        <v>6.2499999999999982</v>
      </c>
      <c r="AL543" s="3">
        <v>11.51</v>
      </c>
      <c r="AM543" s="3">
        <v>11.61</v>
      </c>
      <c r="AN543" s="3">
        <v>12.29</v>
      </c>
      <c r="AO543" s="3">
        <v>11.7</v>
      </c>
      <c r="AP543" s="3">
        <v>11.51</v>
      </c>
      <c r="AQ543" s="47">
        <v>11.51</v>
      </c>
      <c r="AR543" s="47">
        <v>11.7</v>
      </c>
      <c r="AS543" s="3">
        <v>24</v>
      </c>
      <c r="AT543" s="3">
        <v>25.26</v>
      </c>
      <c r="AU543" s="3">
        <v>24.58</v>
      </c>
      <c r="AV543" s="3"/>
      <c r="AW543" s="3"/>
      <c r="AX543" s="48">
        <v>25.26</v>
      </c>
      <c r="AY543" s="3"/>
      <c r="AZ543" s="3">
        <v>9</v>
      </c>
      <c r="BA543" s="3">
        <v>170</v>
      </c>
      <c r="BB543" s="3">
        <v>12</v>
      </c>
      <c r="BC543" s="3">
        <v>215</v>
      </c>
      <c r="BD543" s="40">
        <v>781.80611819730711</v>
      </c>
      <c r="BE543" s="40">
        <v>788.88712353589938</v>
      </c>
      <c r="BF543" s="40"/>
      <c r="BG543" s="40">
        <v>298.54011961722125</v>
      </c>
      <c r="BH543" s="40">
        <v>300.8051917683041</v>
      </c>
      <c r="BI543" s="49">
        <v>1570.6932417332064</v>
      </c>
      <c r="BJ543" s="49">
        <v>599.34531138552529</v>
      </c>
      <c r="BK543" s="66">
        <v>-8.9759423462943966E-3</v>
      </c>
      <c r="BL543" s="66">
        <v>-7.5300301094122224E-3</v>
      </c>
      <c r="BM543" s="51">
        <v>37.132227936955239</v>
      </c>
      <c r="BN543" s="51">
        <v>14.168919890910765</v>
      </c>
      <c r="BO543" s="52">
        <v>225</v>
      </c>
      <c r="BP543" s="40">
        <v>211</v>
      </c>
      <c r="BQ543" s="40">
        <v>225</v>
      </c>
      <c r="BR543" s="67">
        <v>-6.2222222222222179E-2</v>
      </c>
      <c r="BS543" s="54">
        <v>5.1536643026004736</v>
      </c>
      <c r="BT543" s="3">
        <v>146</v>
      </c>
      <c r="BU543" s="40">
        <v>153</v>
      </c>
      <c r="BV543" s="3">
        <v>93</v>
      </c>
      <c r="BW543" s="3">
        <v>95</v>
      </c>
      <c r="BX543" s="70">
        <v>-4.5751633986928053E-2</v>
      </c>
      <c r="BY543" s="70">
        <v>-2.1052631578947323E-2</v>
      </c>
      <c r="BZ543" s="59">
        <v>1.6105263157894736</v>
      </c>
      <c r="CA543" s="59">
        <v>1.5698924731182795</v>
      </c>
      <c r="CB543" s="59">
        <v>2.7744089834515373</v>
      </c>
      <c r="CC543" s="59">
        <v>1.7444444444444451</v>
      </c>
      <c r="CD543" s="60">
        <v>67</v>
      </c>
      <c r="CE543" s="60">
        <v>80</v>
      </c>
      <c r="CF543" s="61">
        <v>1.5839243498817968</v>
      </c>
      <c r="CG543" s="61">
        <v>1.8912529550827424</v>
      </c>
      <c r="CH543" s="61">
        <v>1.1940298507462686</v>
      </c>
      <c r="CI543" s="41">
        <v>14.3</v>
      </c>
      <c r="CJ543" s="40">
        <f>VLOOKUP(paper3[[#This Row],[YYIR nivå]],$DB:$DC,2)</f>
        <v>560</v>
      </c>
      <c r="CK543" s="3" t="s">
        <v>112</v>
      </c>
      <c r="CL543" s="114">
        <v>27165</v>
      </c>
      <c r="CM543" s="115">
        <v>27.164999999999999</v>
      </c>
      <c r="CN543" s="3">
        <v>153</v>
      </c>
      <c r="CO543" s="3">
        <v>95</v>
      </c>
      <c r="CP543" s="41">
        <v>14.594444444444445</v>
      </c>
      <c r="CQ543" s="3" t="s">
        <v>165</v>
      </c>
      <c r="CR543" s="40">
        <v>149.5</v>
      </c>
      <c r="CS543" s="40">
        <v>94</v>
      </c>
      <c r="CT543" s="40">
        <v>218</v>
      </c>
      <c r="CU543" s="40"/>
      <c r="CV543" s="40"/>
      <c r="CW543" s="40"/>
      <c r="CX543" s="40"/>
      <c r="CY543" s="40">
        <v>0</v>
      </c>
      <c r="CZ543" s="40"/>
      <c r="DA543" s="40"/>
    </row>
    <row r="544" spans="1:105" ht="18.75" customHeight="1">
      <c r="A544" s="3">
        <v>226</v>
      </c>
      <c r="B544" s="38" t="s">
        <v>103</v>
      </c>
      <c r="C544" s="3" t="s">
        <v>115</v>
      </c>
      <c r="D544" s="3" t="s">
        <v>215</v>
      </c>
      <c r="E544" s="39">
        <v>44833</v>
      </c>
      <c r="F544" s="3" t="s">
        <v>106</v>
      </c>
      <c r="G544" s="3" t="s">
        <v>107</v>
      </c>
      <c r="H544" s="3">
        <v>2008</v>
      </c>
      <c r="I544" s="40" t="s">
        <v>108</v>
      </c>
      <c r="J544" s="39" t="s">
        <v>109</v>
      </c>
      <c r="K544" s="3">
        <v>167</v>
      </c>
      <c r="L544" s="3">
        <v>167</v>
      </c>
      <c r="M544" s="3"/>
      <c r="N544" s="3">
        <v>140</v>
      </c>
      <c r="O544" s="3">
        <v>140.1</v>
      </c>
      <c r="P544" s="3"/>
      <c r="Q544" s="3">
        <v>52.8</v>
      </c>
      <c r="R544" s="3"/>
      <c r="S544" s="3"/>
      <c r="T544" s="42">
        <v>167</v>
      </c>
      <c r="U544" s="42">
        <f>AVERAGE(paper3[[#This Row],[Sittende høyde 1]:[Sittende høyde 3]])-56.2</f>
        <v>83.850000000000009</v>
      </c>
      <c r="V544" s="12">
        <f>paper3[[#This Row],[height]]-paper3[[#This Row],[sittingheight]]</f>
        <v>83.149999999999991</v>
      </c>
      <c r="W544" s="73">
        <v>52.8</v>
      </c>
      <c r="X544" s="43" cm="1">
        <f t="array" ref="X544">INDEX([1]!phvny[yphv], MATCH(1, (paper3[[#This Row],[id]]=[1]!phvny[id])*(paper3[[#This Row],[time]]=[1]!phvny[time]), 0))</f>
        <v>1.7533853434224893</v>
      </c>
      <c r="Y544" s="3">
        <v>2.2400000000000002</v>
      </c>
      <c r="Z544" s="3">
        <v>3.82</v>
      </c>
      <c r="AA544" s="3">
        <v>5.32</v>
      </c>
      <c r="AB544" s="3">
        <v>2.25</v>
      </c>
      <c r="AC544" s="3">
        <v>3.84</v>
      </c>
      <c r="AD544" s="3">
        <v>5.36</v>
      </c>
      <c r="AE544" s="3">
        <v>2.21</v>
      </c>
      <c r="AF544" s="3">
        <v>3.81</v>
      </c>
      <c r="AG544" s="3">
        <v>5.32</v>
      </c>
      <c r="AH544" s="44">
        <v>2.21</v>
      </c>
      <c r="AI544" s="44">
        <v>3.81</v>
      </c>
      <c r="AJ544" s="44">
        <v>5.32</v>
      </c>
      <c r="AK544" s="45">
        <v>6.6225165562913899</v>
      </c>
      <c r="AL544" s="60">
        <v>12.2</v>
      </c>
      <c r="AM544" s="3">
        <v>12.01</v>
      </c>
      <c r="AN544" s="3">
        <v>11.31</v>
      </c>
      <c r="AO544" s="3">
        <v>11.78</v>
      </c>
      <c r="AP544" s="3">
        <v>11.31</v>
      </c>
      <c r="AQ544" s="47">
        <v>12.01</v>
      </c>
      <c r="AR544" s="47">
        <v>11.31</v>
      </c>
      <c r="AS544" s="3">
        <v>15.88</v>
      </c>
      <c r="AT544" s="3">
        <v>17.510000000000002</v>
      </c>
      <c r="AU544" s="3">
        <v>19.32</v>
      </c>
      <c r="AV544" s="3"/>
      <c r="AW544" s="3"/>
      <c r="AX544" s="48">
        <v>19.32</v>
      </c>
      <c r="AY544" s="3"/>
      <c r="AZ544" s="3">
        <v>10</v>
      </c>
      <c r="BA544" s="3">
        <v>160</v>
      </c>
      <c r="BB544" s="3">
        <v>9</v>
      </c>
      <c r="BC544" s="3">
        <v>159</v>
      </c>
      <c r="BD544" s="40">
        <v>723.18086056093694</v>
      </c>
      <c r="BE544" s="40">
        <v>696.05530639672884</v>
      </c>
      <c r="BF544" s="40"/>
      <c r="BG544" s="40">
        <v>253.59729827056043</v>
      </c>
      <c r="BH544" s="40">
        <v>248.91705333593404</v>
      </c>
      <c r="BI544" s="49">
        <v>1419.2361669576658</v>
      </c>
      <c r="BJ544" s="49">
        <v>502.51435160649447</v>
      </c>
      <c r="BK544" s="66">
        <v>3.8970400649093628E-2</v>
      </c>
      <c r="BL544" s="66">
        <v>1.8802427844547998E-2</v>
      </c>
      <c r="BM544" s="51">
        <v>26.8794728590467</v>
      </c>
      <c r="BN544" s="51">
        <v>9.5173172652745173</v>
      </c>
      <c r="BO544" s="52">
        <v>238</v>
      </c>
      <c r="BP544" s="40">
        <v>218</v>
      </c>
      <c r="BQ544" s="40">
        <v>238</v>
      </c>
      <c r="BR544" s="67">
        <v>-8.4033613445378186E-2</v>
      </c>
      <c r="BS544" s="54">
        <v>4.3181818181818183</v>
      </c>
      <c r="BT544" s="3">
        <v>109</v>
      </c>
      <c r="BU544" s="40">
        <v>112</v>
      </c>
      <c r="BV544" s="3">
        <v>86</v>
      </c>
      <c r="BW544" s="3">
        <v>92</v>
      </c>
      <c r="BX544" s="70">
        <v>-2.6785714285714302E-2</v>
      </c>
      <c r="BY544" s="70">
        <v>-6.5217391304347783E-2</v>
      </c>
      <c r="BZ544" s="59">
        <v>1.2173913043478262</v>
      </c>
      <c r="CA544" s="59">
        <v>1.2674418604651163</v>
      </c>
      <c r="CB544" s="59">
        <v>1.7401657196969695</v>
      </c>
      <c r="CC544" s="59">
        <v>1.4015814393939392</v>
      </c>
      <c r="CD544" s="60">
        <v>81</v>
      </c>
      <c r="CE544" s="60">
        <v>71</v>
      </c>
      <c r="CF544" s="61">
        <v>1.5340909090909092</v>
      </c>
      <c r="CG544" s="61">
        <v>1.3446969696969697</v>
      </c>
      <c r="CH544" s="61">
        <v>0.87654320987654322</v>
      </c>
      <c r="CI544" s="41">
        <v>14.2</v>
      </c>
      <c r="CJ544" s="40">
        <f>VLOOKUP(paper3[[#This Row],[YYIR nivå]],$DB:$DC,2)</f>
        <v>520</v>
      </c>
      <c r="CK544" s="3"/>
      <c r="CL544" s="114">
        <v>35043</v>
      </c>
      <c r="CM544" s="115">
        <v>35.042999999999999</v>
      </c>
      <c r="CN544" s="3">
        <v>112</v>
      </c>
      <c r="CO544" s="3">
        <v>92</v>
      </c>
      <c r="CP544" s="41">
        <v>13.872222222222222</v>
      </c>
      <c r="CQ544" s="3" t="s">
        <v>166</v>
      </c>
      <c r="CR544" s="40">
        <v>110.5</v>
      </c>
      <c r="CS544" s="40">
        <v>89</v>
      </c>
      <c r="CT544" s="40">
        <v>228</v>
      </c>
      <c r="CU544" s="40"/>
      <c r="CV544" s="40"/>
      <c r="CW544" s="40"/>
      <c r="CX544" s="40"/>
      <c r="CY544" s="40">
        <v>0</v>
      </c>
      <c r="CZ544" s="40"/>
      <c r="DA544" s="40"/>
    </row>
    <row r="545" spans="1:105" ht="18.75" customHeight="1">
      <c r="A545" s="3">
        <v>227</v>
      </c>
      <c r="B545" s="38" t="s">
        <v>103</v>
      </c>
      <c r="C545" s="3" t="s">
        <v>115</v>
      </c>
      <c r="D545" s="3" t="s">
        <v>215</v>
      </c>
      <c r="E545" s="39">
        <v>44833</v>
      </c>
      <c r="F545" s="3" t="s">
        <v>106</v>
      </c>
      <c r="G545" s="3" t="s">
        <v>107</v>
      </c>
      <c r="H545" s="3">
        <v>2008</v>
      </c>
      <c r="I545" s="40" t="s">
        <v>108</v>
      </c>
      <c r="J545" s="39" t="s">
        <v>109</v>
      </c>
      <c r="K545" s="3">
        <v>173</v>
      </c>
      <c r="L545" s="3">
        <v>173</v>
      </c>
      <c r="M545" s="3"/>
      <c r="N545" s="3">
        <v>144.4</v>
      </c>
      <c r="O545" s="3">
        <v>144.4</v>
      </c>
      <c r="P545" s="3"/>
      <c r="Q545" s="3">
        <v>53.6</v>
      </c>
      <c r="R545" s="3"/>
      <c r="S545" s="3"/>
      <c r="T545" s="42">
        <v>173</v>
      </c>
      <c r="U545" s="42">
        <f>AVERAGE(paper3[[#This Row],[Sittende høyde 1]:[Sittende høyde 3]])-56.2</f>
        <v>88.2</v>
      </c>
      <c r="V545" s="12">
        <f>paper3[[#This Row],[height]]-paper3[[#This Row],[sittingheight]]</f>
        <v>84.8</v>
      </c>
      <c r="W545" s="73">
        <v>53.6</v>
      </c>
      <c r="X545" s="43" cm="1">
        <f t="array" ref="X545">INDEX([1]!phvny[yphv], MATCH(1, (paper3[[#This Row],[id]]=[1]!phvny[id])*(paper3[[#This Row],[time]]=[1]!phvny[time]), 0))</f>
        <v>2.5058465590905596</v>
      </c>
      <c r="Y545" s="3">
        <v>2.17</v>
      </c>
      <c r="Z545" s="3">
        <v>3.67</v>
      </c>
      <c r="AA545" s="3">
        <v>5.0999999999999996</v>
      </c>
      <c r="AB545" s="3">
        <v>2.1</v>
      </c>
      <c r="AC545" s="3">
        <v>3.65</v>
      </c>
      <c r="AD545" s="3">
        <v>5.09</v>
      </c>
      <c r="AE545" s="3">
        <v>2.2000000000000002</v>
      </c>
      <c r="AF545" s="3">
        <v>3.73</v>
      </c>
      <c r="AG545" s="3">
        <v>5.21</v>
      </c>
      <c r="AH545" s="45">
        <v>2.1</v>
      </c>
      <c r="AI545" s="44">
        <v>3.65</v>
      </c>
      <c r="AJ545" s="44">
        <v>5.09</v>
      </c>
      <c r="AK545" s="45">
        <v>6.9444444444444446</v>
      </c>
      <c r="AL545" s="3">
        <v>11.12</v>
      </c>
      <c r="AM545" s="3">
        <v>11.25</v>
      </c>
      <c r="AN545" s="3">
        <v>11.51</v>
      </c>
      <c r="AO545" s="3">
        <v>11.01</v>
      </c>
      <c r="AP545" s="3">
        <v>11.01</v>
      </c>
      <c r="AQ545" s="47">
        <v>11.12</v>
      </c>
      <c r="AR545" s="47">
        <v>11.01</v>
      </c>
      <c r="AS545" s="3">
        <v>26.78</v>
      </c>
      <c r="AT545" s="3">
        <v>27.53</v>
      </c>
      <c r="AU545" s="3">
        <v>28.29</v>
      </c>
      <c r="AV545" s="3"/>
      <c r="AW545" s="3"/>
      <c r="AX545" s="48">
        <v>28.29</v>
      </c>
      <c r="AY545" s="3"/>
      <c r="AZ545" s="3">
        <v>10</v>
      </c>
      <c r="BA545" s="3">
        <v>180</v>
      </c>
      <c r="BB545" s="3">
        <v>12</v>
      </c>
      <c r="BC545" s="3">
        <v>212</v>
      </c>
      <c r="BD545" s="40">
        <v>969.04302491517683</v>
      </c>
      <c r="BE545" s="40">
        <v>963.95817802825877</v>
      </c>
      <c r="BF545" s="40"/>
      <c r="BG545" s="40">
        <v>461.70020323196729</v>
      </c>
      <c r="BH545" s="40">
        <v>444.39966232639063</v>
      </c>
      <c r="BI545" s="49">
        <v>1933.0012029434356</v>
      </c>
      <c r="BJ545" s="49">
        <v>906.09986555835792</v>
      </c>
      <c r="BK545" s="66">
        <v>5.2749662825817278E-3</v>
      </c>
      <c r="BL545" s="66">
        <v>3.8930139629292038E-2</v>
      </c>
      <c r="BM545" s="51">
        <v>36.063455278795438</v>
      </c>
      <c r="BN545" s="51">
        <v>16.904848238029064</v>
      </c>
      <c r="BO545" s="52">
        <v>267</v>
      </c>
      <c r="BP545" s="40">
        <v>267</v>
      </c>
      <c r="BQ545" s="40">
        <v>262</v>
      </c>
      <c r="BR545" s="67">
        <v>1.9083969465648831E-2</v>
      </c>
      <c r="BS545" s="54">
        <v>4.9347014925373136</v>
      </c>
      <c r="BT545" s="3">
        <v>116</v>
      </c>
      <c r="BU545" s="40">
        <v>116</v>
      </c>
      <c r="BV545" s="3">
        <v>112</v>
      </c>
      <c r="BW545" s="3">
        <v>112</v>
      </c>
      <c r="BX545" s="70">
        <v>0</v>
      </c>
      <c r="BY545" s="70">
        <v>0</v>
      </c>
      <c r="BZ545" s="59">
        <v>1.0357142857142858</v>
      </c>
      <c r="CA545" s="59">
        <v>1.0357142857142858</v>
      </c>
      <c r="CB545" s="59">
        <v>1.8352238805970147</v>
      </c>
      <c r="CC545" s="59">
        <v>1.7719402985074626</v>
      </c>
      <c r="CD545" s="60">
        <v>90.5</v>
      </c>
      <c r="CE545" s="60">
        <v>72.5</v>
      </c>
      <c r="CF545" s="61">
        <v>1.6884328358208955</v>
      </c>
      <c r="CG545" s="61">
        <v>1.3526119402985075</v>
      </c>
      <c r="CH545" s="61">
        <v>0.80110497237569067</v>
      </c>
      <c r="CI545" s="41">
        <v>14.3</v>
      </c>
      <c r="CJ545" s="40">
        <f>VLOOKUP(paper3[[#This Row],[YYIR nivå]],$DB:$DC,2)</f>
        <v>560</v>
      </c>
      <c r="CK545" s="3"/>
      <c r="CL545" s="114">
        <v>33220</v>
      </c>
      <c r="CM545" s="115">
        <v>33.22</v>
      </c>
      <c r="CN545" s="3">
        <v>116</v>
      </c>
      <c r="CO545" s="3">
        <v>112</v>
      </c>
      <c r="CP545" s="41">
        <v>14.466666666666667</v>
      </c>
      <c r="CQ545" s="3" t="s">
        <v>167</v>
      </c>
      <c r="CR545" s="40">
        <v>116</v>
      </c>
      <c r="CS545" s="40">
        <v>112</v>
      </c>
      <c r="CT545" s="40">
        <v>264.5</v>
      </c>
      <c r="CU545" s="40"/>
      <c r="CV545" s="40"/>
      <c r="CW545" s="40"/>
      <c r="CX545" s="40"/>
      <c r="CY545" s="40">
        <v>0</v>
      </c>
      <c r="CZ545" s="40"/>
      <c r="DA545" s="40"/>
    </row>
    <row r="546" spans="1:105" ht="18.75" customHeight="1">
      <c r="A546" s="3">
        <v>229</v>
      </c>
      <c r="B546" s="38" t="s">
        <v>103</v>
      </c>
      <c r="C546" s="3" t="s">
        <v>115</v>
      </c>
      <c r="D546" s="3" t="s">
        <v>215</v>
      </c>
      <c r="E546" s="39">
        <v>44833</v>
      </c>
      <c r="F546" s="3" t="s">
        <v>106</v>
      </c>
      <c r="G546" s="3" t="s">
        <v>107</v>
      </c>
      <c r="H546" s="3">
        <v>2008</v>
      </c>
      <c r="I546" s="40" t="s">
        <v>108</v>
      </c>
      <c r="J546" s="39" t="s">
        <v>109</v>
      </c>
      <c r="K546" s="3"/>
      <c r="L546" s="3"/>
      <c r="M546" s="3"/>
      <c r="N546" s="3"/>
      <c r="O546" s="3"/>
      <c r="P546" s="3"/>
      <c r="Q546" s="3"/>
      <c r="R546" s="3"/>
      <c r="S546" s="3"/>
      <c r="T546" s="42"/>
      <c r="U546" s="42"/>
      <c r="V546" s="12"/>
      <c r="W546" s="73"/>
      <c r="X546" s="43"/>
      <c r="Y546" s="3"/>
      <c r="Z546" s="3"/>
      <c r="AA546" s="3"/>
      <c r="AB546" s="3"/>
      <c r="AC546" s="3"/>
      <c r="AD546" s="3"/>
      <c r="AE546" s="3"/>
      <c r="AF546" s="3"/>
      <c r="AG546" s="3"/>
      <c r="AH546" s="44"/>
      <c r="AI546" s="44"/>
      <c r="AJ546" s="44"/>
      <c r="AK546" s="45"/>
      <c r="AL546" s="60"/>
      <c r="AM546" s="3"/>
      <c r="AN546" s="3"/>
      <c r="AO546" s="3"/>
      <c r="AP546" s="3"/>
      <c r="AQ546" s="47"/>
      <c r="AR546" s="47"/>
      <c r="AS546" s="3"/>
      <c r="AT546" s="3"/>
      <c r="AU546" s="3"/>
      <c r="AV546" s="3"/>
      <c r="AW546" s="3"/>
      <c r="AX546" s="48"/>
      <c r="AY546" s="3"/>
      <c r="AZ546" s="3"/>
      <c r="BA546" s="3"/>
      <c r="BB546" s="3"/>
      <c r="BC546" s="3"/>
      <c r="BD546" s="40"/>
      <c r="BE546" s="40"/>
      <c r="BF546" s="40"/>
      <c r="BG546" s="40"/>
      <c r="BH546" s="40"/>
      <c r="BI546" s="49"/>
      <c r="BJ546" s="49"/>
      <c r="BK546" s="66"/>
      <c r="BL546" s="66"/>
      <c r="BM546" s="51"/>
      <c r="BN546" s="51"/>
      <c r="BO546" s="52"/>
      <c r="BP546" s="40"/>
      <c r="BQ546" s="40"/>
      <c r="BR546" s="67"/>
      <c r="BS546" s="54" t="s">
        <v>110</v>
      </c>
      <c r="BT546" s="3"/>
      <c r="BU546" s="40"/>
      <c r="BV546" s="3"/>
      <c r="BW546" s="3"/>
      <c r="BX546" s="70"/>
      <c r="BY546" s="70"/>
      <c r="BZ546" s="59"/>
      <c r="CA546" s="59"/>
      <c r="CB546" s="59" t="s">
        <v>110</v>
      </c>
      <c r="CC546" s="59" t="s">
        <v>110</v>
      </c>
      <c r="CD546" s="60"/>
      <c r="CE546" s="60"/>
      <c r="CF546" s="61"/>
      <c r="CG546" s="61"/>
      <c r="CH546" s="61"/>
      <c r="CI546" s="41">
        <v>14.1</v>
      </c>
      <c r="CJ546" s="40">
        <f>VLOOKUP(paper3[[#This Row],[YYIR nivå]],$DB:$DC,2)</f>
        <v>480</v>
      </c>
      <c r="CK546" s="3"/>
      <c r="CL546" s="114"/>
      <c r="CM546" s="115" t="s">
        <v>110</v>
      </c>
      <c r="CN546" s="3"/>
      <c r="CO546" s="3"/>
      <c r="CP546" s="41">
        <v>14.377777777777778</v>
      </c>
      <c r="CQ546" s="3" t="s">
        <v>168</v>
      </c>
      <c r="CR546" s="40" t="s">
        <v>110</v>
      </c>
      <c r="CS546" s="40" t="s">
        <v>110</v>
      </c>
      <c r="CT546" s="40" t="s">
        <v>110</v>
      </c>
      <c r="CU546" s="40"/>
      <c r="CV546" s="40"/>
      <c r="CW546" s="40"/>
      <c r="CX546" s="40"/>
      <c r="CY546" s="40">
        <v>0</v>
      </c>
      <c r="CZ546" s="40"/>
      <c r="DA546" s="40"/>
    </row>
    <row r="547" spans="1:105" ht="18.75" customHeight="1">
      <c r="A547" s="3">
        <v>230</v>
      </c>
      <c r="B547" s="38" t="s">
        <v>103</v>
      </c>
      <c r="C547" s="3" t="s">
        <v>115</v>
      </c>
      <c r="D547" s="3" t="s">
        <v>215</v>
      </c>
      <c r="E547" s="39">
        <v>44833</v>
      </c>
      <c r="F547" s="3" t="s">
        <v>106</v>
      </c>
      <c r="G547" s="3" t="s">
        <v>107</v>
      </c>
      <c r="H547" s="3">
        <v>2008</v>
      </c>
      <c r="I547" s="40" t="s">
        <v>108</v>
      </c>
      <c r="J547" s="39" t="s">
        <v>109</v>
      </c>
      <c r="K547" s="3"/>
      <c r="L547" s="3"/>
      <c r="M547" s="3"/>
      <c r="N547" s="3"/>
      <c r="O547" s="3"/>
      <c r="P547" s="3"/>
      <c r="Q547" s="3"/>
      <c r="R547" s="3"/>
      <c r="S547" s="3"/>
      <c r="T547" s="42"/>
      <c r="U547" s="42"/>
      <c r="V547" s="12"/>
      <c r="W547" s="73"/>
      <c r="X547" s="43"/>
      <c r="Y547" s="3"/>
      <c r="Z547" s="3"/>
      <c r="AA547" s="3"/>
      <c r="AB547" s="3"/>
      <c r="AC547" s="3"/>
      <c r="AD547" s="3"/>
      <c r="AE547" s="3"/>
      <c r="AF547" s="3"/>
      <c r="AG547" s="3"/>
      <c r="AH547" s="44"/>
      <c r="AI547" s="44"/>
      <c r="AJ547" s="44"/>
      <c r="AK547" s="45"/>
      <c r="AL547" s="60"/>
      <c r="AM547" s="3"/>
      <c r="AN547" s="3"/>
      <c r="AO547" s="3"/>
      <c r="AP547" s="3"/>
      <c r="AQ547" s="47"/>
      <c r="AR547" s="47"/>
      <c r="AS547" s="3"/>
      <c r="AT547" s="3"/>
      <c r="AU547" s="3"/>
      <c r="AV547" s="3"/>
      <c r="AW547" s="3"/>
      <c r="AX547" s="48"/>
      <c r="AY547" s="3"/>
      <c r="AZ547" s="3"/>
      <c r="BA547" s="3"/>
      <c r="BB547" s="3"/>
      <c r="BC547" s="3"/>
      <c r="BD547" s="40"/>
      <c r="BE547" s="40"/>
      <c r="BF547" s="40"/>
      <c r="BG547" s="40"/>
      <c r="BH547" s="40"/>
      <c r="BI547" s="49"/>
      <c r="BJ547" s="49"/>
      <c r="BK547" s="66"/>
      <c r="BL547" s="66"/>
      <c r="BM547" s="51"/>
      <c r="BN547" s="51"/>
      <c r="BO547" s="52"/>
      <c r="BP547" s="40"/>
      <c r="BQ547" s="40"/>
      <c r="BR547" s="67"/>
      <c r="BS547" s="54" t="s">
        <v>110</v>
      </c>
      <c r="BT547" s="3"/>
      <c r="BU547" s="40"/>
      <c r="BV547" s="3"/>
      <c r="BW547" s="3"/>
      <c r="BX547" s="70"/>
      <c r="BY547" s="70"/>
      <c r="BZ547" s="59"/>
      <c r="CA547" s="59"/>
      <c r="CB547" s="59" t="s">
        <v>110</v>
      </c>
      <c r="CC547" s="59" t="s">
        <v>110</v>
      </c>
      <c r="CD547" s="60"/>
      <c r="CE547" s="60"/>
      <c r="CF547" s="61"/>
      <c r="CG547" s="61"/>
      <c r="CH547" s="61"/>
      <c r="CI547" s="41">
        <v>14.3</v>
      </c>
      <c r="CJ547" s="40">
        <f>VLOOKUP(paper3[[#This Row],[YYIR nivå]],$DB:$DC,2)</f>
        <v>560</v>
      </c>
      <c r="CK547" s="3"/>
      <c r="CL547" s="114"/>
      <c r="CM547" s="115" t="s">
        <v>110</v>
      </c>
      <c r="CN547" s="3"/>
      <c r="CO547" s="3"/>
      <c r="CP547" s="41">
        <v>14.244444444444444</v>
      </c>
      <c r="CQ547" s="3" t="s">
        <v>169</v>
      </c>
      <c r="CR547" s="40" t="s">
        <v>110</v>
      </c>
      <c r="CS547" s="40" t="s">
        <v>110</v>
      </c>
      <c r="CT547" s="40" t="s">
        <v>110</v>
      </c>
      <c r="CU547" s="40"/>
      <c r="CV547" s="40"/>
      <c r="CW547" s="40"/>
      <c r="CX547" s="40"/>
      <c r="CY547" s="40">
        <v>0</v>
      </c>
      <c r="CZ547" s="40"/>
      <c r="DA547" s="40"/>
    </row>
    <row r="548" spans="1:105" ht="18.75" customHeight="1">
      <c r="A548" s="3">
        <v>231</v>
      </c>
      <c r="B548" s="38" t="s">
        <v>103</v>
      </c>
      <c r="C548" s="3" t="s">
        <v>115</v>
      </c>
      <c r="D548" s="3" t="s">
        <v>215</v>
      </c>
      <c r="E548" s="39">
        <v>44833</v>
      </c>
      <c r="F548" s="3" t="s">
        <v>106</v>
      </c>
      <c r="G548" s="3" t="s">
        <v>107</v>
      </c>
      <c r="H548" s="3">
        <v>2008</v>
      </c>
      <c r="I548" s="40" t="s">
        <v>108</v>
      </c>
      <c r="J548" s="39" t="s">
        <v>109</v>
      </c>
      <c r="K548" s="3">
        <v>176.5</v>
      </c>
      <c r="L548" s="3">
        <v>176.2</v>
      </c>
      <c r="M548" s="3">
        <v>176</v>
      </c>
      <c r="N548" s="3">
        <v>145.30000000000001</v>
      </c>
      <c r="O548" s="3">
        <v>145</v>
      </c>
      <c r="P548" s="3">
        <v>144.80000000000001</v>
      </c>
      <c r="Q548" s="3">
        <v>56.3</v>
      </c>
      <c r="R548" s="3"/>
      <c r="S548" s="3"/>
      <c r="T548" s="42">
        <v>176.23333333333335</v>
      </c>
      <c r="U548" s="42">
        <f>AVERAGE(paper3[[#This Row],[Sittende høyde 1]:[Sittende høyde 3]])-56.2</f>
        <v>88.833333333333329</v>
      </c>
      <c r="V548" s="12">
        <f>paper3[[#This Row],[height]]-paper3[[#This Row],[sittingheight]]</f>
        <v>87.40000000000002</v>
      </c>
      <c r="W548" s="73">
        <v>56.3</v>
      </c>
      <c r="X548" s="43" cm="1">
        <f t="array" ref="X548">INDEX([1]!phvny[yphv], MATCH(1, (paper3[[#This Row],[id]]=[1]!phvny[id])*(paper3[[#This Row],[time]]=[1]!phvny[time]), 0))</f>
        <v>2.7783001170758466</v>
      </c>
      <c r="Y548" s="3">
        <v>2.15</v>
      </c>
      <c r="Z548" s="3">
        <v>3.74</v>
      </c>
      <c r="AA548" s="3">
        <v>5.25</v>
      </c>
      <c r="AB548" s="3">
        <v>2.17</v>
      </c>
      <c r="AC548" s="3">
        <v>3.74</v>
      </c>
      <c r="AD548" s="3">
        <v>5.28</v>
      </c>
      <c r="AE548" s="3">
        <v>2.2599999999999998</v>
      </c>
      <c r="AF548" s="3">
        <v>3.83</v>
      </c>
      <c r="AG548" s="3">
        <v>5.31</v>
      </c>
      <c r="AH548" s="44">
        <v>2.15</v>
      </c>
      <c r="AI548" s="44">
        <v>3.74</v>
      </c>
      <c r="AJ548" s="44">
        <v>5.25</v>
      </c>
      <c r="AK548" s="45">
        <v>6.6225165562913917</v>
      </c>
      <c r="AL548" s="3">
        <v>11.12</v>
      </c>
      <c r="AM548" s="3">
        <v>11.27</v>
      </c>
      <c r="AN548" s="3">
        <v>11.87</v>
      </c>
      <c r="AO548" s="3">
        <v>11.29</v>
      </c>
      <c r="AP548" s="3">
        <v>11.12</v>
      </c>
      <c r="AQ548" s="47">
        <v>11.12</v>
      </c>
      <c r="AR548" s="47">
        <v>11.29</v>
      </c>
      <c r="AS548" s="3">
        <v>21.72</v>
      </c>
      <c r="AT548" s="3">
        <v>24.82</v>
      </c>
      <c r="AU548" s="3">
        <v>25.25</v>
      </c>
      <c r="AV548" s="3"/>
      <c r="AW548" s="3"/>
      <c r="AX548" s="48">
        <v>25.25</v>
      </c>
      <c r="AY548" s="3"/>
      <c r="AZ548" s="3">
        <v>10</v>
      </c>
      <c r="BA548" s="3">
        <v>180</v>
      </c>
      <c r="BB548" s="3"/>
      <c r="BC548" s="3">
        <v>207</v>
      </c>
      <c r="BD548" s="40">
        <v>934.27776436944907</v>
      </c>
      <c r="BE548" s="40">
        <v>884.7212129467398</v>
      </c>
      <c r="BF548" s="40"/>
      <c r="BG548" s="40">
        <v>324.66001703269899</v>
      </c>
      <c r="BH548" s="40">
        <v>352.3102141426686</v>
      </c>
      <c r="BI548" s="49">
        <v>1818.9989773161888</v>
      </c>
      <c r="BJ548" s="49">
        <v>676.97023117536764</v>
      </c>
      <c r="BK548" s="66">
        <v>5.60137483961205E-2</v>
      </c>
      <c r="BL548" s="66">
        <v>-7.8482530451906229E-2</v>
      </c>
      <c r="BM548" s="51">
        <v>32.309040449665879</v>
      </c>
      <c r="BN548" s="51">
        <v>12.024338031534063</v>
      </c>
      <c r="BO548" s="52">
        <v>249</v>
      </c>
      <c r="BP548" s="40">
        <v>233</v>
      </c>
      <c r="BQ548" s="40">
        <v>249</v>
      </c>
      <c r="BR548" s="67">
        <v>-6.4257028112449821E-2</v>
      </c>
      <c r="BS548" s="54">
        <v>4.2806394316163416</v>
      </c>
      <c r="BT548" s="3">
        <v>117</v>
      </c>
      <c r="BU548" s="40">
        <v>108</v>
      </c>
      <c r="BV548" s="3">
        <v>92</v>
      </c>
      <c r="BW548" s="3">
        <v>106</v>
      </c>
      <c r="BX548" s="70">
        <v>8.3333333333333259E-2</v>
      </c>
      <c r="BY548" s="70">
        <v>-0.13207547169811318</v>
      </c>
      <c r="BZ548" s="59">
        <v>1.0188679245283019</v>
      </c>
      <c r="CA548" s="59">
        <v>1.2717391304347827</v>
      </c>
      <c r="CB548" s="59">
        <v>1.7464476021314395</v>
      </c>
      <c r="CC548" s="59">
        <v>1.5368738898756666</v>
      </c>
      <c r="CD548" s="60">
        <v>82</v>
      </c>
      <c r="CE548" s="60">
        <v>71</v>
      </c>
      <c r="CF548" s="61">
        <v>1.4564831261101243</v>
      </c>
      <c r="CG548" s="61">
        <v>1.2611012433392541</v>
      </c>
      <c r="CH548" s="61">
        <v>0.86585365853658547</v>
      </c>
      <c r="CI548" s="41">
        <v>14.3</v>
      </c>
      <c r="CJ548" s="40">
        <f>VLOOKUP(paper3[[#This Row],[YYIR nivå]],$DB:$DC,2)</f>
        <v>560</v>
      </c>
      <c r="CK548" s="3"/>
      <c r="CL548" s="114">
        <v>37893</v>
      </c>
      <c r="CM548" s="115">
        <v>37.893000000000001</v>
      </c>
      <c r="CN548" s="3">
        <v>117</v>
      </c>
      <c r="CO548" s="3">
        <v>106</v>
      </c>
      <c r="CP548" s="41">
        <v>14.666666666666666</v>
      </c>
      <c r="CQ548" s="3" t="s">
        <v>170</v>
      </c>
      <c r="CR548" s="40">
        <v>112.5</v>
      </c>
      <c r="CS548" s="40">
        <v>99</v>
      </c>
      <c r="CT548" s="40">
        <v>241</v>
      </c>
      <c r="CU548" s="40"/>
      <c r="CV548" s="40"/>
      <c r="CW548" s="40"/>
      <c r="CX548" s="40"/>
      <c r="CY548" s="40">
        <v>0</v>
      </c>
      <c r="CZ548" s="40"/>
      <c r="DA548" s="40"/>
    </row>
    <row r="549" spans="1:105" ht="18.75" customHeight="1">
      <c r="A549" s="3">
        <v>241</v>
      </c>
      <c r="B549" s="38" t="s">
        <v>103</v>
      </c>
      <c r="C549" s="3" t="s">
        <v>104</v>
      </c>
      <c r="D549" s="3" t="s">
        <v>215</v>
      </c>
      <c r="E549" s="39">
        <v>44875</v>
      </c>
      <c r="F549" s="3" t="s">
        <v>106</v>
      </c>
      <c r="G549" s="3" t="s">
        <v>107</v>
      </c>
      <c r="H549" s="3">
        <v>2006</v>
      </c>
      <c r="I549" s="40" t="s">
        <v>116</v>
      </c>
      <c r="J549" s="39" t="s">
        <v>117</v>
      </c>
      <c r="K549" s="3">
        <v>162.5</v>
      </c>
      <c r="L549" s="3">
        <v>162.4</v>
      </c>
      <c r="M549" s="3"/>
      <c r="N549" s="3">
        <v>144.80000000000001</v>
      </c>
      <c r="O549" s="3">
        <v>144.5</v>
      </c>
      <c r="P549" s="3">
        <v>144.69999999999999</v>
      </c>
      <c r="Q549" s="3">
        <v>56.2</v>
      </c>
      <c r="R549" s="3">
        <v>56.2</v>
      </c>
      <c r="S549" s="3"/>
      <c r="T549" s="42">
        <v>162.44999999999999</v>
      </c>
      <c r="U549" s="42">
        <f>AVERAGE(paper3[[#This Row],[Sittende høyde 1]:[Sittende høyde 3]])-56.2</f>
        <v>88.466666666666654</v>
      </c>
      <c r="V549" s="12">
        <f>paper3[[#This Row],[height]]-paper3[[#This Row],[sittingheight]]</f>
        <v>73.983333333333334</v>
      </c>
      <c r="W549" s="73">
        <v>56.2</v>
      </c>
      <c r="X549" s="43" cm="1">
        <f t="array" ref="X549">INDEX([1]!phvny[yphv], MATCH(1, (paper3[[#This Row],[id]]=[1]!phvny[id])*(paper3[[#This Row],[time]]=[1]!phvny[time]), 0))</f>
        <v>3.1095151269562931</v>
      </c>
      <c r="Y549" s="3">
        <v>1.99</v>
      </c>
      <c r="Z549" s="3">
        <v>3.44</v>
      </c>
      <c r="AA549" s="3">
        <v>4.8</v>
      </c>
      <c r="AB549" s="3">
        <v>2</v>
      </c>
      <c r="AC549" s="3">
        <v>3.43</v>
      </c>
      <c r="AD549" s="3">
        <v>4.8099999999999996</v>
      </c>
      <c r="AE549" s="3">
        <v>1.99</v>
      </c>
      <c r="AF549" s="3">
        <v>3.44</v>
      </c>
      <c r="AG549" s="3">
        <v>4.82</v>
      </c>
      <c r="AH549" s="44">
        <v>1.99</v>
      </c>
      <c r="AI549" s="44">
        <v>3.43</v>
      </c>
      <c r="AJ549" s="44">
        <v>4.8</v>
      </c>
      <c r="AK549" s="45">
        <v>7.2992700729927025</v>
      </c>
      <c r="AL549" s="3">
        <v>10.81</v>
      </c>
      <c r="AM549" s="3">
        <v>10.65</v>
      </c>
      <c r="AN549" s="3">
        <v>10.92</v>
      </c>
      <c r="AO549" s="3">
        <v>10.6</v>
      </c>
      <c r="AP549" s="3">
        <v>10.6</v>
      </c>
      <c r="AQ549" s="47">
        <v>10.65</v>
      </c>
      <c r="AR549" s="47">
        <v>10.6</v>
      </c>
      <c r="AS549" s="3">
        <v>22.21</v>
      </c>
      <c r="AT549" s="3">
        <v>22.95</v>
      </c>
      <c r="AU549" s="3">
        <v>23.96</v>
      </c>
      <c r="AV549" s="3">
        <v>23.92</v>
      </c>
      <c r="AW549" s="3"/>
      <c r="AX549" s="48">
        <v>23.96</v>
      </c>
      <c r="AY549" s="3"/>
      <c r="AZ549" s="3">
        <v>7</v>
      </c>
      <c r="BA549" s="3">
        <v>260</v>
      </c>
      <c r="BB549" s="3">
        <v>10</v>
      </c>
      <c r="BC549" s="3">
        <v>284</v>
      </c>
      <c r="BD549" s="40">
        <v>1135.5219486545075</v>
      </c>
      <c r="BE549" s="40">
        <v>1146.99662822144</v>
      </c>
      <c r="BF549" s="40"/>
      <c r="BG549" s="40">
        <v>391.34774724248166</v>
      </c>
      <c r="BH549" s="40">
        <v>405.24925465650006</v>
      </c>
      <c r="BI549" s="49">
        <v>2282.5185768759475</v>
      </c>
      <c r="BJ549" s="49">
        <v>796.59700189898172</v>
      </c>
      <c r="BK549" s="66">
        <v>-1.0004109240255965E-2</v>
      </c>
      <c r="BL549" s="66">
        <v>-3.4303597734687163E-2</v>
      </c>
      <c r="BM549" s="51">
        <v>40.614209552952801</v>
      </c>
      <c r="BN549" s="51">
        <v>14.17432387720608</v>
      </c>
      <c r="BO549" s="52">
        <v>293</v>
      </c>
      <c r="BP549" s="40">
        <v>293</v>
      </c>
      <c r="BQ549" s="40">
        <v>276</v>
      </c>
      <c r="BR549" s="67">
        <v>6.1594202898550776E-2</v>
      </c>
      <c r="BS549" s="54">
        <v>5.0622775800711741</v>
      </c>
      <c r="BT549" s="3">
        <v>124</v>
      </c>
      <c r="BU549" s="40">
        <v>122</v>
      </c>
      <c r="BV549" s="3">
        <v>86</v>
      </c>
      <c r="BW549" s="3">
        <v>79</v>
      </c>
      <c r="BX549" s="70">
        <v>1.6393442622950838E-2</v>
      </c>
      <c r="BY549" s="70">
        <v>8.8607594936708889E-2</v>
      </c>
      <c r="BZ549" s="59">
        <v>1.5443037974683544</v>
      </c>
      <c r="CA549" s="59">
        <v>1.441860465116279</v>
      </c>
      <c r="CB549" s="59">
        <v>1.6184786476868327</v>
      </c>
      <c r="CC549" s="59">
        <v>1.0855649466192172</v>
      </c>
      <c r="CD549" s="60">
        <v>75</v>
      </c>
      <c r="CE549" s="60">
        <v>77</v>
      </c>
      <c r="CF549" s="61">
        <v>1.3345195729537367</v>
      </c>
      <c r="CG549" s="61">
        <v>1.3701067615658362</v>
      </c>
      <c r="CH549" s="61">
        <v>1.0266666666666666</v>
      </c>
      <c r="CI549" s="41"/>
      <c r="CJ549" s="40"/>
      <c r="CK549" s="3"/>
      <c r="CL549" s="62"/>
      <c r="CM549" s="63" t="s">
        <v>110</v>
      </c>
      <c r="CN549" s="3">
        <v>124</v>
      </c>
      <c r="CO549" s="3">
        <v>86</v>
      </c>
      <c r="CP549" s="41">
        <v>16.208333333333332</v>
      </c>
      <c r="CQ549" s="3" t="s">
        <v>110</v>
      </c>
      <c r="CR549" s="40">
        <v>123</v>
      </c>
      <c r="CS549" s="40">
        <v>82.5</v>
      </c>
      <c r="CT549" s="40">
        <v>284.5</v>
      </c>
      <c r="CU549" s="40"/>
      <c r="CV549" s="40"/>
      <c r="CW549" s="40"/>
      <c r="CX549" s="40"/>
      <c r="CY549" s="40">
        <v>0</v>
      </c>
      <c r="CZ549" s="40"/>
      <c r="DA549" s="40"/>
    </row>
    <row r="550" spans="1:105" ht="18.75" customHeight="1">
      <c r="A550" s="3">
        <v>243</v>
      </c>
      <c r="B550" s="38" t="s">
        <v>103</v>
      </c>
      <c r="C550" s="3" t="s">
        <v>115</v>
      </c>
      <c r="D550" s="3" t="s">
        <v>215</v>
      </c>
      <c r="E550" s="39">
        <v>44875</v>
      </c>
      <c r="F550" s="3" t="s">
        <v>106</v>
      </c>
      <c r="G550" s="3" t="s">
        <v>107</v>
      </c>
      <c r="H550" s="3">
        <v>2006</v>
      </c>
      <c r="I550" s="40" t="s">
        <v>116</v>
      </c>
      <c r="J550" s="39" t="s">
        <v>117</v>
      </c>
      <c r="K550" s="3">
        <v>172.6</v>
      </c>
      <c r="L550" s="3">
        <v>172.6</v>
      </c>
      <c r="M550" s="3"/>
      <c r="N550" s="3">
        <v>147.6</v>
      </c>
      <c r="O550" s="3">
        <v>147.5</v>
      </c>
      <c r="P550" s="3"/>
      <c r="Q550" s="3">
        <v>62.3</v>
      </c>
      <c r="R550" s="3">
        <v>62.3</v>
      </c>
      <c r="S550" s="3"/>
      <c r="T550" s="42">
        <v>172.6</v>
      </c>
      <c r="U550" s="42">
        <f>AVERAGE(paper3[[#This Row],[Sittende høyde 1]:[Sittende høyde 3]])-56.2</f>
        <v>91.350000000000009</v>
      </c>
      <c r="V550" s="12">
        <f>paper3[[#This Row],[height]]-paper3[[#This Row],[sittingheight]]</f>
        <v>81.249999999999986</v>
      </c>
      <c r="W550" s="73">
        <v>62.3</v>
      </c>
      <c r="X550" s="43" cm="1">
        <f t="array" ref="X550">INDEX([1]!phvny[yphv], MATCH(1, (paper3[[#This Row],[id]]=[1]!phvny[id])*(paper3[[#This Row],[time]]=[1]!phvny[time]), 0))</f>
        <v>3.757974555193448</v>
      </c>
      <c r="Y550" s="3"/>
      <c r="Z550" s="3"/>
      <c r="AA550" s="3"/>
      <c r="AB550" s="3"/>
      <c r="AC550" s="3"/>
      <c r="AD550" s="3"/>
      <c r="AE550" s="3"/>
      <c r="AF550" s="3"/>
      <c r="AG550" s="3"/>
      <c r="AH550" s="44"/>
      <c r="AI550" s="44"/>
      <c r="AJ550" s="44"/>
      <c r="AK550" s="45"/>
      <c r="AL550" s="3"/>
      <c r="AM550" s="3"/>
      <c r="AN550" s="3"/>
      <c r="AO550" s="3"/>
      <c r="AP550" s="3"/>
      <c r="AQ550" s="47"/>
      <c r="AR550" s="47"/>
      <c r="AS550" s="3">
        <v>24.95</v>
      </c>
      <c r="AT550" s="3">
        <v>22.94</v>
      </c>
      <c r="AU550" s="3">
        <v>24.92</v>
      </c>
      <c r="AV550" s="3"/>
      <c r="AW550" s="3"/>
      <c r="AX550" s="48">
        <v>24.95</v>
      </c>
      <c r="AY550" s="3"/>
      <c r="AZ550" s="3">
        <v>9</v>
      </c>
      <c r="BA550" s="3">
        <v>260</v>
      </c>
      <c r="BB550" s="3">
        <v>10</v>
      </c>
      <c r="BC550" s="3">
        <v>284</v>
      </c>
      <c r="BD550" s="40">
        <v>1021.3395506946497</v>
      </c>
      <c r="BE550" s="40">
        <v>1052.1168969641585</v>
      </c>
      <c r="BF550" s="40"/>
      <c r="BG550" s="40">
        <v>361.72032160676531</v>
      </c>
      <c r="BH550" s="40">
        <v>371.76208833216037</v>
      </c>
      <c r="BI550" s="49">
        <v>2073.4564476588084</v>
      </c>
      <c r="BJ550" s="49">
        <v>733.48240993892568</v>
      </c>
      <c r="BK550" s="66">
        <v>-2.9252782041915393E-2</v>
      </c>
      <c r="BL550" s="66">
        <v>-2.7011271564686745E-2</v>
      </c>
      <c r="BM550" s="51">
        <v>33.281804938343633</v>
      </c>
      <c r="BN550" s="51">
        <v>11.773393417960284</v>
      </c>
      <c r="BO550" s="52"/>
      <c r="BP550" s="40"/>
      <c r="BQ550" s="40"/>
      <c r="BR550" s="67"/>
      <c r="BS550" s="54" t="s">
        <v>110</v>
      </c>
      <c r="BT550" s="3">
        <v>109</v>
      </c>
      <c r="BU550" s="40">
        <v>111</v>
      </c>
      <c r="BV550" s="3">
        <v>106</v>
      </c>
      <c r="BW550" s="3">
        <v>97</v>
      </c>
      <c r="BX550" s="70">
        <v>-1.8018018018018056E-2</v>
      </c>
      <c r="BY550" s="70">
        <v>9.2783505154639068E-2</v>
      </c>
      <c r="BZ550" s="59">
        <v>1.1443298969072164</v>
      </c>
      <c r="CA550" s="59">
        <v>1.0283018867924529</v>
      </c>
      <c r="CB550" s="59">
        <v>1.4345906902086676</v>
      </c>
      <c r="CC550" s="59">
        <v>1.3237359550561796</v>
      </c>
      <c r="CD550" s="60">
        <v>72</v>
      </c>
      <c r="CE550" s="60">
        <v>91</v>
      </c>
      <c r="CF550" s="61">
        <v>1.1556982343499198</v>
      </c>
      <c r="CG550" s="61">
        <v>1.4606741573033708</v>
      </c>
      <c r="CH550" s="61">
        <v>1.2638888888888888</v>
      </c>
      <c r="CI550" s="96">
        <v>15.2</v>
      </c>
      <c r="CJ550" s="40">
        <f>VLOOKUP(paper3[[#This Row],[YYIR nivå]],$DB:$DC,2)</f>
        <v>840</v>
      </c>
      <c r="CK550" s="3"/>
      <c r="CL550" s="62"/>
      <c r="CM550" s="63" t="s">
        <v>110</v>
      </c>
      <c r="CN550" s="3">
        <v>111</v>
      </c>
      <c r="CO550" s="3">
        <v>106</v>
      </c>
      <c r="CP550" s="41">
        <v>16.388888888888889</v>
      </c>
      <c r="CQ550" s="3" t="s">
        <v>110</v>
      </c>
      <c r="CR550" s="40">
        <v>110</v>
      </c>
      <c r="CS550" s="40">
        <v>101.5</v>
      </c>
      <c r="CT550" s="40" t="s">
        <v>110</v>
      </c>
      <c r="CU550" s="40"/>
      <c r="CV550" s="40"/>
      <c r="CW550" s="40"/>
      <c r="CX550" s="40"/>
      <c r="CY550" s="40" t="s">
        <v>125</v>
      </c>
      <c r="CZ550" s="40"/>
      <c r="DA550" s="40"/>
    </row>
    <row r="551" spans="1:105" ht="18.75" customHeight="1">
      <c r="A551" s="3">
        <v>244</v>
      </c>
      <c r="B551" s="38" t="s">
        <v>103</v>
      </c>
      <c r="C551" s="3" t="s">
        <v>171</v>
      </c>
      <c r="D551" s="3" t="s">
        <v>215</v>
      </c>
      <c r="E551" s="39">
        <v>44875</v>
      </c>
      <c r="F551" s="3" t="s">
        <v>106</v>
      </c>
      <c r="G551" s="3" t="s">
        <v>107</v>
      </c>
      <c r="H551" s="3">
        <v>2006</v>
      </c>
      <c r="I551" s="40" t="s">
        <v>116</v>
      </c>
      <c r="J551" s="39" t="s">
        <v>117</v>
      </c>
      <c r="K551" s="3">
        <v>168.8</v>
      </c>
      <c r="L551" s="3">
        <v>168.7</v>
      </c>
      <c r="M551" s="3"/>
      <c r="N551" s="3">
        <v>144.19999999999999</v>
      </c>
      <c r="O551" s="3">
        <v>144.4</v>
      </c>
      <c r="P551" s="3"/>
      <c r="Q551" s="3">
        <v>60.3</v>
      </c>
      <c r="R551" s="3">
        <v>60.3</v>
      </c>
      <c r="S551" s="3"/>
      <c r="T551" s="42">
        <v>168.75</v>
      </c>
      <c r="U551" s="42">
        <f>AVERAGE(paper3[[#This Row],[Sittende høyde 1]:[Sittende høyde 3]])-56.2</f>
        <v>88.100000000000009</v>
      </c>
      <c r="V551" s="12">
        <f>paper3[[#This Row],[height]]-paper3[[#This Row],[sittingheight]]</f>
        <v>80.649999999999991</v>
      </c>
      <c r="W551" s="73">
        <v>60.3</v>
      </c>
      <c r="X551" s="43" cm="1">
        <f t="array" ref="X551">INDEX([1]!phvny[yphv], MATCH(1, (paper3[[#This Row],[id]]=[1]!phvny[id])*(paper3[[#This Row],[time]]=[1]!phvny[time]), 0))</f>
        <v>3.3214862091111104</v>
      </c>
      <c r="Y551" s="3">
        <v>2.0299999999999998</v>
      </c>
      <c r="Z551" s="3">
        <v>3.49</v>
      </c>
      <c r="AA551" s="3">
        <v>4.8899999999999997</v>
      </c>
      <c r="AB551" s="3">
        <v>1.99</v>
      </c>
      <c r="AC551" s="3">
        <v>3.42</v>
      </c>
      <c r="AD551" s="3">
        <v>4.84</v>
      </c>
      <c r="AE551" s="3">
        <v>2.0499999999999998</v>
      </c>
      <c r="AF551" s="3">
        <v>3.49</v>
      </c>
      <c r="AG551" s="3">
        <v>4.91</v>
      </c>
      <c r="AH551" s="44">
        <v>1.99</v>
      </c>
      <c r="AI551" s="44">
        <v>3.42</v>
      </c>
      <c r="AJ551" s="44">
        <v>4.84</v>
      </c>
      <c r="AK551" s="45">
        <v>7.042253521126761</v>
      </c>
      <c r="AL551" s="3">
        <v>10.89</v>
      </c>
      <c r="AM551" s="3">
        <v>10.91</v>
      </c>
      <c r="AN551" s="3" t="s">
        <v>222</v>
      </c>
      <c r="AO551" s="3"/>
      <c r="AP551" s="3">
        <v>10.89</v>
      </c>
      <c r="AQ551" s="47">
        <v>10.89</v>
      </c>
      <c r="AR551" s="47"/>
      <c r="AS551" s="3">
        <v>31.54</v>
      </c>
      <c r="AT551" s="3">
        <v>27.57</v>
      </c>
      <c r="AU551" s="3">
        <v>30.7</v>
      </c>
      <c r="AV551" s="3"/>
      <c r="AW551" s="3"/>
      <c r="AX551" s="48">
        <v>31.54</v>
      </c>
      <c r="AY551" s="3"/>
      <c r="AZ551" s="3">
        <v>9</v>
      </c>
      <c r="BA551" s="3">
        <v>240</v>
      </c>
      <c r="BB551" s="3">
        <v>13</v>
      </c>
      <c r="BC551" s="3">
        <v>328</v>
      </c>
      <c r="BD551" s="40">
        <v>1335.0748659334595</v>
      </c>
      <c r="BE551" s="40">
        <v>1279.9068471677888</v>
      </c>
      <c r="BF551" s="40"/>
      <c r="BG551" s="40">
        <v>491.58731196278427</v>
      </c>
      <c r="BH551" s="40">
        <v>507.96225105522535</v>
      </c>
      <c r="BI551" s="49">
        <v>2614.9817131012483</v>
      </c>
      <c r="BJ551" s="49">
        <v>999.54956301800962</v>
      </c>
      <c r="BK551" s="66">
        <v>4.3103151520556215E-2</v>
      </c>
      <c r="BL551" s="66">
        <v>-3.223652753413131E-2</v>
      </c>
      <c r="BM551" s="51">
        <v>43.366197563868134</v>
      </c>
      <c r="BN551" s="51">
        <v>16.576277993665169</v>
      </c>
      <c r="BO551" s="52">
        <v>240</v>
      </c>
      <c r="BP551" s="40">
        <v>240</v>
      </c>
      <c r="BQ551" s="40">
        <v>232</v>
      </c>
      <c r="BR551" s="67">
        <v>3.4482758620689724E-2</v>
      </c>
      <c r="BS551" s="54">
        <v>3.9137645107794365</v>
      </c>
      <c r="BT551" s="3">
        <v>117</v>
      </c>
      <c r="BU551" s="40">
        <v>120</v>
      </c>
      <c r="BV551" s="3">
        <v>126</v>
      </c>
      <c r="BW551" s="3">
        <v>115</v>
      </c>
      <c r="BX551" s="70">
        <v>-2.5000000000000022E-2</v>
      </c>
      <c r="BY551" s="70">
        <v>9.565217391304337E-2</v>
      </c>
      <c r="BZ551" s="59">
        <v>1.0434782608695652</v>
      </c>
      <c r="CA551" s="59">
        <v>0.9285714285714286</v>
      </c>
      <c r="CB551" s="59">
        <v>1.5849129353233828</v>
      </c>
      <c r="CC551" s="59">
        <v>1.6116625207296849</v>
      </c>
      <c r="CD551" s="60">
        <v>88</v>
      </c>
      <c r="CE551" s="60">
        <v>74</v>
      </c>
      <c r="CF551" s="61">
        <v>1.4593698175787728</v>
      </c>
      <c r="CG551" s="61">
        <v>1.2271973466003316</v>
      </c>
      <c r="CH551" s="61">
        <v>0.84090909090909083</v>
      </c>
      <c r="CI551" s="140">
        <v>13.4</v>
      </c>
      <c r="CJ551" s="40">
        <f>VLOOKUP(paper3[[#This Row],[YYIR nivå]],$DB:$DC,2)</f>
        <v>440</v>
      </c>
      <c r="CK551" s="3"/>
      <c r="CL551" s="62"/>
      <c r="CM551" s="63" t="s">
        <v>110</v>
      </c>
      <c r="CN551" s="3">
        <v>120</v>
      </c>
      <c r="CO551" s="3">
        <v>126</v>
      </c>
      <c r="CP551" s="41">
        <v>16.194444444444443</v>
      </c>
      <c r="CQ551" s="3" t="s">
        <v>110</v>
      </c>
      <c r="CR551" s="40">
        <v>118.5</v>
      </c>
      <c r="CS551" s="40">
        <v>120.5</v>
      </c>
      <c r="CT551" s="40">
        <v>236</v>
      </c>
      <c r="CU551" s="40"/>
      <c r="CV551" s="40"/>
      <c r="CW551" s="40"/>
      <c r="CX551" s="40"/>
      <c r="CY551" s="40">
        <v>0</v>
      </c>
      <c r="CZ551" s="40"/>
      <c r="DA551" s="40"/>
    </row>
    <row r="552" spans="1:105" ht="18.75" customHeight="1">
      <c r="A552" s="3">
        <v>246</v>
      </c>
      <c r="B552" s="38" t="s">
        <v>103</v>
      </c>
      <c r="C552" s="3" t="s">
        <v>104</v>
      </c>
      <c r="D552" s="3" t="s">
        <v>215</v>
      </c>
      <c r="E552" s="39">
        <v>44875</v>
      </c>
      <c r="F552" s="3" t="s">
        <v>106</v>
      </c>
      <c r="G552" s="3" t="s">
        <v>107</v>
      </c>
      <c r="H552" s="3">
        <v>2006</v>
      </c>
      <c r="I552" s="40" t="s">
        <v>116</v>
      </c>
      <c r="J552" s="39" t="s">
        <v>117</v>
      </c>
      <c r="K552" s="3">
        <v>169.8</v>
      </c>
      <c r="L552" s="3">
        <v>170</v>
      </c>
      <c r="M552" s="3"/>
      <c r="N552" s="3">
        <v>143.5</v>
      </c>
      <c r="O552" s="3">
        <v>143.4</v>
      </c>
      <c r="P552" s="41"/>
      <c r="Q552" s="3">
        <v>64</v>
      </c>
      <c r="R552" s="3">
        <v>63.9</v>
      </c>
      <c r="S552" s="3"/>
      <c r="T552" s="42">
        <v>169.9</v>
      </c>
      <c r="U552" s="42">
        <f>AVERAGE(paper3[[#This Row],[Sittende høyde 1]:[Sittende høyde 3]])-56.2</f>
        <v>87.249999999999986</v>
      </c>
      <c r="V552" s="12">
        <f>paper3[[#This Row],[height]]-paper3[[#This Row],[sittingheight]]</f>
        <v>82.65000000000002</v>
      </c>
      <c r="W552" s="73">
        <v>63.95</v>
      </c>
      <c r="X552" s="43" cm="1">
        <f t="array" ref="X552">INDEX([1]!phvny[yphv], MATCH(1, (paper3[[#This Row],[id]]=[1]!phvny[id])*(paper3[[#This Row],[time]]=[1]!phvny[time]), 0))</f>
        <v>3.4406091551858928</v>
      </c>
      <c r="Y552" s="3">
        <v>1.96</v>
      </c>
      <c r="Z552" s="3">
        <v>3.37</v>
      </c>
      <c r="AA552" s="3">
        <v>4.76</v>
      </c>
      <c r="AB552" s="3">
        <v>1.95</v>
      </c>
      <c r="AC552" s="3">
        <v>3.34</v>
      </c>
      <c r="AD552" s="3">
        <v>4.7300000000000004</v>
      </c>
      <c r="AE552" s="3">
        <v>1.95</v>
      </c>
      <c r="AF552" s="3">
        <v>3.38</v>
      </c>
      <c r="AG552" s="3">
        <v>4.8499999999999996</v>
      </c>
      <c r="AH552" s="44">
        <v>1.95</v>
      </c>
      <c r="AI552" s="44">
        <v>3.34</v>
      </c>
      <c r="AJ552" s="44">
        <v>4.7300000000000004</v>
      </c>
      <c r="AK552" s="45">
        <v>7.1942446043165438</v>
      </c>
      <c r="AL552" s="3" t="s">
        <v>223</v>
      </c>
      <c r="AM552" s="3"/>
      <c r="AN552" s="3"/>
      <c r="AO552" s="3"/>
      <c r="AP552" s="3"/>
      <c r="AQ552" s="47"/>
      <c r="AR552" s="47"/>
      <c r="AS552" s="3">
        <v>28.88</v>
      </c>
      <c r="AT552" s="3">
        <v>28.67</v>
      </c>
      <c r="AU552" s="3">
        <v>30.67</v>
      </c>
      <c r="AV552" s="3">
        <v>31.28</v>
      </c>
      <c r="AW552" s="3">
        <v>27.93</v>
      </c>
      <c r="AX552" s="48">
        <v>31.28</v>
      </c>
      <c r="AY552" s="3"/>
      <c r="AZ552" s="3">
        <v>8</v>
      </c>
      <c r="BA552" s="3">
        <v>240</v>
      </c>
      <c r="BB552" s="3">
        <v>9</v>
      </c>
      <c r="BC552" s="3">
        <v>239</v>
      </c>
      <c r="BD552" s="40">
        <v>1058.6244949832658</v>
      </c>
      <c r="BE552" s="40">
        <v>1084.1564958936292</v>
      </c>
      <c r="BF552" s="40"/>
      <c r="BG552" s="40">
        <v>484.43653038898668</v>
      </c>
      <c r="BH552" s="40">
        <v>474.9805139839263</v>
      </c>
      <c r="BI552" s="49">
        <v>2142.780990876895</v>
      </c>
      <c r="BJ552" s="49">
        <v>959.41704437291298</v>
      </c>
      <c r="BK552" s="66">
        <v>-2.3550106471776799E-2</v>
      </c>
      <c r="BL552" s="66">
        <v>1.990821965673395E-2</v>
      </c>
      <c r="BM552" s="51">
        <v>33.480952982451484</v>
      </c>
      <c r="BN552" s="51">
        <v>14.990891318326765</v>
      </c>
      <c r="BO552" s="52">
        <v>242</v>
      </c>
      <c r="BP552" s="40">
        <v>237</v>
      </c>
      <c r="BQ552" s="40">
        <v>242</v>
      </c>
      <c r="BR552" s="67">
        <v>-2.0661157024793431E-2</v>
      </c>
      <c r="BS552" s="54">
        <v>3.7451133698201717</v>
      </c>
      <c r="BT552" s="3">
        <v>124</v>
      </c>
      <c r="BU552" s="40">
        <v>128</v>
      </c>
      <c r="BV552" s="3">
        <v>135</v>
      </c>
      <c r="BW552" s="3">
        <v>135</v>
      </c>
      <c r="BX552" s="70">
        <v>-3.125E-2</v>
      </c>
      <c r="BY552" s="70">
        <v>0</v>
      </c>
      <c r="BZ552" s="59">
        <v>0.94814814814814818</v>
      </c>
      <c r="CA552" s="59">
        <v>0.91851851851851851</v>
      </c>
      <c r="CB552" s="59">
        <v>1.628444096950743</v>
      </c>
      <c r="CC552" s="59">
        <v>1.7447615324472248</v>
      </c>
      <c r="CD552" s="60">
        <v>81</v>
      </c>
      <c r="CE552" s="60">
        <v>68</v>
      </c>
      <c r="CF552" s="61">
        <v>1.266614542611415</v>
      </c>
      <c r="CG552" s="61">
        <v>1.0633307271305708</v>
      </c>
      <c r="CH552" s="61">
        <v>0.83950617283950624</v>
      </c>
      <c r="CI552" s="96"/>
      <c r="CJ552" s="40"/>
      <c r="CK552" s="3"/>
      <c r="CL552" s="62"/>
      <c r="CM552" s="63" t="s">
        <v>110</v>
      </c>
      <c r="CN552" s="3">
        <v>128</v>
      </c>
      <c r="CO552" s="3">
        <v>135</v>
      </c>
      <c r="CP552" s="41">
        <v>16.422222222222221</v>
      </c>
      <c r="CQ552" s="3" t="s">
        <v>110</v>
      </c>
      <c r="CR552" s="40">
        <v>126</v>
      </c>
      <c r="CS552" s="40">
        <v>135</v>
      </c>
      <c r="CT552" s="40">
        <v>239.5</v>
      </c>
      <c r="CU552" s="40"/>
      <c r="CV552" s="40"/>
      <c r="CW552" s="40"/>
      <c r="CX552" s="40"/>
      <c r="CY552" s="40">
        <v>0</v>
      </c>
      <c r="CZ552" s="40"/>
      <c r="DA552" s="40"/>
    </row>
    <row r="553" spans="1:105" ht="18.75" customHeight="1">
      <c r="A553" s="3">
        <v>250</v>
      </c>
      <c r="B553" s="38" t="s">
        <v>103</v>
      </c>
      <c r="C553" s="3">
        <v>0</v>
      </c>
      <c r="D553" s="76" t="s">
        <v>215</v>
      </c>
      <c r="E553" s="39">
        <v>44819</v>
      </c>
      <c r="F553" s="3" t="s">
        <v>106</v>
      </c>
      <c r="G553" s="3" t="s">
        <v>122</v>
      </c>
      <c r="H553" s="3">
        <v>2006</v>
      </c>
      <c r="I553" s="40" t="s">
        <v>116</v>
      </c>
      <c r="J553" s="39" t="s">
        <v>157</v>
      </c>
      <c r="K553" s="3">
        <v>187</v>
      </c>
      <c r="L553" s="3">
        <v>187.8</v>
      </c>
      <c r="M553" s="3">
        <v>187.6</v>
      </c>
      <c r="N553" s="3">
        <v>147</v>
      </c>
      <c r="O553" s="3">
        <v>147.5</v>
      </c>
      <c r="P553" s="3">
        <v>147.19999999999999</v>
      </c>
      <c r="Q553" s="3">
        <v>65.5</v>
      </c>
      <c r="R553" s="3"/>
      <c r="S553" s="3"/>
      <c r="T553" s="42">
        <v>187.46666666666667</v>
      </c>
      <c r="U553" s="42">
        <f>AVERAGE(paper3[[#This Row],[Sittende høyde 1]:[Sittende høyde 3]])-56.2</f>
        <v>91.033333333333317</v>
      </c>
      <c r="V553" s="12">
        <f>paper3[[#This Row],[height]]-paper3[[#This Row],[sittingheight]]</f>
        <v>96.433333333333351</v>
      </c>
      <c r="W553" s="73">
        <v>65.5</v>
      </c>
      <c r="X553" s="43"/>
      <c r="Y553" s="60">
        <v>1.99</v>
      </c>
      <c r="Z553" s="60">
        <v>3.36</v>
      </c>
      <c r="AA553" s="60">
        <v>4.67</v>
      </c>
      <c r="AB553" s="3">
        <v>1.96</v>
      </c>
      <c r="AC553" s="3">
        <v>3.34</v>
      </c>
      <c r="AD553" s="3">
        <v>4.66</v>
      </c>
      <c r="AE553" s="3">
        <v>1.93</v>
      </c>
      <c r="AF553" s="3">
        <v>3.34</v>
      </c>
      <c r="AG553" s="60">
        <v>4.67</v>
      </c>
      <c r="AH553" s="44">
        <v>1.9</v>
      </c>
      <c r="AI553" s="44">
        <v>3.23</v>
      </c>
      <c r="AJ553" s="44">
        <v>4.4800000000000004</v>
      </c>
      <c r="AK553" s="45">
        <v>7.9999999999999973</v>
      </c>
      <c r="AL553" s="60">
        <v>10.54</v>
      </c>
      <c r="AM553" s="60">
        <v>10.210000000000001</v>
      </c>
      <c r="AN553" s="60">
        <v>10.29</v>
      </c>
      <c r="AO553" s="60">
        <v>10.17</v>
      </c>
      <c r="AP553" s="3">
        <v>10.17</v>
      </c>
      <c r="AQ553" s="47">
        <v>10.210000000000001</v>
      </c>
      <c r="AR553" s="47">
        <v>10.17</v>
      </c>
      <c r="AS553" s="3">
        <v>29.83</v>
      </c>
      <c r="AT553" s="3">
        <v>21.54</v>
      </c>
      <c r="AU553" s="3">
        <v>29.48</v>
      </c>
      <c r="AV553" s="3"/>
      <c r="AW553" s="3"/>
      <c r="AX553" s="48">
        <v>29.83</v>
      </c>
      <c r="AY553" s="3"/>
      <c r="AZ553" s="3"/>
      <c r="BA553" s="3"/>
      <c r="BB553" s="3"/>
      <c r="BC553" s="3">
        <v>244</v>
      </c>
      <c r="BD553" s="40">
        <v>1051.5213055882123</v>
      </c>
      <c r="BE553" s="40">
        <v>1044.2570234702303</v>
      </c>
      <c r="BF553" s="40"/>
      <c r="BG553" s="40">
        <v>416.03061735988689</v>
      </c>
      <c r="BH553" s="40">
        <v>377.2404924987548</v>
      </c>
      <c r="BI553" s="49">
        <v>2095.7783290584425</v>
      </c>
      <c r="BJ553" s="49">
        <v>793.27110985864169</v>
      </c>
      <c r="BK553" s="66">
        <v>6.9564120276075503E-3</v>
      </c>
      <c r="BL553" s="66">
        <v>0.10282598404056564</v>
      </c>
      <c r="BM553" s="51">
        <v>31.996615710815917</v>
      </c>
      <c r="BN553" s="51">
        <v>12.111009310818957</v>
      </c>
      <c r="BO553" s="52">
        <v>319</v>
      </c>
      <c r="BP553" s="40">
        <v>242</v>
      </c>
      <c r="BQ553" s="40">
        <v>319</v>
      </c>
      <c r="BR553" s="67">
        <v>-0.24137931034482762</v>
      </c>
      <c r="BS553" s="54">
        <v>4.2824427480916034</v>
      </c>
      <c r="BT553" s="3">
        <v>144</v>
      </c>
      <c r="BU553" s="40">
        <v>156</v>
      </c>
      <c r="BV553" s="3"/>
      <c r="BW553" s="3"/>
      <c r="BX553" s="70">
        <v>-7.6923076923076872E-2</v>
      </c>
      <c r="BY553" s="70"/>
      <c r="BZ553" s="59"/>
      <c r="CA553" s="59"/>
      <c r="CB553" s="59">
        <v>2.2083969465648861</v>
      </c>
      <c r="CC553" s="59" t="s">
        <v>110</v>
      </c>
      <c r="CD553" s="60">
        <v>82</v>
      </c>
      <c r="CE553" s="60">
        <v>80</v>
      </c>
      <c r="CF553" s="61">
        <v>1.251908396946565</v>
      </c>
      <c r="CG553" s="61">
        <v>1.2213740458015268</v>
      </c>
      <c r="CH553" s="61">
        <v>0.97560975609756095</v>
      </c>
      <c r="CI553" s="41"/>
      <c r="CJ553" s="40"/>
      <c r="CK553" s="3"/>
      <c r="CL553" s="62"/>
      <c r="CM553" s="63" t="s">
        <v>110</v>
      </c>
      <c r="CN553" s="3">
        <v>156</v>
      </c>
      <c r="CO553" s="3"/>
      <c r="CP553" s="41"/>
      <c r="CQ553" s="3" t="s">
        <v>110</v>
      </c>
      <c r="CR553" s="40">
        <v>150</v>
      </c>
      <c r="CS553" s="40" t="s">
        <v>110</v>
      </c>
      <c r="CT553" s="40">
        <v>280.5</v>
      </c>
      <c r="CU553" s="40"/>
      <c r="CV553" s="40"/>
      <c r="CW553" s="40"/>
      <c r="CX553" s="40"/>
      <c r="CY553" s="40">
        <v>0</v>
      </c>
      <c r="CZ553" s="40"/>
      <c r="DA553" s="40"/>
    </row>
    <row r="554" spans="1:105" ht="18.75" customHeight="1">
      <c r="A554" s="3">
        <v>251</v>
      </c>
      <c r="B554" s="38" t="s">
        <v>103</v>
      </c>
      <c r="C554" s="3">
        <v>0</v>
      </c>
      <c r="D554" s="76" t="s">
        <v>215</v>
      </c>
      <c r="E554" s="39">
        <v>44819</v>
      </c>
      <c r="F554" s="3" t="s">
        <v>106</v>
      </c>
      <c r="G554" s="3" t="s">
        <v>122</v>
      </c>
      <c r="H554" s="3">
        <v>2006</v>
      </c>
      <c r="I554" s="40" t="s">
        <v>116</v>
      </c>
      <c r="J554" s="39" t="s">
        <v>157</v>
      </c>
      <c r="K554" s="3">
        <v>195.4</v>
      </c>
      <c r="L554" s="3">
        <v>195.7</v>
      </c>
      <c r="M554" s="3">
        <v>195.7</v>
      </c>
      <c r="N554" s="3">
        <v>153.9</v>
      </c>
      <c r="O554" s="3">
        <v>154.19999999999999</v>
      </c>
      <c r="P554" s="3">
        <v>154.4</v>
      </c>
      <c r="Q554" s="3">
        <v>75.599999999999994</v>
      </c>
      <c r="R554" s="3"/>
      <c r="S554" s="3"/>
      <c r="T554" s="42">
        <v>195.6</v>
      </c>
      <c r="U554" s="42">
        <f>AVERAGE(paper3[[#This Row],[Sittende høyde 1]:[Sittende høyde 3]])-56.2</f>
        <v>97.966666666666654</v>
      </c>
      <c r="V554" s="12">
        <f>paper3[[#This Row],[height]]-paper3[[#This Row],[sittingheight]]</f>
        <v>97.63333333333334</v>
      </c>
      <c r="W554" s="73">
        <v>75.599999999999994</v>
      </c>
      <c r="X554" s="43" cm="1">
        <f t="array" ref="X554">INDEX([1]!phvny[yphv], MATCH(1, (paper3[[#This Row],[id]]=[1]!phvny[id])*(paper3[[#This Row],[time]]=[1]!phvny[time]), 0))</f>
        <v>3.2464869895266979</v>
      </c>
      <c r="Y554" s="60">
        <v>1.96</v>
      </c>
      <c r="Z554" s="60">
        <v>3.31</v>
      </c>
      <c r="AA554" s="60">
        <v>4.58</v>
      </c>
      <c r="AB554" s="3">
        <v>1.9</v>
      </c>
      <c r="AC554" s="3">
        <v>3.24</v>
      </c>
      <c r="AD554" s="3">
        <v>4.51</v>
      </c>
      <c r="AE554" s="3">
        <v>1.9</v>
      </c>
      <c r="AF554" s="3">
        <v>3.23</v>
      </c>
      <c r="AG554" s="60">
        <v>4.4800000000000004</v>
      </c>
      <c r="AH554" s="44">
        <v>1.9</v>
      </c>
      <c r="AI554" s="44">
        <v>3.24</v>
      </c>
      <c r="AJ554" s="44">
        <v>4.51</v>
      </c>
      <c r="AK554" s="45">
        <v>7.874015748031499</v>
      </c>
      <c r="AL554" s="60">
        <v>9.81</v>
      </c>
      <c r="AM554" s="60">
        <v>9.73</v>
      </c>
      <c r="AN554" s="60">
        <v>9.7899999999999991</v>
      </c>
      <c r="AO554" s="60">
        <v>9.44</v>
      </c>
      <c r="AP554" s="3">
        <v>9.44</v>
      </c>
      <c r="AQ554" s="47">
        <v>9.73</v>
      </c>
      <c r="AR554" s="47">
        <v>9.44</v>
      </c>
      <c r="AS554" s="3">
        <v>31.82</v>
      </c>
      <c r="AT554" s="3"/>
      <c r="AU554" s="3">
        <v>31.61</v>
      </c>
      <c r="AV554" s="3"/>
      <c r="AW554" s="3"/>
      <c r="AX554" s="48">
        <v>31.82</v>
      </c>
      <c r="AY554" s="3"/>
      <c r="AZ554" s="3"/>
      <c r="BA554" s="3"/>
      <c r="BB554" s="3"/>
      <c r="BC554" s="3">
        <v>320</v>
      </c>
      <c r="BD554" s="40">
        <v>1080.087131244087</v>
      </c>
      <c r="BE554" s="40">
        <v>1153.8237441592544</v>
      </c>
      <c r="BF554" s="40"/>
      <c r="BG554" s="40">
        <v>682.52591703131031</v>
      </c>
      <c r="BH554" s="40">
        <v>651.45705885499126</v>
      </c>
      <c r="BI554" s="49">
        <v>2233.9108754033414</v>
      </c>
      <c r="BJ554" s="49">
        <v>1333.9829758863016</v>
      </c>
      <c r="BK554" s="66">
        <v>-6.3906305697406407E-2</v>
      </c>
      <c r="BL554" s="66">
        <v>4.7691337063606287E-2</v>
      </c>
      <c r="BM554" s="51">
        <v>29.549085653483353</v>
      </c>
      <c r="BN554" s="51">
        <v>17.645277458813514</v>
      </c>
      <c r="BO554" s="52">
        <v>386</v>
      </c>
      <c r="BP554" s="40">
        <v>385</v>
      </c>
      <c r="BQ554" s="40">
        <v>386</v>
      </c>
      <c r="BR554" s="67">
        <v>-2.5906735751295429E-3</v>
      </c>
      <c r="BS554" s="54">
        <v>5.0992063492063497</v>
      </c>
      <c r="BT554" s="3">
        <v>207</v>
      </c>
      <c r="BU554" s="40">
        <v>217</v>
      </c>
      <c r="BV554" s="3">
        <v>120</v>
      </c>
      <c r="BW554" s="3">
        <v>122</v>
      </c>
      <c r="BX554" s="70">
        <v>-4.6082949308755783E-2</v>
      </c>
      <c r="BY554" s="70">
        <v>-1.6393442622950838E-2</v>
      </c>
      <c r="BZ554" s="59">
        <v>1.778688524590164</v>
      </c>
      <c r="CA554" s="59">
        <v>1.7250000000000001</v>
      </c>
      <c r="CB554" s="59">
        <v>2.737865961199295</v>
      </c>
      <c r="CC554" s="59">
        <v>1.5626499118165786</v>
      </c>
      <c r="CD554" s="60">
        <v>109</v>
      </c>
      <c r="CE554" s="60">
        <v>62</v>
      </c>
      <c r="CF554" s="61">
        <v>1.4417989417989419</v>
      </c>
      <c r="CG554" s="61">
        <v>0.82010582010582012</v>
      </c>
      <c r="CH554" s="61">
        <v>0.56880733944954132</v>
      </c>
      <c r="CI554" s="41"/>
      <c r="CJ554" s="40"/>
      <c r="CK554" s="3"/>
      <c r="CL554" s="62"/>
      <c r="CM554" s="63" t="s">
        <v>110</v>
      </c>
      <c r="CN554" s="3">
        <v>217</v>
      </c>
      <c r="CO554" s="3">
        <v>122</v>
      </c>
      <c r="CP554" s="41">
        <f>_xlfn.MAXIFS([1]!phvny[age],[1]!phvny[id],paper3[[#This Row],[id]],[1]!phvny[time],paper3[[#This Row],[time]])</f>
        <v>16.538888888888888</v>
      </c>
      <c r="CQ554" s="3" t="s">
        <v>110</v>
      </c>
      <c r="CR554" s="40">
        <v>212</v>
      </c>
      <c r="CS554" s="40">
        <v>121</v>
      </c>
      <c r="CT554" s="40">
        <v>385.5</v>
      </c>
      <c r="CU554" s="40"/>
      <c r="CV554" s="40"/>
      <c r="CW554" s="40"/>
      <c r="CX554" s="40"/>
      <c r="CY554" s="40">
        <v>0</v>
      </c>
      <c r="CZ554" s="40"/>
      <c r="DA554" s="40"/>
    </row>
    <row r="555" spans="1:105" ht="18.75" customHeight="1">
      <c r="A555" s="3">
        <v>252</v>
      </c>
      <c r="B555" s="38" t="s">
        <v>103</v>
      </c>
      <c r="C555" s="3" t="s">
        <v>104</v>
      </c>
      <c r="D555" s="3" t="s">
        <v>215</v>
      </c>
      <c r="E555" s="39">
        <v>44875</v>
      </c>
      <c r="F555" s="3" t="s">
        <v>106</v>
      </c>
      <c r="G555" s="3" t="s">
        <v>107</v>
      </c>
      <c r="H555" s="3">
        <v>2006</v>
      </c>
      <c r="I555" s="40" t="s">
        <v>116</v>
      </c>
      <c r="J555" s="39" t="s">
        <v>117</v>
      </c>
      <c r="K555" s="3">
        <v>163.19999999999999</v>
      </c>
      <c r="L555" s="3">
        <v>163.30000000000001</v>
      </c>
      <c r="M555" s="3"/>
      <c r="N555" s="3">
        <v>141.4</v>
      </c>
      <c r="O555" s="3">
        <v>141.4</v>
      </c>
      <c r="P555" s="3"/>
      <c r="Q555" s="3">
        <v>69.099999999999994</v>
      </c>
      <c r="R555" s="3">
        <v>69.099999999999994</v>
      </c>
      <c r="S555" s="3"/>
      <c r="T555" s="42">
        <v>163.25</v>
      </c>
      <c r="U555" s="42">
        <f>AVERAGE(paper3[[#This Row],[Sittende høyde 1]:[Sittende høyde 3]])-56.2</f>
        <v>85.2</v>
      </c>
      <c r="V555" s="12">
        <f>paper3[[#This Row],[height]]-paper3[[#This Row],[sittingheight]]</f>
        <v>78.05</v>
      </c>
      <c r="W555" s="73">
        <v>69.099999999999994</v>
      </c>
      <c r="X555" s="43" cm="1">
        <f t="array" ref="X555">INDEX([1]!phvny[yphv], MATCH(1, (paper3[[#This Row],[id]]=[1]!phvny[id])*(paper3[[#This Row],[time]]=[1]!phvny[time]), 0))</f>
        <v>3.2577288877180539</v>
      </c>
      <c r="Y555" s="3">
        <v>2.09</v>
      </c>
      <c r="Z555" s="3">
        <v>3.64</v>
      </c>
      <c r="AA555" s="3">
        <v>5.16</v>
      </c>
      <c r="AB555" s="3">
        <v>2.11</v>
      </c>
      <c r="AC555" s="3">
        <v>3.67</v>
      </c>
      <c r="AD555" s="3">
        <v>5.19</v>
      </c>
      <c r="AE555" s="3">
        <v>2.12</v>
      </c>
      <c r="AF555" s="3">
        <v>3.74</v>
      </c>
      <c r="AG555" s="3">
        <v>5.32</v>
      </c>
      <c r="AH555" s="44">
        <v>2.09</v>
      </c>
      <c r="AI555" s="44">
        <v>3.64</v>
      </c>
      <c r="AJ555" s="44">
        <v>5.16</v>
      </c>
      <c r="AK555" s="45">
        <v>6.5789473684210522</v>
      </c>
      <c r="AL555" s="3">
        <v>11.45</v>
      </c>
      <c r="AM555" s="3" t="s">
        <v>224</v>
      </c>
      <c r="AN555" s="3"/>
      <c r="AO555" s="3"/>
      <c r="AP555" s="3">
        <v>11.45</v>
      </c>
      <c r="AQ555" s="47">
        <v>11.45</v>
      </c>
      <c r="AR555" s="47"/>
      <c r="AS555" s="3">
        <v>20.73</v>
      </c>
      <c r="AT555" s="3">
        <v>20.079999999999998</v>
      </c>
      <c r="AU555" s="3">
        <v>21.49</v>
      </c>
      <c r="AV555" s="3">
        <v>22.01</v>
      </c>
      <c r="AW555" s="3"/>
      <c r="AX555" s="48">
        <v>22.01</v>
      </c>
      <c r="AY555" s="3"/>
      <c r="AZ555" s="3">
        <v>8</v>
      </c>
      <c r="BA555" s="3">
        <v>260</v>
      </c>
      <c r="BB555" s="3">
        <v>9</v>
      </c>
      <c r="BC555" s="3">
        <v>259</v>
      </c>
      <c r="BD555" s="159"/>
      <c r="BE555" s="159"/>
      <c r="BF555" s="40"/>
      <c r="BG555" s="40">
        <v>484.6187452728484</v>
      </c>
      <c r="BH555" s="40">
        <v>468.25744875558564</v>
      </c>
      <c r="BI555" s="49"/>
      <c r="BJ555" s="49">
        <v>952.87619402843404</v>
      </c>
      <c r="BK555" s="66"/>
      <c r="BL555" s="66">
        <v>3.4940814205398407E-2</v>
      </c>
      <c r="BM555" s="51"/>
      <c r="BN555" s="51">
        <v>13.789814674796443</v>
      </c>
      <c r="BO555" s="52">
        <v>295</v>
      </c>
      <c r="BP555" s="40">
        <v>295</v>
      </c>
      <c r="BQ555" s="40">
        <v>266</v>
      </c>
      <c r="BR555" s="67">
        <v>0.10902255639097747</v>
      </c>
      <c r="BS555" s="54">
        <v>4.0593342981186691</v>
      </c>
      <c r="BT555" s="3">
        <v>105</v>
      </c>
      <c r="BU555" s="40">
        <v>116</v>
      </c>
      <c r="BV555" s="3">
        <v>127</v>
      </c>
      <c r="BW555" s="3">
        <v>130</v>
      </c>
      <c r="BX555" s="70">
        <v>-9.4827586206896575E-2</v>
      </c>
      <c r="BY555" s="70">
        <v>-2.3076923076923106E-2</v>
      </c>
      <c r="BZ555" s="59">
        <v>0.89230769230769236</v>
      </c>
      <c r="CA555" s="59">
        <v>0.82677165354330706</v>
      </c>
      <c r="CB555" s="59">
        <v>1.2481222865412447</v>
      </c>
      <c r="CC555" s="59">
        <v>1.4514363241678727</v>
      </c>
      <c r="CD555" s="60">
        <v>72</v>
      </c>
      <c r="CE555" s="60">
        <v>77</v>
      </c>
      <c r="CF555" s="61">
        <v>1.0419681620839365</v>
      </c>
      <c r="CG555" s="61">
        <v>1.1143270622286543</v>
      </c>
      <c r="CH555" s="61">
        <v>1.0694444444444444</v>
      </c>
      <c r="CI555" s="140">
        <v>15.1</v>
      </c>
      <c r="CJ555" s="40">
        <f>VLOOKUP(paper3[[#This Row],[YYIR nivå]],$DB:$DC,2)</f>
        <v>800</v>
      </c>
      <c r="CK555" s="3"/>
      <c r="CL555" s="62"/>
      <c r="CM555" s="63" t="s">
        <v>110</v>
      </c>
      <c r="CN555" s="3">
        <v>116</v>
      </c>
      <c r="CO555" s="3">
        <v>130</v>
      </c>
      <c r="CP555" s="41">
        <v>16.730555555555554</v>
      </c>
      <c r="CQ555" s="3" t="s">
        <v>110</v>
      </c>
      <c r="CR555" s="40">
        <v>110.5</v>
      </c>
      <c r="CS555" s="40">
        <v>128.5</v>
      </c>
      <c r="CT555" s="40">
        <v>280.5</v>
      </c>
      <c r="CU555" s="40"/>
      <c r="CV555" s="40"/>
      <c r="CW555" s="40"/>
      <c r="CX555" s="40"/>
      <c r="CY555" s="40">
        <v>0</v>
      </c>
      <c r="CZ555" s="40"/>
      <c r="DA555" s="40"/>
    </row>
    <row r="556" spans="1:105" ht="18.75" customHeight="1">
      <c r="A556" s="3">
        <v>253</v>
      </c>
      <c r="B556" s="38" t="s">
        <v>103</v>
      </c>
      <c r="C556" s="3" t="s">
        <v>115</v>
      </c>
      <c r="D556" s="3" t="s">
        <v>215</v>
      </c>
      <c r="E556" s="39">
        <v>44875</v>
      </c>
      <c r="F556" s="3" t="s">
        <v>106</v>
      </c>
      <c r="G556" s="3" t="s">
        <v>107</v>
      </c>
      <c r="H556" s="3">
        <v>2006</v>
      </c>
      <c r="I556" s="40" t="s">
        <v>116</v>
      </c>
      <c r="J556" s="39" t="s">
        <v>117</v>
      </c>
      <c r="K556" s="3">
        <v>172.5</v>
      </c>
      <c r="L556" s="3">
        <v>172.5</v>
      </c>
      <c r="M556" s="3"/>
      <c r="N556" s="3">
        <v>146</v>
      </c>
      <c r="O556" s="3">
        <v>145.9</v>
      </c>
      <c r="P556" s="3"/>
      <c r="Q556" s="3">
        <v>53.5</v>
      </c>
      <c r="R556" s="3">
        <v>53.5</v>
      </c>
      <c r="S556" s="3"/>
      <c r="T556" s="42">
        <v>172.5</v>
      </c>
      <c r="U556" s="42">
        <f>AVERAGE(paper3[[#This Row],[Sittende høyde 1]:[Sittende høyde 3]])-56.2</f>
        <v>89.749999999999986</v>
      </c>
      <c r="V556" s="12">
        <f>paper3[[#This Row],[height]]-paper3[[#This Row],[sittingheight]]</f>
        <v>82.750000000000014</v>
      </c>
      <c r="W556" s="73">
        <v>53.5</v>
      </c>
      <c r="X556" s="43" cm="1">
        <f t="array" ref="X556">INDEX([1]!phvny[yphv], MATCH(1, (paper3[[#This Row],[id]]=[1]!phvny[id])*(paper3[[#This Row],[time]]=[1]!phvny[time]), 0))</f>
        <v>3.4846060754528971</v>
      </c>
      <c r="Y556" s="3">
        <v>1.96</v>
      </c>
      <c r="Z556" s="3">
        <v>3.4</v>
      </c>
      <c r="AA556" s="3">
        <v>4.8099999999999996</v>
      </c>
      <c r="AB556" s="3">
        <v>1.97</v>
      </c>
      <c r="AC556" s="3">
        <v>3.41</v>
      </c>
      <c r="AD556" s="3">
        <v>4.8099999999999996</v>
      </c>
      <c r="AE556" s="3">
        <v>1.97</v>
      </c>
      <c r="AF556" s="3">
        <v>3.45</v>
      </c>
      <c r="AG556" s="3">
        <v>4.88</v>
      </c>
      <c r="AH556" s="44">
        <v>1.96</v>
      </c>
      <c r="AI556" s="44">
        <v>3.4</v>
      </c>
      <c r="AJ556" s="44">
        <v>4.8099999999999996</v>
      </c>
      <c r="AK556" s="45">
        <v>7.092198581560285</v>
      </c>
      <c r="AL556" s="3">
        <v>10.45</v>
      </c>
      <c r="AM556" s="3">
        <v>10.46</v>
      </c>
      <c r="AN556" s="3">
        <v>10.71</v>
      </c>
      <c r="AO556" s="3">
        <v>10.62</v>
      </c>
      <c r="AP556" s="3">
        <v>10.45</v>
      </c>
      <c r="AQ556" s="47">
        <v>10.45</v>
      </c>
      <c r="AR556" s="47">
        <v>10.62</v>
      </c>
      <c r="AS556" s="3">
        <v>20.52</v>
      </c>
      <c r="AT556" s="3">
        <v>23.29</v>
      </c>
      <c r="AU556" s="3">
        <v>24.96</v>
      </c>
      <c r="AV556" s="3">
        <v>21.81</v>
      </c>
      <c r="AW556" s="3"/>
      <c r="AX556" s="48">
        <v>24.96</v>
      </c>
      <c r="AY556" s="3"/>
      <c r="AZ556" s="3">
        <v>9</v>
      </c>
      <c r="BA556" s="3">
        <v>229</v>
      </c>
      <c r="BB556" s="3">
        <v>10</v>
      </c>
      <c r="BC556" s="3">
        <v>250</v>
      </c>
      <c r="BD556" s="40">
        <v>1029.2650986849126</v>
      </c>
      <c r="BE556" s="40">
        <v>986.12559429196494</v>
      </c>
      <c r="BF556" s="40"/>
      <c r="BG556" s="40">
        <v>419.25404866259203</v>
      </c>
      <c r="BH556" s="40">
        <v>379.43245685440144</v>
      </c>
      <c r="BI556" s="49">
        <v>2015.3906929768775</v>
      </c>
      <c r="BJ556" s="49">
        <v>798.68650551699352</v>
      </c>
      <c r="BK556" s="66">
        <v>4.3746460534696663E-2</v>
      </c>
      <c r="BL556" s="66">
        <v>0.10495040972067193</v>
      </c>
      <c r="BM556" s="51">
        <v>37.670854074334159</v>
      </c>
      <c r="BN556" s="51">
        <v>14.928719729289599</v>
      </c>
      <c r="BO556" s="52">
        <v>240</v>
      </c>
      <c r="BP556" s="40">
        <v>220</v>
      </c>
      <c r="BQ556" s="40">
        <v>240</v>
      </c>
      <c r="BR556" s="67">
        <v>-8.333333333333337E-2</v>
      </c>
      <c r="BS556" s="54">
        <v>4.2990654205607477</v>
      </c>
      <c r="BT556" s="3">
        <v>109</v>
      </c>
      <c r="BU556" s="40">
        <v>117</v>
      </c>
      <c r="BV556" s="3">
        <v>106</v>
      </c>
      <c r="BW556" s="3">
        <v>107</v>
      </c>
      <c r="BX556" s="70">
        <v>-6.8376068376068355E-2</v>
      </c>
      <c r="BY556" s="70">
        <v>-9.3457943925233655E-3</v>
      </c>
      <c r="BZ556" s="59">
        <v>1.0934579439252337</v>
      </c>
      <c r="CA556" s="59">
        <v>1.0283018867924529</v>
      </c>
      <c r="CB556" s="59">
        <v>1.7478037383177571</v>
      </c>
      <c r="CC556" s="59">
        <v>1.6472663551401872</v>
      </c>
      <c r="CD556" s="60">
        <v>65</v>
      </c>
      <c r="CE556" s="60">
        <v>76</v>
      </c>
      <c r="CF556" s="61">
        <v>1.2149532710280373</v>
      </c>
      <c r="CG556" s="61">
        <v>1.4205607476635513</v>
      </c>
      <c r="CH556" s="61">
        <v>1.1692307692307693</v>
      </c>
      <c r="CI556" s="96"/>
      <c r="CJ556" s="40"/>
      <c r="CK556" s="3"/>
      <c r="CL556" s="62"/>
      <c r="CM556" s="63" t="s">
        <v>110</v>
      </c>
      <c r="CN556" s="3">
        <v>117</v>
      </c>
      <c r="CO556" s="3">
        <v>107</v>
      </c>
      <c r="CP556" s="41">
        <v>16.091666666666665</v>
      </c>
      <c r="CQ556" s="3" t="s">
        <v>110</v>
      </c>
      <c r="CR556" s="40">
        <v>113</v>
      </c>
      <c r="CS556" s="40">
        <v>106.5</v>
      </c>
      <c r="CT556" s="40">
        <v>230</v>
      </c>
      <c r="CU556" s="40"/>
      <c r="CV556" s="40"/>
      <c r="CW556" s="40"/>
      <c r="CX556" s="40"/>
      <c r="CY556" s="40">
        <v>0</v>
      </c>
      <c r="CZ556" s="40"/>
      <c r="DA556" s="40"/>
    </row>
    <row r="557" spans="1:105" ht="18.75" customHeight="1">
      <c r="A557" s="3">
        <v>254</v>
      </c>
      <c r="B557" s="38" t="s">
        <v>103</v>
      </c>
      <c r="C557" s="3" t="s">
        <v>104</v>
      </c>
      <c r="D557" s="3" t="s">
        <v>215</v>
      </c>
      <c r="E557" s="39">
        <v>44875</v>
      </c>
      <c r="F557" s="3" t="s">
        <v>106</v>
      </c>
      <c r="G557" s="3" t="s">
        <v>107</v>
      </c>
      <c r="H557" s="3">
        <v>2006</v>
      </c>
      <c r="I557" s="40" t="s">
        <v>116</v>
      </c>
      <c r="J557" s="39" t="s">
        <v>117</v>
      </c>
      <c r="K557" s="3">
        <v>170.4</v>
      </c>
      <c r="L557" s="3">
        <v>170.5</v>
      </c>
      <c r="M557" s="3"/>
      <c r="N557" s="3">
        <v>145.19999999999999</v>
      </c>
      <c r="O557" s="3">
        <v>145.19999999999999</v>
      </c>
      <c r="P557" s="3"/>
      <c r="Q557" s="3">
        <v>61.7</v>
      </c>
      <c r="R557" s="3">
        <v>61.7</v>
      </c>
      <c r="S557" s="3"/>
      <c r="T557" s="42">
        <v>170.45</v>
      </c>
      <c r="U557" s="42">
        <f>AVERAGE(paper3[[#This Row],[Sittende høyde 1]:[Sittende høyde 3]])-56.2</f>
        <v>88.999999999999986</v>
      </c>
      <c r="V557" s="12">
        <f>paper3[[#This Row],[height]]-paper3[[#This Row],[sittingheight]]</f>
        <v>81.45</v>
      </c>
      <c r="W557" s="73">
        <v>61.7</v>
      </c>
      <c r="X557" s="43" cm="1">
        <f t="array" ref="X557">INDEX([1]!phvny[yphv], MATCH(1, (paper3[[#This Row],[id]]=[1]!phvny[id])*(paper3[[#This Row],[time]]=[1]!phvny[time]), 0))</f>
        <v>3.6606218562696764</v>
      </c>
      <c r="Y557" s="3">
        <v>2.08</v>
      </c>
      <c r="Z557" s="3">
        <v>3.57</v>
      </c>
      <c r="AA557" s="3">
        <v>5.05</v>
      </c>
      <c r="AB557" s="3">
        <v>2.04</v>
      </c>
      <c r="AC557" s="3">
        <v>3.55</v>
      </c>
      <c r="AD557" s="3">
        <v>5.01</v>
      </c>
      <c r="AE557" s="3">
        <v>2.0699999999999998</v>
      </c>
      <c r="AF557" s="3">
        <v>3.6</v>
      </c>
      <c r="AG557" s="3">
        <v>5.0599999999999996</v>
      </c>
      <c r="AH557" s="44">
        <v>2.04</v>
      </c>
      <c r="AI557" s="44">
        <v>3.55</v>
      </c>
      <c r="AJ557" s="44">
        <v>5.01</v>
      </c>
      <c r="AK557" s="45">
        <v>6.8493150684931505</v>
      </c>
      <c r="AL557" s="3">
        <v>11.02</v>
      </c>
      <c r="AM557" s="3">
        <v>10.87</v>
      </c>
      <c r="AN557" s="3">
        <v>11.27</v>
      </c>
      <c r="AO557" s="3">
        <v>11.06</v>
      </c>
      <c r="AP557" s="3">
        <v>10.87</v>
      </c>
      <c r="AQ557" s="47">
        <v>10.87</v>
      </c>
      <c r="AR557" s="47">
        <v>11.06</v>
      </c>
      <c r="AS557" s="3"/>
      <c r="AT557" s="3">
        <v>31.75</v>
      </c>
      <c r="AU557" s="3">
        <v>30.83</v>
      </c>
      <c r="AV557" s="3"/>
      <c r="AW557" s="3"/>
      <c r="AX557" s="48">
        <v>31.75</v>
      </c>
      <c r="AY557" s="3"/>
      <c r="AZ557" s="3">
        <v>9</v>
      </c>
      <c r="BA557" s="3">
        <v>280</v>
      </c>
      <c r="BB557" s="3">
        <v>100</v>
      </c>
      <c r="BC557" s="3">
        <v>306</v>
      </c>
      <c r="BD557" s="40">
        <v>1363.5682644066057</v>
      </c>
      <c r="BE557" s="40">
        <v>1369.1730846696616</v>
      </c>
      <c r="BF557" s="40"/>
      <c r="BG557" s="40">
        <v>455.88451774065152</v>
      </c>
      <c r="BH557" s="40">
        <v>462.13132809134424</v>
      </c>
      <c r="BI557" s="49">
        <v>2732.7413490762674</v>
      </c>
      <c r="BJ557" s="49">
        <v>918.01584583199576</v>
      </c>
      <c r="BK557" s="66">
        <v>-4.0935805164532546E-3</v>
      </c>
      <c r="BL557" s="66">
        <v>-1.3517392072276868E-2</v>
      </c>
      <c r="BM557" s="51">
        <v>44.290783615498661</v>
      </c>
      <c r="BN557" s="51">
        <v>14.878700904894583</v>
      </c>
      <c r="BO557" s="52">
        <v>325</v>
      </c>
      <c r="BP557" s="40">
        <v>325</v>
      </c>
      <c r="BQ557" s="40">
        <v>271</v>
      </c>
      <c r="BR557" s="67">
        <v>0.19926199261992616</v>
      </c>
      <c r="BS557" s="54">
        <v>4.8298217179902752</v>
      </c>
      <c r="BT557" s="3">
        <v>126</v>
      </c>
      <c r="BU557" s="40">
        <v>125</v>
      </c>
      <c r="BV557" s="3">
        <v>102</v>
      </c>
      <c r="BW557" s="3">
        <v>95</v>
      </c>
      <c r="BX557" s="70">
        <v>8.0000000000000071E-3</v>
      </c>
      <c r="BY557" s="70">
        <v>7.3684210526315796E-2</v>
      </c>
      <c r="BZ557" s="59">
        <v>1.3157894736842106</v>
      </c>
      <c r="CA557" s="59">
        <v>1.2352941176470589</v>
      </c>
      <c r="CB557" s="59">
        <v>1.656722042139384</v>
      </c>
      <c r="CC557" s="59">
        <v>1.3002957860615882</v>
      </c>
      <c r="CD557" s="60">
        <v>72</v>
      </c>
      <c r="CE557" s="60">
        <v>76</v>
      </c>
      <c r="CF557" s="61">
        <v>1.1669367909238249</v>
      </c>
      <c r="CG557" s="61">
        <v>1.2317666126418152</v>
      </c>
      <c r="CH557" s="61">
        <v>1.0555555555555556</v>
      </c>
      <c r="CI557" s="140"/>
      <c r="CJ557" s="40"/>
      <c r="CK557" s="3"/>
      <c r="CL557" s="62"/>
      <c r="CM557" s="63" t="s">
        <v>110</v>
      </c>
      <c r="CN557" s="3">
        <v>126</v>
      </c>
      <c r="CO557" s="3">
        <v>102</v>
      </c>
      <c r="CP557" s="41">
        <v>16.611111111111111</v>
      </c>
      <c r="CQ557" s="3" t="s">
        <v>110</v>
      </c>
      <c r="CR557" s="40">
        <v>125.5</v>
      </c>
      <c r="CS557" s="40">
        <v>98.5</v>
      </c>
      <c r="CT557" s="40">
        <v>298</v>
      </c>
      <c r="CU557" s="40"/>
      <c r="CV557" s="40"/>
      <c r="CW557" s="40"/>
      <c r="CX557" s="40"/>
      <c r="CY557" s="40">
        <v>0</v>
      </c>
      <c r="CZ557" s="40"/>
      <c r="DA557" s="40"/>
    </row>
    <row r="558" spans="1:105" ht="18.75" customHeight="1">
      <c r="A558" s="3">
        <v>255</v>
      </c>
      <c r="B558" s="38" t="s">
        <v>103</v>
      </c>
      <c r="C558" s="3" t="s">
        <v>104</v>
      </c>
      <c r="D558" s="3" t="s">
        <v>215</v>
      </c>
      <c r="E558" s="39">
        <v>44875</v>
      </c>
      <c r="F558" s="3" t="s">
        <v>106</v>
      </c>
      <c r="G558" s="3" t="s">
        <v>107</v>
      </c>
      <c r="H558" s="3">
        <v>2006</v>
      </c>
      <c r="I558" s="40" t="s">
        <v>116</v>
      </c>
      <c r="J558" s="39" t="s">
        <v>117</v>
      </c>
      <c r="K558" s="3">
        <v>161.6</v>
      </c>
      <c r="L558" s="3">
        <v>161.80000000000001</v>
      </c>
      <c r="M558" s="3"/>
      <c r="N558" s="3">
        <v>143.30000000000001</v>
      </c>
      <c r="O558" s="3">
        <v>143.19999999999999</v>
      </c>
      <c r="P558" s="3"/>
      <c r="Q558" s="3">
        <v>53.4</v>
      </c>
      <c r="R558" s="3">
        <v>53.4</v>
      </c>
      <c r="S558" s="3"/>
      <c r="T558" s="42">
        <v>161.69999999999999</v>
      </c>
      <c r="U558" s="42">
        <f>AVERAGE(paper3[[#This Row],[Sittende høyde 1]:[Sittende høyde 3]])-56.2</f>
        <v>87.05</v>
      </c>
      <c r="V558" s="12">
        <f>paper3[[#This Row],[height]]-paper3[[#This Row],[sittingheight]]</f>
        <v>74.649999999999991</v>
      </c>
      <c r="W558" s="73">
        <v>53.4</v>
      </c>
      <c r="X558" s="43" cm="1">
        <f t="array" ref="X558">INDEX([1]!phvny[yphv], MATCH(1, (paper3[[#This Row],[id]]=[1]!phvny[id])*(paper3[[#This Row],[time]]=[1]!phvny[time]), 0))</f>
        <v>2.8648087141010086</v>
      </c>
      <c r="Y558" s="3">
        <v>1.93</v>
      </c>
      <c r="Z558" s="3">
        <v>3.36</v>
      </c>
      <c r="AA558" s="3">
        <v>4.74</v>
      </c>
      <c r="AB558" s="3">
        <v>1.97</v>
      </c>
      <c r="AC558" s="3">
        <v>3.39</v>
      </c>
      <c r="AD558" s="3">
        <v>4.83</v>
      </c>
      <c r="AE558" s="3">
        <v>1.92</v>
      </c>
      <c r="AF558" s="3">
        <v>3.38</v>
      </c>
      <c r="AG558" s="3">
        <v>4.82</v>
      </c>
      <c r="AH558" s="44">
        <v>1.92</v>
      </c>
      <c r="AI558" s="44">
        <v>3.36</v>
      </c>
      <c r="AJ558" s="44">
        <v>4.74</v>
      </c>
      <c r="AK558" s="45">
        <v>7.2463768115942013</v>
      </c>
      <c r="AL558" s="3">
        <v>10.89</v>
      </c>
      <c r="AM558" s="3">
        <v>10.58</v>
      </c>
      <c r="AN558" s="3">
        <v>10.94</v>
      </c>
      <c r="AO558" s="3">
        <v>10.68</v>
      </c>
      <c r="AP558" s="3">
        <v>10.58</v>
      </c>
      <c r="AQ558" s="47">
        <v>10.58</v>
      </c>
      <c r="AR558" s="47">
        <v>10.68</v>
      </c>
      <c r="AS558" s="3">
        <v>22.43</v>
      </c>
      <c r="AT558" s="3">
        <v>21.39</v>
      </c>
      <c r="AU558" s="3">
        <v>22.5</v>
      </c>
      <c r="AV558" s="3"/>
      <c r="AW558" s="3"/>
      <c r="AX558" s="48">
        <v>22.5</v>
      </c>
      <c r="AY558" s="3"/>
      <c r="AZ558" s="3">
        <v>7</v>
      </c>
      <c r="BA558" s="3">
        <v>249</v>
      </c>
      <c r="BB558" s="3">
        <v>9</v>
      </c>
      <c r="BC558" s="3">
        <v>239</v>
      </c>
      <c r="BD558" s="40">
        <v>904.55225181040896</v>
      </c>
      <c r="BE558" s="40">
        <v>920.91216145758074</v>
      </c>
      <c r="BF558" s="40"/>
      <c r="BG558" s="40">
        <v>296.12356482741257</v>
      </c>
      <c r="BH558" s="40">
        <v>310.50193019669121</v>
      </c>
      <c r="BI558" s="49">
        <v>1825.4644132679896</v>
      </c>
      <c r="BJ558" s="49">
        <v>606.62549502410377</v>
      </c>
      <c r="BK558" s="66">
        <v>-1.7764896948779585E-2</v>
      </c>
      <c r="BL558" s="66">
        <v>-4.6306846982144378E-2</v>
      </c>
      <c r="BM558" s="51">
        <v>34.184726840224528</v>
      </c>
      <c r="BN558" s="51">
        <v>11.360027996706064</v>
      </c>
      <c r="BO558" s="52">
        <v>208</v>
      </c>
      <c r="BP558" s="40">
        <v>207</v>
      </c>
      <c r="BQ558" s="40">
        <v>208</v>
      </c>
      <c r="BR558" s="67">
        <v>-4.8076923076922906E-3</v>
      </c>
      <c r="BS558" s="54">
        <v>3.8857677902621726</v>
      </c>
      <c r="BT558" s="3">
        <v>107</v>
      </c>
      <c r="BU558" s="40">
        <v>103</v>
      </c>
      <c r="BV558" s="3">
        <v>85</v>
      </c>
      <c r="BW558" s="3">
        <v>106</v>
      </c>
      <c r="BX558" s="70">
        <v>3.8834951456310662E-2</v>
      </c>
      <c r="BY558" s="70">
        <v>-0.19811320754716977</v>
      </c>
      <c r="BZ558" s="59">
        <v>0.97169811320754718</v>
      </c>
      <c r="CA558" s="59">
        <v>1.2588235294117647</v>
      </c>
      <c r="CB558" s="59">
        <v>1.4678370786516852</v>
      </c>
      <c r="CC558" s="59">
        <v>1.3350327715355803</v>
      </c>
      <c r="CD558" s="60">
        <v>65</v>
      </c>
      <c r="CE558" s="60">
        <v>71</v>
      </c>
      <c r="CF558" s="61">
        <v>1.2172284644194757</v>
      </c>
      <c r="CG558" s="61">
        <v>1.3295880149812735</v>
      </c>
      <c r="CH558" s="61">
        <v>1.0923076923076924</v>
      </c>
      <c r="CI558" s="96"/>
      <c r="CJ558" s="40"/>
      <c r="CK558" s="3"/>
      <c r="CL558" s="62"/>
      <c r="CM558" s="63" t="s">
        <v>110</v>
      </c>
      <c r="CN558" s="3">
        <v>107</v>
      </c>
      <c r="CO558" s="3">
        <v>106</v>
      </c>
      <c r="CP558" s="41">
        <v>15.972222222222221</v>
      </c>
      <c r="CQ558" s="3" t="s">
        <v>110</v>
      </c>
      <c r="CR558" s="40">
        <v>105</v>
      </c>
      <c r="CS558" s="40">
        <v>95.5</v>
      </c>
      <c r="CT558" s="40">
        <v>207.5</v>
      </c>
      <c r="CU558" s="40"/>
      <c r="CV558" s="40"/>
      <c r="CW558" s="40"/>
      <c r="CX558" s="40"/>
      <c r="CY558" s="40">
        <v>0</v>
      </c>
      <c r="CZ558" s="40"/>
      <c r="DA558" s="40"/>
    </row>
    <row r="559" spans="1:105" ht="18.75" customHeight="1">
      <c r="A559" s="3">
        <v>257</v>
      </c>
      <c r="B559" s="38" t="s">
        <v>103</v>
      </c>
      <c r="C559" s="3" t="s">
        <v>115</v>
      </c>
      <c r="D559" s="3" t="s">
        <v>215</v>
      </c>
      <c r="E559" s="39">
        <v>44875</v>
      </c>
      <c r="F559" s="3" t="s">
        <v>106</v>
      </c>
      <c r="G559" s="3" t="s">
        <v>107</v>
      </c>
      <c r="H559" s="3">
        <v>2006</v>
      </c>
      <c r="I559" s="40" t="s">
        <v>116</v>
      </c>
      <c r="J559" s="39" t="s">
        <v>117</v>
      </c>
      <c r="K559" s="3">
        <v>160</v>
      </c>
      <c r="L559" s="3">
        <v>160</v>
      </c>
      <c r="M559" s="3"/>
      <c r="N559" s="3">
        <v>142.4</v>
      </c>
      <c r="O559" s="3">
        <v>142.5</v>
      </c>
      <c r="P559" s="3"/>
      <c r="Q559" s="3">
        <v>59.5</v>
      </c>
      <c r="R559" s="3">
        <v>59.5</v>
      </c>
      <c r="S559" s="3"/>
      <c r="T559" s="42">
        <v>160</v>
      </c>
      <c r="U559" s="42">
        <f>AVERAGE(paper3[[#This Row],[Sittende høyde 1]:[Sittende høyde 3]])-56.2</f>
        <v>86.249999999999986</v>
      </c>
      <c r="V559" s="12">
        <f>paper3[[#This Row],[height]]-paper3[[#This Row],[sittingheight]]</f>
        <v>73.750000000000014</v>
      </c>
      <c r="W559" s="73">
        <v>59.5</v>
      </c>
      <c r="X559" s="43" cm="1">
        <f t="array" ref="X559">INDEX([1]!phvny[yphv], MATCH(1, (paper3[[#This Row],[id]]=[1]!phvny[id])*(paper3[[#This Row],[time]]=[1]!phvny[time]), 0))</f>
        <v>2.8504505833333327</v>
      </c>
      <c r="Y559" s="3">
        <v>1.97</v>
      </c>
      <c r="Z559" s="3">
        <v>3.42</v>
      </c>
      <c r="AA559" s="3">
        <v>4.8</v>
      </c>
      <c r="AB559" s="3">
        <v>1.95</v>
      </c>
      <c r="AC559" s="3">
        <v>3.39</v>
      </c>
      <c r="AD559" s="3">
        <v>4.76</v>
      </c>
      <c r="AE559" s="3">
        <v>2.23</v>
      </c>
      <c r="AF559" s="3">
        <v>3.75</v>
      </c>
      <c r="AG559" s="3">
        <v>5.22</v>
      </c>
      <c r="AH559" s="44">
        <v>1.95</v>
      </c>
      <c r="AI559" s="44">
        <v>3.39</v>
      </c>
      <c r="AJ559" s="44">
        <v>4.76</v>
      </c>
      <c r="AK559" s="45">
        <v>7.2992700729927025</v>
      </c>
      <c r="AL559" s="3">
        <v>10.7</v>
      </c>
      <c r="AM559" s="3">
        <v>10.73</v>
      </c>
      <c r="AN559" s="3">
        <v>10.91</v>
      </c>
      <c r="AO559" s="3">
        <v>11.03</v>
      </c>
      <c r="AP559" s="3">
        <v>10.7</v>
      </c>
      <c r="AQ559" s="47">
        <v>10.7</v>
      </c>
      <c r="AR559" s="47">
        <v>10.91</v>
      </c>
      <c r="AS559" s="3">
        <v>27.28</v>
      </c>
      <c r="AT559" s="3">
        <v>29.89</v>
      </c>
      <c r="AU559" s="3">
        <v>28.87</v>
      </c>
      <c r="AV559" s="3"/>
      <c r="AW559" s="3"/>
      <c r="AX559" s="48">
        <v>29.89</v>
      </c>
      <c r="AY559" s="3"/>
      <c r="AZ559" s="3">
        <v>7</v>
      </c>
      <c r="BA559" s="3">
        <v>260</v>
      </c>
      <c r="BB559" s="3">
        <v>11</v>
      </c>
      <c r="BC559" s="3">
        <v>308</v>
      </c>
      <c r="BD559" s="159"/>
      <c r="BE559" s="159"/>
      <c r="BF559" s="40"/>
      <c r="BG559" s="40">
        <v>551.95674091567344</v>
      </c>
      <c r="BH559" s="40">
        <v>561.70099342733772</v>
      </c>
      <c r="BI559" s="49"/>
      <c r="BJ559" s="49">
        <v>1113.6577343430113</v>
      </c>
      <c r="BK559" s="66"/>
      <c r="BL559" s="66">
        <v>-1.734775730448268E-2</v>
      </c>
      <c r="BM559" s="51"/>
      <c r="BN559" s="51">
        <v>18.716936711647246</v>
      </c>
      <c r="BO559" s="52">
        <v>255</v>
      </c>
      <c r="BP559" s="40">
        <v>255</v>
      </c>
      <c r="BQ559" s="40">
        <v>231</v>
      </c>
      <c r="BR559" s="67">
        <v>0.10389610389610393</v>
      </c>
      <c r="BS559" s="54">
        <v>4.0840336134453779</v>
      </c>
      <c r="BT559" s="3">
        <v>133</v>
      </c>
      <c r="BU559" s="40">
        <v>126</v>
      </c>
      <c r="BV559" s="3">
        <v>128</v>
      </c>
      <c r="BW559" s="3">
        <v>123</v>
      </c>
      <c r="BX559" s="70">
        <v>5.555555555555558E-2</v>
      </c>
      <c r="BY559" s="70">
        <v>4.0650406504065151E-2</v>
      </c>
      <c r="BZ559" s="59">
        <v>1.024390243902439</v>
      </c>
      <c r="CA559" s="59">
        <v>1.0390625</v>
      </c>
      <c r="CB559" s="59">
        <v>1.6051470588235297</v>
      </c>
      <c r="CC559" s="59">
        <v>1.5555672268907565</v>
      </c>
      <c r="CD559" s="60">
        <v>85</v>
      </c>
      <c r="CE559" s="60">
        <v>106</v>
      </c>
      <c r="CF559" s="61">
        <v>1.4285714285714286</v>
      </c>
      <c r="CG559" s="61">
        <v>1.7815126050420169</v>
      </c>
      <c r="CH559" s="61">
        <v>1.2470588235294118</v>
      </c>
      <c r="CI559" s="140">
        <v>14.1</v>
      </c>
      <c r="CJ559" s="40">
        <f>VLOOKUP(paper3[[#This Row],[YYIR nivå]],$DB:$DC,2)</f>
        <v>480</v>
      </c>
      <c r="CK559" s="3"/>
      <c r="CL559" s="62"/>
      <c r="CM559" s="63" t="s">
        <v>110</v>
      </c>
      <c r="CN559" s="3">
        <v>133</v>
      </c>
      <c r="CO559" s="3">
        <v>128</v>
      </c>
      <c r="CP559" s="41">
        <v>16.083333333333332</v>
      </c>
      <c r="CQ559" s="3" t="s">
        <v>110</v>
      </c>
      <c r="CR559" s="40">
        <v>129.5</v>
      </c>
      <c r="CS559" s="40">
        <v>125.5</v>
      </c>
      <c r="CT559" s="40">
        <v>243</v>
      </c>
      <c r="CU559" s="40"/>
      <c r="CV559" s="40"/>
      <c r="CW559" s="40"/>
      <c r="CX559" s="40"/>
      <c r="CY559" s="40">
        <v>0</v>
      </c>
      <c r="CZ559" s="40"/>
      <c r="DA559" s="40"/>
    </row>
    <row r="560" spans="1:105" ht="18.75" customHeight="1">
      <c r="A560" s="3">
        <v>258</v>
      </c>
      <c r="B560" s="38" t="s">
        <v>103</v>
      </c>
      <c r="C560" s="3" t="s">
        <v>115</v>
      </c>
      <c r="D560" s="3" t="s">
        <v>215</v>
      </c>
      <c r="E560" s="39">
        <v>44875</v>
      </c>
      <c r="F560" s="3" t="s">
        <v>106</v>
      </c>
      <c r="G560" s="3" t="s">
        <v>107</v>
      </c>
      <c r="H560" s="3">
        <v>2006</v>
      </c>
      <c r="I560" s="40" t="s">
        <v>116</v>
      </c>
      <c r="J560" s="39" t="s">
        <v>117</v>
      </c>
      <c r="K560" s="3">
        <v>170.5</v>
      </c>
      <c r="L560" s="3">
        <v>170.6</v>
      </c>
      <c r="M560" s="3"/>
      <c r="N560" s="3">
        <v>144.80000000000001</v>
      </c>
      <c r="O560" s="3">
        <v>144.80000000000001</v>
      </c>
      <c r="P560" s="3"/>
      <c r="Q560" s="3">
        <v>75.900000000000006</v>
      </c>
      <c r="R560" s="3">
        <v>75.900000000000006</v>
      </c>
      <c r="S560" s="3"/>
      <c r="T560" s="42">
        <v>170.55</v>
      </c>
      <c r="U560" s="42">
        <f>AVERAGE(paper3[[#This Row],[Sittende høyde 1]:[Sittende høyde 3]])-56.2</f>
        <v>88.600000000000009</v>
      </c>
      <c r="V560" s="12">
        <f>paper3[[#This Row],[height]]-paper3[[#This Row],[sittingheight]]</f>
        <v>81.95</v>
      </c>
      <c r="W560" s="73">
        <v>75.900000000000006</v>
      </c>
      <c r="X560" s="43" cm="1">
        <f t="array" ref="X560">INDEX([1]!phvny[yphv], MATCH(1, (paper3[[#This Row],[id]]=[1]!phvny[id])*(paper3[[#This Row],[time]]=[1]!phvny[time]), 0))</f>
        <v>3.5439775035631782</v>
      </c>
      <c r="Y560" s="3">
        <v>1.97</v>
      </c>
      <c r="Z560" s="3">
        <v>3.4</v>
      </c>
      <c r="AA560" s="3">
        <v>4.8099999999999996</v>
      </c>
      <c r="AB560" s="3">
        <v>1.98</v>
      </c>
      <c r="AC560" s="3">
        <v>3.43</v>
      </c>
      <c r="AD560" s="3">
        <v>4.88</v>
      </c>
      <c r="AE560" s="3">
        <v>2.02</v>
      </c>
      <c r="AF560" s="3">
        <v>3.46</v>
      </c>
      <c r="AG560" s="3">
        <v>4.87</v>
      </c>
      <c r="AH560" s="44">
        <v>1.97</v>
      </c>
      <c r="AI560" s="44">
        <v>3.4</v>
      </c>
      <c r="AJ560" s="44">
        <v>4.8099999999999996</v>
      </c>
      <c r="AK560" s="45">
        <v>7.092198581560285</v>
      </c>
      <c r="AL560" s="3">
        <v>10.95</v>
      </c>
      <c r="AM560" s="3">
        <v>10.89</v>
      </c>
      <c r="AN560" s="3">
        <v>10.62</v>
      </c>
      <c r="AO560" s="3">
        <v>10.84</v>
      </c>
      <c r="AP560" s="3">
        <v>10.62</v>
      </c>
      <c r="AQ560" s="47">
        <v>10.89</v>
      </c>
      <c r="AR560" s="47">
        <v>10.62</v>
      </c>
      <c r="AS560" s="3">
        <v>22.99</v>
      </c>
      <c r="AT560" s="3">
        <v>23.55</v>
      </c>
      <c r="AU560" s="3">
        <v>25.13</v>
      </c>
      <c r="AV560" s="3">
        <v>24.17</v>
      </c>
      <c r="AW560" s="3"/>
      <c r="AX560" s="48">
        <v>25.13</v>
      </c>
      <c r="AY560" s="3"/>
      <c r="AZ560" s="3">
        <v>9</v>
      </c>
      <c r="BA560" s="3">
        <v>260</v>
      </c>
      <c r="BB560" s="3">
        <v>10</v>
      </c>
      <c r="BC560" s="3">
        <v>284</v>
      </c>
      <c r="BD560" s="40">
        <v>1189.684545915487</v>
      </c>
      <c r="BE560" s="40">
        <v>1175.8826634933398</v>
      </c>
      <c r="BF560" s="40"/>
      <c r="BG560" s="40">
        <v>537.16558656912571</v>
      </c>
      <c r="BH560" s="40">
        <v>516.53576592854927</v>
      </c>
      <c r="BI560" s="49">
        <v>2365.5672094088268</v>
      </c>
      <c r="BJ560" s="49">
        <v>1053.7013524976751</v>
      </c>
      <c r="BK560" s="66">
        <v>1.1737465693340665E-2</v>
      </c>
      <c r="BL560" s="66">
        <v>3.9938803857059613E-2</v>
      </c>
      <c r="BM560" s="51">
        <v>31.166893404595871</v>
      </c>
      <c r="BN560" s="51">
        <v>13.882758267426548</v>
      </c>
      <c r="BO560" s="52">
        <v>157</v>
      </c>
      <c r="BP560" s="40">
        <v>157</v>
      </c>
      <c r="BQ560" s="40">
        <v>151</v>
      </c>
      <c r="BR560" s="67">
        <v>3.9735099337748325E-2</v>
      </c>
      <c r="BS560" s="54">
        <v>2.0289855072463765</v>
      </c>
      <c r="BT560" s="3">
        <v>128</v>
      </c>
      <c r="BU560" s="40">
        <v>129</v>
      </c>
      <c r="BV560" s="3">
        <v>133</v>
      </c>
      <c r="BW560" s="3">
        <v>140</v>
      </c>
      <c r="BX560" s="70">
        <v>-7.7519379844961378E-3</v>
      </c>
      <c r="BY560" s="70">
        <v>-5.0000000000000044E-2</v>
      </c>
      <c r="BZ560" s="59">
        <v>0.92142857142857137</v>
      </c>
      <c r="CA560" s="59">
        <v>0.96240601503759393</v>
      </c>
      <c r="CB560" s="59">
        <v>1.387427536231884</v>
      </c>
      <c r="CC560" s="59">
        <v>1.4738043478260869</v>
      </c>
      <c r="CD560" s="60">
        <v>82</v>
      </c>
      <c r="CE560" s="60">
        <v>66</v>
      </c>
      <c r="CF560" s="61">
        <v>1.0803689064558628</v>
      </c>
      <c r="CG560" s="61">
        <v>0.86956521739130432</v>
      </c>
      <c r="CH560" s="61">
        <v>0.80487804878048785</v>
      </c>
      <c r="CI560" s="41"/>
      <c r="CJ560" s="40"/>
      <c r="CK560" s="3"/>
      <c r="CL560" s="62"/>
      <c r="CM560" s="63" t="s">
        <v>110</v>
      </c>
      <c r="CN560" s="3">
        <v>129</v>
      </c>
      <c r="CO560" s="3">
        <v>140</v>
      </c>
      <c r="CP560" s="41">
        <v>16.388888888888889</v>
      </c>
      <c r="CQ560" s="3" t="s">
        <v>110</v>
      </c>
      <c r="CR560" s="40">
        <v>128.5</v>
      </c>
      <c r="CS560" s="40">
        <v>136.5</v>
      </c>
      <c r="CT560" s="40">
        <v>154</v>
      </c>
      <c r="CU560" s="40"/>
      <c r="CV560" s="40"/>
      <c r="CW560" s="40"/>
      <c r="CX560" s="40"/>
      <c r="CY560" s="40">
        <v>0</v>
      </c>
      <c r="CZ560" s="40"/>
      <c r="DA560" s="40"/>
    </row>
    <row r="561" spans="1:105" ht="18.75" customHeight="1">
      <c r="A561" s="3">
        <v>259</v>
      </c>
      <c r="B561" s="38" t="s">
        <v>103</v>
      </c>
      <c r="C561" s="3" t="s">
        <v>115</v>
      </c>
      <c r="D561" s="3" t="s">
        <v>215</v>
      </c>
      <c r="E561" s="39">
        <v>44875</v>
      </c>
      <c r="F561" s="3" t="s">
        <v>106</v>
      </c>
      <c r="G561" s="3" t="s">
        <v>107</v>
      </c>
      <c r="H561" s="3">
        <v>2006</v>
      </c>
      <c r="I561" s="40" t="s">
        <v>116</v>
      </c>
      <c r="J561" s="39" t="s">
        <v>117</v>
      </c>
      <c r="K561" s="3">
        <v>166.1</v>
      </c>
      <c r="L561" s="3">
        <v>166</v>
      </c>
      <c r="M561" s="3"/>
      <c r="N561" s="3">
        <v>139</v>
      </c>
      <c r="O561" s="3">
        <v>139.1</v>
      </c>
      <c r="P561" s="3"/>
      <c r="Q561" s="3">
        <v>60.9</v>
      </c>
      <c r="R561" s="3">
        <v>60.9</v>
      </c>
      <c r="S561" s="3"/>
      <c r="T561" s="42">
        <v>166.05</v>
      </c>
      <c r="U561" s="42">
        <f>AVERAGE(paper3[[#This Row],[Sittende høyde 1]:[Sittende høyde 3]])-56.2</f>
        <v>82.850000000000009</v>
      </c>
      <c r="V561" s="12">
        <f>paper3[[#This Row],[height]]-paper3[[#This Row],[sittingheight]]</f>
        <v>83.2</v>
      </c>
      <c r="W561" s="73">
        <v>60.9</v>
      </c>
      <c r="X561" s="43" cm="1">
        <f t="array" ref="X561">INDEX([1]!phvny[yphv], MATCH(1, (paper3[[#This Row],[id]]=[1]!phvny[id])*(paper3[[#This Row],[time]]=[1]!phvny[time]), 0))</f>
        <v>3.002447360143857</v>
      </c>
      <c r="Y561" s="3">
        <v>2.0499999999999998</v>
      </c>
      <c r="Z561" s="3">
        <v>3.54</v>
      </c>
      <c r="AA561" s="3">
        <v>4.97</v>
      </c>
      <c r="AB561" s="3"/>
      <c r="AC561" s="3"/>
      <c r="AD561" s="3"/>
      <c r="AE561" s="3"/>
      <c r="AF561" s="3"/>
      <c r="AG561" s="3"/>
      <c r="AH561" s="44">
        <v>2.0499999999999998</v>
      </c>
      <c r="AI561" s="44">
        <v>3.54</v>
      </c>
      <c r="AJ561" s="44">
        <v>4.97</v>
      </c>
      <c r="AK561" s="45">
        <v>6.9930069930069942</v>
      </c>
      <c r="AL561" s="3"/>
      <c r="AM561" s="3"/>
      <c r="AN561" s="3"/>
      <c r="AO561" s="3"/>
      <c r="AP561" s="3"/>
      <c r="AQ561" s="47"/>
      <c r="AR561" s="47"/>
      <c r="AS561" s="3">
        <v>25.09</v>
      </c>
      <c r="AT561" s="3">
        <v>27.5</v>
      </c>
      <c r="AU561" s="3">
        <v>26.92</v>
      </c>
      <c r="AV561" s="3"/>
      <c r="AW561" s="3"/>
      <c r="AX561" s="48">
        <v>27.5</v>
      </c>
      <c r="AY561" s="3"/>
      <c r="AZ561" s="3">
        <v>9</v>
      </c>
      <c r="BA561" s="3">
        <v>240</v>
      </c>
      <c r="BB561" s="3">
        <v>10</v>
      </c>
      <c r="BC561" s="3">
        <v>262</v>
      </c>
      <c r="BD561" s="40">
        <v>1179.4152416311813</v>
      </c>
      <c r="BE561" s="40">
        <v>1195.406239692725</v>
      </c>
      <c r="BF561" s="40"/>
      <c r="BG561" s="40">
        <v>395.59991718027777</v>
      </c>
      <c r="BH561" s="40">
        <v>395.20859301389567</v>
      </c>
      <c r="BI561" s="49">
        <v>2374.8214813239065</v>
      </c>
      <c r="BJ561" s="49">
        <v>790.80851019417344</v>
      </c>
      <c r="BK561" s="66">
        <v>-1.3377040817232233E-2</v>
      </c>
      <c r="BL561" s="66">
        <v>9.9017119895550287E-4</v>
      </c>
      <c r="BM561" s="51">
        <v>38.995426622724246</v>
      </c>
      <c r="BN561" s="51">
        <v>12.985361415339465</v>
      </c>
      <c r="BO561" s="52">
        <v>265</v>
      </c>
      <c r="BP561" s="40">
        <v>265</v>
      </c>
      <c r="BQ561" s="40">
        <v>263</v>
      </c>
      <c r="BR561" s="67">
        <v>7.6045627376426506E-3</v>
      </c>
      <c r="BS561" s="54">
        <v>4.3349753694581281</v>
      </c>
      <c r="BT561" s="3">
        <v>110</v>
      </c>
      <c r="BU561" s="40">
        <v>116</v>
      </c>
      <c r="BV561" s="3">
        <v>107</v>
      </c>
      <c r="BW561" s="3">
        <v>109</v>
      </c>
      <c r="BX561" s="70">
        <v>-5.1724137931034475E-2</v>
      </c>
      <c r="BY561" s="70">
        <v>-1.834862385321101E-2</v>
      </c>
      <c r="BZ561" s="59">
        <v>1.0642201834862386</v>
      </c>
      <c r="CA561" s="59">
        <v>1.02803738317757</v>
      </c>
      <c r="CB561" s="59">
        <v>1.5437766830870281</v>
      </c>
      <c r="CC561" s="59">
        <v>1.4754679802955666</v>
      </c>
      <c r="CD561" s="60">
        <v>59</v>
      </c>
      <c r="CE561" s="60">
        <v>58</v>
      </c>
      <c r="CF561" s="61">
        <v>0.96880131362889987</v>
      </c>
      <c r="CG561" s="61">
        <v>0.95238095238095244</v>
      </c>
      <c r="CH561" s="61">
        <v>0.98305084745762716</v>
      </c>
      <c r="CI561" s="41"/>
      <c r="CJ561" s="40"/>
      <c r="CK561" s="3"/>
      <c r="CL561" s="62"/>
      <c r="CM561" s="63" t="s">
        <v>110</v>
      </c>
      <c r="CN561" s="3">
        <v>116</v>
      </c>
      <c r="CO561" s="3">
        <v>109</v>
      </c>
      <c r="CP561" s="41">
        <v>16.352777777777778</v>
      </c>
      <c r="CQ561" s="3" t="s">
        <v>110</v>
      </c>
      <c r="CR561" s="40">
        <v>113</v>
      </c>
      <c r="CS561" s="40">
        <v>108</v>
      </c>
      <c r="CT561" s="40">
        <v>264</v>
      </c>
      <c r="CU561" s="40"/>
      <c r="CV561" s="40"/>
      <c r="CW561" s="40"/>
      <c r="CX561" s="40"/>
      <c r="CY561" s="40" t="s">
        <v>125</v>
      </c>
      <c r="CZ561" s="40"/>
      <c r="DA561" s="40"/>
    </row>
    <row r="562" spans="1:105" ht="18.75" customHeight="1">
      <c r="A562" s="3">
        <v>260</v>
      </c>
      <c r="B562" s="38" t="s">
        <v>103</v>
      </c>
      <c r="C562" s="76" t="s">
        <v>115</v>
      </c>
      <c r="D562" s="76" t="s">
        <v>215</v>
      </c>
      <c r="E562" s="176">
        <v>44909</v>
      </c>
      <c r="F562" s="76" t="s">
        <v>106</v>
      </c>
      <c r="G562" s="76" t="s">
        <v>107</v>
      </c>
      <c r="H562" s="76">
        <v>2008</v>
      </c>
      <c r="I562" s="77" t="s">
        <v>108</v>
      </c>
      <c r="J562" s="176" t="s">
        <v>109</v>
      </c>
      <c r="K562" s="76">
        <v>166.5</v>
      </c>
      <c r="L562" s="76">
        <v>166.3</v>
      </c>
      <c r="M562" s="76"/>
      <c r="N562" s="76">
        <v>142.6</v>
      </c>
      <c r="O562" s="76">
        <v>141.9</v>
      </c>
      <c r="P562" s="76">
        <v>142.69999999999999</v>
      </c>
      <c r="Q562" s="76">
        <v>62</v>
      </c>
      <c r="R562" s="76">
        <v>62</v>
      </c>
      <c r="S562" s="76"/>
      <c r="T562" s="164">
        <v>166.4</v>
      </c>
      <c r="U562" s="42">
        <f>AVERAGE(paper3[[#This Row],[Sittende høyde 1]:[Sittende høyde 3]])-56.2</f>
        <v>86.2</v>
      </c>
      <c r="V562" s="12">
        <f>paper3[[#This Row],[height]]-paper3[[#This Row],[sittingheight]]</f>
        <v>80.2</v>
      </c>
      <c r="W562" s="165">
        <v>62</v>
      </c>
      <c r="X562" s="43" cm="1">
        <f t="array" ref="X562">INDEX([1]!phvny[yphv], MATCH(1, (paper3[[#This Row],[id]]=[1]!phvny[id])*(paper3[[#This Row],[time]]=[1]!phvny[time]), 0))</f>
        <v>2.4126374606495737</v>
      </c>
      <c r="Y562" s="76">
        <v>2</v>
      </c>
      <c r="Z562" s="3">
        <v>3.46</v>
      </c>
      <c r="AA562" s="76">
        <v>4.8899999999999997</v>
      </c>
      <c r="AB562" s="76">
        <v>1.99</v>
      </c>
      <c r="AC562" s="76">
        <v>3.46</v>
      </c>
      <c r="AD562" s="76">
        <v>4.8899999999999997</v>
      </c>
      <c r="AE562" s="76">
        <v>2.0299999999999998</v>
      </c>
      <c r="AF562" s="76">
        <v>3.53</v>
      </c>
      <c r="AG562" s="76">
        <v>4.97</v>
      </c>
      <c r="AH562" s="166">
        <v>1.99</v>
      </c>
      <c r="AI562" s="166">
        <v>3.46</v>
      </c>
      <c r="AJ562" s="166">
        <v>4.8899999999999997</v>
      </c>
      <c r="AK562" s="167">
        <v>6.9930069930069942</v>
      </c>
      <c r="AL562" s="76">
        <v>11.57</v>
      </c>
      <c r="AM562" s="76">
        <v>10.98</v>
      </c>
      <c r="AN562" s="76">
        <v>10.98</v>
      </c>
      <c r="AO562" s="76">
        <v>11.03</v>
      </c>
      <c r="AP562" s="76">
        <v>10.98</v>
      </c>
      <c r="AQ562" s="168">
        <v>10.98</v>
      </c>
      <c r="AR562" s="168">
        <v>10.98</v>
      </c>
      <c r="AS562" s="76">
        <v>25.25</v>
      </c>
      <c r="AT562" s="76">
        <v>27.33</v>
      </c>
      <c r="AU562" s="76">
        <v>27.02</v>
      </c>
      <c r="AV562" s="76"/>
      <c r="AW562" s="76"/>
      <c r="AX562" s="169">
        <v>27.3</v>
      </c>
      <c r="AY562" s="76"/>
      <c r="AZ562" s="76">
        <v>9</v>
      </c>
      <c r="BA562" s="76">
        <v>190</v>
      </c>
      <c r="BB562" s="76">
        <v>11</v>
      </c>
      <c r="BC562" s="76">
        <v>189</v>
      </c>
      <c r="BD562" s="76">
        <v>876</v>
      </c>
      <c r="BE562" s="76">
        <v>852</v>
      </c>
      <c r="BF562" s="76"/>
      <c r="BG562" s="76">
        <v>272</v>
      </c>
      <c r="BH562" s="76">
        <v>236</v>
      </c>
      <c r="BI562" s="170">
        <v>1729</v>
      </c>
      <c r="BJ562" s="170">
        <v>508</v>
      </c>
      <c r="BK562" s="66">
        <v>2.8400000000000002E-2</v>
      </c>
      <c r="BL562" s="66">
        <v>0.15049999999999999</v>
      </c>
      <c r="BM562" s="51">
        <v>27.9</v>
      </c>
      <c r="BN562" s="51">
        <v>8.1999999999999993</v>
      </c>
      <c r="BO562" s="171">
        <v>217</v>
      </c>
      <c r="BP562" s="77">
        <v>217</v>
      </c>
      <c r="BQ562" s="77">
        <v>190</v>
      </c>
      <c r="BR562" s="172">
        <v>0.1421</v>
      </c>
      <c r="BS562" s="54">
        <v>3.282258064516129</v>
      </c>
      <c r="BT562" s="76">
        <v>108</v>
      </c>
      <c r="BU562" s="77">
        <v>83</v>
      </c>
      <c r="BV562" s="76">
        <v>104</v>
      </c>
      <c r="BW562" s="76">
        <v>94</v>
      </c>
      <c r="BX562" s="81">
        <v>0.30099999999999999</v>
      </c>
      <c r="BY562" s="81">
        <v>0.106</v>
      </c>
      <c r="BZ562" s="59">
        <v>0.88</v>
      </c>
      <c r="CA562" s="173">
        <v>1.04</v>
      </c>
      <c r="CB562" s="173">
        <v>1.2353387096774195</v>
      </c>
      <c r="CC562" s="173">
        <v>1.2806129032258067</v>
      </c>
      <c r="CD562" s="177">
        <v>78</v>
      </c>
      <c r="CE562" s="177">
        <v>80</v>
      </c>
      <c r="CF562" s="175">
        <v>1.26</v>
      </c>
      <c r="CG562" s="175">
        <v>1.29</v>
      </c>
      <c r="CH562" s="175">
        <v>1.03</v>
      </c>
      <c r="CI562" s="96"/>
      <c r="CJ562" s="40"/>
      <c r="CK562" s="76"/>
      <c r="CL562" s="62"/>
      <c r="CM562" s="63" t="s">
        <v>110</v>
      </c>
      <c r="CN562" s="3">
        <v>108</v>
      </c>
      <c r="CO562" s="3">
        <v>104</v>
      </c>
      <c r="CP562" s="41">
        <v>14.794444444444444</v>
      </c>
      <c r="CQ562" s="3" t="s">
        <v>173</v>
      </c>
      <c r="CR562" s="40">
        <v>95.5</v>
      </c>
      <c r="CS562" s="40">
        <v>99</v>
      </c>
      <c r="CT562" s="40">
        <v>203.5</v>
      </c>
      <c r="CU562" s="40"/>
      <c r="CV562" s="40"/>
      <c r="CW562" s="40"/>
      <c r="CX562" s="40"/>
      <c r="CY562" s="40">
        <v>0</v>
      </c>
      <c r="CZ562" s="40"/>
      <c r="DA562" s="40"/>
    </row>
    <row r="563" spans="1:105" ht="18.75" customHeight="1">
      <c r="A563" s="162">
        <v>261</v>
      </c>
      <c r="B563" s="38" t="s">
        <v>103</v>
      </c>
      <c r="C563" s="78" t="s">
        <v>115</v>
      </c>
      <c r="D563" s="78" t="s">
        <v>215</v>
      </c>
      <c r="E563" s="163">
        <v>44909</v>
      </c>
      <c r="F563" s="78" t="s">
        <v>106</v>
      </c>
      <c r="G563" s="78" t="s">
        <v>107</v>
      </c>
      <c r="H563" s="78">
        <v>2008</v>
      </c>
      <c r="I563" s="79" t="s">
        <v>108</v>
      </c>
      <c r="J563" s="163" t="s">
        <v>109</v>
      </c>
      <c r="K563" s="78">
        <v>165</v>
      </c>
      <c r="L563" s="78">
        <v>165.1</v>
      </c>
      <c r="M563" s="78"/>
      <c r="N563" s="78">
        <v>142.5</v>
      </c>
      <c r="O563" s="78">
        <v>142.6</v>
      </c>
      <c r="P563" s="78"/>
      <c r="Q563" s="78">
        <v>70.5</v>
      </c>
      <c r="R563" s="78">
        <v>70</v>
      </c>
      <c r="S563" s="78">
        <v>70.3</v>
      </c>
      <c r="T563" s="164">
        <v>165.1</v>
      </c>
      <c r="U563" s="42">
        <f>AVERAGE(paper3[[#This Row],[Sittende høyde 1]:[Sittende høyde 3]])-56.2</f>
        <v>86.350000000000009</v>
      </c>
      <c r="V563" s="12">
        <f>paper3[[#This Row],[height]]-paper3[[#This Row],[sittingheight]]</f>
        <v>78.749999999999986</v>
      </c>
      <c r="W563" s="165">
        <v>70.3</v>
      </c>
      <c r="X563" s="43" cm="1">
        <f t="array" ref="X563">INDEX([1]!phvny[yphv], MATCH(1, (paper3[[#This Row],[id]]=[1]!phvny[id])*(paper3[[#This Row],[time]]=[1]!phvny[time]), 0))</f>
        <v>2.3405201115710175</v>
      </c>
      <c r="Y563" s="76">
        <v>2.1</v>
      </c>
      <c r="Z563" s="3">
        <v>3.67</v>
      </c>
      <c r="AA563" s="76">
        <v>5.18</v>
      </c>
      <c r="AB563" s="78">
        <v>2.1</v>
      </c>
      <c r="AC563" s="78">
        <v>3.68</v>
      </c>
      <c r="AD563" s="78">
        <v>5.23</v>
      </c>
      <c r="AE563" s="78">
        <v>2.13</v>
      </c>
      <c r="AF563" s="78">
        <v>3.74</v>
      </c>
      <c r="AG563" s="78">
        <v>5.28</v>
      </c>
      <c r="AH563" s="166">
        <v>2.1</v>
      </c>
      <c r="AI563" s="166">
        <v>3.67</v>
      </c>
      <c r="AJ563" s="166">
        <v>5.18</v>
      </c>
      <c r="AK563" s="167">
        <v>6.6225165562913917</v>
      </c>
      <c r="AL563" s="78">
        <v>11.07</v>
      </c>
      <c r="AM563" s="78">
        <v>10.91</v>
      </c>
      <c r="AN563" s="78">
        <v>11.32</v>
      </c>
      <c r="AO563" s="78">
        <v>11.2</v>
      </c>
      <c r="AP563" s="78">
        <v>10.91</v>
      </c>
      <c r="AQ563" s="168">
        <v>10.91</v>
      </c>
      <c r="AR563" s="168">
        <v>11.2</v>
      </c>
      <c r="AS563" s="78">
        <v>20.89</v>
      </c>
      <c r="AT563" s="78">
        <v>20.99</v>
      </c>
      <c r="AU563" s="78">
        <v>22.42</v>
      </c>
      <c r="AV563" s="78">
        <v>21.78</v>
      </c>
      <c r="AW563" s="76"/>
      <c r="AX563" s="169">
        <v>22.4</v>
      </c>
      <c r="AY563" s="78"/>
      <c r="AZ563" s="78">
        <v>9</v>
      </c>
      <c r="BA563" s="78">
        <v>240</v>
      </c>
      <c r="BB563" s="78">
        <v>10</v>
      </c>
      <c r="BC563" s="78">
        <v>239</v>
      </c>
      <c r="BD563" s="78">
        <v>1138</v>
      </c>
      <c r="BE563" s="78">
        <v>1075</v>
      </c>
      <c r="BF563" s="78"/>
      <c r="BG563" s="78">
        <v>333</v>
      </c>
      <c r="BH563" s="78">
        <v>355</v>
      </c>
      <c r="BI563" s="170">
        <v>2213</v>
      </c>
      <c r="BJ563" s="170">
        <v>688</v>
      </c>
      <c r="BK563" s="66">
        <v>5.8799999999999998E-2</v>
      </c>
      <c r="BL563" s="66">
        <v>-6.2300000000000001E-2</v>
      </c>
      <c r="BM563" s="51">
        <v>31.4</v>
      </c>
      <c r="BN563" s="51">
        <v>9.8000000000000007</v>
      </c>
      <c r="BO563" s="171">
        <v>273</v>
      </c>
      <c r="BP563" s="79">
        <v>273</v>
      </c>
      <c r="BQ563" s="79">
        <v>248</v>
      </c>
      <c r="BR563" s="172">
        <v>0.1008</v>
      </c>
      <c r="BS563" s="54">
        <v>3.7055476529160742</v>
      </c>
      <c r="BT563" s="78">
        <v>124</v>
      </c>
      <c r="BU563" s="79">
        <v>120</v>
      </c>
      <c r="BV563" s="78">
        <v>138</v>
      </c>
      <c r="BW563" s="78">
        <v>127</v>
      </c>
      <c r="BX563" s="81">
        <v>3.3000000000000002E-2</v>
      </c>
      <c r="BY563" s="81">
        <v>8.6999999999999994E-2</v>
      </c>
      <c r="BZ563" s="59">
        <v>0.94</v>
      </c>
      <c r="CA563" s="173">
        <v>0.9</v>
      </c>
      <c r="CB563" s="173">
        <v>1.3666429587482218</v>
      </c>
      <c r="CC563" s="173">
        <v>1.48426386913229</v>
      </c>
      <c r="CD563" s="174">
        <v>88</v>
      </c>
      <c r="CE563" s="174">
        <v>80</v>
      </c>
      <c r="CF563" s="175">
        <v>1.25</v>
      </c>
      <c r="CG563" s="175">
        <v>1.1399999999999999</v>
      </c>
      <c r="CH563" s="175">
        <v>0.91</v>
      </c>
      <c r="CI563" s="140"/>
      <c r="CJ563" s="40"/>
      <c r="CK563" s="78"/>
      <c r="CL563" s="62"/>
      <c r="CM563" s="63" t="s">
        <v>110</v>
      </c>
      <c r="CN563" s="3">
        <v>124</v>
      </c>
      <c r="CO563" s="3">
        <v>138</v>
      </c>
      <c r="CP563" s="41">
        <v>14.591666666666667</v>
      </c>
      <c r="CQ563" s="3" t="s">
        <v>174</v>
      </c>
      <c r="CR563" s="40">
        <v>122</v>
      </c>
      <c r="CS563" s="40">
        <v>132.5</v>
      </c>
      <c r="CT563" s="40">
        <v>260.5</v>
      </c>
      <c r="CU563" s="40"/>
      <c r="CV563" s="40"/>
      <c r="CW563" s="40"/>
      <c r="CX563" s="40"/>
      <c r="CY563" s="40">
        <v>0</v>
      </c>
      <c r="CZ563" s="40"/>
      <c r="DA563" s="40"/>
    </row>
    <row r="564" spans="1:105" ht="18.75" customHeight="1">
      <c r="A564" s="3">
        <v>265</v>
      </c>
      <c r="B564" s="38" t="s">
        <v>103</v>
      </c>
      <c r="C564" s="76" t="s">
        <v>115</v>
      </c>
      <c r="D564" s="76" t="s">
        <v>215</v>
      </c>
      <c r="E564" s="176">
        <v>44909</v>
      </c>
      <c r="F564" s="76" t="s">
        <v>106</v>
      </c>
      <c r="G564" s="76" t="s">
        <v>107</v>
      </c>
      <c r="H564" s="76">
        <v>2008</v>
      </c>
      <c r="I564" s="77" t="s">
        <v>108</v>
      </c>
      <c r="J564" s="176" t="s">
        <v>109</v>
      </c>
      <c r="K564" s="76">
        <v>161.80000000000001</v>
      </c>
      <c r="L564" s="76">
        <v>161.6</v>
      </c>
      <c r="M564" s="76"/>
      <c r="N564" s="76">
        <v>137.80000000000001</v>
      </c>
      <c r="O564" s="76">
        <v>137.6</v>
      </c>
      <c r="P564" s="76"/>
      <c r="Q564" s="76">
        <v>51.5</v>
      </c>
      <c r="R564" s="76">
        <v>51.4</v>
      </c>
      <c r="S564" s="76"/>
      <c r="T564" s="164">
        <v>161.69999999999999</v>
      </c>
      <c r="U564" s="42">
        <f>AVERAGE(paper3[[#This Row],[Sittende høyde 1]:[Sittende høyde 3]])-56.2</f>
        <v>81.499999999999986</v>
      </c>
      <c r="V564" s="12">
        <f>paper3[[#This Row],[height]]-paper3[[#This Row],[sittingheight]]</f>
        <v>80.2</v>
      </c>
      <c r="W564" s="165">
        <v>51.5</v>
      </c>
      <c r="X564" s="43" cm="1">
        <f t="array" ref="X564">INDEX([1]!phvny[yphv], MATCH(1, (paper3[[#This Row],[id]]=[1]!phvny[id])*(paper3[[#This Row],[time]]=[1]!phvny[time]), 0))</f>
        <v>1.8964121876515141</v>
      </c>
      <c r="Y564" s="76">
        <v>2.14</v>
      </c>
      <c r="Z564" s="3">
        <v>3.73</v>
      </c>
      <c r="AA564" s="76">
        <v>5.24</v>
      </c>
      <c r="AB564" s="76">
        <v>2.0699999999999998</v>
      </c>
      <c r="AC564" s="76">
        <v>3.62</v>
      </c>
      <c r="AD564" s="76">
        <v>5.12</v>
      </c>
      <c r="AE564" s="76">
        <v>2.08</v>
      </c>
      <c r="AF564" s="76">
        <v>3.67</v>
      </c>
      <c r="AG564" s="76">
        <v>5.18</v>
      </c>
      <c r="AH564" s="166">
        <v>2.0699999999999998</v>
      </c>
      <c r="AI564" s="166">
        <v>3.62</v>
      </c>
      <c r="AJ564" s="166">
        <v>5.12</v>
      </c>
      <c r="AK564" s="167">
        <v>6.666666666666667</v>
      </c>
      <c r="AL564" s="76"/>
      <c r="AM564" s="76">
        <v>11.13</v>
      </c>
      <c r="AN564" s="76">
        <v>11.17</v>
      </c>
      <c r="AO564" s="76">
        <v>11.37</v>
      </c>
      <c r="AP564" s="76">
        <v>11.13</v>
      </c>
      <c r="AQ564" s="168">
        <v>11.13</v>
      </c>
      <c r="AR564" s="168">
        <v>11.17</v>
      </c>
      <c r="AS564" s="76">
        <v>20.88</v>
      </c>
      <c r="AT564" s="76">
        <v>19.84</v>
      </c>
      <c r="AU564" s="76">
        <v>22.04</v>
      </c>
      <c r="AV564" s="76">
        <v>20.88</v>
      </c>
      <c r="AW564" s="76"/>
      <c r="AX564" s="169">
        <v>22</v>
      </c>
      <c r="AY564" s="76"/>
      <c r="AZ564" s="76">
        <v>8</v>
      </c>
      <c r="BA564" s="76">
        <v>130</v>
      </c>
      <c r="BB564" s="76">
        <v>11</v>
      </c>
      <c r="BC564" s="76">
        <v>141</v>
      </c>
      <c r="BD564" s="76">
        <v>685</v>
      </c>
      <c r="BE564" s="76">
        <v>627</v>
      </c>
      <c r="BF564" s="76"/>
      <c r="BG564" s="76">
        <v>220</v>
      </c>
      <c r="BH564" s="76">
        <v>226</v>
      </c>
      <c r="BI564" s="170">
        <v>1312</v>
      </c>
      <c r="BJ564" s="170">
        <v>446</v>
      </c>
      <c r="BK564" s="66">
        <v>9.2100000000000001E-2</v>
      </c>
      <c r="BL564" s="66">
        <v>-2.69E-2</v>
      </c>
      <c r="BM564" s="51">
        <v>25.5</v>
      </c>
      <c r="BN564" s="51">
        <v>8.6999999999999993</v>
      </c>
      <c r="BO564" s="171">
        <v>214</v>
      </c>
      <c r="BP564" s="77">
        <v>211</v>
      </c>
      <c r="BQ564" s="77">
        <v>214</v>
      </c>
      <c r="BR564" s="172">
        <v>-1.4E-2</v>
      </c>
      <c r="BS564" s="54">
        <v>4.1262135922330101</v>
      </c>
      <c r="BT564" s="76">
        <v>118</v>
      </c>
      <c r="BU564" s="77">
        <v>116</v>
      </c>
      <c r="BV564" s="76">
        <v>105</v>
      </c>
      <c r="BW564" s="76">
        <v>102</v>
      </c>
      <c r="BX564" s="81">
        <v>1.7000000000000001E-2</v>
      </c>
      <c r="BY564" s="81">
        <v>2.9000000000000001E-2</v>
      </c>
      <c r="BZ564" s="59">
        <v>1.1399999999999999</v>
      </c>
      <c r="CA564" s="173">
        <v>1.1200000000000001</v>
      </c>
      <c r="CB564" s="173">
        <v>1.8220194174757283</v>
      </c>
      <c r="CC564" s="173">
        <v>1.6117864077669903</v>
      </c>
      <c r="CD564" s="177">
        <v>65</v>
      </c>
      <c r="CE564" s="177">
        <v>61</v>
      </c>
      <c r="CF564" s="175">
        <v>1.26</v>
      </c>
      <c r="CG564" s="175">
        <v>1.19</v>
      </c>
      <c r="CH564" s="175">
        <v>0.94</v>
      </c>
      <c r="CI564" s="96"/>
      <c r="CJ564" s="40"/>
      <c r="CK564" s="76"/>
      <c r="CL564" s="62"/>
      <c r="CM564" s="63" t="s">
        <v>110</v>
      </c>
      <c r="CN564" s="3">
        <v>118</v>
      </c>
      <c r="CO564" s="3">
        <v>105</v>
      </c>
      <c r="CP564" s="41">
        <v>14.725</v>
      </c>
      <c r="CQ564" s="3" t="s">
        <v>175</v>
      </c>
      <c r="CR564" s="40">
        <v>117</v>
      </c>
      <c r="CS564" s="40">
        <v>103.5</v>
      </c>
      <c r="CT564" s="40">
        <v>212.5</v>
      </c>
      <c r="CU564" s="40"/>
      <c r="CV564" s="40"/>
      <c r="CW564" s="40"/>
      <c r="CX564" s="40"/>
      <c r="CY564" s="40">
        <v>0</v>
      </c>
      <c r="CZ564" s="40"/>
      <c r="DA564" s="40"/>
    </row>
    <row r="565" spans="1:105" ht="18.75">
      <c r="A565" s="3">
        <v>266</v>
      </c>
      <c r="B565" s="38" t="s">
        <v>103</v>
      </c>
      <c r="C565" s="2" t="s">
        <v>115</v>
      </c>
      <c r="D565" s="92" t="s">
        <v>215</v>
      </c>
      <c r="E565" s="176">
        <v>44943</v>
      </c>
      <c r="F565" s="3" t="s">
        <v>106</v>
      </c>
      <c r="G565" s="3" t="s">
        <v>107</v>
      </c>
      <c r="H565" s="3">
        <v>2008</v>
      </c>
      <c r="I565" s="40" t="s">
        <v>108</v>
      </c>
      <c r="J565" s="39" t="s">
        <v>109</v>
      </c>
      <c r="K565" s="3">
        <v>155.1</v>
      </c>
      <c r="L565" s="3">
        <v>155.4</v>
      </c>
      <c r="M565" s="3">
        <v>155.5</v>
      </c>
      <c r="N565" s="3">
        <v>134.19999999999999</v>
      </c>
      <c r="O565" s="3">
        <v>134.19999999999999</v>
      </c>
      <c r="P565" s="3"/>
      <c r="Q565" s="3">
        <v>38.5</v>
      </c>
      <c r="R565" s="3">
        <v>38.6</v>
      </c>
      <c r="S565" s="3"/>
      <c r="T565" s="42">
        <v>155.33333333333334</v>
      </c>
      <c r="U565" s="42">
        <f>AVERAGE(paper3[[#This Row],[Sittende høyde 1]:[Sittende høyde 3]])-56.2</f>
        <v>77.999999999999986</v>
      </c>
      <c r="V565" s="12">
        <f>paper3[[#This Row],[height]]-paper3[[#This Row],[sittingheight]]</f>
        <v>77.333333333333357</v>
      </c>
      <c r="W565" s="73">
        <v>38.549999999999997</v>
      </c>
      <c r="X565" s="43" cm="1">
        <f t="array" ref="X565">INDEX([1]!phvny[yphv], MATCH(1, (paper3[[#This Row],[id]]=[1]!phvny[id])*(paper3[[#This Row],[time]]=[1]!phvny[time]), 0))</f>
        <v>1.4491063945108087</v>
      </c>
      <c r="Y565" s="3">
        <v>2.0699999999999998</v>
      </c>
      <c r="Z565" s="3">
        <v>3.63</v>
      </c>
      <c r="AA565" s="3">
        <v>5.14</v>
      </c>
      <c r="AB565" s="3">
        <v>2.06</v>
      </c>
      <c r="AC565" s="3">
        <v>3.56</v>
      </c>
      <c r="AD565" s="3">
        <v>5.04</v>
      </c>
      <c r="AE565" s="3">
        <v>2.09</v>
      </c>
      <c r="AF565" s="3">
        <v>3.62</v>
      </c>
      <c r="AG565" s="3">
        <v>5.07</v>
      </c>
      <c r="AH565" s="44">
        <v>2.06</v>
      </c>
      <c r="AI565" s="44">
        <v>3.56</v>
      </c>
      <c r="AJ565" s="44">
        <v>5.04</v>
      </c>
      <c r="AK565" s="167">
        <v>6.756756756756757</v>
      </c>
      <c r="AL565" s="3">
        <v>10.85</v>
      </c>
      <c r="AM565" s="3">
        <v>10.68</v>
      </c>
      <c r="AN565" s="60">
        <v>10.9</v>
      </c>
      <c r="AO565" s="3">
        <v>10.73</v>
      </c>
      <c r="AP565" s="60">
        <v>10.68</v>
      </c>
      <c r="AQ565" s="47">
        <v>10.68</v>
      </c>
      <c r="AR565" s="47">
        <v>10.73</v>
      </c>
      <c r="AS565" s="3">
        <v>21.39</v>
      </c>
      <c r="AT565" s="3">
        <v>21.15</v>
      </c>
      <c r="AU565" s="3">
        <v>22.65</v>
      </c>
      <c r="AV565" s="3">
        <v>23.31</v>
      </c>
      <c r="AW565" s="3"/>
      <c r="AX565" s="48">
        <v>23.31</v>
      </c>
      <c r="AY565" s="71"/>
      <c r="AZ565" s="3">
        <v>6</v>
      </c>
      <c r="BA565" s="3">
        <v>120</v>
      </c>
      <c r="BB565" s="3">
        <v>7</v>
      </c>
      <c r="BC565" s="3">
        <v>99</v>
      </c>
      <c r="BD565" s="40">
        <v>376.81886957015837</v>
      </c>
      <c r="BE565" s="40">
        <v>419.74405584444384</v>
      </c>
      <c r="BF565" s="40"/>
      <c r="BG565" s="40">
        <v>197.67645854822069</v>
      </c>
      <c r="BH565" s="40">
        <v>203.38416516939012</v>
      </c>
      <c r="BI565" s="49">
        <v>796.5629254146022</v>
      </c>
      <c r="BJ565" s="49">
        <v>401.06062371761084</v>
      </c>
      <c r="BK565" s="66">
        <v>-0.10226514390520269</v>
      </c>
      <c r="BL565" s="66">
        <v>-2.8063672589337063E-2</v>
      </c>
      <c r="BM565" s="51">
        <v>20.689946114664991</v>
      </c>
      <c r="BN565" s="51">
        <v>10.417159057600282</v>
      </c>
      <c r="BO565" s="52">
        <v>120</v>
      </c>
      <c r="BP565" s="40">
        <v>120</v>
      </c>
      <c r="BQ565" s="40">
        <v>120</v>
      </c>
      <c r="BR565" s="67">
        <v>0</v>
      </c>
      <c r="BS565" s="54">
        <v>3.1128404669260701</v>
      </c>
      <c r="BT565" s="68">
        <v>90</v>
      </c>
      <c r="BU565" s="184">
        <v>104</v>
      </c>
      <c r="BV565" s="46">
        <v>88</v>
      </c>
      <c r="BW565" s="46">
        <v>78</v>
      </c>
      <c r="BX565" s="70">
        <v>-0.13461538461538458</v>
      </c>
      <c r="BY565" s="70">
        <v>0.12820512820512819</v>
      </c>
      <c r="BZ565" s="59">
        <v>1.3333333333333333</v>
      </c>
      <c r="CA565" s="59">
        <v>1.0227272727272727</v>
      </c>
      <c r="CB565" s="59">
        <v>1.9458711629917862</v>
      </c>
      <c r="CC565" s="59">
        <v>1.6650237786424562</v>
      </c>
      <c r="CD565" s="60">
        <v>76</v>
      </c>
      <c r="CE565" s="60">
        <v>67</v>
      </c>
      <c r="CF565" s="61">
        <v>1.9714656290531778</v>
      </c>
      <c r="CG565" s="61">
        <v>1.7380025940337225</v>
      </c>
      <c r="CH565" s="61">
        <v>0.88157894736842102</v>
      </c>
      <c r="CI565" s="41"/>
      <c r="CJ565" s="40"/>
      <c r="CK565" s="3"/>
      <c r="CL565" s="62"/>
      <c r="CM565" s="63" t="s">
        <v>110</v>
      </c>
      <c r="CN565" s="3">
        <v>104</v>
      </c>
      <c r="CO565" s="3">
        <v>88</v>
      </c>
      <c r="CP565" s="41">
        <v>14.869444444444444</v>
      </c>
      <c r="CQ565" s="3" t="s">
        <v>110</v>
      </c>
      <c r="CR565" s="40">
        <v>97</v>
      </c>
      <c r="CS565" s="40">
        <v>83</v>
      </c>
      <c r="CT565" s="40">
        <v>120</v>
      </c>
      <c r="CU565" s="40"/>
      <c r="CV565" s="40"/>
      <c r="CW565" s="40"/>
      <c r="CX565" s="40"/>
      <c r="CY565" s="40">
        <v>0</v>
      </c>
      <c r="CZ565" s="40"/>
      <c r="DA565" s="40"/>
    </row>
    <row r="566" spans="1:105" ht="18.75" customHeight="1">
      <c r="A566" s="46">
        <v>271</v>
      </c>
      <c r="B566" s="38" t="s">
        <v>103</v>
      </c>
      <c r="C566" s="3"/>
      <c r="D566" s="3" t="s">
        <v>215</v>
      </c>
      <c r="E566" s="39">
        <v>44862</v>
      </c>
      <c r="F566" s="3" t="s">
        <v>106</v>
      </c>
      <c r="G566" s="3" t="s">
        <v>122</v>
      </c>
      <c r="H566" s="3">
        <v>2004</v>
      </c>
      <c r="I566" s="40" t="s">
        <v>121</v>
      </c>
      <c r="J566" s="39" t="s">
        <v>160</v>
      </c>
      <c r="K566" s="3">
        <v>173.5</v>
      </c>
      <c r="L566" s="3">
        <v>173.5</v>
      </c>
      <c r="M566" s="3"/>
      <c r="N566" s="3">
        <v>144.30000000000001</v>
      </c>
      <c r="O566" s="3">
        <v>144.5</v>
      </c>
      <c r="P566" s="3">
        <v>144.30000000000001</v>
      </c>
      <c r="Q566" s="3">
        <v>72.5</v>
      </c>
      <c r="R566" s="3"/>
      <c r="S566" s="3"/>
      <c r="T566" s="42">
        <v>173.5</v>
      </c>
      <c r="U566" s="42">
        <f>AVERAGE(paper3[[#This Row],[Sittende høyde 1]:[Sittende høyde 3]])-56.2</f>
        <v>88.166666666666671</v>
      </c>
      <c r="V566" s="12">
        <f>paper3[[#This Row],[height]]-paper3[[#This Row],[sittingheight]]</f>
        <v>85.333333333333329</v>
      </c>
      <c r="W566" s="73">
        <v>72.5</v>
      </c>
      <c r="X566" s="43" cm="1">
        <f t="array" ref="X566">INDEX([1]!phvny[yphv], MATCH(1, (paper3[[#This Row],[id]]=[1]!phvny[id])*(paper3[[#This Row],[time]]=[1]!phvny[time]), 0))</f>
        <v>2.725207968790694</v>
      </c>
      <c r="Y566" s="3">
        <v>1.71</v>
      </c>
      <c r="Z566" s="3">
        <v>2.96</v>
      </c>
      <c r="AA566" s="3">
        <v>4.1100000000000003</v>
      </c>
      <c r="AB566" s="3">
        <v>1.73</v>
      </c>
      <c r="AC566" s="3">
        <v>2.9</v>
      </c>
      <c r="AD566" s="3">
        <v>4.07</v>
      </c>
      <c r="AE566" s="3">
        <v>1.84</v>
      </c>
      <c r="AF566" s="3">
        <v>3.02</v>
      </c>
      <c r="AG566" s="3">
        <v>4.18</v>
      </c>
      <c r="AH566" s="44">
        <v>1.71</v>
      </c>
      <c r="AI566" s="44">
        <v>2.9</v>
      </c>
      <c r="AJ566" s="44">
        <v>4.07</v>
      </c>
      <c r="AK566" s="45">
        <v>8.5470085470085451</v>
      </c>
      <c r="AL566" s="3" t="s">
        <v>225</v>
      </c>
      <c r="AM566" s="3">
        <v>9.18</v>
      </c>
      <c r="AN566" s="3">
        <v>9.2200000000000006</v>
      </c>
      <c r="AO566" s="3">
        <v>9.08</v>
      </c>
      <c r="AP566" s="3">
        <v>9.08</v>
      </c>
      <c r="AQ566" s="47">
        <v>9.18</v>
      </c>
      <c r="AR566" s="47">
        <v>9.08</v>
      </c>
      <c r="AS566" s="3">
        <v>46.61</v>
      </c>
      <c r="AT566" s="3">
        <v>51.08</v>
      </c>
      <c r="AU566" s="3">
        <v>45.14</v>
      </c>
      <c r="AV566" s="3"/>
      <c r="AW566" s="3"/>
      <c r="AX566" s="48">
        <v>51.08</v>
      </c>
      <c r="AY566" s="3"/>
      <c r="AZ566" s="3">
        <v>8</v>
      </c>
      <c r="BA566" s="3">
        <v>350</v>
      </c>
      <c r="BB566" s="3">
        <v>11</v>
      </c>
      <c r="BC566" s="3"/>
      <c r="BD566" s="40"/>
      <c r="BE566" s="40"/>
      <c r="BF566" s="40"/>
      <c r="BG566" s="40">
        <v>914.32768062420018</v>
      </c>
      <c r="BH566" s="40">
        <v>901.12954687954857</v>
      </c>
      <c r="BI566" s="49"/>
      <c r="BJ566" s="49">
        <v>1815.4572275037488</v>
      </c>
      <c r="BK566" s="66"/>
      <c r="BL566" s="66">
        <v>1.464621129154442E-2</v>
      </c>
      <c r="BM566" s="51"/>
      <c r="BN566" s="51">
        <v>25.040789344879293</v>
      </c>
      <c r="BO566" s="52">
        <v>353</v>
      </c>
      <c r="BP566" s="40">
        <v>334</v>
      </c>
      <c r="BQ566" s="40">
        <v>353</v>
      </c>
      <c r="BR566" s="67">
        <v>-5.3824362606232246E-2</v>
      </c>
      <c r="BS566" s="54">
        <v>4.7379310344827585</v>
      </c>
      <c r="BT566" s="3">
        <v>247</v>
      </c>
      <c r="BU566" s="40">
        <v>247</v>
      </c>
      <c r="BV566" s="3">
        <v>193</v>
      </c>
      <c r="BW566" s="3">
        <v>190</v>
      </c>
      <c r="BX566" s="70">
        <v>0</v>
      </c>
      <c r="BY566" s="70">
        <v>1.5789473684210575E-2</v>
      </c>
      <c r="BZ566" s="59">
        <v>1.3</v>
      </c>
      <c r="CA566" s="59">
        <v>1.2797927461139897</v>
      </c>
      <c r="CB566" s="59">
        <v>2.9072183908045974</v>
      </c>
      <c r="CC566" s="59">
        <v>2.253977011494253</v>
      </c>
      <c r="CD566" s="60">
        <v>179</v>
      </c>
      <c r="CE566" s="60">
        <v>172</v>
      </c>
      <c r="CF566" s="61">
        <v>2.4689655172413794</v>
      </c>
      <c r="CG566" s="61">
        <v>2.3724137931034481</v>
      </c>
      <c r="CH566" s="61">
        <v>0.96089385474860323</v>
      </c>
      <c r="CI566" s="140"/>
      <c r="CJ566" s="40"/>
      <c r="CK566" s="78" t="s">
        <v>193</v>
      </c>
      <c r="CL566" s="62"/>
      <c r="CM566" s="63" t="s">
        <v>110</v>
      </c>
      <c r="CN566" s="3">
        <v>247</v>
      </c>
      <c r="CO566" s="3">
        <v>193</v>
      </c>
      <c r="CP566" s="41">
        <f>_xlfn.MAXIFS([1]!phvny[age],[1]!phvny[id],paper3[[#This Row],[id]],[1]!phvny[time],paper3[[#This Row],[time]])</f>
        <v>18.138888888888889</v>
      </c>
      <c r="CQ566" s="3" t="s">
        <v>110</v>
      </c>
      <c r="CR566" s="40">
        <v>247</v>
      </c>
      <c r="CS566" s="40">
        <v>191.5</v>
      </c>
      <c r="CT566" s="40">
        <v>343.5</v>
      </c>
      <c r="CU566" s="40"/>
      <c r="CV566" s="40"/>
      <c r="CW566" s="40"/>
      <c r="CX566" s="40"/>
      <c r="CY566" s="40">
        <v>0</v>
      </c>
      <c r="CZ566" s="40"/>
      <c r="DA566" s="40"/>
    </row>
    <row r="567" spans="1:105" ht="18.75" customHeight="1">
      <c r="A567" s="3">
        <v>272</v>
      </c>
      <c r="B567" s="38" t="s">
        <v>103</v>
      </c>
      <c r="C567" s="90"/>
      <c r="D567" s="76" t="s">
        <v>215</v>
      </c>
      <c r="E567" s="39">
        <v>44862</v>
      </c>
      <c r="F567" s="3" t="s">
        <v>106</v>
      </c>
      <c r="G567" s="3" t="s">
        <v>122</v>
      </c>
      <c r="H567" s="3">
        <v>2004</v>
      </c>
      <c r="I567" s="40" t="s">
        <v>121</v>
      </c>
      <c r="J567" s="39" t="s">
        <v>160</v>
      </c>
      <c r="K567" s="3">
        <v>184.1</v>
      </c>
      <c r="L567" s="3">
        <v>184.3</v>
      </c>
      <c r="M567" s="3"/>
      <c r="N567" s="3">
        <v>152.6</v>
      </c>
      <c r="O567" s="3">
        <v>152.6</v>
      </c>
      <c r="P567" s="3"/>
      <c r="Q567" s="3">
        <v>74</v>
      </c>
      <c r="R567" s="3"/>
      <c r="S567" s="3"/>
      <c r="T567" s="42">
        <v>184.2</v>
      </c>
      <c r="U567" s="42">
        <f>AVERAGE(paper3[[#This Row],[Sittende høyde 1]:[Sittende høyde 3]])-56.2</f>
        <v>96.399999999999991</v>
      </c>
      <c r="V567" s="12">
        <f>paper3[[#This Row],[height]]-paper3[[#This Row],[sittingheight]]</f>
        <v>87.8</v>
      </c>
      <c r="W567" s="73">
        <v>74</v>
      </c>
      <c r="X567" s="43" cm="1">
        <f t="array" ref="X567">INDEX([1]!phvny[yphv], MATCH(1, (paper3[[#This Row],[id]]=[1]!phvny[id])*(paper3[[#This Row],[time]]=[1]!phvny[time]), 0))</f>
        <v>0</v>
      </c>
      <c r="Y567" s="3">
        <v>1.72</v>
      </c>
      <c r="Z567" s="3">
        <v>2.94</v>
      </c>
      <c r="AA567" s="3">
        <v>4.08</v>
      </c>
      <c r="AB567" s="3">
        <v>1.7</v>
      </c>
      <c r="AC567" s="3">
        <v>2.88</v>
      </c>
      <c r="AD567" s="3">
        <v>4.05</v>
      </c>
      <c r="AE567" s="3">
        <v>1.8</v>
      </c>
      <c r="AF567" s="3">
        <v>3.01</v>
      </c>
      <c r="AG567" s="3">
        <v>4.16</v>
      </c>
      <c r="AH567" s="44">
        <v>1.7</v>
      </c>
      <c r="AI567" s="44">
        <v>2.88</v>
      </c>
      <c r="AJ567" s="44">
        <v>4.05</v>
      </c>
      <c r="AK567" s="45">
        <v>8.5470085470085468</v>
      </c>
      <c r="AL567" s="3">
        <v>8.81</v>
      </c>
      <c r="AM567" s="3">
        <v>9.09</v>
      </c>
      <c r="AN567" s="3">
        <v>9.08</v>
      </c>
      <c r="AO567" s="3">
        <v>8.9700000000000006</v>
      </c>
      <c r="AP567" s="3">
        <v>8.81</v>
      </c>
      <c r="AQ567" s="47">
        <v>8.81</v>
      </c>
      <c r="AR567" s="47">
        <v>8.9700000000000006</v>
      </c>
      <c r="AS567" s="3">
        <v>33.99</v>
      </c>
      <c r="AT567" s="3">
        <v>39</v>
      </c>
      <c r="AU567" s="3">
        <v>39.89</v>
      </c>
      <c r="AV567" s="3">
        <v>42.04</v>
      </c>
      <c r="AW567" s="3">
        <v>41.98</v>
      </c>
      <c r="AX567" s="48">
        <v>42.04</v>
      </c>
      <c r="AY567" s="3"/>
      <c r="AZ567" s="3">
        <v>9</v>
      </c>
      <c r="BA567" s="3">
        <v>350</v>
      </c>
      <c r="BB567" s="3">
        <v>10</v>
      </c>
      <c r="BC567" s="3"/>
      <c r="BD567" s="40"/>
      <c r="BE567" s="40"/>
      <c r="BF567" s="40"/>
      <c r="BG567" s="40">
        <v>813.31031675863699</v>
      </c>
      <c r="BH567" s="40">
        <v>838.8330125163352</v>
      </c>
      <c r="BI567" s="49"/>
      <c r="BJ567" s="49">
        <v>1652.1433292749721</v>
      </c>
      <c r="BK567" s="66"/>
      <c r="BL567" s="66">
        <v>-3.0426432170492568E-2</v>
      </c>
      <c r="BM567" s="51"/>
      <c r="BN567" s="51">
        <v>22.326261206418543</v>
      </c>
      <c r="BO567" s="52">
        <v>432</v>
      </c>
      <c r="BP567" s="40">
        <v>407</v>
      </c>
      <c r="BQ567" s="40">
        <v>432</v>
      </c>
      <c r="BR567" s="67">
        <v>-5.787037037037035E-2</v>
      </c>
      <c r="BS567" s="54">
        <v>5.6689189189189193</v>
      </c>
      <c r="BT567" s="3">
        <v>247</v>
      </c>
      <c r="BU567" s="40">
        <v>242</v>
      </c>
      <c r="BV567" s="3">
        <v>210</v>
      </c>
      <c r="BW567" s="3">
        <v>216</v>
      </c>
      <c r="BX567" s="70">
        <v>2.0661157024793431E-2</v>
      </c>
      <c r="BY567" s="70">
        <v>-2.777777777777779E-2</v>
      </c>
      <c r="BZ567" s="59">
        <v>1.1203703703703705</v>
      </c>
      <c r="CA567" s="59">
        <v>1.1761904761904762</v>
      </c>
      <c r="CB567" s="59">
        <v>2.9009594594594592</v>
      </c>
      <c r="CC567" s="59">
        <v>2.5272162162162162</v>
      </c>
      <c r="CD567" s="60">
        <v>147</v>
      </c>
      <c r="CE567" s="60">
        <v>168</v>
      </c>
      <c r="CF567" s="61">
        <v>1.9864864864864864</v>
      </c>
      <c r="CG567" s="61">
        <v>2.2702702702702702</v>
      </c>
      <c r="CH567" s="61">
        <v>1.1428571428571428</v>
      </c>
      <c r="CI567" s="96"/>
      <c r="CJ567" s="40"/>
      <c r="CK567" s="76"/>
      <c r="CL567" s="62"/>
      <c r="CM567" s="63" t="s">
        <v>110</v>
      </c>
      <c r="CN567" s="3">
        <v>247</v>
      </c>
      <c r="CO567" s="3">
        <v>216</v>
      </c>
      <c r="CP567" s="41">
        <v>18.097222222222221</v>
      </c>
      <c r="CQ567" s="3" t="s">
        <v>110</v>
      </c>
      <c r="CR567" s="40">
        <v>244.5</v>
      </c>
      <c r="CS567" s="40">
        <v>213</v>
      </c>
      <c r="CT567" s="40">
        <v>419.5</v>
      </c>
      <c r="CU567" s="40"/>
      <c r="CV567" s="40"/>
      <c r="CW567" s="40"/>
      <c r="CX567" s="40"/>
      <c r="CY567" s="40">
        <v>0</v>
      </c>
      <c r="CZ567" s="40"/>
      <c r="DA567" s="40"/>
    </row>
    <row r="568" spans="1:105" ht="18.75" customHeight="1">
      <c r="A568" s="3">
        <v>275</v>
      </c>
      <c r="B568" s="38" t="s">
        <v>103</v>
      </c>
      <c r="C568" s="90"/>
      <c r="D568" s="46" t="s">
        <v>215</v>
      </c>
      <c r="E568" s="39">
        <v>44862</v>
      </c>
      <c r="F568" s="3" t="s">
        <v>106</v>
      </c>
      <c r="G568" s="3" t="s">
        <v>122</v>
      </c>
      <c r="H568" s="3">
        <v>2006</v>
      </c>
      <c r="I568" s="40" t="s">
        <v>116</v>
      </c>
      <c r="J568" s="39" t="s">
        <v>157</v>
      </c>
      <c r="K568" s="3">
        <v>177.7</v>
      </c>
      <c r="L568" s="3">
        <v>177.7</v>
      </c>
      <c r="M568" s="3"/>
      <c r="N568" s="3">
        <v>150.4</v>
      </c>
      <c r="O568" s="3">
        <v>150.19999999999999</v>
      </c>
      <c r="P568" s="3"/>
      <c r="Q568" s="3">
        <v>73.2</v>
      </c>
      <c r="R568" s="3"/>
      <c r="S568" s="3"/>
      <c r="T568" s="42">
        <v>177.7</v>
      </c>
      <c r="U568" s="42">
        <f>AVERAGE(paper3[[#This Row],[Sittende høyde 1]:[Sittende høyde 3]])-56.2</f>
        <v>94.100000000000009</v>
      </c>
      <c r="V568" s="12">
        <f>paper3[[#This Row],[height]]-paper3[[#This Row],[sittingheight]]</f>
        <v>83.59999999999998</v>
      </c>
      <c r="W568" s="73">
        <v>73.2</v>
      </c>
      <c r="X568" s="43" cm="1">
        <f t="array" ref="X568">INDEX([1]!phvny[yphv], MATCH(1, (paper3[[#This Row],[id]]=[1]!phvny[id])*(paper3[[#This Row],[time]]=[1]!phvny[time]), 0))</f>
        <v>2.7514428643609099</v>
      </c>
      <c r="Y568" s="3">
        <v>1.76</v>
      </c>
      <c r="Z568" s="3">
        <v>3.02</v>
      </c>
      <c r="AA568" s="3">
        <v>4.22</v>
      </c>
      <c r="AB568" s="3">
        <v>1.74</v>
      </c>
      <c r="AC568" s="3">
        <v>2.97</v>
      </c>
      <c r="AD568" s="3">
        <v>4.2</v>
      </c>
      <c r="AE568" s="3">
        <v>1.71</v>
      </c>
      <c r="AF568" s="3">
        <v>2.98</v>
      </c>
      <c r="AG568" s="3">
        <v>4.22</v>
      </c>
      <c r="AH568" s="44">
        <v>1.71</v>
      </c>
      <c r="AI568" s="44">
        <v>2.97</v>
      </c>
      <c r="AJ568" s="44">
        <v>4.2</v>
      </c>
      <c r="AK568" s="45">
        <v>8.1300813008130088</v>
      </c>
      <c r="AL568" s="3">
        <v>9.2200000000000006</v>
      </c>
      <c r="AM568" s="3">
        <v>9.2799999999999994</v>
      </c>
      <c r="AN568" s="3">
        <v>9.5299999999999994</v>
      </c>
      <c r="AO568" s="3">
        <v>9.3000000000000007</v>
      </c>
      <c r="AP568" s="3">
        <v>9.2200000000000006</v>
      </c>
      <c r="AQ568" s="47">
        <v>9.2200000000000006</v>
      </c>
      <c r="AR568" s="47">
        <v>9.3000000000000007</v>
      </c>
      <c r="AS568" s="3">
        <v>42.77</v>
      </c>
      <c r="AT568" s="3">
        <v>42.53</v>
      </c>
      <c r="AU568" s="3">
        <v>40.42</v>
      </c>
      <c r="AV568" s="3"/>
      <c r="AW568" s="3"/>
      <c r="AX568" s="48">
        <v>42.77</v>
      </c>
      <c r="AY568" s="3"/>
      <c r="AZ568" s="3">
        <v>8</v>
      </c>
      <c r="BA568" s="3">
        <v>350</v>
      </c>
      <c r="BB568" s="3">
        <v>10</v>
      </c>
      <c r="BC568" s="3"/>
      <c r="BD568" s="40">
        <v>1625</v>
      </c>
      <c r="BE568" s="40">
        <v>1557</v>
      </c>
      <c r="BF568" s="40"/>
      <c r="BG568" s="40">
        <v>785.08650902457805</v>
      </c>
      <c r="BH568" s="40">
        <v>736.38483581012667</v>
      </c>
      <c r="BI568" s="49">
        <v>3182</v>
      </c>
      <c r="BJ568" s="49">
        <v>1521.4713448347047</v>
      </c>
      <c r="BK568" s="66">
        <v>4.3673731535003313E-2</v>
      </c>
      <c r="BL568" s="66">
        <v>6.6136170716867948E-2</v>
      </c>
      <c r="BM568" s="51">
        <v>43.469945355191257</v>
      </c>
      <c r="BN568" s="51">
        <v>20.785127661676292</v>
      </c>
      <c r="BO568" s="52">
        <v>426</v>
      </c>
      <c r="BP568" s="40">
        <v>418</v>
      </c>
      <c r="BQ568" s="40">
        <v>426</v>
      </c>
      <c r="BR568" s="67">
        <v>-1.8779342723004744E-2</v>
      </c>
      <c r="BS568" s="54">
        <v>5.7650273224043715</v>
      </c>
      <c r="BT568" s="3">
        <v>222</v>
      </c>
      <c r="BU568" s="40">
        <v>241</v>
      </c>
      <c r="BV568" s="3">
        <v>170</v>
      </c>
      <c r="BW568" s="3">
        <v>182</v>
      </c>
      <c r="BX568" s="70">
        <v>-7.8838174273858974E-2</v>
      </c>
      <c r="BY568" s="70">
        <v>-6.5934065934065922E-2</v>
      </c>
      <c r="BZ568" s="59">
        <v>1.3241758241758241</v>
      </c>
      <c r="CA568" s="59">
        <v>1.3058823529411765</v>
      </c>
      <c r="CB568" s="59">
        <v>2.6439071038251361</v>
      </c>
      <c r="CC568" s="59">
        <v>2.0100546448087426</v>
      </c>
      <c r="CD568" s="60">
        <v>212</v>
      </c>
      <c r="CE568" s="60">
        <v>193</v>
      </c>
      <c r="CF568" s="61">
        <v>2.8961748633879782</v>
      </c>
      <c r="CG568" s="61">
        <v>2.6366120218579234</v>
      </c>
      <c r="CH568" s="61">
        <v>0.910377358490566</v>
      </c>
      <c r="CI568" s="140">
        <v>14.7</v>
      </c>
      <c r="CJ568" s="40">
        <f>VLOOKUP(paper3[[#This Row],[YYIR nivå]],$DB:$DC,2)</f>
        <v>720</v>
      </c>
      <c r="CK568" s="78"/>
      <c r="CL568" s="62"/>
      <c r="CM568" s="63" t="s">
        <v>110</v>
      </c>
      <c r="CN568" s="3">
        <v>241</v>
      </c>
      <c r="CO568" s="3">
        <v>182</v>
      </c>
      <c r="CP568" s="41">
        <v>16.505555555555556</v>
      </c>
      <c r="CQ568" s="3" t="s">
        <v>110</v>
      </c>
      <c r="CR568" s="40">
        <v>231.5</v>
      </c>
      <c r="CS568" s="40">
        <v>176</v>
      </c>
      <c r="CT568" s="40">
        <v>422</v>
      </c>
      <c r="CU568" s="40"/>
      <c r="CV568" s="40"/>
      <c r="CW568" s="40"/>
      <c r="CX568" s="40"/>
      <c r="CY568" s="40" t="s">
        <v>125</v>
      </c>
      <c r="CZ568" s="40"/>
      <c r="DA568" s="40"/>
    </row>
    <row r="569" spans="1:105" ht="18.75">
      <c r="A569" s="2">
        <v>276</v>
      </c>
      <c r="B569" s="38" t="s">
        <v>103</v>
      </c>
      <c r="C569" s="90"/>
      <c r="D569" s="46" t="s">
        <v>215</v>
      </c>
      <c r="E569" s="39">
        <v>44935</v>
      </c>
      <c r="F569" s="3" t="s">
        <v>106</v>
      </c>
      <c r="G569" s="3" t="s">
        <v>122</v>
      </c>
      <c r="H569" s="3">
        <v>2005</v>
      </c>
      <c r="I569" s="40" t="s">
        <v>121</v>
      </c>
      <c r="J569" s="39" t="s">
        <v>160</v>
      </c>
      <c r="K569" s="92"/>
      <c r="L569" s="92"/>
      <c r="M569" s="92"/>
      <c r="N569" s="92"/>
      <c r="O569" s="92"/>
      <c r="P569" s="92"/>
      <c r="Q569" s="92"/>
      <c r="R569" s="92"/>
      <c r="S569" s="92"/>
      <c r="T569" s="42"/>
      <c r="U569" s="42"/>
      <c r="V569" s="12"/>
      <c r="W569" s="42">
        <v>69.63</v>
      </c>
      <c r="X569" s="43"/>
      <c r="Y569" s="60">
        <v>1.82</v>
      </c>
      <c r="Z569" s="60">
        <v>3.08</v>
      </c>
      <c r="AA569" s="60">
        <v>4.33</v>
      </c>
      <c r="AB569" s="60">
        <v>1.88</v>
      </c>
      <c r="AC569" s="60">
        <v>3.19</v>
      </c>
      <c r="AD569" s="60">
        <v>4.42</v>
      </c>
      <c r="AE569" s="92"/>
      <c r="AF569" s="92"/>
      <c r="AG569" s="92"/>
      <c r="AH569" s="45">
        <v>1.82</v>
      </c>
      <c r="AI569" s="45">
        <v>3.08</v>
      </c>
      <c r="AJ569" s="45">
        <v>4.33</v>
      </c>
      <c r="AK569" s="45">
        <v>8</v>
      </c>
      <c r="AL569" s="3">
        <v>9.33</v>
      </c>
      <c r="AM569" s="3">
        <v>9.07</v>
      </c>
      <c r="AN569" s="3">
        <v>9.15</v>
      </c>
      <c r="AO569" s="128">
        <v>8.92</v>
      </c>
      <c r="AP569" s="3">
        <v>8.92</v>
      </c>
      <c r="AQ569" s="47">
        <v>9.07</v>
      </c>
      <c r="AR569" s="47">
        <v>8.92</v>
      </c>
      <c r="AS569" s="3">
        <v>33.979999999999997</v>
      </c>
      <c r="AT569" s="3">
        <v>32.82</v>
      </c>
      <c r="AU569" s="3">
        <v>32.79</v>
      </c>
      <c r="AV569" s="92"/>
      <c r="AW569" s="92"/>
      <c r="AX569" s="48">
        <v>33.979999999999997</v>
      </c>
      <c r="AY569" s="92"/>
      <c r="AZ569" s="92"/>
      <c r="BA569" s="92"/>
      <c r="BB569" s="92"/>
      <c r="BC569" s="92"/>
      <c r="BD569" s="92"/>
      <c r="BE569" s="92"/>
      <c r="BF569" s="92"/>
      <c r="BG569" s="92"/>
      <c r="BH569" s="92"/>
      <c r="BI569" s="92"/>
      <c r="BJ569" s="92"/>
      <c r="BK569" s="92"/>
      <c r="BL569" s="92"/>
      <c r="BM569" s="92"/>
      <c r="BN569" s="92"/>
      <c r="BO569" s="52"/>
      <c r="BP569" s="92"/>
      <c r="BQ569" s="92"/>
      <c r="BR569" s="92"/>
      <c r="BS569" s="54" t="s">
        <v>110</v>
      </c>
      <c r="BT569" s="92"/>
      <c r="BU569" s="185"/>
      <c r="BV569" s="92"/>
      <c r="BW569" s="92"/>
      <c r="BX569" s="59"/>
      <c r="BY569" s="59"/>
      <c r="BZ569" s="59"/>
      <c r="CA569" s="59"/>
      <c r="CB569" s="59" t="s">
        <v>110</v>
      </c>
      <c r="CC569" s="59" t="s">
        <v>110</v>
      </c>
      <c r="CD569" s="186"/>
      <c r="CE569" s="186"/>
      <c r="CF569" s="186"/>
      <c r="CG569" s="186"/>
      <c r="CH569" s="92"/>
      <c r="CI569" s="41">
        <v>17.100000000000001</v>
      </c>
      <c r="CJ569" s="40">
        <f>VLOOKUP(paper3[[#This Row],[YYIR nivå]],$DB:$DC,2)</f>
        <v>1440</v>
      </c>
      <c r="CK569" s="92"/>
      <c r="CL569" s="62"/>
      <c r="CM569" s="63" t="s">
        <v>110</v>
      </c>
      <c r="CN569" s="3"/>
      <c r="CO569" s="3"/>
      <c r="CP569" s="41">
        <v>17.886111111111113</v>
      </c>
      <c r="CQ569" s="3" t="s">
        <v>110</v>
      </c>
      <c r="CR569" s="40" t="s">
        <v>110</v>
      </c>
      <c r="CS569" s="40" t="s">
        <v>110</v>
      </c>
      <c r="CT569" s="40" t="s">
        <v>110</v>
      </c>
      <c r="CU569" s="40"/>
      <c r="CV569" s="40"/>
      <c r="CW569" s="40"/>
      <c r="CX569" s="40"/>
      <c r="CY569" s="40">
        <v>0</v>
      </c>
      <c r="CZ569" s="40"/>
      <c r="DA569" s="40"/>
    </row>
    <row r="570" spans="1:105" ht="18.95" customHeight="1">
      <c r="A570" s="2">
        <v>277</v>
      </c>
      <c r="B570" s="38" t="s">
        <v>103</v>
      </c>
      <c r="C570" s="3"/>
      <c r="D570" s="3" t="s">
        <v>215</v>
      </c>
      <c r="E570" s="39">
        <v>44862</v>
      </c>
      <c r="F570" s="3" t="s">
        <v>106</v>
      </c>
      <c r="G570" s="3" t="s">
        <v>122</v>
      </c>
      <c r="H570" s="3">
        <v>2004</v>
      </c>
      <c r="I570" s="40" t="s">
        <v>121</v>
      </c>
      <c r="J570" s="39" t="s">
        <v>160</v>
      </c>
      <c r="K570" s="3">
        <v>181.9</v>
      </c>
      <c r="L570" s="3">
        <v>181.9</v>
      </c>
      <c r="M570" s="3"/>
      <c r="N570" s="3">
        <v>149.4</v>
      </c>
      <c r="O570" s="3">
        <v>148.9</v>
      </c>
      <c r="P570" s="3">
        <v>149.4</v>
      </c>
      <c r="Q570" s="3">
        <v>77</v>
      </c>
      <c r="R570" s="3"/>
      <c r="S570" s="3"/>
      <c r="T570" s="42">
        <v>181.9</v>
      </c>
      <c r="U570" s="42">
        <f>AVERAGE(paper3[[#This Row],[Sittende høyde 1]:[Sittende høyde 3]])-56.2</f>
        <v>93.033333333333346</v>
      </c>
      <c r="V570" s="12">
        <f>paper3[[#This Row],[height]]-paper3[[#This Row],[sittingheight]]</f>
        <v>88.86666666666666</v>
      </c>
      <c r="W570" s="73">
        <v>77</v>
      </c>
      <c r="X570" s="43" cm="1">
        <f t="array" ref="X570">INDEX([1]!phvny[yphv], MATCH(1, (paper3[[#This Row],[id]]=[1]!phvny[id])*(paper3[[#This Row],[time]]=[1]!phvny[time]), 0))</f>
        <v>3.5088401359410151</v>
      </c>
      <c r="Y570" s="3">
        <v>1.93</v>
      </c>
      <c r="Z570" s="3">
        <v>3.23</v>
      </c>
      <c r="AA570" s="3">
        <v>4.4800000000000004</v>
      </c>
      <c r="AB570" s="3">
        <v>1.9</v>
      </c>
      <c r="AC570" s="3">
        <v>3.17</v>
      </c>
      <c r="AD570" s="3">
        <v>4.43</v>
      </c>
      <c r="AE570" s="3">
        <v>1.84</v>
      </c>
      <c r="AF570" s="3">
        <v>3.19</v>
      </c>
      <c r="AG570" s="3">
        <v>4.42</v>
      </c>
      <c r="AH570" s="44">
        <v>1.84</v>
      </c>
      <c r="AI570" s="44">
        <v>3.17</v>
      </c>
      <c r="AJ570" s="44">
        <v>4.42</v>
      </c>
      <c r="AK570" s="45">
        <v>8</v>
      </c>
      <c r="AL570" s="3">
        <v>9.82</v>
      </c>
      <c r="AM570" s="3"/>
      <c r="AN570" s="3">
        <v>9.93</v>
      </c>
      <c r="AO570" s="3"/>
      <c r="AP570" s="3">
        <v>9.82</v>
      </c>
      <c r="AQ570" s="47">
        <v>9.82</v>
      </c>
      <c r="AR570" s="47">
        <v>9.93</v>
      </c>
      <c r="AS570" s="3">
        <v>42.37</v>
      </c>
      <c r="AT570" s="3">
        <v>42.83</v>
      </c>
      <c r="AU570" s="3">
        <v>39.42</v>
      </c>
      <c r="AV570" s="3"/>
      <c r="AW570" s="3"/>
      <c r="AX570" s="48">
        <v>42.83</v>
      </c>
      <c r="AY570" s="3"/>
      <c r="AZ570" s="3">
        <v>10</v>
      </c>
      <c r="BA570" s="3">
        <v>350</v>
      </c>
      <c r="BB570" s="3">
        <v>10</v>
      </c>
      <c r="BC570" s="3"/>
      <c r="BD570" s="40">
        <v>1747</v>
      </c>
      <c r="BE570" s="40">
        <v>1818</v>
      </c>
      <c r="BF570" s="40"/>
      <c r="BG570" s="40">
        <v>736.63438353499441</v>
      </c>
      <c r="BH570" s="40">
        <v>730.99875378419642</v>
      </c>
      <c r="BI570" s="49">
        <v>3565</v>
      </c>
      <c r="BJ570" s="49">
        <v>1467.6331373191908</v>
      </c>
      <c r="BK570" s="66">
        <v>-3.9053905390539101E-2</v>
      </c>
      <c r="BL570" s="66">
        <v>7.7094929664704992E-3</v>
      </c>
      <c r="BM570" s="51">
        <v>46.298701298701296</v>
      </c>
      <c r="BN570" s="51">
        <v>19.060170614534947</v>
      </c>
      <c r="BO570" s="52"/>
      <c r="BP570" s="40"/>
      <c r="BQ570" s="40"/>
      <c r="BR570" s="67"/>
      <c r="BS570" s="54" t="s">
        <v>110</v>
      </c>
      <c r="BT570" s="3">
        <v>272</v>
      </c>
      <c r="BU570" s="40">
        <v>233</v>
      </c>
      <c r="BV570" s="3">
        <v>154</v>
      </c>
      <c r="BW570" s="3">
        <v>153</v>
      </c>
      <c r="BX570" s="70">
        <v>0.16738197424892709</v>
      </c>
      <c r="BY570" s="70">
        <v>6.5359477124182774E-3</v>
      </c>
      <c r="BZ570" s="59">
        <v>1.522875816993464</v>
      </c>
      <c r="CA570" s="59">
        <v>1.7662337662337662</v>
      </c>
      <c r="CB570" s="59">
        <v>2.9141341991341991</v>
      </c>
      <c r="CC570" s="59">
        <v>1.7715627705627703</v>
      </c>
      <c r="CD570" s="60">
        <v>162</v>
      </c>
      <c r="CE570" s="60">
        <v>168</v>
      </c>
      <c r="CF570" s="61">
        <v>2.1038961038961039</v>
      </c>
      <c r="CG570" s="61">
        <v>2.1818181818181817</v>
      </c>
      <c r="CH570" s="61">
        <v>1.037037037037037</v>
      </c>
      <c r="CI570" s="96">
        <v>18.2</v>
      </c>
      <c r="CJ570" s="40">
        <f>VLOOKUP(paper3[[#This Row],[YYIR nivå]],$DB:$DC,2)</f>
        <v>1800</v>
      </c>
      <c r="CK570" s="76" t="s">
        <v>226</v>
      </c>
      <c r="CL570" s="62"/>
      <c r="CM570" s="63" t="s">
        <v>110</v>
      </c>
      <c r="CN570" s="3">
        <v>272</v>
      </c>
      <c r="CO570" s="3">
        <v>154</v>
      </c>
      <c r="CP570" s="41">
        <v>18.411111111111111</v>
      </c>
      <c r="CQ570" s="3" t="s">
        <v>110</v>
      </c>
      <c r="CR570" s="40">
        <v>252.5</v>
      </c>
      <c r="CS570" s="40">
        <v>153.5</v>
      </c>
      <c r="CT570" s="40" t="s">
        <v>110</v>
      </c>
      <c r="CU570" s="40"/>
      <c r="CV570" s="40"/>
      <c r="CW570" s="40"/>
      <c r="CX570" s="40"/>
      <c r="CY570" s="40">
        <v>0</v>
      </c>
      <c r="CZ570" s="40"/>
      <c r="DA570" s="40"/>
    </row>
    <row r="571" spans="1:105" ht="18.75">
      <c r="A571" s="3">
        <v>286</v>
      </c>
      <c r="B571" s="38" t="s">
        <v>103</v>
      </c>
      <c r="C571" s="90"/>
      <c r="D571" s="76" t="s">
        <v>215</v>
      </c>
      <c r="E571" s="39">
        <v>44935</v>
      </c>
      <c r="F571" s="3" t="s">
        <v>106</v>
      </c>
      <c r="G571" s="3" t="s">
        <v>122</v>
      </c>
      <c r="H571" s="3" t="s">
        <v>227</v>
      </c>
      <c r="I571" s="40" t="s">
        <v>121</v>
      </c>
      <c r="J571" s="39" t="s">
        <v>160</v>
      </c>
      <c r="K571" s="38"/>
      <c r="L571" s="38"/>
      <c r="M571" s="38"/>
      <c r="N571" s="38"/>
      <c r="O571" s="38"/>
      <c r="P571" s="38"/>
      <c r="Q571" s="38"/>
      <c r="R571" s="38"/>
      <c r="S571" s="38"/>
      <c r="T571" s="42"/>
      <c r="U571" s="42"/>
      <c r="V571" s="12"/>
      <c r="W571" s="42">
        <v>72.58</v>
      </c>
      <c r="X571" s="43"/>
      <c r="Y571" s="60">
        <v>1.74</v>
      </c>
      <c r="Z571" s="60">
        <v>2.9</v>
      </c>
      <c r="AA571" s="60">
        <v>4.1100000000000003</v>
      </c>
      <c r="AB571" s="60">
        <v>1.76</v>
      </c>
      <c r="AC571" s="60">
        <v>2.95</v>
      </c>
      <c r="AD571" s="60">
        <v>4.1399999999999997</v>
      </c>
      <c r="AE571" s="60">
        <v>1.75</v>
      </c>
      <c r="AF571" s="60">
        <v>2.97</v>
      </c>
      <c r="AG571" s="60">
        <v>4.13</v>
      </c>
      <c r="AH571" s="44">
        <v>1.74</v>
      </c>
      <c r="AI571" s="44">
        <v>2.9</v>
      </c>
      <c r="AJ571" s="44">
        <v>4.1100000000000003</v>
      </c>
      <c r="AK571" s="45">
        <v>8.2644628099173527</v>
      </c>
      <c r="AL571" s="3">
        <v>9.2799999999999994</v>
      </c>
      <c r="AM571" s="3">
        <v>9.35</v>
      </c>
      <c r="AN571" s="3">
        <v>9.4499999999999993</v>
      </c>
      <c r="AO571" s="3"/>
      <c r="AP571" s="3">
        <v>9.2799999999999994</v>
      </c>
      <c r="AQ571" s="47">
        <v>9.2799999999999994</v>
      </c>
      <c r="AR571" s="47">
        <v>9.4499999999999993</v>
      </c>
      <c r="AS571" s="3">
        <v>42.85</v>
      </c>
      <c r="AT571" s="3">
        <v>40.97</v>
      </c>
      <c r="AU571" s="3">
        <v>41.4</v>
      </c>
      <c r="AV571" s="3">
        <v>40.71</v>
      </c>
      <c r="AW571" s="38"/>
      <c r="AX571" s="48">
        <v>42.85</v>
      </c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52"/>
      <c r="BP571" s="92"/>
      <c r="BQ571" s="92"/>
      <c r="BR571" s="38"/>
      <c r="BS571" s="54" t="s">
        <v>110</v>
      </c>
      <c r="BT571" s="38"/>
      <c r="BU571" s="93"/>
      <c r="BV571" s="38"/>
      <c r="BW571" s="38"/>
      <c r="BX571" s="59"/>
      <c r="BY571" s="59"/>
      <c r="BZ571" s="59"/>
      <c r="CA571" s="59"/>
      <c r="CB571" s="59" t="s">
        <v>110</v>
      </c>
      <c r="CC571" s="59" t="s">
        <v>110</v>
      </c>
      <c r="CD571" s="94"/>
      <c r="CE571" s="94"/>
      <c r="CF571" s="94"/>
      <c r="CG571" s="94"/>
      <c r="CH571" s="38"/>
      <c r="CI571" s="41">
        <v>14.2</v>
      </c>
      <c r="CJ571" s="40">
        <f>VLOOKUP(paper3[[#This Row],[YYIR nivå]],$DB:$DC,2)</f>
        <v>520</v>
      </c>
      <c r="CK571" s="38" t="s">
        <v>226</v>
      </c>
      <c r="CL571" s="62"/>
      <c r="CM571" s="63" t="s">
        <v>110</v>
      </c>
      <c r="CN571" s="3"/>
      <c r="CO571" s="3"/>
      <c r="CP571" s="41">
        <v>18.819444444444443</v>
      </c>
      <c r="CQ571" s="3" t="s">
        <v>110</v>
      </c>
      <c r="CR571" s="40" t="s">
        <v>110</v>
      </c>
      <c r="CS571" s="40" t="s">
        <v>110</v>
      </c>
      <c r="CT571" s="40" t="s">
        <v>110</v>
      </c>
      <c r="CU571" s="40"/>
      <c r="CV571" s="40"/>
      <c r="CW571" s="40"/>
      <c r="CX571" s="40"/>
      <c r="CY571" s="40">
        <v>0</v>
      </c>
      <c r="CZ571" s="40"/>
      <c r="DA571" s="40"/>
    </row>
    <row r="572" spans="1:105" ht="18.75" customHeight="1">
      <c r="A572" s="162">
        <v>288</v>
      </c>
      <c r="B572" s="38" t="s">
        <v>103</v>
      </c>
      <c r="C572" s="78">
        <v>0</v>
      </c>
      <c r="D572" s="78" t="s">
        <v>215</v>
      </c>
      <c r="E572" s="163">
        <v>44909</v>
      </c>
      <c r="F572" s="78" t="s">
        <v>106</v>
      </c>
      <c r="G572" s="78" t="s">
        <v>107</v>
      </c>
      <c r="H572" s="78">
        <v>2008</v>
      </c>
      <c r="I572" s="79" t="s">
        <v>108</v>
      </c>
      <c r="J572" s="163" t="s">
        <v>109</v>
      </c>
      <c r="K572" s="78">
        <v>172.6</v>
      </c>
      <c r="L572" s="78">
        <v>172.5</v>
      </c>
      <c r="M572" s="78"/>
      <c r="N572" s="78">
        <v>141.4</v>
      </c>
      <c r="O572" s="78">
        <v>141.30000000000001</v>
      </c>
      <c r="P572" s="78"/>
      <c r="Q572" s="78">
        <v>59.7</v>
      </c>
      <c r="R572" s="78">
        <v>59.7</v>
      </c>
      <c r="S572" s="78"/>
      <c r="T572" s="164">
        <v>172.6</v>
      </c>
      <c r="U572" s="42">
        <f>AVERAGE(paper3[[#This Row],[Sittende høyde 1]:[Sittende høyde 3]])-56.2</f>
        <v>85.15000000000002</v>
      </c>
      <c r="V572" s="12">
        <f>paper3[[#This Row],[height]]-paper3[[#This Row],[sittingheight]]</f>
        <v>87.449999999999974</v>
      </c>
      <c r="W572" s="165">
        <v>59.7</v>
      </c>
      <c r="X572" s="43" cm="1">
        <f t="array" ref="X572">INDEX([1]!phvny[yphv], MATCH(1, (paper3[[#This Row],[id]]=[1]!phvny[id])*(paper3[[#This Row],[time]]=[1]!phvny[time]), 0))</f>
        <v>2.507770355911163</v>
      </c>
      <c r="Y572" s="76">
        <v>1.91</v>
      </c>
      <c r="Z572" s="3">
        <v>3.32</v>
      </c>
      <c r="AA572" s="76">
        <v>4.7</v>
      </c>
      <c r="AB572" s="78">
        <v>1.92</v>
      </c>
      <c r="AC572" s="78">
        <v>3.35</v>
      </c>
      <c r="AD572" s="78">
        <v>4.7300000000000004</v>
      </c>
      <c r="AE572" s="78">
        <v>1.93</v>
      </c>
      <c r="AF572" s="78">
        <v>3.35</v>
      </c>
      <c r="AG572" s="78">
        <v>4.72</v>
      </c>
      <c r="AH572" s="166">
        <v>1.91</v>
      </c>
      <c r="AI572" s="166">
        <v>3.32</v>
      </c>
      <c r="AJ572" s="166">
        <v>4.7</v>
      </c>
      <c r="AK572" s="167">
        <v>7.2463768115942013</v>
      </c>
      <c r="AL572" s="78">
        <v>10.59</v>
      </c>
      <c r="AM572" s="78">
        <v>10.24</v>
      </c>
      <c r="AN572" s="78">
        <v>10.55</v>
      </c>
      <c r="AO572" s="78">
        <v>10.54</v>
      </c>
      <c r="AP572" s="78">
        <v>10.24</v>
      </c>
      <c r="AQ572" s="168">
        <v>10.24</v>
      </c>
      <c r="AR572" s="168">
        <v>10.54</v>
      </c>
      <c r="AS572" s="78">
        <v>26.11</v>
      </c>
      <c r="AT572" s="78">
        <v>23.69</v>
      </c>
      <c r="AU572" s="78">
        <v>28.56</v>
      </c>
      <c r="AV572" s="78">
        <v>28.65</v>
      </c>
      <c r="AW572" s="76"/>
      <c r="AX572" s="169">
        <v>28.7</v>
      </c>
      <c r="AY572" s="78"/>
      <c r="AZ572" s="78">
        <v>10</v>
      </c>
      <c r="BA572" s="78">
        <v>230</v>
      </c>
      <c r="BB572" s="78">
        <v>9</v>
      </c>
      <c r="BC572" s="78">
        <v>229</v>
      </c>
      <c r="BD572" s="78"/>
      <c r="BE572" s="78"/>
      <c r="BF572" s="78"/>
      <c r="BG572" s="78">
        <v>282</v>
      </c>
      <c r="BH572" s="78">
        <v>332</v>
      </c>
      <c r="BI572" s="170"/>
      <c r="BJ572" s="170">
        <v>614</v>
      </c>
      <c r="BK572" s="66"/>
      <c r="BL572" s="66">
        <v>-0.1484</v>
      </c>
      <c r="BM572" s="51"/>
      <c r="BN572" s="51">
        <v>10.3</v>
      </c>
      <c r="BO572" s="171">
        <v>281</v>
      </c>
      <c r="BP572" s="79">
        <v>266</v>
      </c>
      <c r="BQ572" s="79">
        <v>281</v>
      </c>
      <c r="BR572" s="172">
        <v>-5.3400000000000003E-2</v>
      </c>
      <c r="BS572" s="54">
        <v>4.5812395309882747</v>
      </c>
      <c r="BT572" s="78">
        <v>127</v>
      </c>
      <c r="BU572" s="79">
        <v>121</v>
      </c>
      <c r="BV572" s="78">
        <v>112</v>
      </c>
      <c r="BW572" s="78">
        <v>112</v>
      </c>
      <c r="BX572" s="81">
        <v>0.05</v>
      </c>
      <c r="BY572" s="81">
        <v>0</v>
      </c>
      <c r="BZ572" s="59">
        <v>1.08</v>
      </c>
      <c r="CA572" s="173">
        <v>1.1299999999999999</v>
      </c>
      <c r="CB572" s="173">
        <v>1.816381909547738</v>
      </c>
      <c r="CC572" s="173">
        <v>1.6406030150753763</v>
      </c>
      <c r="CD572" s="174">
        <v>71</v>
      </c>
      <c r="CE572" s="174">
        <v>62</v>
      </c>
      <c r="CF572" s="175">
        <v>1.19</v>
      </c>
      <c r="CG572" s="175">
        <v>1.04</v>
      </c>
      <c r="CH572" s="175">
        <v>0.87</v>
      </c>
      <c r="CI572" s="140"/>
      <c r="CJ572" s="40"/>
      <c r="CK572" s="78"/>
      <c r="CL572" s="62"/>
      <c r="CM572" s="63" t="s">
        <v>110</v>
      </c>
      <c r="CN572" s="3">
        <v>127</v>
      </c>
      <c r="CO572" s="3">
        <v>112</v>
      </c>
      <c r="CP572" s="41">
        <v>14.727777777777778</v>
      </c>
      <c r="CQ572" s="3" t="s">
        <v>177</v>
      </c>
      <c r="CR572" s="40">
        <v>124</v>
      </c>
      <c r="CS572" s="40">
        <v>112</v>
      </c>
      <c r="CT572" s="40">
        <v>273.5</v>
      </c>
      <c r="CU572" s="40"/>
      <c r="CV572" s="40"/>
      <c r="CW572" s="40"/>
      <c r="CX572" s="40"/>
      <c r="CY572" s="40">
        <v>0</v>
      </c>
      <c r="CZ572" s="40"/>
      <c r="DA572" s="40"/>
    </row>
    <row r="573" spans="1:105" ht="18.95" customHeight="1">
      <c r="A573" s="3">
        <v>289</v>
      </c>
      <c r="B573" s="38" t="s">
        <v>103</v>
      </c>
      <c r="C573" s="145" t="s">
        <v>158</v>
      </c>
      <c r="D573" s="92" t="s">
        <v>215</v>
      </c>
      <c r="E573" s="176">
        <v>44943</v>
      </c>
      <c r="F573" s="3" t="s">
        <v>106</v>
      </c>
      <c r="G573" s="3" t="s">
        <v>107</v>
      </c>
      <c r="H573" s="3">
        <v>2008</v>
      </c>
      <c r="I573" s="40" t="s">
        <v>108</v>
      </c>
      <c r="J573" s="39" t="s">
        <v>109</v>
      </c>
      <c r="K573" s="3">
        <v>166.9</v>
      </c>
      <c r="L573" s="3">
        <v>166.7</v>
      </c>
      <c r="M573" s="3"/>
      <c r="N573" s="3">
        <v>138.1</v>
      </c>
      <c r="O573" s="3">
        <v>138.30000000000001</v>
      </c>
      <c r="P573" s="3"/>
      <c r="Q573" s="3">
        <v>50</v>
      </c>
      <c r="R573" s="3">
        <v>49.9</v>
      </c>
      <c r="S573" s="3"/>
      <c r="T573" s="42">
        <v>166.8</v>
      </c>
      <c r="U573" s="42">
        <f>AVERAGE(paper3[[#This Row],[Sittende høyde 1]:[Sittende høyde 3]])-56.2</f>
        <v>81.999999999999986</v>
      </c>
      <c r="V573" s="12">
        <f>paper3[[#This Row],[height]]-paper3[[#This Row],[sittingheight]]</f>
        <v>84.800000000000026</v>
      </c>
      <c r="W573" s="73">
        <v>49.95</v>
      </c>
      <c r="X573" s="43" cm="1">
        <f t="array" ref="X573">INDEX([1]!phvny[yphv], MATCH(1, (paper3[[#This Row],[id]]=[1]!phvny[id])*(paper3[[#This Row],[time]]=[1]!phvny[time]), 0))</f>
        <v>2.2218206218305365</v>
      </c>
      <c r="Y573" s="3">
        <v>2.2200000000000002</v>
      </c>
      <c r="Z573" s="3">
        <v>3.83</v>
      </c>
      <c r="AA573" s="3">
        <v>5.36</v>
      </c>
      <c r="AB573" s="3">
        <v>2.23</v>
      </c>
      <c r="AC573" s="3">
        <v>3.83</v>
      </c>
      <c r="AD573" s="3">
        <v>5.36</v>
      </c>
      <c r="AE573" s="3">
        <v>2.1800000000000002</v>
      </c>
      <c r="AF573" s="3">
        <v>3.77</v>
      </c>
      <c r="AG573" s="3">
        <v>5.32</v>
      </c>
      <c r="AH573" s="44">
        <v>2.1800000000000002</v>
      </c>
      <c r="AI573" s="44">
        <v>3.77</v>
      </c>
      <c r="AJ573" s="44">
        <v>5.32</v>
      </c>
      <c r="AK573" s="167">
        <v>6.4516129032258052</v>
      </c>
      <c r="AL573" s="3">
        <v>12.43</v>
      </c>
      <c r="AM573" s="3">
        <v>12.3</v>
      </c>
      <c r="AN573" s="3">
        <v>11.98</v>
      </c>
      <c r="AO573" s="3">
        <v>11.88</v>
      </c>
      <c r="AP573" s="3">
        <v>11.88</v>
      </c>
      <c r="AQ573" s="47">
        <v>12.3</v>
      </c>
      <c r="AR573" s="47">
        <v>11.88</v>
      </c>
      <c r="AS573" s="3">
        <v>19.190000000000001</v>
      </c>
      <c r="AT573" s="3">
        <v>22.14</v>
      </c>
      <c r="AU573" s="3">
        <v>19.579999999999998</v>
      </c>
      <c r="AV573" s="3"/>
      <c r="AW573" s="3"/>
      <c r="AX573" s="48">
        <v>22.14</v>
      </c>
      <c r="AY573" s="71"/>
      <c r="AZ573" s="3">
        <v>9</v>
      </c>
      <c r="BA573" s="3">
        <v>180</v>
      </c>
      <c r="BB573" s="3">
        <v>8</v>
      </c>
      <c r="BC573" s="3">
        <v>163</v>
      </c>
      <c r="BD573" s="89">
        <v>764.81511946240562</v>
      </c>
      <c r="BE573" s="89">
        <v>660.5784511379461</v>
      </c>
      <c r="BF573" s="89"/>
      <c r="BG573" s="40">
        <v>267.87778001417018</v>
      </c>
      <c r="BH573" s="40">
        <v>228.88779777731344</v>
      </c>
      <c r="BI573" s="49">
        <v>1425.3935706003517</v>
      </c>
      <c r="BJ573" s="49">
        <v>496.76557779148362</v>
      </c>
      <c r="BK573" s="66">
        <v>0.15779604700228433</v>
      </c>
      <c r="BL573" s="66">
        <v>0.17034539462339704</v>
      </c>
      <c r="BM573" s="51">
        <v>28.507871412007034</v>
      </c>
      <c r="BN573" s="51">
        <v>9.9353115558296725</v>
      </c>
      <c r="BO573" s="52">
        <v>228</v>
      </c>
      <c r="BP573" s="40">
        <v>228</v>
      </c>
      <c r="BQ573" s="40">
        <v>218</v>
      </c>
      <c r="BR573" s="67">
        <v>4.587155963302747E-2</v>
      </c>
      <c r="BS573" s="54">
        <v>4.4644644644644647</v>
      </c>
      <c r="BT573" s="68">
        <v>185</v>
      </c>
      <c r="BU573" s="184">
        <v>181</v>
      </c>
      <c r="BV573" s="46">
        <v>114</v>
      </c>
      <c r="BW573" s="46">
        <v>109</v>
      </c>
      <c r="BX573" s="70">
        <v>2.2099447513812098E-2</v>
      </c>
      <c r="BY573" s="70">
        <v>4.587155963302747E-2</v>
      </c>
      <c r="BZ573" s="59">
        <v>1.6605504587155964</v>
      </c>
      <c r="CA573" s="59">
        <v>1.6228070175438596</v>
      </c>
      <c r="CB573" s="59">
        <v>3.1067867867867878</v>
      </c>
      <c r="CC573" s="59">
        <v>1.8929329329329336</v>
      </c>
      <c r="CD573" s="60">
        <v>86</v>
      </c>
      <c r="CE573" s="60">
        <v>86</v>
      </c>
      <c r="CF573" s="61">
        <v>1.7217217217217216</v>
      </c>
      <c r="CG573" s="61">
        <v>1.7217217217217216</v>
      </c>
      <c r="CH573" s="61">
        <v>1</v>
      </c>
      <c r="CI573" s="41"/>
      <c r="CJ573" s="40"/>
      <c r="CK573" s="3"/>
      <c r="CL573" s="62"/>
      <c r="CM573" s="63" t="s">
        <v>110</v>
      </c>
      <c r="CN573" s="3">
        <v>185</v>
      </c>
      <c r="CO573" s="3">
        <v>114</v>
      </c>
      <c r="CP573" s="41">
        <v>14.988888888888889</v>
      </c>
      <c r="CQ573" s="3" t="s">
        <v>178</v>
      </c>
      <c r="CR573" s="40">
        <v>183</v>
      </c>
      <c r="CS573" s="40">
        <v>111.5</v>
      </c>
      <c r="CT573" s="40">
        <v>223</v>
      </c>
      <c r="CU573" s="40"/>
      <c r="CV573" s="40"/>
      <c r="CW573" s="40"/>
      <c r="CX573" s="40"/>
      <c r="CY573" s="40">
        <v>0</v>
      </c>
      <c r="CZ573" s="40"/>
      <c r="DA573" s="40"/>
    </row>
    <row r="574" spans="1:105" ht="18.75" customHeight="1">
      <c r="A574" s="3">
        <v>290</v>
      </c>
      <c r="B574" s="38" t="s">
        <v>103</v>
      </c>
      <c r="C574" s="76">
        <v>0</v>
      </c>
      <c r="D574" s="76" t="s">
        <v>215</v>
      </c>
      <c r="E574" s="176">
        <v>44909</v>
      </c>
      <c r="F574" s="76" t="s">
        <v>106</v>
      </c>
      <c r="G574" s="76" t="s">
        <v>107</v>
      </c>
      <c r="H574" s="76">
        <v>2008</v>
      </c>
      <c r="I574" s="77" t="s">
        <v>108</v>
      </c>
      <c r="J574" s="176" t="s">
        <v>109</v>
      </c>
      <c r="K574" s="76">
        <v>174.3</v>
      </c>
      <c r="L574" s="76">
        <v>174.3</v>
      </c>
      <c r="M574" s="76"/>
      <c r="N574" s="76">
        <v>147.69999999999999</v>
      </c>
      <c r="O574" s="76">
        <v>147.69999999999999</v>
      </c>
      <c r="P574" s="76"/>
      <c r="Q574" s="76">
        <v>66</v>
      </c>
      <c r="R574" s="76">
        <v>66.099999999999994</v>
      </c>
      <c r="S574" s="76"/>
      <c r="T574" s="164">
        <v>174.3</v>
      </c>
      <c r="U574" s="42">
        <f>AVERAGE(paper3[[#This Row],[Sittende høyde 1]:[Sittende høyde 3]])-56.2</f>
        <v>91.499999999999986</v>
      </c>
      <c r="V574" s="12">
        <f>paper3[[#This Row],[height]]-paper3[[#This Row],[sittingheight]]</f>
        <v>82.800000000000026</v>
      </c>
      <c r="W574" s="165">
        <v>66.099999999999994</v>
      </c>
      <c r="X574" s="43" cm="1">
        <f t="array" ref="X574">INDEX([1]!phvny[yphv], MATCH(1, (paper3[[#This Row],[id]]=[1]!phvny[id])*(paper3[[#This Row],[time]]=[1]!phvny[time]), 0))</f>
        <v>3.0074071336445787</v>
      </c>
      <c r="Y574" s="76">
        <v>1.94</v>
      </c>
      <c r="Z574" s="3">
        <v>3.37</v>
      </c>
      <c r="AA574" s="76">
        <v>4.74</v>
      </c>
      <c r="AB574" s="76">
        <v>1.96</v>
      </c>
      <c r="AC574" s="76">
        <v>3.41</v>
      </c>
      <c r="AD574" s="76">
        <v>4.8499999999999996</v>
      </c>
      <c r="AE574" s="76">
        <v>1.95</v>
      </c>
      <c r="AF574" s="76">
        <v>3.42</v>
      </c>
      <c r="AG574" s="76">
        <v>4.84</v>
      </c>
      <c r="AH574" s="166">
        <v>1.94</v>
      </c>
      <c r="AI574" s="166">
        <v>3.37</v>
      </c>
      <c r="AJ574" s="166">
        <v>4.74</v>
      </c>
      <c r="AK574" s="167">
        <v>7.2992700729926998</v>
      </c>
      <c r="AL574" s="76">
        <v>11.27</v>
      </c>
      <c r="AM574" s="76">
        <v>10.94</v>
      </c>
      <c r="AN574" s="76">
        <v>11.15</v>
      </c>
      <c r="AO574" s="76"/>
      <c r="AP574" s="76">
        <v>10.94</v>
      </c>
      <c r="AQ574" s="168">
        <v>10.94</v>
      </c>
      <c r="AR574" s="168">
        <v>11.15</v>
      </c>
      <c r="AS574" s="76">
        <v>25.83</v>
      </c>
      <c r="AT574" s="76">
        <v>25.3</v>
      </c>
      <c r="AU574" s="76">
        <v>23.64</v>
      </c>
      <c r="AV574" s="76"/>
      <c r="AW574" s="76"/>
      <c r="AX574" s="169">
        <v>25.8</v>
      </c>
      <c r="AY574" s="76"/>
      <c r="AZ574" s="76">
        <v>10</v>
      </c>
      <c r="BA574" s="76">
        <v>250</v>
      </c>
      <c r="BB574" s="76">
        <v>11</v>
      </c>
      <c r="BC574" s="76">
        <v>273</v>
      </c>
      <c r="BD574" s="76">
        <v>1293</v>
      </c>
      <c r="BE574" s="76">
        <v>1258</v>
      </c>
      <c r="BF574" s="76"/>
      <c r="BG574" s="76">
        <v>448</v>
      </c>
      <c r="BH574" s="76">
        <v>405</v>
      </c>
      <c r="BI574" s="170">
        <v>2550</v>
      </c>
      <c r="BJ574" s="170">
        <v>853</v>
      </c>
      <c r="BK574" s="66">
        <v>2.7699999999999999E-2</v>
      </c>
      <c r="BL574" s="66">
        <v>0.1075</v>
      </c>
      <c r="BM574" s="51">
        <v>38.6</v>
      </c>
      <c r="BN574" s="51">
        <v>12.9</v>
      </c>
      <c r="BO574" s="171">
        <v>320</v>
      </c>
      <c r="BP574" s="77">
        <v>320</v>
      </c>
      <c r="BQ574" s="77">
        <v>315</v>
      </c>
      <c r="BR574" s="172">
        <v>1.5900000000000001E-2</v>
      </c>
      <c r="BS574" s="54">
        <v>4.8033282904689871</v>
      </c>
      <c r="BT574" s="76">
        <v>109</v>
      </c>
      <c r="BU574" s="77">
        <v>116</v>
      </c>
      <c r="BV574" s="76">
        <v>105</v>
      </c>
      <c r="BW574" s="76">
        <v>100</v>
      </c>
      <c r="BX574" s="81">
        <v>-0.06</v>
      </c>
      <c r="BY574" s="81">
        <v>0.05</v>
      </c>
      <c r="BZ574" s="59">
        <v>1.1599999999999999</v>
      </c>
      <c r="CA574" s="173">
        <v>1.04</v>
      </c>
      <c r="CB574" s="173">
        <v>1.4092284417549175</v>
      </c>
      <c r="CC574" s="173">
        <v>1.2839636913767025</v>
      </c>
      <c r="CD574" s="177">
        <v>91</v>
      </c>
      <c r="CE574" s="177">
        <v>79</v>
      </c>
      <c r="CF574" s="175">
        <v>1.38</v>
      </c>
      <c r="CG574" s="175">
        <v>1.2</v>
      </c>
      <c r="CH574" s="175">
        <v>0.87</v>
      </c>
      <c r="CI574" s="96"/>
      <c r="CJ574" s="40"/>
      <c r="CK574" s="76"/>
      <c r="CL574" s="62"/>
      <c r="CM574" s="63" t="s">
        <v>110</v>
      </c>
      <c r="CN574" s="3">
        <v>116</v>
      </c>
      <c r="CO574" s="3">
        <v>105</v>
      </c>
      <c r="CP574" s="41">
        <v>14.863888888888889</v>
      </c>
      <c r="CQ574" s="3" t="s">
        <v>179</v>
      </c>
      <c r="CR574" s="40">
        <v>112.5</v>
      </c>
      <c r="CS574" s="40">
        <v>102.5</v>
      </c>
      <c r="CT574" s="40">
        <v>317.5</v>
      </c>
      <c r="CU574" s="40"/>
      <c r="CV574" s="40"/>
      <c r="CW574" s="40"/>
      <c r="CX574" s="40"/>
      <c r="CY574" s="40">
        <v>0</v>
      </c>
      <c r="CZ574" s="40"/>
      <c r="DA574" s="40"/>
    </row>
    <row r="575" spans="1:105" ht="18.95" customHeight="1">
      <c r="A575" s="3">
        <v>292</v>
      </c>
      <c r="B575" s="38" t="s">
        <v>103</v>
      </c>
      <c r="C575" s="2" t="s">
        <v>115</v>
      </c>
      <c r="D575" s="92" t="s">
        <v>215</v>
      </c>
      <c r="E575" s="176">
        <v>44943</v>
      </c>
      <c r="F575" s="3" t="s">
        <v>106</v>
      </c>
      <c r="G575" s="3" t="s">
        <v>107</v>
      </c>
      <c r="H575" s="3">
        <v>2008</v>
      </c>
      <c r="I575" s="40" t="s">
        <v>108</v>
      </c>
      <c r="J575" s="39" t="s">
        <v>109</v>
      </c>
      <c r="K575" s="3">
        <v>165.6</v>
      </c>
      <c r="L575" s="3">
        <v>165.7</v>
      </c>
      <c r="M575" s="3"/>
      <c r="N575" s="3">
        <v>142.30000000000001</v>
      </c>
      <c r="O575" s="3">
        <v>141.5</v>
      </c>
      <c r="P575" s="3">
        <v>142.5</v>
      </c>
      <c r="Q575" s="3">
        <v>61.4</v>
      </c>
      <c r="R575" s="3">
        <v>61.5</v>
      </c>
      <c r="S575" s="3"/>
      <c r="T575" s="42">
        <v>165.64999999999998</v>
      </c>
      <c r="U575" s="42">
        <f>AVERAGE(paper3[[#This Row],[Sittende høyde 1]:[Sittende høyde 3]])-56.2</f>
        <v>85.899999999999991</v>
      </c>
      <c r="V575" s="12">
        <f>paper3[[#This Row],[height]]-paper3[[#This Row],[sittingheight]]</f>
        <v>79.749999999999986</v>
      </c>
      <c r="W575" s="73">
        <v>61.45</v>
      </c>
      <c r="X575" s="43" cm="1">
        <f t="array" ref="X575">INDEX([1]!phvny[yphv], MATCH(1, (paper3[[#This Row],[id]]=[1]!phvny[id])*(paper3[[#This Row],[time]]=[1]!phvny[time]), 0))</f>
        <v>2.1338087071660441</v>
      </c>
      <c r="Y575" s="3">
        <v>2.04</v>
      </c>
      <c r="Z575" s="3">
        <v>3.54</v>
      </c>
      <c r="AA575" s="3">
        <v>4.99</v>
      </c>
      <c r="AB575" s="3">
        <v>2.13</v>
      </c>
      <c r="AC575" s="3">
        <v>3.63</v>
      </c>
      <c r="AD575" s="3">
        <v>5.08</v>
      </c>
      <c r="AE575" s="3">
        <v>2.16</v>
      </c>
      <c r="AF575" s="3">
        <v>3.68</v>
      </c>
      <c r="AG575" s="3">
        <v>5.15</v>
      </c>
      <c r="AH575" s="44">
        <v>2.04</v>
      </c>
      <c r="AI575" s="44">
        <v>3.54</v>
      </c>
      <c r="AJ575" s="44">
        <v>4.99</v>
      </c>
      <c r="AK575" s="167">
        <v>6.8965517241379306</v>
      </c>
      <c r="AL575" s="3">
        <v>11.43</v>
      </c>
      <c r="AM575" s="3">
        <v>11.33</v>
      </c>
      <c r="AN575" s="3">
        <v>11.42</v>
      </c>
      <c r="AO575" s="3">
        <v>11.09</v>
      </c>
      <c r="AP575" s="3">
        <v>11.09</v>
      </c>
      <c r="AQ575" s="47">
        <v>11.33</v>
      </c>
      <c r="AR575" s="47">
        <v>11.09</v>
      </c>
      <c r="AS575" s="3">
        <v>24.13</v>
      </c>
      <c r="AT575" s="3">
        <v>26.12</v>
      </c>
      <c r="AU575" s="3">
        <v>27.11</v>
      </c>
      <c r="AV575" s="3">
        <v>28.21</v>
      </c>
      <c r="AW575" s="3">
        <v>27.13</v>
      </c>
      <c r="AX575" s="48">
        <v>28.21</v>
      </c>
      <c r="AY575" s="71"/>
      <c r="AZ575" s="3">
        <v>9</v>
      </c>
      <c r="BA575" s="3">
        <v>200</v>
      </c>
      <c r="BB575" s="3">
        <v>12</v>
      </c>
      <c r="BC575" s="3">
        <v>254</v>
      </c>
      <c r="BD575" s="40">
        <v>1214.5804211656925</v>
      </c>
      <c r="BE575" s="40">
        <v>1172.2047641265492</v>
      </c>
      <c r="BF575" s="40"/>
      <c r="BG575" s="40">
        <v>418.29896829420284</v>
      </c>
      <c r="BH575" s="40">
        <v>457.42114399653923</v>
      </c>
      <c r="BI575" s="49">
        <v>2386.7851852922417</v>
      </c>
      <c r="BJ575" s="49">
        <v>875.72011229074201</v>
      </c>
      <c r="BK575" s="66">
        <v>3.6150388000443678E-2</v>
      </c>
      <c r="BL575" s="66">
        <v>-8.5527694151874112E-2</v>
      </c>
      <c r="BM575" s="51">
        <v>38.872722887495797</v>
      </c>
      <c r="BN575" s="107">
        <v>14.262542545451824</v>
      </c>
      <c r="BO575" s="52">
        <v>250</v>
      </c>
      <c r="BP575" s="40">
        <v>250</v>
      </c>
      <c r="BQ575" s="40">
        <v>219</v>
      </c>
      <c r="BR575" s="67">
        <v>0.14155251141552516</v>
      </c>
      <c r="BS575" s="54">
        <v>3.8161106590724163</v>
      </c>
      <c r="BT575" s="68">
        <v>124</v>
      </c>
      <c r="BU575" s="184">
        <v>145</v>
      </c>
      <c r="BV575" s="46">
        <v>118</v>
      </c>
      <c r="BW575" s="46">
        <v>115</v>
      </c>
      <c r="BX575" s="70">
        <v>-0.14482758620689651</v>
      </c>
      <c r="BY575" s="70">
        <v>2.6086956521739202E-2</v>
      </c>
      <c r="BZ575" s="59">
        <v>1.2608695652173914</v>
      </c>
      <c r="CA575" s="59">
        <v>1.0508474576271187</v>
      </c>
      <c r="CB575" s="59">
        <v>1.7455451586655815</v>
      </c>
      <c r="CC575" s="59">
        <v>1.5119406021155408</v>
      </c>
      <c r="CD575" s="60">
        <v>73</v>
      </c>
      <c r="CE575" s="60">
        <v>80</v>
      </c>
      <c r="CF575" s="61">
        <v>1.1879576891781936</v>
      </c>
      <c r="CG575" s="61">
        <v>1.3018714401952807</v>
      </c>
      <c r="CH575" s="61">
        <v>1.0958904109589043</v>
      </c>
      <c r="CI575" s="41"/>
      <c r="CJ575" s="40"/>
      <c r="CK575" s="3"/>
      <c r="CL575" s="62"/>
      <c r="CM575" s="63" t="s">
        <v>110</v>
      </c>
      <c r="CN575" s="3">
        <v>145</v>
      </c>
      <c r="CO575" s="3">
        <v>118</v>
      </c>
      <c r="CP575" s="41">
        <v>14.33611111111111</v>
      </c>
      <c r="CQ575" s="3" t="s">
        <v>181</v>
      </c>
      <c r="CR575" s="40">
        <v>134.5</v>
      </c>
      <c r="CS575" s="40">
        <v>116.5</v>
      </c>
      <c r="CT575" s="40">
        <v>234.5</v>
      </c>
      <c r="CU575" s="40"/>
      <c r="CV575" s="40"/>
      <c r="CW575" s="40"/>
      <c r="CX575" s="40"/>
      <c r="CY575" s="40">
        <v>0</v>
      </c>
      <c r="CZ575" s="40"/>
      <c r="DA575" s="40"/>
    </row>
    <row r="576" spans="1:105" ht="18.75" customHeight="1">
      <c r="A576" s="3">
        <v>298</v>
      </c>
      <c r="B576" s="38" t="s">
        <v>103</v>
      </c>
      <c r="C576" s="3">
        <v>0</v>
      </c>
      <c r="D576" s="76" t="s">
        <v>215</v>
      </c>
      <c r="E576" s="39">
        <v>44819</v>
      </c>
      <c r="F576" s="3" t="s">
        <v>106</v>
      </c>
      <c r="G576" s="3" t="s">
        <v>122</v>
      </c>
      <c r="H576" s="3">
        <v>2006</v>
      </c>
      <c r="I576" s="40" t="s">
        <v>116</v>
      </c>
      <c r="J576" s="39" t="s">
        <v>157</v>
      </c>
      <c r="K576" s="3"/>
      <c r="L576" s="3"/>
      <c r="M576" s="3"/>
      <c r="N576" s="3"/>
      <c r="O576" s="3"/>
      <c r="P576" s="3"/>
      <c r="Q576" s="3"/>
      <c r="R576" s="3"/>
      <c r="S576" s="3"/>
      <c r="T576" s="42"/>
      <c r="U576" s="42"/>
      <c r="V576" s="12"/>
      <c r="W576" s="73"/>
      <c r="X576" s="43"/>
      <c r="Y576" s="60"/>
      <c r="Z576" s="60"/>
      <c r="AA576" s="60"/>
      <c r="AB576" s="3"/>
      <c r="AC576" s="3"/>
      <c r="AD576" s="3"/>
      <c r="AE576" s="3"/>
      <c r="AF576" s="3"/>
      <c r="AG576" s="60"/>
      <c r="AH576" s="44"/>
      <c r="AI576" s="44"/>
      <c r="AJ576" s="44"/>
      <c r="AK576" s="45"/>
      <c r="AL576" s="60"/>
      <c r="AM576" s="60"/>
      <c r="AN576" s="60"/>
      <c r="AO576" s="60"/>
      <c r="AP576" s="3"/>
      <c r="AQ576" s="47"/>
      <c r="AR576" s="47"/>
      <c r="AS576" s="3"/>
      <c r="AT576" s="3"/>
      <c r="AU576" s="3"/>
      <c r="AV576" s="3"/>
      <c r="AW576" s="3"/>
      <c r="AX576" s="48"/>
      <c r="AY576" s="3"/>
      <c r="AZ576" s="3"/>
      <c r="BA576" s="3"/>
      <c r="BB576" s="3"/>
      <c r="BC576" s="3"/>
      <c r="BD576" s="40"/>
      <c r="BE576" s="40"/>
      <c r="BF576" s="40"/>
      <c r="BG576" s="40"/>
      <c r="BH576" s="40"/>
      <c r="BI576" s="49"/>
      <c r="BJ576" s="49"/>
      <c r="BK576" s="66"/>
      <c r="BL576" s="66"/>
      <c r="BM576" s="51"/>
      <c r="BN576" s="51"/>
      <c r="BO576" s="52"/>
      <c r="BP576" s="40"/>
      <c r="BQ576" s="40"/>
      <c r="BR576" s="67"/>
      <c r="BS576" s="54" t="s">
        <v>110</v>
      </c>
      <c r="BT576" s="3"/>
      <c r="BU576" s="40"/>
      <c r="BV576" s="3"/>
      <c r="BW576" s="3"/>
      <c r="BX576" s="70"/>
      <c r="BY576" s="70"/>
      <c r="BZ576" s="59"/>
      <c r="CA576" s="59"/>
      <c r="CB576" s="59" t="s">
        <v>110</v>
      </c>
      <c r="CC576" s="59" t="s">
        <v>110</v>
      </c>
      <c r="CD576" s="60"/>
      <c r="CE576" s="60"/>
      <c r="CF576" s="61"/>
      <c r="CG576" s="61"/>
      <c r="CH576" s="61"/>
      <c r="CI576" s="41">
        <v>15.6</v>
      </c>
      <c r="CJ576" s="40">
        <f>VLOOKUP(paper3[[#This Row],[YYIR nivå]],$DB:$DC,2)</f>
        <v>1000</v>
      </c>
      <c r="CK576" s="3" t="s">
        <v>193</v>
      </c>
      <c r="CL576" s="62"/>
      <c r="CM576" s="63" t="s">
        <v>110</v>
      </c>
      <c r="CN576" s="3"/>
      <c r="CO576" s="3"/>
      <c r="CP576" s="41"/>
      <c r="CQ576" s="3" t="s">
        <v>110</v>
      </c>
      <c r="CR576" s="40" t="s">
        <v>110</v>
      </c>
      <c r="CS576" s="40" t="s">
        <v>110</v>
      </c>
      <c r="CT576" s="40" t="s">
        <v>110</v>
      </c>
      <c r="CU576" s="40"/>
      <c r="CV576" s="40"/>
      <c r="CW576" s="40"/>
      <c r="CX576" s="40"/>
      <c r="CY576" s="40">
        <v>0</v>
      </c>
      <c r="CZ576" s="40"/>
      <c r="DA576" s="40"/>
    </row>
    <row r="577" spans="1:105" ht="18.75" customHeight="1">
      <c r="A577" s="3">
        <v>323</v>
      </c>
      <c r="B577" s="38" t="s">
        <v>103</v>
      </c>
      <c r="C577" s="3" t="s">
        <v>104</v>
      </c>
      <c r="D577" s="3" t="s">
        <v>215</v>
      </c>
      <c r="E577" s="39">
        <v>44826</v>
      </c>
      <c r="F577" s="3" t="s">
        <v>106</v>
      </c>
      <c r="G577" s="3" t="s">
        <v>122</v>
      </c>
      <c r="H577" s="3">
        <v>2008</v>
      </c>
      <c r="I577" s="40" t="s">
        <v>108</v>
      </c>
      <c r="J577" s="39" t="s">
        <v>123</v>
      </c>
      <c r="K577" s="3">
        <v>172.5</v>
      </c>
      <c r="L577" s="3">
        <v>172.6</v>
      </c>
      <c r="M577" s="3"/>
      <c r="N577" s="3">
        <v>143.6</v>
      </c>
      <c r="O577" s="3">
        <v>143.6</v>
      </c>
      <c r="P577" s="3"/>
      <c r="Q577" s="3">
        <v>63.1</v>
      </c>
      <c r="R577" s="3"/>
      <c r="S577" s="3"/>
      <c r="T577" s="42">
        <v>172.55</v>
      </c>
      <c r="U577" s="42">
        <f>AVERAGE(paper3[[#This Row],[Sittende høyde 1]:[Sittende høyde 3]])-56.2</f>
        <v>87.399999999999991</v>
      </c>
      <c r="V577" s="12">
        <f>paper3[[#This Row],[height]]-paper3[[#This Row],[sittingheight]]</f>
        <v>85.15000000000002</v>
      </c>
      <c r="W577" s="73">
        <v>63.1</v>
      </c>
      <c r="X577" s="43" cm="1">
        <f t="array" ref="X577">INDEX([1]!phvny[yphv], MATCH(1, (paper3[[#This Row],[id]]=[1]!phvny[id])*(paper3[[#This Row],[time]]=[1]!phvny[time]), 0))</f>
        <v>0.74709875843175721</v>
      </c>
      <c r="Y577" s="3">
        <v>2.09</v>
      </c>
      <c r="Z577" s="3">
        <v>3.53</v>
      </c>
      <c r="AA577" s="3">
        <v>4.87</v>
      </c>
      <c r="AB577" s="3">
        <v>1.93</v>
      </c>
      <c r="AC577" s="3">
        <v>3.35</v>
      </c>
      <c r="AD577" s="3">
        <v>4.74</v>
      </c>
      <c r="AE577" s="3">
        <v>1.96</v>
      </c>
      <c r="AF577" s="3">
        <v>3.41</v>
      </c>
      <c r="AG577" s="3">
        <v>4.78</v>
      </c>
      <c r="AH577" s="44">
        <v>1.93</v>
      </c>
      <c r="AI577" s="44">
        <v>3.35</v>
      </c>
      <c r="AJ577" s="44">
        <v>4.74</v>
      </c>
      <c r="AK577" s="45">
        <v>7.1942446043165464</v>
      </c>
      <c r="AL577" s="3">
        <v>10.32</v>
      </c>
      <c r="AM577" s="3">
        <v>10.16</v>
      </c>
      <c r="AN577" s="3">
        <v>10.42</v>
      </c>
      <c r="AO577" s="3">
        <v>10.16</v>
      </c>
      <c r="AP577" s="3">
        <v>10.16</v>
      </c>
      <c r="AQ577" s="47">
        <v>10.16</v>
      </c>
      <c r="AR577" s="47">
        <v>10.16</v>
      </c>
      <c r="AS577" s="3">
        <v>23.84</v>
      </c>
      <c r="AT577" s="3">
        <v>24.56</v>
      </c>
      <c r="AU577" s="3">
        <v>25.44</v>
      </c>
      <c r="AV577" s="3"/>
      <c r="AW577" s="3"/>
      <c r="AX577" s="48">
        <v>25.44</v>
      </c>
      <c r="AY577" s="71"/>
      <c r="AZ577" s="3"/>
      <c r="BA577" s="3"/>
      <c r="BB577" s="3"/>
      <c r="BC577" s="3">
        <v>262</v>
      </c>
      <c r="BD577" s="40">
        <v>995.46388236831297</v>
      </c>
      <c r="BE577" s="40">
        <v>1074.5398131778838</v>
      </c>
      <c r="BF577" s="40"/>
      <c r="BG577" s="40">
        <v>483.61592982058539</v>
      </c>
      <c r="BH577" s="40">
        <v>489.7994947051443</v>
      </c>
      <c r="BI577" s="49">
        <v>2070.0036955461969</v>
      </c>
      <c r="BJ577" s="49">
        <v>973.41542452572969</v>
      </c>
      <c r="BK577" s="66">
        <v>-7.3590508085232154E-2</v>
      </c>
      <c r="BL577" s="66">
        <v>-1.2624686124434126E-2</v>
      </c>
      <c r="BM577" s="51">
        <v>32.805129881873171</v>
      </c>
      <c r="BN577" s="51">
        <v>15.426551894227094</v>
      </c>
      <c r="BO577" s="52">
        <v>301</v>
      </c>
      <c r="BP577" s="40">
        <v>272</v>
      </c>
      <c r="BQ577" s="40">
        <v>301</v>
      </c>
      <c r="BR577" s="67">
        <v>-9.6345514950166078E-2</v>
      </c>
      <c r="BS577" s="54">
        <v>4.5404120443740092</v>
      </c>
      <c r="BT577" s="3">
        <v>119</v>
      </c>
      <c r="BU577" s="40">
        <v>122</v>
      </c>
      <c r="BV577" s="3">
        <v>118</v>
      </c>
      <c r="BW577" s="3">
        <v>123</v>
      </c>
      <c r="BX577" s="70">
        <v>-2.4590163934426257E-2</v>
      </c>
      <c r="BY577" s="70">
        <v>-4.065040650406504E-2</v>
      </c>
      <c r="BZ577" s="59">
        <v>0.99186991869918695</v>
      </c>
      <c r="CA577" s="59">
        <v>1.0084745762711864</v>
      </c>
      <c r="CB577" s="59">
        <v>1.6260816164817751</v>
      </c>
      <c r="CC577" s="59">
        <v>1.6260816164817751</v>
      </c>
      <c r="CD577" s="60">
        <v>109</v>
      </c>
      <c r="CE577" s="60">
        <v>68</v>
      </c>
      <c r="CF577" s="61">
        <v>1.7274167987321711</v>
      </c>
      <c r="CG577" s="61">
        <v>1.0776545166402536</v>
      </c>
      <c r="CH577" s="61">
        <v>0.62385321100917435</v>
      </c>
      <c r="CI577" s="41">
        <v>18.100000000000001</v>
      </c>
      <c r="CJ577" s="40">
        <f>VLOOKUP(paper3[[#This Row],[YYIR nivå]],$DB:$DC,2)</f>
        <v>1760</v>
      </c>
      <c r="CK577" s="3" t="s">
        <v>190</v>
      </c>
      <c r="CL577" s="114"/>
      <c r="CM577" s="115" t="s">
        <v>110</v>
      </c>
      <c r="CN577" s="3">
        <v>122</v>
      </c>
      <c r="CO577" s="3">
        <v>123</v>
      </c>
      <c r="CP577" s="41">
        <v>14.58</v>
      </c>
      <c r="CQ577" s="3" t="s">
        <v>110</v>
      </c>
      <c r="CR577" s="40">
        <v>120.5</v>
      </c>
      <c r="CS577" s="40">
        <v>120.5</v>
      </c>
      <c r="CT577" s="40">
        <v>286.5</v>
      </c>
      <c r="CU577" s="40"/>
      <c r="CV577" s="40"/>
      <c r="CW577" s="40"/>
      <c r="CX577" s="40"/>
      <c r="CY577" s="40">
        <v>0</v>
      </c>
      <c r="CZ577" s="40"/>
      <c r="DA577" s="40"/>
    </row>
    <row r="578" spans="1:105" ht="18.75" customHeight="1">
      <c r="A578" s="3">
        <v>325</v>
      </c>
      <c r="B578" s="38" t="s">
        <v>103</v>
      </c>
      <c r="C578" s="3" t="s">
        <v>104</v>
      </c>
      <c r="D578" s="3" t="s">
        <v>215</v>
      </c>
      <c r="E578" s="39">
        <v>44826</v>
      </c>
      <c r="F578" s="3" t="s">
        <v>106</v>
      </c>
      <c r="G578" s="3" t="s">
        <v>122</v>
      </c>
      <c r="H578" s="3">
        <v>2008</v>
      </c>
      <c r="I578" s="40" t="s">
        <v>108</v>
      </c>
      <c r="J578" s="39" t="s">
        <v>123</v>
      </c>
      <c r="K578" s="3">
        <v>183.7</v>
      </c>
      <c r="L578" s="3">
        <v>183.7</v>
      </c>
      <c r="M578" s="3"/>
      <c r="N578" s="3">
        <v>150.30000000000001</v>
      </c>
      <c r="O578" s="3">
        <v>150.5</v>
      </c>
      <c r="P578" s="3"/>
      <c r="Q578" s="3">
        <v>67.8</v>
      </c>
      <c r="R578" s="3"/>
      <c r="S578" s="3"/>
      <c r="T578" s="42">
        <v>183.7</v>
      </c>
      <c r="U578" s="42">
        <f>AVERAGE(paper3[[#This Row],[Sittende høyde 1]:[Sittende høyde 3]])-56.2</f>
        <v>94.2</v>
      </c>
      <c r="V578" s="12">
        <f>paper3[[#This Row],[height]]-paper3[[#This Row],[sittingheight]]</f>
        <v>89.499999999999986</v>
      </c>
      <c r="W578" s="73">
        <v>67.8</v>
      </c>
      <c r="X578" s="43" cm="1">
        <f t="array" ref="X578">INDEX([1]!phvny[yphv], MATCH(1, (paper3[[#This Row],[id]]=[1]!phvny[id])*(paper3[[#This Row],[time]]=[1]!phvny[time]), 0))</f>
        <v>1.4820640471296793</v>
      </c>
      <c r="Y578" s="3">
        <v>1.9</v>
      </c>
      <c r="Z578" s="3">
        <v>3.19</v>
      </c>
      <c r="AA578" s="3">
        <v>4.3899999999999997</v>
      </c>
      <c r="AB578" s="3">
        <v>1.84</v>
      </c>
      <c r="AC578" s="3">
        <v>3.12</v>
      </c>
      <c r="AD578" s="3">
        <v>4.3099999999999996</v>
      </c>
      <c r="AE578" s="3">
        <v>1.87</v>
      </c>
      <c r="AF578" s="3">
        <v>3.14</v>
      </c>
      <c r="AG578" s="3">
        <v>4.34</v>
      </c>
      <c r="AH578" s="44">
        <v>1.84</v>
      </c>
      <c r="AI578" s="44">
        <v>3.12</v>
      </c>
      <c r="AJ578" s="44">
        <v>4.3099999999999996</v>
      </c>
      <c r="AK578" s="45">
        <v>8.403361344537819</v>
      </c>
      <c r="AL578" s="3">
        <v>10.37</v>
      </c>
      <c r="AM578" s="3">
        <v>9.7899999999999991</v>
      </c>
      <c r="AN578" s="3">
        <v>10.31</v>
      </c>
      <c r="AO578" s="3">
        <v>10.15</v>
      </c>
      <c r="AP578" s="3">
        <v>9.7899999999999991</v>
      </c>
      <c r="AQ578" s="47">
        <v>9.7899999999999991</v>
      </c>
      <c r="AR578" s="47">
        <v>10.15</v>
      </c>
      <c r="AS578" s="3">
        <v>37.659999999999997</v>
      </c>
      <c r="AT578" s="3">
        <v>32.520000000000003</v>
      </c>
      <c r="AU578" s="3">
        <v>31.29</v>
      </c>
      <c r="AV578" s="3"/>
      <c r="AW578" s="3"/>
      <c r="AX578" s="48">
        <v>37.659999999999997</v>
      </c>
      <c r="AY578" s="71"/>
      <c r="AZ578" s="3"/>
      <c r="BA578" s="3"/>
      <c r="BB578" s="3"/>
      <c r="BC578" s="3">
        <v>271</v>
      </c>
      <c r="BD578" s="40">
        <v>1291.3121473430447</v>
      </c>
      <c r="BE578" s="40">
        <v>1302.4537265150609</v>
      </c>
      <c r="BF578" s="40"/>
      <c r="BG578" s="40">
        <v>645.39643694902509</v>
      </c>
      <c r="BH578" s="40">
        <v>684.31939121696928</v>
      </c>
      <c r="BI578" s="49">
        <v>2593.7658738581058</v>
      </c>
      <c r="BJ578" s="49">
        <v>1329.7158281659945</v>
      </c>
      <c r="BK578" s="66">
        <v>-8.5542994312952647E-3</v>
      </c>
      <c r="BL578" s="66">
        <v>-5.6878344772204992E-2</v>
      </c>
      <c r="BM578" s="51">
        <v>38.256133832715427</v>
      </c>
      <c r="BN578" s="51">
        <v>19.612327849055966</v>
      </c>
      <c r="BO578" s="52">
        <v>334</v>
      </c>
      <c r="BP578" s="40">
        <v>319</v>
      </c>
      <c r="BQ578" s="40">
        <v>334</v>
      </c>
      <c r="BR578" s="67">
        <v>-4.4910179640718528E-2</v>
      </c>
      <c r="BS578" s="54">
        <v>4.8156342182890857</v>
      </c>
      <c r="BT578" s="3">
        <v>189</v>
      </c>
      <c r="BU578" s="40">
        <v>195</v>
      </c>
      <c r="BV578" s="3">
        <v>151</v>
      </c>
      <c r="BW578" s="3">
        <v>161</v>
      </c>
      <c r="BX578" s="70">
        <v>-3.0769230769230771E-2</v>
      </c>
      <c r="BY578" s="70">
        <v>-6.2111801242236031E-2</v>
      </c>
      <c r="BZ578" s="59">
        <v>1.2111801242236024</v>
      </c>
      <c r="CA578" s="59">
        <v>1.2516556291390728</v>
      </c>
      <c r="CB578" s="59">
        <v>2.534513274336283</v>
      </c>
      <c r="CC578" s="59">
        <v>2.0592920353982298</v>
      </c>
      <c r="CD578" s="60">
        <v>95</v>
      </c>
      <c r="CE578" s="60">
        <v>118</v>
      </c>
      <c r="CF578" s="61">
        <v>1.40117994100295</v>
      </c>
      <c r="CG578" s="61">
        <v>1.7404129793510326</v>
      </c>
      <c r="CH578" s="61">
        <v>1.2421052631578948</v>
      </c>
      <c r="CI578" s="41">
        <v>15.8</v>
      </c>
      <c r="CJ578" s="40">
        <f>VLOOKUP(paper3[[#This Row],[YYIR nivå]],$DB:$DC,2)</f>
        <v>1080</v>
      </c>
      <c r="CK578" s="3" t="s">
        <v>190</v>
      </c>
      <c r="CL578" s="114"/>
      <c r="CM578" s="115" t="s">
        <v>110</v>
      </c>
      <c r="CN578" s="3">
        <v>195</v>
      </c>
      <c r="CO578" s="3">
        <v>161</v>
      </c>
      <c r="CP578" s="41">
        <v>14.29</v>
      </c>
      <c r="CQ578" s="3" t="s">
        <v>110</v>
      </c>
      <c r="CR578" s="40">
        <v>192</v>
      </c>
      <c r="CS578" s="40">
        <v>156</v>
      </c>
      <c r="CT578" s="40">
        <v>326.5</v>
      </c>
      <c r="CU578" s="40"/>
      <c r="CV578" s="40"/>
      <c r="CW578" s="40"/>
      <c r="CX578" s="40"/>
      <c r="CY578" s="40">
        <v>0</v>
      </c>
      <c r="CZ578" s="40"/>
      <c r="DA578" s="40"/>
    </row>
    <row r="579" spans="1:105" ht="18.75" customHeight="1">
      <c r="A579" s="3">
        <v>326</v>
      </c>
      <c r="B579" s="38" t="s">
        <v>103</v>
      </c>
      <c r="C579" s="3" t="s">
        <v>104</v>
      </c>
      <c r="D579" s="3" t="s">
        <v>215</v>
      </c>
      <c r="E579" s="39">
        <v>44826</v>
      </c>
      <c r="F579" s="3" t="s">
        <v>106</v>
      </c>
      <c r="G579" s="3" t="s">
        <v>122</v>
      </c>
      <c r="H579" s="3">
        <v>2008</v>
      </c>
      <c r="I579" s="40" t="s">
        <v>108</v>
      </c>
      <c r="J579" s="39" t="s">
        <v>123</v>
      </c>
      <c r="K579" s="3">
        <v>170.3</v>
      </c>
      <c r="L579" s="3">
        <v>170.3</v>
      </c>
      <c r="M579" s="3"/>
      <c r="N579" s="3">
        <v>145.5</v>
      </c>
      <c r="O579" s="3">
        <v>145.5</v>
      </c>
      <c r="P579" s="3"/>
      <c r="Q579" s="3">
        <v>61.3</v>
      </c>
      <c r="R579" s="3"/>
      <c r="S579" s="3"/>
      <c r="T579" s="42">
        <v>170.3</v>
      </c>
      <c r="U579" s="42">
        <f>AVERAGE(paper3[[#This Row],[Sittende høyde 1]:[Sittende høyde 3]])-56.2</f>
        <v>89.3</v>
      </c>
      <c r="V579" s="12">
        <f>paper3[[#This Row],[height]]-paper3[[#This Row],[sittingheight]]</f>
        <v>81.000000000000014</v>
      </c>
      <c r="W579" s="73">
        <v>61.3</v>
      </c>
      <c r="X579" s="43" cm="1">
        <f t="array" ref="X579">INDEX([1]!phvny[yphv], MATCH(1, (paper3[[#This Row],[id]]=[1]!phvny[id])*(paper3[[#This Row],[time]]=[1]!phvny[time]), 0))</f>
        <v>0.9127497811802705</v>
      </c>
      <c r="Y579" s="3">
        <v>2.02</v>
      </c>
      <c r="Z579" s="3">
        <v>3.42</v>
      </c>
      <c r="AA579" s="3">
        <v>4.72</v>
      </c>
      <c r="AB579" s="3">
        <v>2.0099999999999998</v>
      </c>
      <c r="AC579" s="3">
        <v>3.4</v>
      </c>
      <c r="AD579" s="3">
        <v>4.71</v>
      </c>
      <c r="AE579" s="3">
        <v>2.04</v>
      </c>
      <c r="AF579" s="3">
        <v>3.43</v>
      </c>
      <c r="AG579" s="3">
        <v>4.74</v>
      </c>
      <c r="AH579" s="44">
        <v>2.0099999999999998</v>
      </c>
      <c r="AI579" s="44">
        <v>3.4</v>
      </c>
      <c r="AJ579" s="44">
        <v>4.71</v>
      </c>
      <c r="AK579" s="45">
        <v>7.6335877862595414</v>
      </c>
      <c r="AL579" s="3">
        <v>10.3</v>
      </c>
      <c r="AM579" s="3">
        <v>9.9700000000000006</v>
      </c>
      <c r="AN579" s="3">
        <v>10.43</v>
      </c>
      <c r="AO579" s="3">
        <v>10.01</v>
      </c>
      <c r="AP579" s="3">
        <v>9.9700000000000006</v>
      </c>
      <c r="AQ579" s="47">
        <v>9.9700000000000006</v>
      </c>
      <c r="AR579" s="47">
        <v>10.01</v>
      </c>
      <c r="AS579" s="3">
        <v>24.73</v>
      </c>
      <c r="AT579" s="3">
        <v>25.13</v>
      </c>
      <c r="AU579" s="3">
        <v>27.85</v>
      </c>
      <c r="AV579" s="3"/>
      <c r="AW579" s="3"/>
      <c r="AX579" s="48">
        <v>27.85</v>
      </c>
      <c r="AY579" s="71"/>
      <c r="AZ579" s="3"/>
      <c r="BA579" s="3"/>
      <c r="BB579" s="3"/>
      <c r="BC579" s="3">
        <v>273</v>
      </c>
      <c r="BD579" s="40">
        <v>1070.0253926042074</v>
      </c>
      <c r="BE579" s="40">
        <v>970.8968057609834</v>
      </c>
      <c r="BF579" s="40"/>
      <c r="BG579" s="40">
        <v>435.55033953535792</v>
      </c>
      <c r="BH579" s="40">
        <v>418.40183779725555</v>
      </c>
      <c r="BI579" s="49">
        <v>2040.9221983651908</v>
      </c>
      <c r="BJ579" s="49">
        <v>853.95217733261347</v>
      </c>
      <c r="BK579" s="66">
        <v>0.10210002366371729</v>
      </c>
      <c r="BL579" s="66">
        <v>4.0985722788368761E-2</v>
      </c>
      <c r="BM579" s="51">
        <v>33.293999973331012</v>
      </c>
      <c r="BN579" s="51">
        <v>13.930704361054055</v>
      </c>
      <c r="BO579" s="52">
        <v>332</v>
      </c>
      <c r="BP579" s="40">
        <v>332</v>
      </c>
      <c r="BQ579" s="40">
        <v>320</v>
      </c>
      <c r="BR579" s="67">
        <v>3.7500000000000089E-2</v>
      </c>
      <c r="BS579" s="54">
        <v>5.318107667210441</v>
      </c>
      <c r="BT579" s="3">
        <v>160</v>
      </c>
      <c r="BU579" s="40">
        <v>166</v>
      </c>
      <c r="BV579" s="3">
        <v>145</v>
      </c>
      <c r="BW579" s="3">
        <v>143</v>
      </c>
      <c r="BX579" s="70">
        <v>-3.6144578313253017E-2</v>
      </c>
      <c r="BY579" s="70">
        <v>1.3986013986013957E-2</v>
      </c>
      <c r="BZ579" s="59">
        <v>1.1608391608391608</v>
      </c>
      <c r="CA579" s="59">
        <v>1.103448275862069</v>
      </c>
      <c r="CB579" s="59">
        <v>2.1538336052202292</v>
      </c>
      <c r="CC579" s="59">
        <v>1.9027732463295275</v>
      </c>
      <c r="CD579" s="60">
        <v>106</v>
      </c>
      <c r="CE579" s="60">
        <v>79</v>
      </c>
      <c r="CF579" s="61">
        <v>1.7292006525285482</v>
      </c>
      <c r="CG579" s="61">
        <v>1.2887438825448614</v>
      </c>
      <c r="CH579" s="61">
        <v>0.74528301886792458</v>
      </c>
      <c r="CI579" s="41"/>
      <c r="CJ579" s="40"/>
      <c r="CK579" s="3"/>
      <c r="CL579" s="114"/>
      <c r="CM579" s="115" t="s">
        <v>110</v>
      </c>
      <c r="CN579" s="3">
        <v>166</v>
      </c>
      <c r="CO579" s="3">
        <v>145</v>
      </c>
      <c r="CP579" s="41">
        <v>14.45</v>
      </c>
      <c r="CQ579" s="3" t="s">
        <v>110</v>
      </c>
      <c r="CR579" s="40">
        <v>163</v>
      </c>
      <c r="CS579" s="40">
        <v>144</v>
      </c>
      <c r="CT579" s="40">
        <v>326</v>
      </c>
      <c r="CU579" s="40"/>
      <c r="CV579" s="40"/>
      <c r="CW579" s="40"/>
      <c r="CX579" s="40"/>
      <c r="CY579" s="40">
        <v>0</v>
      </c>
      <c r="CZ579" s="40"/>
      <c r="DA579" s="40"/>
    </row>
    <row r="580" spans="1:105" ht="18.75" customHeight="1">
      <c r="A580" s="3">
        <v>327</v>
      </c>
      <c r="B580" s="38" t="s">
        <v>103</v>
      </c>
      <c r="C580" s="3" t="s">
        <v>171</v>
      </c>
      <c r="D580" s="3" t="s">
        <v>215</v>
      </c>
      <c r="E580" s="39">
        <v>44826</v>
      </c>
      <c r="F580" s="3" t="s">
        <v>106</v>
      </c>
      <c r="G580" s="3" t="s">
        <v>122</v>
      </c>
      <c r="H580" s="3">
        <v>2008</v>
      </c>
      <c r="I580" s="40" t="s">
        <v>108</v>
      </c>
      <c r="J580" s="39" t="s">
        <v>123</v>
      </c>
      <c r="K580" s="3">
        <v>179.6</v>
      </c>
      <c r="L580" s="3">
        <v>179.6</v>
      </c>
      <c r="M580" s="3"/>
      <c r="N580" s="3">
        <v>148.4</v>
      </c>
      <c r="O580" s="3">
        <v>148.5</v>
      </c>
      <c r="P580" s="3"/>
      <c r="Q580" s="3">
        <v>67.599999999999994</v>
      </c>
      <c r="R580" s="3"/>
      <c r="S580" s="3"/>
      <c r="T580" s="42">
        <v>179.6</v>
      </c>
      <c r="U580" s="42">
        <f>AVERAGE(paper3[[#This Row],[Sittende høyde 1]:[Sittende høyde 3]])-56.2</f>
        <v>92.249999999999986</v>
      </c>
      <c r="V580" s="12">
        <f>paper3[[#This Row],[height]]-paper3[[#This Row],[sittingheight]]</f>
        <v>87.350000000000009</v>
      </c>
      <c r="W580" s="73">
        <v>67.599999999999994</v>
      </c>
      <c r="X580" s="43" cm="1">
        <f t="array" ref="X580">INDEX([1]!phvny[yphv], MATCH(1, (paper3[[#This Row],[id]]=[1]!phvny[id])*(paper3[[#This Row],[time]]=[1]!phvny[time]), 0))</f>
        <v>0.60019597566258354</v>
      </c>
      <c r="Y580" s="3">
        <v>2.0099999999999998</v>
      </c>
      <c r="Z580" s="3">
        <v>3.42</v>
      </c>
      <c r="AA580" s="3">
        <v>4.7300000000000004</v>
      </c>
      <c r="AB580" s="3">
        <v>1.97</v>
      </c>
      <c r="AC580" s="3">
        <v>3.37</v>
      </c>
      <c r="AD580" s="3">
        <v>4.7300000000000004</v>
      </c>
      <c r="AE580" s="3">
        <v>2.0099999999999998</v>
      </c>
      <c r="AF580" s="3">
        <v>3.43</v>
      </c>
      <c r="AG580" s="3">
        <v>4.76</v>
      </c>
      <c r="AH580" s="44">
        <v>1.97</v>
      </c>
      <c r="AI580" s="44">
        <v>3.37</v>
      </c>
      <c r="AJ580" s="44">
        <v>4.7300000000000004</v>
      </c>
      <c r="AK580" s="45">
        <v>7.3529411764705861</v>
      </c>
      <c r="AL580" s="3"/>
      <c r="AM580" s="3">
        <v>10.3</v>
      </c>
      <c r="AN580" s="3">
        <v>10.119999999999999</v>
      </c>
      <c r="AO580" s="3">
        <v>10.130000000000001</v>
      </c>
      <c r="AP580" s="3">
        <v>10.119999999999999</v>
      </c>
      <c r="AQ580" s="47">
        <v>10.3</v>
      </c>
      <c r="AR580" s="47">
        <v>10.119999999999999</v>
      </c>
      <c r="AS580" s="3">
        <v>31.09</v>
      </c>
      <c r="AT580" s="3">
        <v>32.42</v>
      </c>
      <c r="AU580" s="3">
        <v>32.299999999999997</v>
      </c>
      <c r="AV580" s="3"/>
      <c r="AW580" s="3"/>
      <c r="AX580" s="48">
        <v>32.42</v>
      </c>
      <c r="AY580" s="71"/>
      <c r="AZ580" s="3"/>
      <c r="BA580" s="3"/>
      <c r="BB580" s="3"/>
      <c r="BC580" s="3">
        <v>320</v>
      </c>
      <c r="BD580" s="40">
        <v>1329.6164240215589</v>
      </c>
      <c r="BE580" s="40">
        <v>1274.3352729965966</v>
      </c>
      <c r="BF580" s="40"/>
      <c r="BG580" s="40">
        <v>538.47587499813517</v>
      </c>
      <c r="BH580" s="40">
        <v>592.90821167344097</v>
      </c>
      <c r="BI580" s="49">
        <v>2603.9516970181558</v>
      </c>
      <c r="BJ580" s="49">
        <v>1131.3840866715761</v>
      </c>
      <c r="BK580" s="66">
        <v>4.3380382067718326E-2</v>
      </c>
      <c r="BL580" s="66">
        <v>-9.1805671777886899E-2</v>
      </c>
      <c r="BM580" s="51">
        <v>38.51999551802006</v>
      </c>
      <c r="BN580" s="51">
        <v>16.736450986265922</v>
      </c>
      <c r="BO580" s="52">
        <v>374</v>
      </c>
      <c r="BP580" s="40">
        <v>344</v>
      </c>
      <c r="BQ580" s="40">
        <v>374</v>
      </c>
      <c r="BR580" s="67">
        <v>-8.0213903743315496E-2</v>
      </c>
      <c r="BS580" s="54">
        <v>5.3106508875739653</v>
      </c>
      <c r="BT580" s="3">
        <v>132</v>
      </c>
      <c r="BU580" s="40">
        <v>132</v>
      </c>
      <c r="BV580" s="3">
        <v>147</v>
      </c>
      <c r="BW580" s="3">
        <v>149</v>
      </c>
      <c r="BX580" s="70">
        <v>0</v>
      </c>
      <c r="BY580" s="70">
        <v>-1.3422818791946289E-2</v>
      </c>
      <c r="BZ580" s="59">
        <v>0.88590604026845643</v>
      </c>
      <c r="CA580" s="59">
        <v>0.89795918367346939</v>
      </c>
      <c r="CB580" s="59">
        <v>1.7056508875739647</v>
      </c>
      <c r="CC580" s="59">
        <v>1.9123964497041426</v>
      </c>
      <c r="CD580" s="60">
        <v>119</v>
      </c>
      <c r="CE580" s="60">
        <v>137</v>
      </c>
      <c r="CF580" s="61">
        <v>1.760355029585799</v>
      </c>
      <c r="CG580" s="61">
        <v>2.0266272189349115</v>
      </c>
      <c r="CH580" s="61">
        <v>1.1512605042016806</v>
      </c>
      <c r="CI580" s="41">
        <v>15.7</v>
      </c>
      <c r="CJ580" s="40">
        <f>VLOOKUP(paper3[[#This Row],[YYIR nivå]],$DB:$DC,2)</f>
        <v>1040</v>
      </c>
      <c r="CK580" s="3" t="s">
        <v>190</v>
      </c>
      <c r="CL580" s="114"/>
      <c r="CM580" s="115" t="s">
        <v>110</v>
      </c>
      <c r="CN580" s="3">
        <v>132</v>
      </c>
      <c r="CO580" s="3">
        <v>149</v>
      </c>
      <c r="CP580" s="41">
        <v>13.05</v>
      </c>
      <c r="CQ580" s="3" t="s">
        <v>110</v>
      </c>
      <c r="CR580" s="40">
        <v>132</v>
      </c>
      <c r="CS580" s="40">
        <v>148</v>
      </c>
      <c r="CT580" s="40">
        <v>359</v>
      </c>
      <c r="CU580" s="40"/>
      <c r="CV580" s="40"/>
      <c r="CW580" s="40"/>
      <c r="CX580" s="40"/>
      <c r="CY580" s="40">
        <v>0</v>
      </c>
      <c r="CZ580" s="40"/>
      <c r="DA580" s="40"/>
    </row>
    <row r="581" spans="1:105" ht="18.75" customHeight="1">
      <c r="A581" s="3">
        <v>328</v>
      </c>
      <c r="B581" s="38" t="s">
        <v>103</v>
      </c>
      <c r="C581" s="3" t="e">
        <v>#N/A</v>
      </c>
      <c r="D581" s="76" t="s">
        <v>215</v>
      </c>
      <c r="E581" s="39">
        <v>44819</v>
      </c>
      <c r="F581" s="3" t="s">
        <v>106</v>
      </c>
      <c r="G581" s="3"/>
      <c r="H581" s="3"/>
      <c r="I581" s="40"/>
      <c r="J581" s="39"/>
      <c r="K581" s="3"/>
      <c r="L581" s="3"/>
      <c r="M581" s="3"/>
      <c r="N581" s="3"/>
      <c r="O581" s="3"/>
      <c r="P581" s="3"/>
      <c r="Q581" s="3"/>
      <c r="R581" s="3"/>
      <c r="S581" s="3"/>
      <c r="T581" s="42"/>
      <c r="U581" s="42"/>
      <c r="V581" s="12"/>
      <c r="W581" s="73"/>
      <c r="X581" s="43"/>
      <c r="Y581" s="60"/>
      <c r="Z581" s="60"/>
      <c r="AA581" s="60"/>
      <c r="AB581" s="3"/>
      <c r="AC581" s="3"/>
      <c r="AD581" s="3"/>
      <c r="AE581" s="3"/>
      <c r="AF581" s="3"/>
      <c r="AG581" s="60"/>
      <c r="AH581" s="44"/>
      <c r="AI581" s="44"/>
      <c r="AJ581" s="44"/>
      <c r="AK581" s="45"/>
      <c r="AL581" s="60"/>
      <c r="AM581" s="60"/>
      <c r="AN581" s="60"/>
      <c r="AO581" s="60"/>
      <c r="AP581" s="3"/>
      <c r="AQ581" s="47"/>
      <c r="AR581" s="47"/>
      <c r="AS581" s="3"/>
      <c r="AT581" s="3"/>
      <c r="AU581" s="3"/>
      <c r="AV581" s="3"/>
      <c r="AW581" s="3"/>
      <c r="AX581" s="48"/>
      <c r="AY581" s="3"/>
      <c r="AZ581" s="3"/>
      <c r="BA581" s="3"/>
      <c r="BB581" s="3"/>
      <c r="BC581" s="3"/>
      <c r="BD581" s="40"/>
      <c r="BE581" s="40"/>
      <c r="BF581" s="40"/>
      <c r="BG581" s="40"/>
      <c r="BH581" s="40"/>
      <c r="BI581" s="49"/>
      <c r="BJ581" s="49"/>
      <c r="BK581" s="66"/>
      <c r="BL581" s="66"/>
      <c r="BM581" s="51"/>
      <c r="BN581" s="51"/>
      <c r="BO581" s="52"/>
      <c r="BP581" s="40"/>
      <c r="BQ581" s="40"/>
      <c r="BR581" s="67"/>
      <c r="BS581" s="54" t="s">
        <v>110</v>
      </c>
      <c r="BT581" s="3"/>
      <c r="BU581" s="40"/>
      <c r="BV581" s="3"/>
      <c r="BW581" s="3"/>
      <c r="BX581" s="70"/>
      <c r="BY581" s="70"/>
      <c r="BZ581" s="59"/>
      <c r="CA581" s="59"/>
      <c r="CB581" s="59" t="s">
        <v>110</v>
      </c>
      <c r="CC581" s="59" t="s">
        <v>110</v>
      </c>
      <c r="CD581" s="60"/>
      <c r="CE581" s="60"/>
      <c r="CF581" s="61"/>
      <c r="CG581" s="61"/>
      <c r="CH581" s="61"/>
      <c r="CI581" s="41">
        <v>15.5</v>
      </c>
      <c r="CJ581" s="40">
        <f>VLOOKUP(paper3[[#This Row],[YYIR nivå]],$DB:$DC,2)</f>
        <v>960</v>
      </c>
      <c r="CK581" s="3" t="s">
        <v>193</v>
      </c>
      <c r="CL581" s="62"/>
      <c r="CM581" s="63" t="s">
        <v>110</v>
      </c>
      <c r="CN581" s="3"/>
      <c r="CO581" s="3"/>
      <c r="CP581" s="41"/>
      <c r="CQ581" s="3" t="s">
        <v>110</v>
      </c>
      <c r="CR581" s="40" t="s">
        <v>110</v>
      </c>
      <c r="CS581" s="40" t="s">
        <v>110</v>
      </c>
      <c r="CT581" s="40" t="s">
        <v>110</v>
      </c>
      <c r="CU581" s="40"/>
      <c r="CV581" s="40"/>
      <c r="CW581" s="40"/>
      <c r="CX581" s="40"/>
      <c r="CY581" s="40" t="e">
        <v>#N/A</v>
      </c>
      <c r="CZ581" s="40"/>
      <c r="DA581" s="40"/>
    </row>
    <row r="582" spans="1:105" ht="18.75">
      <c r="A582" s="2">
        <v>332</v>
      </c>
      <c r="B582" s="38" t="s">
        <v>103</v>
      </c>
      <c r="C582" s="3"/>
      <c r="D582" s="3" t="s">
        <v>215</v>
      </c>
      <c r="E582" s="39">
        <v>44862</v>
      </c>
      <c r="F582" s="3" t="s">
        <v>106</v>
      </c>
      <c r="G582" s="3" t="s">
        <v>122</v>
      </c>
      <c r="H582" s="3">
        <v>2004</v>
      </c>
      <c r="I582" s="40" t="s">
        <v>121</v>
      </c>
      <c r="J582" s="39" t="s">
        <v>160</v>
      </c>
      <c r="K582" s="3">
        <v>183.5</v>
      </c>
      <c r="L582" s="3">
        <v>184.2</v>
      </c>
      <c r="M582" s="3">
        <v>184.3</v>
      </c>
      <c r="N582" s="3">
        <v>153.1</v>
      </c>
      <c r="O582" s="3">
        <v>153.4</v>
      </c>
      <c r="P582" s="3">
        <v>153.4</v>
      </c>
      <c r="Q582" s="3">
        <v>73</v>
      </c>
      <c r="R582" s="3"/>
      <c r="S582" s="3"/>
      <c r="T582" s="42">
        <v>184</v>
      </c>
      <c r="U582" s="42">
        <f>AVERAGE(paper3[[#This Row],[Sittende høyde 1]:[Sittende høyde 3]])-56.2</f>
        <v>97.09999999999998</v>
      </c>
      <c r="V582" s="12">
        <f>paper3[[#This Row],[height]]-paper3[[#This Row],[sittingheight]]</f>
        <v>86.90000000000002</v>
      </c>
      <c r="W582" s="73">
        <v>73</v>
      </c>
      <c r="X582" s="43"/>
      <c r="Y582" s="3">
        <v>1.81</v>
      </c>
      <c r="Z582" s="3">
        <v>3.1</v>
      </c>
      <c r="AA582" s="3">
        <v>4.3600000000000003</v>
      </c>
      <c r="AB582" s="3">
        <v>1.81</v>
      </c>
      <c r="AC582" s="3">
        <v>3.08</v>
      </c>
      <c r="AD582" s="3">
        <v>4.34</v>
      </c>
      <c r="AE582" s="3"/>
      <c r="AF582" s="3"/>
      <c r="AG582" s="3"/>
      <c r="AH582" s="44">
        <v>1.81</v>
      </c>
      <c r="AI582" s="44">
        <v>3.08</v>
      </c>
      <c r="AJ582" s="44">
        <v>4.34</v>
      </c>
      <c r="AK582" s="45">
        <v>7.9365079365079376</v>
      </c>
      <c r="AL582" s="3">
        <v>9.2799999999999994</v>
      </c>
      <c r="AM582" s="3"/>
      <c r="AN582" s="3"/>
      <c r="AO582" s="3"/>
      <c r="AP582" s="3">
        <v>9.2799999999999994</v>
      </c>
      <c r="AQ582" s="47">
        <v>9.2799999999999994</v>
      </c>
      <c r="AR582" s="47"/>
      <c r="AS582" s="3">
        <v>30.09</v>
      </c>
      <c r="AT582" s="3">
        <v>29.45</v>
      </c>
      <c r="AU582" s="3">
        <v>30.84</v>
      </c>
      <c r="AV582" s="3"/>
      <c r="AW582" s="3"/>
      <c r="AX582" s="48">
        <v>30.84</v>
      </c>
      <c r="AY582" s="3"/>
      <c r="AZ582" s="3">
        <v>9</v>
      </c>
      <c r="BA582" s="3">
        <v>350</v>
      </c>
      <c r="BB582" s="3">
        <v>11</v>
      </c>
      <c r="BC582" s="3"/>
      <c r="BD582" s="40">
        <v>1490.1609947237444</v>
      </c>
      <c r="BE582" s="40">
        <v>1548.0389371010256</v>
      </c>
      <c r="BF582" s="3"/>
      <c r="BG582" s="40">
        <v>769.00137071881409</v>
      </c>
      <c r="BH582" s="40">
        <v>809.23440029050266</v>
      </c>
      <c r="BI582" s="49">
        <v>3038.1999318247699</v>
      </c>
      <c r="BJ582" s="49">
        <v>1578.2357710093167</v>
      </c>
      <c r="BK582" s="66">
        <v>-3.738791124057117E-2</v>
      </c>
      <c r="BL582" s="66">
        <v>-4.9717399009787E-2</v>
      </c>
      <c r="BM582" s="51">
        <v>41.619177148284521</v>
      </c>
      <c r="BN582" s="51">
        <v>21.619668096018039</v>
      </c>
      <c r="BO582" s="52">
        <v>512</v>
      </c>
      <c r="BP582" s="40">
        <v>512</v>
      </c>
      <c r="BQ582" s="40">
        <v>463</v>
      </c>
      <c r="BR582" s="67">
        <v>0.10583153347732188</v>
      </c>
      <c r="BS582" s="54">
        <v>6.6780821917808222</v>
      </c>
      <c r="BT582" s="3">
        <v>187</v>
      </c>
      <c r="BU582" s="40">
        <v>181</v>
      </c>
      <c r="BV582" s="3">
        <v>151</v>
      </c>
      <c r="BW582" s="3">
        <v>160</v>
      </c>
      <c r="BX582" s="70">
        <v>3.3149171270718147E-2</v>
      </c>
      <c r="BY582" s="70">
        <v>-5.6250000000000022E-2</v>
      </c>
      <c r="BZ582" s="59">
        <v>1.1312500000000001</v>
      </c>
      <c r="CA582" s="59">
        <v>1.2384105960264902</v>
      </c>
      <c r="CB582" s="59">
        <v>2.1903561643835623</v>
      </c>
      <c r="CC582" s="59">
        <v>1.8510890410958909</v>
      </c>
      <c r="CD582" s="60">
        <v>160</v>
      </c>
      <c r="CE582" s="60">
        <v>162</v>
      </c>
      <c r="CF582" s="61">
        <v>2.1917808219178081</v>
      </c>
      <c r="CG582" s="61">
        <v>2.2191780821917808</v>
      </c>
      <c r="CH582" s="61">
        <v>1.0125</v>
      </c>
      <c r="CI582" s="41"/>
      <c r="CJ582" s="40"/>
      <c r="CK582" s="3"/>
      <c r="CL582" s="62"/>
      <c r="CM582" s="63" t="s">
        <v>110</v>
      </c>
      <c r="CN582" s="3">
        <v>187</v>
      </c>
      <c r="CO582" s="3">
        <v>160</v>
      </c>
      <c r="CP582" s="41"/>
      <c r="CQ582" s="3" t="s">
        <v>110</v>
      </c>
      <c r="CR582" s="40">
        <v>184</v>
      </c>
      <c r="CS582" s="40">
        <v>155.5</v>
      </c>
      <c r="CT582" s="40">
        <v>487.5</v>
      </c>
      <c r="CU582" s="40"/>
      <c r="CV582" s="40"/>
      <c r="CW582" s="40"/>
      <c r="CX582" s="40"/>
      <c r="CY582" s="40" t="e">
        <v>#N/A</v>
      </c>
      <c r="CZ582" s="40"/>
      <c r="DA582" s="40"/>
    </row>
    <row r="583" spans="1:105" ht="18.95" customHeight="1">
      <c r="A583" s="2">
        <v>336</v>
      </c>
      <c r="B583" s="38" t="s">
        <v>103</v>
      </c>
      <c r="C583" s="3"/>
      <c r="D583" s="3" t="s">
        <v>215</v>
      </c>
      <c r="E583" s="39">
        <v>44862</v>
      </c>
      <c r="F583" s="3" t="s">
        <v>106</v>
      </c>
      <c r="G583" s="3" t="s">
        <v>122</v>
      </c>
      <c r="H583" s="3">
        <v>2002</v>
      </c>
      <c r="I583" s="40"/>
      <c r="J583" s="39"/>
      <c r="K583" s="3">
        <v>182.8</v>
      </c>
      <c r="L583" s="3">
        <v>183</v>
      </c>
      <c r="M583" s="3"/>
      <c r="N583" s="3">
        <v>150.6</v>
      </c>
      <c r="O583" s="3">
        <v>151.19999999999999</v>
      </c>
      <c r="P583" s="3">
        <v>151.1</v>
      </c>
      <c r="Q583" s="3">
        <v>68.7</v>
      </c>
      <c r="R583" s="3"/>
      <c r="S583" s="3"/>
      <c r="T583" s="42">
        <v>182.9</v>
      </c>
      <c r="U583" s="42">
        <f>AVERAGE(paper3[[#This Row],[Sittende høyde 1]:[Sittende høyde 3]])-56.2</f>
        <v>94.766666666666666</v>
      </c>
      <c r="V583" s="12">
        <f>paper3[[#This Row],[height]]-paper3[[#This Row],[sittingheight]]</f>
        <v>88.13333333333334</v>
      </c>
      <c r="W583" s="73">
        <v>68.7</v>
      </c>
      <c r="X583" s="43"/>
      <c r="Y583" s="3">
        <v>1.8</v>
      </c>
      <c r="Z583" s="3">
        <v>3.03</v>
      </c>
      <c r="AA583" s="3">
        <v>4.18</v>
      </c>
      <c r="AB583" s="3">
        <v>1.74</v>
      </c>
      <c r="AC583" s="3">
        <v>3.02</v>
      </c>
      <c r="AD583" s="3">
        <v>4.1900000000000004</v>
      </c>
      <c r="AE583" s="3">
        <v>1.75</v>
      </c>
      <c r="AF583" s="3">
        <v>2.97</v>
      </c>
      <c r="AG583" s="3">
        <v>4.1399999999999997</v>
      </c>
      <c r="AH583" s="44">
        <v>1.74</v>
      </c>
      <c r="AI583" s="44">
        <v>2.97</v>
      </c>
      <c r="AJ583" s="44">
        <v>4.1399999999999997</v>
      </c>
      <c r="AK583" s="45">
        <v>8.5470085470085504</v>
      </c>
      <c r="AL583" s="3">
        <v>9.09</v>
      </c>
      <c r="AM583" s="3">
        <v>9.2200000000000006</v>
      </c>
      <c r="AN583" s="3">
        <v>9.0299999999999994</v>
      </c>
      <c r="AO583" s="3">
        <v>9.1300000000000008</v>
      </c>
      <c r="AP583" s="3">
        <v>9.0299999999999994</v>
      </c>
      <c r="AQ583" s="47">
        <v>9.09</v>
      </c>
      <c r="AR583" s="47">
        <v>9.0299999999999994</v>
      </c>
      <c r="AS583" s="3">
        <v>32.090000000000003</v>
      </c>
      <c r="AT583" s="3">
        <v>34.369999999999997</v>
      </c>
      <c r="AU583" s="3">
        <v>37.56</v>
      </c>
      <c r="AV583" s="3">
        <v>36.229999999999997</v>
      </c>
      <c r="AW583" s="3"/>
      <c r="AX583" s="48">
        <v>37.56</v>
      </c>
      <c r="AY583" s="3"/>
      <c r="AZ583" s="3">
        <v>9</v>
      </c>
      <c r="BA583" s="3">
        <v>350</v>
      </c>
      <c r="BB583" s="3">
        <v>9</v>
      </c>
      <c r="BC583" s="3"/>
      <c r="BD583" s="40"/>
      <c r="BE583" s="40"/>
      <c r="BF583" s="3"/>
      <c r="BG583" s="40">
        <v>718.00170602724052</v>
      </c>
      <c r="BH583" s="40">
        <v>740.35495878705467</v>
      </c>
      <c r="BI583" s="49"/>
      <c r="BJ583" s="49">
        <v>1458.3566648142951</v>
      </c>
      <c r="BK583" s="66"/>
      <c r="BL583" s="66">
        <v>-3.0192615710221138E-2</v>
      </c>
      <c r="BM583" s="51"/>
      <c r="BN583" s="51">
        <v>21.227899051154221</v>
      </c>
      <c r="BO583" s="52">
        <v>424</v>
      </c>
      <c r="BP583" s="40">
        <v>383</v>
      </c>
      <c r="BQ583" s="40">
        <v>424</v>
      </c>
      <c r="BR583" s="67">
        <v>-9.6698113207547176E-2</v>
      </c>
      <c r="BS583" s="54">
        <v>5.8733624454148465</v>
      </c>
      <c r="BT583" s="3">
        <v>216</v>
      </c>
      <c r="BU583" s="40">
        <v>215</v>
      </c>
      <c r="BV583" s="3">
        <v>168</v>
      </c>
      <c r="BW583" s="3">
        <v>172</v>
      </c>
      <c r="BX583" s="70">
        <v>4.6511627906977715E-3</v>
      </c>
      <c r="BY583" s="70">
        <v>-2.3255813953488413E-2</v>
      </c>
      <c r="BZ583" s="59">
        <v>1.25</v>
      </c>
      <c r="CA583" s="59">
        <v>1.2857142857142858</v>
      </c>
      <c r="CB583" s="59">
        <v>2.7645900048520136</v>
      </c>
      <c r="CC583" s="59">
        <v>2.1808830664725862</v>
      </c>
      <c r="CD583" s="60">
        <v>95</v>
      </c>
      <c r="CE583" s="60">
        <v>97</v>
      </c>
      <c r="CF583" s="61">
        <v>1.3828238719068413</v>
      </c>
      <c r="CG583" s="61">
        <v>1.4119359534206695</v>
      </c>
      <c r="CH583" s="61">
        <v>1.0210526315789472</v>
      </c>
      <c r="CI583" s="41"/>
      <c r="CJ583" s="40"/>
      <c r="CK583" s="3"/>
      <c r="CL583" s="62"/>
      <c r="CM583" s="63" t="s">
        <v>110</v>
      </c>
      <c r="CN583" s="3">
        <v>216</v>
      </c>
      <c r="CO583" s="3">
        <v>172</v>
      </c>
      <c r="CP583" s="41"/>
      <c r="CQ583" s="3" t="s">
        <v>110</v>
      </c>
      <c r="CR583" s="40">
        <v>215.5</v>
      </c>
      <c r="CS583" s="40">
        <v>170</v>
      </c>
      <c r="CT583" s="40">
        <v>403.5</v>
      </c>
      <c r="CU583" s="40"/>
      <c r="CV583" s="40"/>
      <c r="CW583" s="40"/>
      <c r="CX583" s="40"/>
      <c r="CY583" s="40" t="e">
        <v>#N/A</v>
      </c>
      <c r="CZ583" s="40"/>
      <c r="DA583" s="40"/>
    </row>
    <row r="584" spans="1:105" ht="18.75" customHeight="1">
      <c r="A584" s="187">
        <v>403</v>
      </c>
      <c r="B584" s="38" t="s">
        <v>103</v>
      </c>
      <c r="C584" s="3" t="s">
        <v>158</v>
      </c>
      <c r="D584" s="76" t="s">
        <v>215</v>
      </c>
      <c r="E584" s="39">
        <v>44994</v>
      </c>
      <c r="F584" s="3" t="s">
        <v>186</v>
      </c>
      <c r="G584" s="3" t="s">
        <v>107</v>
      </c>
      <c r="H584" s="3">
        <v>2007</v>
      </c>
      <c r="I584" s="40" t="s">
        <v>116</v>
      </c>
      <c r="J584" s="39" t="s">
        <v>117</v>
      </c>
      <c r="K584" s="3">
        <v>173.5</v>
      </c>
      <c r="L584" s="3">
        <v>173.5</v>
      </c>
      <c r="M584" s="3"/>
      <c r="N584" s="3">
        <v>145.9</v>
      </c>
      <c r="O584" s="3">
        <v>145.6</v>
      </c>
      <c r="P584" s="3">
        <v>145.69999999999999</v>
      </c>
      <c r="Q584" s="3">
        <v>63.8</v>
      </c>
      <c r="R584" s="3">
        <v>63.8</v>
      </c>
      <c r="S584" s="3"/>
      <c r="T584" s="42">
        <v>173.5</v>
      </c>
      <c r="U584" s="42">
        <f>AVERAGE(paper3[[#This Row],[Sittende høyde 1]:[Sittende høyde 3]])-56.2</f>
        <v>89.533333333333317</v>
      </c>
      <c r="V584" s="12">
        <f>paper3[[#This Row],[height]]-paper3[[#This Row],[sittingheight]]</f>
        <v>83.966666666666683</v>
      </c>
      <c r="W584" s="73">
        <v>63.8</v>
      </c>
      <c r="X584" s="43" cm="1">
        <f t="array" ref="X584">INDEX([1]!phvny[yphv], MATCH(1, (paper3[[#This Row],[id]]=[1]!phvny[id])*(paper3[[#This Row],[time]]=[1]!phvny[time]), 0))</f>
        <v>3.2413453266408374</v>
      </c>
      <c r="Y584" s="46">
        <v>2.17</v>
      </c>
      <c r="Z584" s="3">
        <v>3.69</v>
      </c>
      <c r="AA584" s="46">
        <v>5.14</v>
      </c>
      <c r="AB584" s="3"/>
      <c r="AC584" s="3"/>
      <c r="AD584" s="3"/>
      <c r="AE584" s="3"/>
      <c r="AF584" s="3"/>
      <c r="AG584" s="3"/>
      <c r="AH584" s="44">
        <v>2.17</v>
      </c>
      <c r="AI584" s="44">
        <v>3.69</v>
      </c>
      <c r="AJ584" s="44">
        <v>5.14</v>
      </c>
      <c r="AK584" s="45">
        <v>6.8965517241379324</v>
      </c>
      <c r="AL584" s="3"/>
      <c r="AM584" s="3"/>
      <c r="AN584" s="3"/>
      <c r="AO584" s="3"/>
      <c r="AP584" s="3"/>
      <c r="AQ584" s="47"/>
      <c r="AR584" s="47"/>
      <c r="AS584" s="3">
        <v>25.51</v>
      </c>
      <c r="AT584" s="3">
        <v>27.02</v>
      </c>
      <c r="AU584" s="3">
        <v>25.92</v>
      </c>
      <c r="AV584" s="3"/>
      <c r="AW584" s="3"/>
      <c r="AX584" s="48">
        <v>27.02</v>
      </c>
      <c r="AY584" s="78"/>
      <c r="AZ584" s="3">
        <v>10</v>
      </c>
      <c r="BA584" s="3">
        <v>290</v>
      </c>
      <c r="BB584" s="3">
        <v>8</v>
      </c>
      <c r="BC584" s="3"/>
      <c r="BD584" s="40">
        <v>1159.8854618235673</v>
      </c>
      <c r="BE584" s="40">
        <v>1134.3902333570381</v>
      </c>
      <c r="BF584" s="40"/>
      <c r="BG584" s="40">
        <v>417.11811801334989</v>
      </c>
      <c r="BH584" s="40">
        <v>447.25909048184292</v>
      </c>
      <c r="BI584" s="49">
        <v>2294.2756951806055</v>
      </c>
      <c r="BJ584" s="49">
        <v>864.3772084951928</v>
      </c>
      <c r="BK584" s="66">
        <v>2.2474830721241679E-2</v>
      </c>
      <c r="BL584" s="66">
        <v>-6.7390407729938873E-2</v>
      </c>
      <c r="BM584" s="51">
        <v>35.960434093739899</v>
      </c>
      <c r="BN584" s="51">
        <v>13.548232108075123</v>
      </c>
      <c r="BO584" s="52">
        <v>336</v>
      </c>
      <c r="BP584" s="40">
        <v>321</v>
      </c>
      <c r="BQ584" s="40">
        <v>336</v>
      </c>
      <c r="BR584" s="67">
        <v>-4.4642857142857095E-2</v>
      </c>
      <c r="BS584" s="54">
        <v>5.1489028213166144</v>
      </c>
      <c r="BT584" s="3">
        <v>137</v>
      </c>
      <c r="BU584" s="40">
        <v>125</v>
      </c>
      <c r="BV584" s="3">
        <v>114</v>
      </c>
      <c r="BW584" s="3">
        <v>135</v>
      </c>
      <c r="BX584" s="70">
        <v>9.6000000000000085E-2</v>
      </c>
      <c r="BY584" s="70">
        <v>-0.15555555555555556</v>
      </c>
      <c r="BZ584" s="59">
        <v>0.92592592592592593</v>
      </c>
      <c r="CA584" s="59">
        <v>1.2017543859649122</v>
      </c>
      <c r="CB584" s="59">
        <v>1.7240804597701154</v>
      </c>
      <c r="CC584" s="59">
        <v>1.638534482758621</v>
      </c>
      <c r="CD584" s="60">
        <v>96</v>
      </c>
      <c r="CE584" s="60">
        <v>77</v>
      </c>
      <c r="CF584" s="61">
        <v>1.5047021943573669</v>
      </c>
      <c r="CG584" s="61">
        <v>1.2068965517241379</v>
      </c>
      <c r="CH584" s="61">
        <v>0.80208333333333326</v>
      </c>
      <c r="CI584" s="41"/>
      <c r="CJ584" s="40"/>
      <c r="CK584" s="3"/>
      <c r="CL584" s="62"/>
      <c r="CM584" s="63" t="s">
        <v>110</v>
      </c>
      <c r="CN584" s="3">
        <v>137</v>
      </c>
      <c r="CO584" s="3">
        <v>135</v>
      </c>
      <c r="CP584" s="41">
        <v>15.561111111111112</v>
      </c>
      <c r="CQ584" s="3" t="s">
        <v>110</v>
      </c>
      <c r="CR584" s="40">
        <v>131</v>
      </c>
      <c r="CS584" s="40">
        <v>124.5</v>
      </c>
      <c r="CT584" s="40">
        <v>328.5</v>
      </c>
      <c r="CU584" s="40"/>
      <c r="CV584" s="40"/>
      <c r="CW584" s="40"/>
      <c r="CX584" s="40"/>
      <c r="CY584" s="40">
        <v>0</v>
      </c>
      <c r="CZ584" s="40"/>
      <c r="DA584" s="40"/>
    </row>
    <row r="585" spans="1:105" ht="18.75" customHeight="1">
      <c r="A585" s="187">
        <v>404</v>
      </c>
      <c r="B585" s="38" t="s">
        <v>103</v>
      </c>
      <c r="C585" s="3" t="s">
        <v>115</v>
      </c>
      <c r="D585" s="76" t="s">
        <v>215</v>
      </c>
      <c r="E585" s="39">
        <v>44994</v>
      </c>
      <c r="F585" s="3" t="s">
        <v>186</v>
      </c>
      <c r="G585" s="3" t="s">
        <v>107</v>
      </c>
      <c r="H585" s="3">
        <v>2007</v>
      </c>
      <c r="I585" s="40" t="s">
        <v>116</v>
      </c>
      <c r="J585" s="39" t="s">
        <v>117</v>
      </c>
      <c r="K585" s="3">
        <v>176</v>
      </c>
      <c r="L585" s="3">
        <v>176.1</v>
      </c>
      <c r="M585" s="3"/>
      <c r="N585" s="3">
        <v>145</v>
      </c>
      <c r="O585" s="3">
        <v>145.1</v>
      </c>
      <c r="P585" s="3"/>
      <c r="Q585" s="3">
        <v>69.2</v>
      </c>
      <c r="R585" s="3"/>
      <c r="S585" s="3"/>
      <c r="T585" s="42">
        <v>176.05</v>
      </c>
      <c r="U585" s="42">
        <f>AVERAGE(paper3[[#This Row],[Sittende høyde 1]:[Sittende høyde 3]])-56.2</f>
        <v>88.850000000000009</v>
      </c>
      <c r="V585" s="12">
        <f>paper3[[#This Row],[height]]-paper3[[#This Row],[sittingheight]]</f>
        <v>87.2</v>
      </c>
      <c r="W585" s="73">
        <v>69.2</v>
      </c>
      <c r="X585" s="43" cm="1">
        <f t="array" ref="X585">INDEX([1]!phvny[yphv], MATCH(1, (paper3[[#This Row],[id]]=[1]!phvny[id])*(paper3[[#This Row],[time]]=[1]!phvny[time]), 0))</f>
        <v>3.6282814407420498</v>
      </c>
      <c r="Y585" s="3">
        <v>2.0099999999999998</v>
      </c>
      <c r="Z585" s="3">
        <v>3.5</v>
      </c>
      <c r="AA585" s="3">
        <v>4.9400000000000004</v>
      </c>
      <c r="AB585" s="3"/>
      <c r="AC585" s="3"/>
      <c r="AD585" s="3"/>
      <c r="AE585" s="3"/>
      <c r="AF585" s="3"/>
      <c r="AG585" s="3"/>
      <c r="AH585" s="44">
        <v>2.0099999999999998</v>
      </c>
      <c r="AI585" s="44">
        <v>3.5</v>
      </c>
      <c r="AJ585" s="44">
        <v>4.9400000000000004</v>
      </c>
      <c r="AK585" s="45">
        <v>6.9444444444444429</v>
      </c>
      <c r="AL585" s="3">
        <v>10.81</v>
      </c>
      <c r="AM585" s="3">
        <v>10.75</v>
      </c>
      <c r="AN585" s="3">
        <v>10.92</v>
      </c>
      <c r="AO585" s="3">
        <v>10.83</v>
      </c>
      <c r="AP585" s="3">
        <v>10.75</v>
      </c>
      <c r="AQ585" s="47">
        <v>10.75</v>
      </c>
      <c r="AR585" s="47">
        <v>10.83</v>
      </c>
      <c r="AS585" s="3">
        <v>27.72</v>
      </c>
      <c r="AT585" s="3">
        <v>27.96</v>
      </c>
      <c r="AU585" s="3">
        <v>26.3</v>
      </c>
      <c r="AV585" s="3"/>
      <c r="AW585" s="3"/>
      <c r="AX585" s="48">
        <v>27.96</v>
      </c>
      <c r="AY585" s="76"/>
      <c r="AZ585" s="3">
        <v>10</v>
      </c>
      <c r="BA585" s="3">
        <v>260</v>
      </c>
      <c r="BB585" s="3"/>
      <c r="BC585" s="3"/>
      <c r="BD585" s="40">
        <v>1049.8456546263455</v>
      </c>
      <c r="BE585" s="40">
        <v>1035.9632706534237</v>
      </c>
      <c r="BF585" s="40"/>
      <c r="BG585" s="40">
        <v>569.21358864061006</v>
      </c>
      <c r="BH585" s="40">
        <v>532.49080564019448</v>
      </c>
      <c r="BI585" s="49">
        <v>2085.808925279769</v>
      </c>
      <c r="BJ585" s="49">
        <v>1101.7043942808045</v>
      </c>
      <c r="BK585" s="66">
        <v>1.3400459616841109E-2</v>
      </c>
      <c r="BL585" s="66">
        <v>6.8964163533800527E-2</v>
      </c>
      <c r="BM585" s="51">
        <v>30.14174747514117</v>
      </c>
      <c r="BN585" s="51">
        <v>15.920583732381568</v>
      </c>
      <c r="BO585" s="52">
        <v>312</v>
      </c>
      <c r="BP585" s="40">
        <v>312</v>
      </c>
      <c r="BQ585" s="40">
        <v>271</v>
      </c>
      <c r="BR585" s="67">
        <v>0.1512915129151291</v>
      </c>
      <c r="BS585" s="54">
        <v>4.2124277456647397</v>
      </c>
      <c r="BT585" s="3">
        <v>135</v>
      </c>
      <c r="BU585" s="40">
        <v>135</v>
      </c>
      <c r="BV585" s="3">
        <v>148</v>
      </c>
      <c r="BW585" s="3">
        <v>145</v>
      </c>
      <c r="BX585" s="70">
        <v>0</v>
      </c>
      <c r="BY585" s="70">
        <v>2.0689655172413834E-2</v>
      </c>
      <c r="BZ585" s="59">
        <v>0.93103448275862066</v>
      </c>
      <c r="CA585" s="59">
        <v>0.91216216216216217</v>
      </c>
      <c r="CB585" s="59">
        <v>1.7011560693641619</v>
      </c>
      <c r="CC585" s="59">
        <v>1.8460693641618497</v>
      </c>
      <c r="CD585" s="60">
        <v>93</v>
      </c>
      <c r="CE585" s="60">
        <v>114</v>
      </c>
      <c r="CF585" s="61">
        <v>1.3439306358381502</v>
      </c>
      <c r="CG585" s="61">
        <v>1.6473988439306357</v>
      </c>
      <c r="CH585" s="61">
        <v>1.2258064516129032</v>
      </c>
      <c r="CI585" s="41"/>
      <c r="CJ585" s="40"/>
      <c r="CK585" s="3"/>
      <c r="CL585" s="62"/>
      <c r="CM585" s="63" t="s">
        <v>110</v>
      </c>
      <c r="CN585" s="3">
        <v>135</v>
      </c>
      <c r="CO585" s="3">
        <v>148</v>
      </c>
      <c r="CP585" s="41">
        <v>16.175000000000001</v>
      </c>
      <c r="CQ585" s="3" t="s">
        <v>110</v>
      </c>
      <c r="CR585" s="40">
        <v>135</v>
      </c>
      <c r="CS585" s="40">
        <v>146.5</v>
      </c>
      <c r="CT585" s="40">
        <v>291.5</v>
      </c>
      <c r="CU585" s="40"/>
      <c r="CV585" s="40"/>
      <c r="CW585" s="40"/>
      <c r="CX585" s="40"/>
      <c r="CY585" s="40">
        <v>0</v>
      </c>
      <c r="CZ585" s="40"/>
      <c r="DA585" s="40"/>
    </row>
    <row r="586" spans="1:105" ht="18.75" customHeight="1">
      <c r="A586" s="187">
        <v>405</v>
      </c>
      <c r="B586" s="38" t="s">
        <v>103</v>
      </c>
      <c r="C586" s="3" t="s">
        <v>115</v>
      </c>
      <c r="D586" s="76" t="s">
        <v>215</v>
      </c>
      <c r="E586" s="39">
        <v>44994</v>
      </c>
      <c r="F586" s="3" t="s">
        <v>186</v>
      </c>
      <c r="G586" s="3" t="s">
        <v>107</v>
      </c>
      <c r="H586" s="3">
        <v>2007</v>
      </c>
      <c r="I586" s="40" t="s">
        <v>116</v>
      </c>
      <c r="J586" s="39" t="s">
        <v>117</v>
      </c>
      <c r="K586" s="3">
        <v>171.1</v>
      </c>
      <c r="L586" s="3">
        <v>171.1</v>
      </c>
      <c r="M586" s="3"/>
      <c r="N586" s="3">
        <v>142.69999999999999</v>
      </c>
      <c r="O586" s="3">
        <v>142.80000000000001</v>
      </c>
      <c r="P586" s="3"/>
      <c r="Q586" s="3">
        <v>70.3</v>
      </c>
      <c r="R586" s="3"/>
      <c r="S586" s="3"/>
      <c r="T586" s="42">
        <v>171.1</v>
      </c>
      <c r="U586" s="42">
        <f>AVERAGE(paper3[[#This Row],[Sittende høyde 1]:[Sittende høyde 3]])-56.2</f>
        <v>86.55</v>
      </c>
      <c r="V586" s="12">
        <f>paper3[[#This Row],[height]]-paper3[[#This Row],[sittingheight]]</f>
        <v>84.55</v>
      </c>
      <c r="W586" s="73">
        <v>70.3</v>
      </c>
      <c r="X586" s="43" cm="1">
        <f t="array" ref="X586">INDEX([1]!phvny[yphv], MATCH(1, (paper3[[#This Row],[id]]=[1]!phvny[id])*(paper3[[#This Row],[time]]=[1]!phvny[time]), 0))</f>
        <v>3.0814850654841712</v>
      </c>
      <c r="Y586" s="3">
        <v>2.06</v>
      </c>
      <c r="Z586" s="3">
        <v>3.6</v>
      </c>
      <c r="AA586" s="3">
        <v>5.16</v>
      </c>
      <c r="AB586" s="3"/>
      <c r="AC586" s="3"/>
      <c r="AD586" s="3"/>
      <c r="AE586" s="3"/>
      <c r="AF586" s="3"/>
      <c r="AG586" s="3"/>
      <c r="AH586" s="44">
        <v>2.06</v>
      </c>
      <c r="AI586" s="44">
        <v>3.6</v>
      </c>
      <c r="AJ586" s="45">
        <v>5.16</v>
      </c>
      <c r="AK586" s="45">
        <v>6.4102564102564097</v>
      </c>
      <c r="AL586" s="3">
        <v>10.91</v>
      </c>
      <c r="AM586" s="3">
        <v>10.77</v>
      </c>
      <c r="AN586" s="60">
        <v>11.1</v>
      </c>
      <c r="AO586" s="3">
        <v>10.93</v>
      </c>
      <c r="AP586" s="3">
        <v>10.77</v>
      </c>
      <c r="AQ586" s="47">
        <v>10.77</v>
      </c>
      <c r="AR586" s="47">
        <v>10.93</v>
      </c>
      <c r="AS586" s="3">
        <v>23.88</v>
      </c>
      <c r="AT586" s="3">
        <v>24.79</v>
      </c>
      <c r="AU586" s="3">
        <v>25.94</v>
      </c>
      <c r="AV586" s="3">
        <v>25.27</v>
      </c>
      <c r="AW586" s="3"/>
      <c r="AX586" s="48">
        <v>25.94</v>
      </c>
      <c r="AY586" s="76"/>
      <c r="AZ586" s="3">
        <v>10</v>
      </c>
      <c r="BA586" s="3">
        <v>240</v>
      </c>
      <c r="BB586" s="3"/>
      <c r="BC586" s="3"/>
      <c r="BD586" s="40">
        <v>943.12928896093149</v>
      </c>
      <c r="BE586" s="40">
        <v>994.73229221127917</v>
      </c>
      <c r="BF586" s="40"/>
      <c r="BG586" s="40">
        <v>460.28961271322123</v>
      </c>
      <c r="BH586" s="40">
        <v>464.36028205525679</v>
      </c>
      <c r="BI586" s="49">
        <v>1937.8615811722107</v>
      </c>
      <c r="BJ586" s="49">
        <v>924.64989476847802</v>
      </c>
      <c r="BK586" s="66">
        <v>-5.1876272293960413E-2</v>
      </c>
      <c r="BL586" s="66">
        <v>-8.7661875904174735E-3</v>
      </c>
      <c r="BM586" s="51">
        <v>27.565598594199301</v>
      </c>
      <c r="BN586" s="51">
        <v>13.152914577076501</v>
      </c>
      <c r="BO586" s="52">
        <v>218</v>
      </c>
      <c r="BP586" s="40">
        <v>207</v>
      </c>
      <c r="BQ586" s="40">
        <v>218</v>
      </c>
      <c r="BR586" s="67">
        <v>-5.0458715596330306E-2</v>
      </c>
      <c r="BS586" s="54">
        <v>3.0227596017069702</v>
      </c>
      <c r="BT586" s="3">
        <v>114</v>
      </c>
      <c r="BU586" s="40">
        <v>135</v>
      </c>
      <c r="BV586" s="3">
        <v>122</v>
      </c>
      <c r="BW586" s="3">
        <v>124</v>
      </c>
      <c r="BX586" s="70">
        <v>-0.15555555555555556</v>
      </c>
      <c r="BY586" s="70">
        <v>-1.6129032258064502E-2</v>
      </c>
      <c r="BZ586" s="59">
        <v>1.0887096774193548</v>
      </c>
      <c r="CA586" s="59">
        <v>0.93442622950819676</v>
      </c>
      <c r="CB586" s="59">
        <v>1.4973648648648648</v>
      </c>
      <c r="CC586" s="59">
        <v>1.4793243243243241</v>
      </c>
      <c r="CD586" s="60">
        <v>99</v>
      </c>
      <c r="CE586" s="60">
        <v>90</v>
      </c>
      <c r="CF586" s="61">
        <v>1.4082503556187767</v>
      </c>
      <c r="CG586" s="61">
        <v>1.2802275960170697</v>
      </c>
      <c r="CH586" s="61">
        <v>0.90909090909090906</v>
      </c>
      <c r="CI586" s="41"/>
      <c r="CJ586" s="40"/>
      <c r="CK586" s="3"/>
      <c r="CL586" s="62"/>
      <c r="CM586" s="63" t="s">
        <v>110</v>
      </c>
      <c r="CN586" s="3">
        <v>135</v>
      </c>
      <c r="CO586" s="3">
        <v>124</v>
      </c>
      <c r="CP586" s="41">
        <v>15.691666666666666</v>
      </c>
      <c r="CQ586" s="3" t="s">
        <v>110</v>
      </c>
      <c r="CR586" s="40">
        <v>124.5</v>
      </c>
      <c r="CS586" s="40">
        <v>123</v>
      </c>
      <c r="CT586" s="40">
        <v>212.5</v>
      </c>
      <c r="CU586" s="40"/>
      <c r="CV586" s="40"/>
      <c r="CW586" s="40"/>
      <c r="CX586" s="40"/>
      <c r="CY586" s="40" t="s">
        <v>125</v>
      </c>
      <c r="CZ586" s="40"/>
      <c r="DA586" s="40"/>
    </row>
    <row r="587" spans="1:105" ht="18.75" customHeight="1">
      <c r="A587" s="3">
        <v>408</v>
      </c>
      <c r="B587" s="38" t="s">
        <v>103</v>
      </c>
      <c r="C587" s="3" t="s">
        <v>115</v>
      </c>
      <c r="D587" s="3" t="s">
        <v>215</v>
      </c>
      <c r="E587" s="39">
        <v>45000</v>
      </c>
      <c r="F587" s="3" t="s">
        <v>186</v>
      </c>
      <c r="G587" s="3" t="s">
        <v>107</v>
      </c>
      <c r="H587" s="3">
        <v>2007</v>
      </c>
      <c r="I587" s="40" t="s">
        <v>116</v>
      </c>
      <c r="J587" s="39" t="s">
        <v>117</v>
      </c>
      <c r="K587" s="3">
        <v>170.6</v>
      </c>
      <c r="L587" s="3">
        <v>170.9</v>
      </c>
      <c r="M587" s="3">
        <v>171</v>
      </c>
      <c r="N587" s="3">
        <v>144</v>
      </c>
      <c r="O587" s="3">
        <v>139.9</v>
      </c>
      <c r="P587" s="3"/>
      <c r="Q587" s="3">
        <v>53.5</v>
      </c>
      <c r="R587" s="3">
        <v>53.5</v>
      </c>
      <c r="S587" s="3"/>
      <c r="T587" s="42">
        <v>170.83333333333334</v>
      </c>
      <c r="U587" s="42">
        <f>AVERAGE(paper3[[#This Row],[Sittende høyde 1]:[Sittende høyde 3]])-56.2</f>
        <v>85.749999999999986</v>
      </c>
      <c r="V587" s="12">
        <f>paper3[[#This Row],[height]]-paper3[[#This Row],[sittingheight]]</f>
        <v>85.083333333333357</v>
      </c>
      <c r="W587" s="73">
        <v>53.5</v>
      </c>
      <c r="X587" s="43" cm="1">
        <f t="array" ref="X587">INDEX([1]!phvny[yphv], MATCH(1, (paper3[[#This Row],[id]]=[1]!phvny[id])*(paper3[[#This Row],[time]]=[1]!phvny[time]), 0))</f>
        <v>2.9776097823114265</v>
      </c>
      <c r="Y587" s="3">
        <v>1.98</v>
      </c>
      <c r="Z587" s="3">
        <v>3.45</v>
      </c>
      <c r="AA587" s="3">
        <v>4.87</v>
      </c>
      <c r="AB587" s="3">
        <v>1.99</v>
      </c>
      <c r="AC587" s="3">
        <v>3.47</v>
      </c>
      <c r="AD587" s="3">
        <v>4.9400000000000004</v>
      </c>
      <c r="AE587" s="3">
        <v>2.0099999999999998</v>
      </c>
      <c r="AF587" s="3">
        <v>3.52</v>
      </c>
      <c r="AG587" s="3">
        <v>4.9800000000000004</v>
      </c>
      <c r="AH587" s="44">
        <v>1.98</v>
      </c>
      <c r="AI587" s="44">
        <v>3.45</v>
      </c>
      <c r="AJ587" s="44">
        <v>4.87</v>
      </c>
      <c r="AK587" s="45">
        <v>7.042253521126761</v>
      </c>
      <c r="AL587" s="3">
        <v>10.91</v>
      </c>
      <c r="AM587" s="3">
        <v>10.59</v>
      </c>
      <c r="AN587" s="3">
        <v>10.91</v>
      </c>
      <c r="AO587" s="3">
        <v>10.77</v>
      </c>
      <c r="AP587" s="3">
        <v>10.59</v>
      </c>
      <c r="AQ587" s="47"/>
      <c r="AR587" s="47"/>
      <c r="AS587" s="3">
        <v>29.03</v>
      </c>
      <c r="AT587" s="3">
        <v>26.84</v>
      </c>
      <c r="AU587" s="3">
        <v>27.1</v>
      </c>
      <c r="AV587" s="3"/>
      <c r="AW587" s="3"/>
      <c r="AX587" s="48">
        <v>29.03</v>
      </c>
      <c r="AY587" s="3"/>
      <c r="AZ587" s="3">
        <v>9</v>
      </c>
      <c r="BA587" s="3">
        <v>200</v>
      </c>
      <c r="BB587" s="3">
        <v>7</v>
      </c>
      <c r="BC587" s="3">
        <v>163</v>
      </c>
      <c r="BD587" s="188">
        <v>623.76793223262644</v>
      </c>
      <c r="BE587" s="188">
        <v>616.24779882175358</v>
      </c>
      <c r="BF587" s="40"/>
      <c r="BG587" s="40">
        <v>299.54040802548315</v>
      </c>
      <c r="BH587" s="40">
        <v>324.70314163109271</v>
      </c>
      <c r="BI587" s="49">
        <v>1240.01573105438</v>
      </c>
      <c r="BJ587" s="49">
        <v>624.24354965657585</v>
      </c>
      <c r="BK587" s="66">
        <v>1.220309983297474E-2</v>
      </c>
      <c r="BL587" s="66">
        <v>-7.7494580062295371E-2</v>
      </c>
      <c r="BM587" s="51">
        <v>23.177864131857572</v>
      </c>
      <c r="BN587" s="51">
        <v>11.668103731898613</v>
      </c>
      <c r="BO587" s="52">
        <v>185</v>
      </c>
      <c r="BP587" s="40">
        <v>185</v>
      </c>
      <c r="BQ587" s="40">
        <v>143</v>
      </c>
      <c r="BR587" s="67">
        <v>0.29370629370629375</v>
      </c>
      <c r="BS587" s="54">
        <v>3.0654205607476634</v>
      </c>
      <c r="BT587" s="3">
        <v>92</v>
      </c>
      <c r="BU587" s="40">
        <v>102</v>
      </c>
      <c r="BV587" s="3">
        <v>84</v>
      </c>
      <c r="BW587" s="3">
        <v>107</v>
      </c>
      <c r="BX587" s="70">
        <v>-9.8039215686274495E-2</v>
      </c>
      <c r="BY587" s="70">
        <v>-0.21495327102803741</v>
      </c>
      <c r="BZ587" s="59">
        <v>0.95327102803738317</v>
      </c>
      <c r="CA587" s="59">
        <v>1.0952380952380953</v>
      </c>
      <c r="CB587" s="59">
        <v>1.5426323987538944</v>
      </c>
      <c r="CC587" s="59">
        <v>1.5187772585669785</v>
      </c>
      <c r="CD587" s="60">
        <v>77</v>
      </c>
      <c r="CE587" s="60">
        <v>78</v>
      </c>
      <c r="CF587" s="61">
        <v>1.4392523364485981</v>
      </c>
      <c r="CG587" s="61">
        <v>1.4579439252336448</v>
      </c>
      <c r="CH587" s="61">
        <v>1.0129870129870129</v>
      </c>
      <c r="CI587" s="41"/>
      <c r="CJ587" s="40"/>
      <c r="CK587" s="3"/>
      <c r="CL587" s="62"/>
      <c r="CM587" s="63" t="s">
        <v>110</v>
      </c>
      <c r="CN587" s="3">
        <v>102</v>
      </c>
      <c r="CO587" s="3">
        <v>107</v>
      </c>
      <c r="CP587" s="41">
        <v>15.702777777777778</v>
      </c>
      <c r="CQ587" s="3" t="s">
        <v>110</v>
      </c>
      <c r="CR587" s="40">
        <v>97</v>
      </c>
      <c r="CS587" s="40">
        <v>95.5</v>
      </c>
      <c r="CT587" s="40">
        <v>164</v>
      </c>
      <c r="CU587" s="40"/>
      <c r="CV587" s="40"/>
      <c r="CW587" s="40"/>
      <c r="CX587" s="40"/>
      <c r="CY587" s="40">
        <v>0</v>
      </c>
      <c r="CZ587" s="40"/>
      <c r="DA587" s="40"/>
    </row>
    <row r="588" spans="1:105" ht="18.75" customHeight="1">
      <c r="A588" s="3">
        <v>409</v>
      </c>
      <c r="B588" s="38" t="s">
        <v>103</v>
      </c>
      <c r="C588" s="3" t="s">
        <v>115</v>
      </c>
      <c r="D588" s="3" t="s">
        <v>215</v>
      </c>
      <c r="E588" s="39">
        <v>45000</v>
      </c>
      <c r="F588" s="3" t="s">
        <v>186</v>
      </c>
      <c r="G588" s="3" t="s">
        <v>107</v>
      </c>
      <c r="H588" s="3">
        <v>2007</v>
      </c>
      <c r="I588" s="40" t="s">
        <v>116</v>
      </c>
      <c r="J588" s="39" t="s">
        <v>117</v>
      </c>
      <c r="K588" s="3">
        <v>160</v>
      </c>
      <c r="L588" s="3">
        <v>160.1</v>
      </c>
      <c r="M588" s="3"/>
      <c r="N588" s="3">
        <v>141.4</v>
      </c>
      <c r="O588" s="3">
        <v>141.4</v>
      </c>
      <c r="P588" s="3"/>
      <c r="Q588" s="3">
        <v>82.5</v>
      </c>
      <c r="R588" s="3">
        <v>82.5</v>
      </c>
      <c r="S588" s="3"/>
      <c r="T588" s="42">
        <v>160.05000000000001</v>
      </c>
      <c r="U588" s="42">
        <f>AVERAGE(paper3[[#This Row],[Sittende høyde 1]:[Sittende høyde 3]])-56.2</f>
        <v>85.2</v>
      </c>
      <c r="V588" s="12">
        <f>paper3[[#This Row],[height]]-paper3[[#This Row],[sittingheight]]</f>
        <v>74.850000000000009</v>
      </c>
      <c r="W588" s="73">
        <v>82.5</v>
      </c>
      <c r="X588" s="43" cm="1">
        <f t="array" ref="X588">INDEX([1]!phvny[yphv], MATCH(1, (paper3[[#This Row],[id]]=[1]!phvny[id])*(paper3[[#This Row],[time]]=[1]!phvny[time]), 0))</f>
        <v>2.8598079965257739</v>
      </c>
      <c r="Y588" s="3">
        <v>2.17</v>
      </c>
      <c r="Z588" s="3">
        <v>3.8</v>
      </c>
      <c r="AA588" s="3">
        <v>5.44</v>
      </c>
      <c r="AB588" s="3">
        <v>2.17</v>
      </c>
      <c r="AC588" s="3">
        <v>3.79</v>
      </c>
      <c r="AD588" s="3">
        <v>5.41</v>
      </c>
      <c r="AE588" s="3">
        <v>2.13</v>
      </c>
      <c r="AF588" s="3">
        <v>3.75</v>
      </c>
      <c r="AG588" s="3">
        <v>5.33</v>
      </c>
      <c r="AH588" s="44">
        <v>2.13</v>
      </c>
      <c r="AI588" s="44">
        <v>3.75</v>
      </c>
      <c r="AJ588" s="44">
        <v>5.33</v>
      </c>
      <c r="AK588" s="45">
        <v>6.3291139240506329</v>
      </c>
      <c r="AL588" s="3">
        <v>11.79</v>
      </c>
      <c r="AM588" s="3">
        <v>11.59</v>
      </c>
      <c r="AN588" s="3">
        <v>11.38</v>
      </c>
      <c r="AO588" s="3">
        <v>11.39</v>
      </c>
      <c r="AP588" s="3">
        <v>11.38</v>
      </c>
      <c r="AQ588" s="47"/>
      <c r="AR588" s="47"/>
      <c r="AS588" s="3">
        <v>26.11</v>
      </c>
      <c r="AT588" s="3">
        <v>25.86</v>
      </c>
      <c r="AU588" s="3">
        <v>25.93</v>
      </c>
      <c r="AV588" s="3"/>
      <c r="AW588" s="3"/>
      <c r="AX588" s="48">
        <v>26.11</v>
      </c>
      <c r="AY588" s="3"/>
      <c r="AZ588" s="3">
        <v>7</v>
      </c>
      <c r="BA588" s="3">
        <v>250</v>
      </c>
      <c r="BB588" s="3">
        <v>11</v>
      </c>
      <c r="BC588" s="3"/>
      <c r="BD588" s="40">
        <v>1187.9175498886898</v>
      </c>
      <c r="BE588" s="40">
        <v>1169.9549679199215</v>
      </c>
      <c r="BF588" s="40"/>
      <c r="BG588" s="40">
        <v>608.35080514922151</v>
      </c>
      <c r="BH588" s="40">
        <v>611.15550726153697</v>
      </c>
      <c r="BI588" s="49">
        <v>2357.8725178086115</v>
      </c>
      <c r="BJ588" s="49">
        <v>1219.5063124107585</v>
      </c>
      <c r="BK588" s="66">
        <v>1.5353225090965816E-2</v>
      </c>
      <c r="BL588" s="66">
        <v>-4.5891791516086133E-3</v>
      </c>
      <c r="BM588" s="51">
        <v>28.580272943134684</v>
      </c>
      <c r="BN588" s="51">
        <v>14.781894695887981</v>
      </c>
      <c r="BO588" s="52">
        <v>389</v>
      </c>
      <c r="BP588" s="40">
        <v>389</v>
      </c>
      <c r="BQ588" s="40">
        <v>305</v>
      </c>
      <c r="BR588" s="67">
        <v>0.27540983606557368</v>
      </c>
      <c r="BS588" s="54">
        <v>4.2060606060606061</v>
      </c>
      <c r="BT588" s="3">
        <v>125</v>
      </c>
      <c r="BU588" s="40">
        <v>137</v>
      </c>
      <c r="BV588" s="3">
        <v>123</v>
      </c>
      <c r="BW588" s="3">
        <v>141</v>
      </c>
      <c r="BX588" s="70">
        <v>-8.7591240875912413E-2</v>
      </c>
      <c r="BY588" s="70">
        <v>-0.12765957446808507</v>
      </c>
      <c r="BZ588" s="59">
        <v>0.97163120567375882</v>
      </c>
      <c r="CA588" s="59">
        <v>1.0162601626016261</v>
      </c>
      <c r="CB588" s="59">
        <v>1.1885272727272729</v>
      </c>
      <c r="CC588" s="59">
        <v>1.1976</v>
      </c>
      <c r="CD588" s="60">
        <v>105</v>
      </c>
      <c r="CE588" s="60">
        <v>99</v>
      </c>
      <c r="CF588" s="61">
        <v>1.2727272727272727</v>
      </c>
      <c r="CG588" s="61">
        <v>1.2</v>
      </c>
      <c r="CH588" s="61">
        <v>0.94285714285714284</v>
      </c>
      <c r="CI588" s="41"/>
      <c r="CJ588" s="40"/>
      <c r="CK588" s="3"/>
      <c r="CL588" s="62"/>
      <c r="CM588" s="63" t="s">
        <v>110</v>
      </c>
      <c r="CN588" s="3">
        <v>137</v>
      </c>
      <c r="CO588" s="3">
        <v>141</v>
      </c>
      <c r="CP588" s="41">
        <v>15.958333333333334</v>
      </c>
      <c r="CQ588" s="3" t="s">
        <v>110</v>
      </c>
      <c r="CR588" s="40">
        <v>131</v>
      </c>
      <c r="CS588" s="40">
        <v>132</v>
      </c>
      <c r="CT588" s="40">
        <v>347</v>
      </c>
      <c r="CU588" s="40"/>
      <c r="CV588" s="40"/>
      <c r="CW588" s="40"/>
      <c r="CX588" s="40"/>
      <c r="CY588" s="40">
        <v>0</v>
      </c>
      <c r="CZ588" s="40"/>
      <c r="DA588" s="40"/>
    </row>
    <row r="589" spans="1:105" ht="18.75" customHeight="1">
      <c r="A589" s="3">
        <v>410</v>
      </c>
      <c r="B589" s="38" t="s">
        <v>103</v>
      </c>
      <c r="C589" s="3" t="s">
        <v>115</v>
      </c>
      <c r="D589" s="3" t="s">
        <v>215</v>
      </c>
      <c r="E589" s="39">
        <v>45000</v>
      </c>
      <c r="F589" s="3" t="s">
        <v>186</v>
      </c>
      <c r="G589" s="3" t="s">
        <v>107</v>
      </c>
      <c r="H589" s="3">
        <v>2007</v>
      </c>
      <c r="I589" s="40" t="s">
        <v>116</v>
      </c>
      <c r="J589" s="39" t="s">
        <v>117</v>
      </c>
      <c r="K589" s="3">
        <v>182.1</v>
      </c>
      <c r="L589" s="3">
        <v>182.1</v>
      </c>
      <c r="M589" s="3"/>
      <c r="N589" s="3">
        <v>148.4</v>
      </c>
      <c r="O589" s="3">
        <v>148.1</v>
      </c>
      <c r="P589" s="3">
        <v>148.30000000000001</v>
      </c>
      <c r="Q589" s="3">
        <v>70</v>
      </c>
      <c r="R589" s="3">
        <v>70.099999999999994</v>
      </c>
      <c r="S589" s="3"/>
      <c r="T589" s="42">
        <v>182.1</v>
      </c>
      <c r="U589" s="42">
        <f>AVERAGE(paper3[[#This Row],[Sittende høyde 1]:[Sittende høyde 3]])-56.2</f>
        <v>92.066666666666677</v>
      </c>
      <c r="V589" s="12">
        <f>paper3[[#This Row],[height]]-paper3[[#This Row],[sittingheight]]</f>
        <v>90.033333333333317</v>
      </c>
      <c r="W589" s="73">
        <v>70.05</v>
      </c>
      <c r="X589" s="43" cm="1">
        <f t="array" ref="X589">INDEX([1]!phvny[yphv], MATCH(1, (paper3[[#This Row],[id]]=[1]!phvny[id])*(paper3[[#This Row],[time]]=[1]!phvny[time]), 0))</f>
        <v>3.6017134746484851</v>
      </c>
      <c r="Y589" s="3">
        <v>2.17</v>
      </c>
      <c r="Z589" s="3">
        <v>3.73</v>
      </c>
      <c r="AA589" s="3">
        <v>5.25</v>
      </c>
      <c r="AB589" s="3">
        <v>2.13</v>
      </c>
      <c r="AC589" s="3">
        <v>3.67</v>
      </c>
      <c r="AD589" s="3">
        <v>5.14</v>
      </c>
      <c r="AE589" s="3">
        <v>2.1</v>
      </c>
      <c r="AF589" s="3">
        <v>3.64</v>
      </c>
      <c r="AG589" s="3">
        <v>5.12</v>
      </c>
      <c r="AH589" s="44">
        <v>2.1</v>
      </c>
      <c r="AI589" s="44">
        <v>3.64</v>
      </c>
      <c r="AJ589" s="44">
        <v>5.12</v>
      </c>
      <c r="AK589" s="45">
        <v>6.756756756756757</v>
      </c>
      <c r="AL589" s="3">
        <v>12.22</v>
      </c>
      <c r="AM589" s="3">
        <v>11.59</v>
      </c>
      <c r="AN589" s="3">
        <v>11.69</v>
      </c>
      <c r="AO589" s="3">
        <v>11.5</v>
      </c>
      <c r="AP589" s="3">
        <v>11.5</v>
      </c>
      <c r="AQ589" s="47"/>
      <c r="AR589" s="47"/>
      <c r="AS589" s="3">
        <v>23.55</v>
      </c>
      <c r="AT589" s="3">
        <v>25.23</v>
      </c>
      <c r="AU589" s="3">
        <v>24.31</v>
      </c>
      <c r="AV589" s="3"/>
      <c r="AW589" s="3"/>
      <c r="AX589" s="48">
        <v>25.23</v>
      </c>
      <c r="AY589" s="3"/>
      <c r="AZ589" s="3">
        <v>10</v>
      </c>
      <c r="BA589" s="3">
        <v>200</v>
      </c>
      <c r="BB589" s="3">
        <v>9</v>
      </c>
      <c r="BC589" s="3">
        <v>181</v>
      </c>
      <c r="BD589" s="40">
        <v>743.69948577597677</v>
      </c>
      <c r="BE589" s="40">
        <v>787.12566893168946</v>
      </c>
      <c r="BF589" s="40"/>
      <c r="BG589" s="40">
        <v>350.94141552551389</v>
      </c>
      <c r="BH589" s="40">
        <v>347.4642861153194</v>
      </c>
      <c r="BI589" s="49">
        <v>1530.8251547076661</v>
      </c>
      <c r="BJ589" s="49">
        <v>698.40570164083329</v>
      </c>
      <c r="BK589" s="66">
        <v>-5.5170584405730305E-2</v>
      </c>
      <c r="BL589" s="66">
        <v>1.0007156272286544E-2</v>
      </c>
      <c r="BM589" s="51">
        <v>21.868930781538086</v>
      </c>
      <c r="BN589" s="51">
        <v>9.9772243091547619</v>
      </c>
      <c r="BO589" s="52">
        <v>211</v>
      </c>
      <c r="BP589" s="40">
        <v>211</v>
      </c>
      <c r="BQ589" s="40">
        <v>182</v>
      </c>
      <c r="BR589" s="67">
        <v>0.15934065934065944</v>
      </c>
      <c r="BS589" s="54">
        <v>2.8051391862955035</v>
      </c>
      <c r="BT589" s="3">
        <v>112</v>
      </c>
      <c r="BU589" s="40">
        <v>109</v>
      </c>
      <c r="BV589" s="3">
        <v>103</v>
      </c>
      <c r="BW589" s="3">
        <v>103</v>
      </c>
      <c r="BX589" s="70">
        <v>2.7522935779816571E-2</v>
      </c>
      <c r="BY589" s="70">
        <v>0</v>
      </c>
      <c r="BZ589" s="59">
        <v>1.058252427184466</v>
      </c>
      <c r="CA589" s="59">
        <v>1.087378640776699</v>
      </c>
      <c r="CB589" s="59">
        <v>1.4202260290268856</v>
      </c>
      <c r="CC589" s="59">
        <v>1.3238305971924815</v>
      </c>
      <c r="CD589" s="60">
        <v>64</v>
      </c>
      <c r="CE589" s="60">
        <v>75</v>
      </c>
      <c r="CF589" s="61">
        <v>0.91363311920057111</v>
      </c>
      <c r="CG589" s="61">
        <v>1.0706638115631693</v>
      </c>
      <c r="CH589" s="61">
        <v>1.171875</v>
      </c>
      <c r="CI589" s="41"/>
      <c r="CJ589" s="40"/>
      <c r="CK589" s="3"/>
      <c r="CL589" s="62"/>
      <c r="CM589" s="63" t="s">
        <v>110</v>
      </c>
      <c r="CN589" s="3">
        <v>112</v>
      </c>
      <c r="CO589" s="3">
        <v>103</v>
      </c>
      <c r="CP589" s="41">
        <v>15.388888888888889</v>
      </c>
      <c r="CQ589" s="3" t="s">
        <v>110</v>
      </c>
      <c r="CR589" s="40">
        <v>110.5</v>
      </c>
      <c r="CS589" s="40">
        <v>103</v>
      </c>
      <c r="CT589" s="40">
        <v>196.5</v>
      </c>
      <c r="CU589" s="40"/>
      <c r="CV589" s="40"/>
      <c r="CW589" s="40"/>
      <c r="CX589" s="40"/>
      <c r="CY589" s="40">
        <v>0</v>
      </c>
      <c r="CZ589" s="40"/>
      <c r="DA589" s="40"/>
    </row>
    <row r="590" spans="1:105" ht="18.95" customHeight="1">
      <c r="A590" s="2">
        <v>411</v>
      </c>
      <c r="B590" s="38" t="s">
        <v>103</v>
      </c>
      <c r="C590" s="3" t="s">
        <v>115</v>
      </c>
      <c r="D590" s="3" t="s">
        <v>215</v>
      </c>
      <c r="E590" s="39">
        <v>45000</v>
      </c>
      <c r="F590" s="3" t="s">
        <v>186</v>
      </c>
      <c r="G590" s="3" t="s">
        <v>107</v>
      </c>
      <c r="H590" s="3">
        <v>2007</v>
      </c>
      <c r="I590" s="40" t="s">
        <v>116</v>
      </c>
      <c r="J590" s="39" t="s">
        <v>117</v>
      </c>
      <c r="K590" s="3">
        <v>174</v>
      </c>
      <c r="L590" s="3">
        <v>173.9</v>
      </c>
      <c r="M590" s="3"/>
      <c r="N590" s="3">
        <v>143.80000000000001</v>
      </c>
      <c r="O590" s="3">
        <v>144</v>
      </c>
      <c r="P590" s="3"/>
      <c r="Q590" s="3">
        <v>58.3</v>
      </c>
      <c r="R590" s="3"/>
      <c r="S590" s="3"/>
      <c r="T590" s="42">
        <v>173.95</v>
      </c>
      <c r="U590" s="42">
        <f>AVERAGE(paper3[[#This Row],[Sittende høyde 1]:[Sittende høyde 3]])-56.2</f>
        <v>87.7</v>
      </c>
      <c r="V590" s="12">
        <f>paper3[[#This Row],[height]]-paper3[[#This Row],[sittingheight]]</f>
        <v>86.249999999999986</v>
      </c>
      <c r="W590" s="73">
        <v>58.3</v>
      </c>
      <c r="X590" s="43" cm="1">
        <f t="array" ref="X590">INDEX([1]!phvny[yphv], MATCH(1, (paper3[[#This Row],[id]]=[1]!phvny[id])*(paper3[[#This Row],[time]]=[1]!phvny[time]), 0))</f>
        <v>3.3360672631690136</v>
      </c>
      <c r="Y590" s="3">
        <v>1.9</v>
      </c>
      <c r="Z590" s="3">
        <v>3.29</v>
      </c>
      <c r="AA590" s="3">
        <v>4.63</v>
      </c>
      <c r="AB590" s="3">
        <v>1.91</v>
      </c>
      <c r="AC590" s="3">
        <v>3.32</v>
      </c>
      <c r="AD590" s="3">
        <v>4.67</v>
      </c>
      <c r="AE590" s="3">
        <v>1.9</v>
      </c>
      <c r="AF590" s="3">
        <v>3.27</v>
      </c>
      <c r="AG590" s="3">
        <v>4.59</v>
      </c>
      <c r="AH590" s="44">
        <v>1.9</v>
      </c>
      <c r="AI590" s="44">
        <v>3.27</v>
      </c>
      <c r="AJ590" s="44">
        <v>4.59</v>
      </c>
      <c r="AK590" s="45">
        <v>7.575757575757577</v>
      </c>
      <c r="AL590" s="3">
        <v>10.82</v>
      </c>
      <c r="AM590" s="3">
        <v>10.61</v>
      </c>
      <c r="AN590" s="3">
        <v>10.77</v>
      </c>
      <c r="AO590" s="3">
        <v>10.55</v>
      </c>
      <c r="AP590" s="3">
        <v>10.55</v>
      </c>
      <c r="AQ590" s="47">
        <v>10.61</v>
      </c>
      <c r="AR590" s="47">
        <v>10.55</v>
      </c>
      <c r="AS590" s="3">
        <v>28.35</v>
      </c>
      <c r="AT590" s="3">
        <v>30.03</v>
      </c>
      <c r="AU590" s="3">
        <v>31.92</v>
      </c>
      <c r="AV590" s="3">
        <v>29.5</v>
      </c>
      <c r="AW590" s="3"/>
      <c r="AX590" s="48">
        <v>31.92</v>
      </c>
      <c r="AY590" s="71" t="s">
        <v>228</v>
      </c>
      <c r="AZ590" s="3">
        <v>10</v>
      </c>
      <c r="BA590" s="3"/>
      <c r="BB590" s="3"/>
      <c r="BC590" s="3">
        <v>280</v>
      </c>
      <c r="BD590" s="40">
        <v>1109</v>
      </c>
      <c r="BE590" s="40">
        <v>1086</v>
      </c>
      <c r="BF590" s="40"/>
      <c r="BG590" s="40">
        <v>463</v>
      </c>
      <c r="BH590" s="40">
        <v>490</v>
      </c>
      <c r="BI590" s="49">
        <v>2195</v>
      </c>
      <c r="BJ590" s="49">
        <v>953</v>
      </c>
      <c r="BK590" s="66">
        <v>2.1178637200736539E-2</v>
      </c>
      <c r="BL590" s="66">
        <v>-5.5102040816326525E-2</v>
      </c>
      <c r="BM590" s="51">
        <v>37.650085763293312</v>
      </c>
      <c r="BN590" s="51">
        <v>16.346483704974272</v>
      </c>
      <c r="BO590" s="52">
        <v>243</v>
      </c>
      <c r="BP590" s="40">
        <v>243</v>
      </c>
      <c r="BQ590" s="40">
        <v>213</v>
      </c>
      <c r="BR590" s="67">
        <v>0.14084507042253525</v>
      </c>
      <c r="BS590" s="54">
        <v>3.9108061749571186</v>
      </c>
      <c r="BT590" s="3">
        <v>98</v>
      </c>
      <c r="BU590" s="40">
        <v>113</v>
      </c>
      <c r="BV590" s="3">
        <v>95</v>
      </c>
      <c r="BW590" s="3">
        <v>97</v>
      </c>
      <c r="BX590" s="70">
        <v>-0.13274336283185839</v>
      </c>
      <c r="BY590" s="70">
        <v>-2.0618556701030966E-2</v>
      </c>
      <c r="BZ590" s="59">
        <v>1.1649484536082475</v>
      </c>
      <c r="CA590" s="59">
        <v>1.0315789473684212</v>
      </c>
      <c r="CB590" s="59">
        <v>1.5607847341337904</v>
      </c>
      <c r="CC590" s="59">
        <v>1.4202401372212692</v>
      </c>
      <c r="CD590" s="60">
        <v>73</v>
      </c>
      <c r="CE590" s="60">
        <v>85</v>
      </c>
      <c r="CF590" s="61">
        <v>1.2521440823327616</v>
      </c>
      <c r="CG590" s="61">
        <v>1.4579759862778732</v>
      </c>
      <c r="CH590" s="61">
        <v>1.1643835616438356</v>
      </c>
      <c r="CI590" s="41">
        <v>14.8</v>
      </c>
      <c r="CJ590" s="40">
        <f>VLOOKUP(paper3[[#This Row],[YYIR nivå]],$DB:$DC,2)</f>
        <v>760</v>
      </c>
      <c r="CK590" s="3"/>
      <c r="CL590" s="62"/>
      <c r="CM590" s="63" t="s">
        <v>110</v>
      </c>
      <c r="CN590" s="3">
        <v>113</v>
      </c>
      <c r="CO590" s="3">
        <v>97</v>
      </c>
      <c r="CP590" s="41">
        <v>15.922222222222222</v>
      </c>
      <c r="CQ590" s="3" t="s">
        <v>110</v>
      </c>
      <c r="CR590" s="40">
        <v>105.5</v>
      </c>
      <c r="CS590" s="40">
        <v>96</v>
      </c>
      <c r="CT590" s="40">
        <v>228</v>
      </c>
      <c r="CU590" s="40"/>
      <c r="CV590" s="40"/>
      <c r="CW590" s="40"/>
      <c r="CX590" s="40"/>
      <c r="CY590" s="40">
        <v>0</v>
      </c>
      <c r="CZ590" s="40"/>
      <c r="DA590" s="40"/>
    </row>
    <row r="591" spans="1:105" ht="18.75" customHeight="1">
      <c r="A591" s="3">
        <v>412</v>
      </c>
      <c r="B591" s="38" t="s">
        <v>103</v>
      </c>
      <c r="C591" s="3" t="s">
        <v>115</v>
      </c>
      <c r="D591" s="3" t="s">
        <v>215</v>
      </c>
      <c r="E591" s="39">
        <v>45000</v>
      </c>
      <c r="F591" s="3" t="s">
        <v>186</v>
      </c>
      <c r="G591" s="3" t="s">
        <v>107</v>
      </c>
      <c r="H591" s="3">
        <v>2007</v>
      </c>
      <c r="I591" s="40" t="s">
        <v>116</v>
      </c>
      <c r="J591" s="39" t="s">
        <v>117</v>
      </c>
      <c r="K591" s="3">
        <v>171.7</v>
      </c>
      <c r="L591" s="3">
        <v>171.7</v>
      </c>
      <c r="M591" s="3"/>
      <c r="N591" s="3">
        <v>146.30000000000001</v>
      </c>
      <c r="O591" s="3">
        <v>146</v>
      </c>
      <c r="P591" s="3">
        <v>146.30000000000001</v>
      </c>
      <c r="Q591" s="3">
        <v>69</v>
      </c>
      <c r="R591" s="3">
        <v>69</v>
      </c>
      <c r="S591" s="3"/>
      <c r="T591" s="42">
        <v>171.7</v>
      </c>
      <c r="U591" s="42">
        <f>AVERAGE(paper3[[#This Row],[Sittende høyde 1]:[Sittende høyde 3]])-56.2</f>
        <v>90.000000000000014</v>
      </c>
      <c r="V591" s="12">
        <f>paper3[[#This Row],[height]]-paper3[[#This Row],[sittingheight]]</f>
        <v>81.699999999999974</v>
      </c>
      <c r="W591" s="73">
        <v>69</v>
      </c>
      <c r="X591" s="43" cm="1">
        <f t="array" ref="X591">INDEX([1]!phvny[yphv], MATCH(1, (paper3[[#This Row],[id]]=[1]!phvny[id])*(paper3[[#This Row],[time]]=[1]!phvny[time]), 0))</f>
        <v>3.5591259210768156</v>
      </c>
      <c r="Y591" s="3">
        <v>2.14</v>
      </c>
      <c r="Z591" s="3">
        <v>3.7</v>
      </c>
      <c r="AA591" s="3">
        <v>5.21</v>
      </c>
      <c r="AB591" s="3">
        <v>2.13</v>
      </c>
      <c r="AC591" s="3">
        <v>3.72</v>
      </c>
      <c r="AD591" s="3">
        <v>5.23</v>
      </c>
      <c r="AE591" s="3">
        <v>2.14</v>
      </c>
      <c r="AF591" s="3">
        <v>3.72</v>
      </c>
      <c r="AG591" s="3">
        <v>5.22</v>
      </c>
      <c r="AH591" s="44">
        <v>2.13</v>
      </c>
      <c r="AI591" s="44">
        <v>3.7</v>
      </c>
      <c r="AJ591" s="44">
        <v>5.21</v>
      </c>
      <c r="AK591" s="45">
        <v>6.6225165562913917</v>
      </c>
      <c r="AL591" s="3">
        <v>12.11</v>
      </c>
      <c r="AM591" s="3">
        <v>11.42</v>
      </c>
      <c r="AN591" s="3">
        <v>11.05</v>
      </c>
      <c r="AO591" s="3">
        <v>10.83</v>
      </c>
      <c r="AP591" s="3">
        <v>10.83</v>
      </c>
      <c r="AQ591" s="47"/>
      <c r="AR591" s="47"/>
      <c r="AS591" s="3">
        <v>23.06</v>
      </c>
      <c r="AT591" s="3">
        <v>23.63</v>
      </c>
      <c r="AU591" s="3">
        <v>24.94</v>
      </c>
      <c r="AV591" s="3"/>
      <c r="AW591" s="3"/>
      <c r="AX591" s="48">
        <v>24.94</v>
      </c>
      <c r="AY591" s="3"/>
      <c r="AZ591" s="3">
        <v>9</v>
      </c>
      <c r="BA591" s="3">
        <v>220</v>
      </c>
      <c r="BB591" s="3">
        <v>12</v>
      </c>
      <c r="BC591" s="3"/>
      <c r="BD591" s="40">
        <v>1003.2331586807389</v>
      </c>
      <c r="BE591" s="40">
        <v>953.69886909070806</v>
      </c>
      <c r="BF591" s="40"/>
      <c r="BG591" s="40">
        <v>463.29300244258218</v>
      </c>
      <c r="BH591" s="40">
        <v>483.77838944955096</v>
      </c>
      <c r="BI591" s="49">
        <v>1956.9320277714469</v>
      </c>
      <c r="BJ591" s="49">
        <v>947.07139189213308</v>
      </c>
      <c r="BK591" s="66">
        <v>5.1939130049780458E-2</v>
      </c>
      <c r="BL591" s="66">
        <v>-4.2344568202555166E-2</v>
      </c>
      <c r="BM591" s="51">
        <v>28.361333735818071</v>
      </c>
      <c r="BN591" s="51">
        <v>13.725672346262797</v>
      </c>
      <c r="BO591" s="52">
        <v>248</v>
      </c>
      <c r="BP591" s="40">
        <v>248</v>
      </c>
      <c r="BQ591" s="40">
        <v>230</v>
      </c>
      <c r="BR591" s="67">
        <v>7.8260869565217384E-2</v>
      </c>
      <c r="BS591" s="54">
        <v>3.4637681159420288</v>
      </c>
      <c r="BT591" s="3">
        <v>126</v>
      </c>
      <c r="BU591" s="40">
        <v>132</v>
      </c>
      <c r="BV591" s="3">
        <v>138</v>
      </c>
      <c r="BW591" s="3">
        <v>130</v>
      </c>
      <c r="BX591" s="70">
        <v>-4.5454545454545414E-2</v>
      </c>
      <c r="BY591" s="70">
        <v>6.1538461538461542E-2</v>
      </c>
      <c r="BZ591" s="59">
        <v>1.0153846153846153</v>
      </c>
      <c r="CA591" s="59">
        <v>0.91304347826086951</v>
      </c>
      <c r="CB591" s="59">
        <v>1.5274347826086951</v>
      </c>
      <c r="CC591" s="59">
        <v>1.5866376811594198</v>
      </c>
      <c r="CD591" s="60">
        <v>98</v>
      </c>
      <c r="CE591" s="60">
        <v>97</v>
      </c>
      <c r="CF591" s="61">
        <v>1.4202898550724639</v>
      </c>
      <c r="CG591" s="61">
        <v>1.4057971014492754</v>
      </c>
      <c r="CH591" s="61">
        <v>0.98979591836734693</v>
      </c>
      <c r="CI591" s="41">
        <v>14.4</v>
      </c>
      <c r="CJ591" s="40">
        <f>VLOOKUP(paper3[[#This Row],[YYIR nivå]],$DB:$DC,2)</f>
        <v>600</v>
      </c>
      <c r="CK591" s="3"/>
      <c r="CL591" s="62"/>
      <c r="CM591" s="63" t="s">
        <v>110</v>
      </c>
      <c r="CN591" s="3">
        <v>132</v>
      </c>
      <c r="CO591" s="3">
        <v>138</v>
      </c>
      <c r="CP591" s="41">
        <v>16.205555555555556</v>
      </c>
      <c r="CQ591" s="3" t="s">
        <v>110</v>
      </c>
      <c r="CR591" s="40">
        <v>129</v>
      </c>
      <c r="CS591" s="40">
        <v>134</v>
      </c>
      <c r="CT591" s="40">
        <v>239</v>
      </c>
      <c r="CU591" s="40"/>
      <c r="CV591" s="40"/>
      <c r="CW591" s="40"/>
      <c r="CX591" s="40"/>
      <c r="CY591" s="40">
        <v>0</v>
      </c>
      <c r="CZ591" s="40"/>
      <c r="DA591" s="40"/>
    </row>
    <row r="592" spans="1:105" ht="18.95" customHeight="1">
      <c r="A592" s="2">
        <v>413</v>
      </c>
      <c r="B592" s="38" t="s">
        <v>103</v>
      </c>
      <c r="C592" s="3" t="s">
        <v>115</v>
      </c>
      <c r="D592" s="3" t="s">
        <v>215</v>
      </c>
      <c r="E592" s="39">
        <v>45000</v>
      </c>
      <c r="F592" s="3" t="s">
        <v>186</v>
      </c>
      <c r="G592" s="3" t="s">
        <v>107</v>
      </c>
      <c r="H592" s="3">
        <v>2007</v>
      </c>
      <c r="I592" s="40" t="s">
        <v>116</v>
      </c>
      <c r="J592" s="39" t="s">
        <v>117</v>
      </c>
      <c r="K592" s="3">
        <v>169</v>
      </c>
      <c r="L592" s="3">
        <v>168.9</v>
      </c>
      <c r="M592" s="3"/>
      <c r="N592" s="3">
        <v>138.4</v>
      </c>
      <c r="O592" s="3">
        <v>139.6</v>
      </c>
      <c r="P592" s="3">
        <v>139.4</v>
      </c>
      <c r="Q592" s="3">
        <v>59.4</v>
      </c>
      <c r="R592" s="3"/>
      <c r="S592" s="3"/>
      <c r="T592" s="42">
        <v>168.95</v>
      </c>
      <c r="U592" s="42">
        <f>AVERAGE(paper3[[#This Row],[Sittende høyde 1]:[Sittende høyde 3]])-56.2</f>
        <v>82.933333333333323</v>
      </c>
      <c r="V592" s="12">
        <f>paper3[[#This Row],[height]]-paper3[[#This Row],[sittingheight]]</f>
        <v>86.016666666666666</v>
      </c>
      <c r="W592" s="73">
        <v>59.4</v>
      </c>
      <c r="X592" s="43" cm="1">
        <f t="array" ref="X592">INDEX([1]!phvny[yphv], MATCH(1, (paper3[[#This Row],[id]]=[1]!phvny[id])*(paper3[[#This Row],[time]]=[1]!phvny[time]), 0))</f>
        <v>2.8031789989409095</v>
      </c>
      <c r="Y592" s="3">
        <v>2.13</v>
      </c>
      <c r="Z592" s="3">
        <v>3.71</v>
      </c>
      <c r="AA592" s="3">
        <v>5.29</v>
      </c>
      <c r="AB592" s="3">
        <v>2.08</v>
      </c>
      <c r="AC592" s="3">
        <v>3.63</v>
      </c>
      <c r="AD592" s="3">
        <v>5.15</v>
      </c>
      <c r="AE592" s="3">
        <v>2.09</v>
      </c>
      <c r="AF592" s="3">
        <v>3.65</v>
      </c>
      <c r="AG592" s="3">
        <v>5.18</v>
      </c>
      <c r="AH592" s="44">
        <v>2.08</v>
      </c>
      <c r="AI592" s="44">
        <v>3.63</v>
      </c>
      <c r="AJ592" s="44">
        <v>5.15</v>
      </c>
      <c r="AK592" s="45">
        <v>6.5789473684210504</v>
      </c>
      <c r="AL592" s="46"/>
      <c r="AM592" s="3">
        <v>11.15</v>
      </c>
      <c r="AN592" s="3">
        <v>11.25</v>
      </c>
      <c r="AO592" s="3">
        <v>11.02</v>
      </c>
      <c r="AP592" s="3">
        <v>11.02</v>
      </c>
      <c r="AQ592" s="47">
        <v>11.15</v>
      </c>
      <c r="AR592" s="47">
        <v>11.02</v>
      </c>
      <c r="AS592" s="3">
        <v>26.81</v>
      </c>
      <c r="AT592" s="3">
        <v>21.59</v>
      </c>
      <c r="AU592" s="3">
        <v>25.33</v>
      </c>
      <c r="AV592" s="3">
        <v>23.51</v>
      </c>
      <c r="AW592" s="3"/>
      <c r="AX592" s="48">
        <v>26.81</v>
      </c>
      <c r="AY592" s="71" t="s">
        <v>229</v>
      </c>
      <c r="AZ592" s="3">
        <v>10</v>
      </c>
      <c r="BA592" s="3"/>
      <c r="BB592" s="3"/>
      <c r="BC592" s="3">
        <v>222</v>
      </c>
      <c r="BD592" s="40">
        <v>883</v>
      </c>
      <c r="BE592" s="40">
        <v>904</v>
      </c>
      <c r="BF592" s="40"/>
      <c r="BG592" s="40">
        <v>380</v>
      </c>
      <c r="BH592" s="40">
        <v>389</v>
      </c>
      <c r="BI592" s="49">
        <v>1787</v>
      </c>
      <c r="BJ592" s="49">
        <v>769</v>
      </c>
      <c r="BK592" s="66">
        <v>-2.3230088495575174E-2</v>
      </c>
      <c r="BL592" s="66">
        <v>-2.3136246786632397E-2</v>
      </c>
      <c r="BM592" s="51">
        <v>30.084175084175087</v>
      </c>
      <c r="BN592" s="51">
        <v>12.946127946127946</v>
      </c>
      <c r="BO592" s="52">
        <v>214</v>
      </c>
      <c r="BP592" s="40">
        <v>214</v>
      </c>
      <c r="BQ592" s="40">
        <v>206</v>
      </c>
      <c r="BR592" s="67">
        <v>3.8834951456310662E-2</v>
      </c>
      <c r="BS592" s="54">
        <v>3.5353535353535355</v>
      </c>
      <c r="BT592" s="3">
        <v>109</v>
      </c>
      <c r="BU592" s="40">
        <v>140</v>
      </c>
      <c r="BV592" s="3">
        <v>115</v>
      </c>
      <c r="BW592" s="3">
        <v>110</v>
      </c>
      <c r="BX592" s="70">
        <v>-0.22142857142857142</v>
      </c>
      <c r="BY592" s="70">
        <v>4.5454545454545414E-2</v>
      </c>
      <c r="BZ592" s="59">
        <v>1.2727272727272727</v>
      </c>
      <c r="CA592" s="59">
        <v>0.94782608695652171</v>
      </c>
      <c r="CB592" s="59">
        <v>1.8028745791245793</v>
      </c>
      <c r="CC592" s="59">
        <v>1.6291035353535352</v>
      </c>
      <c r="CD592" s="60">
        <v>91.25</v>
      </c>
      <c r="CE592" s="60">
        <v>67</v>
      </c>
      <c r="CF592" s="61">
        <v>1.5361952861952863</v>
      </c>
      <c r="CG592" s="61">
        <v>1.127946127946128</v>
      </c>
      <c r="CH592" s="61">
        <v>0.73424657534246573</v>
      </c>
      <c r="CI592" s="41">
        <v>13.2</v>
      </c>
      <c r="CJ592" s="40">
        <f>VLOOKUP(paper3[[#This Row],[YYIR nivå]],$DB:$DC,2)</f>
        <v>360</v>
      </c>
      <c r="CK592" s="3"/>
      <c r="CL592" s="62"/>
      <c r="CM592" s="63" t="s">
        <v>110</v>
      </c>
      <c r="CN592" s="3">
        <v>140</v>
      </c>
      <c r="CO592" s="3">
        <v>115</v>
      </c>
      <c r="CP592" s="41">
        <v>15.766666666666667</v>
      </c>
      <c r="CQ592" s="3" t="s">
        <v>110</v>
      </c>
      <c r="CR592" s="40">
        <v>124.5</v>
      </c>
      <c r="CS592" s="40">
        <v>112.5</v>
      </c>
      <c r="CT592" s="40">
        <v>210</v>
      </c>
      <c r="CU592" s="40"/>
      <c r="CV592" s="40"/>
      <c r="CW592" s="40"/>
      <c r="CX592" s="40"/>
      <c r="CY592" s="40">
        <v>0</v>
      </c>
      <c r="CZ592" s="40"/>
      <c r="DA592" s="40"/>
    </row>
    <row r="593" spans="1:105" ht="18.75" customHeight="1">
      <c r="A593" s="3">
        <v>414</v>
      </c>
      <c r="B593" s="38" t="s">
        <v>103</v>
      </c>
      <c r="C593" s="3" t="s">
        <v>115</v>
      </c>
      <c r="D593" s="3" t="s">
        <v>215</v>
      </c>
      <c r="E593" s="39">
        <v>45000</v>
      </c>
      <c r="F593" s="3" t="s">
        <v>186</v>
      </c>
      <c r="G593" s="3" t="s">
        <v>107</v>
      </c>
      <c r="H593" s="3">
        <v>2007</v>
      </c>
      <c r="I593" s="40" t="s">
        <v>116</v>
      </c>
      <c r="J593" s="39" t="s">
        <v>117</v>
      </c>
      <c r="K593" s="3">
        <v>172</v>
      </c>
      <c r="L593" s="3">
        <v>171.5</v>
      </c>
      <c r="M593" s="3">
        <v>172</v>
      </c>
      <c r="N593" s="3">
        <v>145</v>
      </c>
      <c r="O593" s="3">
        <v>145.1</v>
      </c>
      <c r="P593" s="3"/>
      <c r="Q593" s="3">
        <v>74.8</v>
      </c>
      <c r="R593" s="3">
        <v>74.8</v>
      </c>
      <c r="S593" s="3"/>
      <c r="T593" s="42">
        <v>171.83333333333334</v>
      </c>
      <c r="U593" s="42">
        <f>AVERAGE(paper3[[#This Row],[Sittende høyde 1]:[Sittende høyde 3]])-56.2</f>
        <v>88.850000000000009</v>
      </c>
      <c r="V593" s="12">
        <f>paper3[[#This Row],[height]]-paper3[[#This Row],[sittingheight]]</f>
        <v>82.983333333333334</v>
      </c>
      <c r="W593" s="73">
        <v>74.8</v>
      </c>
      <c r="X593" s="43" cm="1">
        <f t="array" ref="X593">INDEX([1]!phvny[yphv], MATCH(1, (paper3[[#This Row],[id]]=[1]!phvny[id])*(paper3[[#This Row],[time]]=[1]!phvny[time]), 0))</f>
        <v>3.3927300758234908</v>
      </c>
      <c r="Y593" s="3">
        <v>2.09</v>
      </c>
      <c r="Z593" s="3">
        <v>3.67</v>
      </c>
      <c r="AA593" s="3">
        <v>5.16</v>
      </c>
      <c r="AB593" s="3">
        <v>2.1</v>
      </c>
      <c r="AC593" s="3">
        <v>3.68</v>
      </c>
      <c r="AD593" s="3">
        <v>5.2</v>
      </c>
      <c r="AE593" s="3">
        <v>2.14</v>
      </c>
      <c r="AF593" s="3">
        <v>3.72</v>
      </c>
      <c r="AG593" s="3">
        <v>5.24</v>
      </c>
      <c r="AH593" s="44">
        <v>2.09</v>
      </c>
      <c r="AI593" s="44">
        <v>3.67</v>
      </c>
      <c r="AJ593" s="44">
        <v>5.16</v>
      </c>
      <c r="AK593" s="45">
        <v>6.7114093959731536</v>
      </c>
      <c r="AL593" s="3">
        <v>11.75</v>
      </c>
      <c r="AM593" s="3">
        <v>11.34</v>
      </c>
      <c r="AN593" s="3">
        <v>11.29</v>
      </c>
      <c r="AO593" s="3">
        <v>11.08</v>
      </c>
      <c r="AP593" s="3">
        <v>11.08</v>
      </c>
      <c r="AQ593" s="47"/>
      <c r="AR593" s="47"/>
      <c r="AS593" s="3">
        <v>28.87</v>
      </c>
      <c r="AT593" s="3">
        <v>27.17</v>
      </c>
      <c r="AU593" s="3">
        <v>29.74</v>
      </c>
      <c r="AV593" s="3">
        <v>28.25</v>
      </c>
      <c r="AW593" s="3"/>
      <c r="AX593" s="48">
        <v>29.74</v>
      </c>
      <c r="AY593" s="3"/>
      <c r="AZ593" s="3">
        <v>9</v>
      </c>
      <c r="BA593" s="3">
        <v>230</v>
      </c>
      <c r="BB593" s="3">
        <v>10</v>
      </c>
      <c r="BC593" s="3">
        <v>229</v>
      </c>
      <c r="BD593" s="40">
        <v>999.04506519839492</v>
      </c>
      <c r="BE593" s="40">
        <v>985.92559414416314</v>
      </c>
      <c r="BF593" s="40"/>
      <c r="BG593" s="40">
        <v>516.02686739121725</v>
      </c>
      <c r="BH593" s="40">
        <v>508.25326434751173</v>
      </c>
      <c r="BI593" s="49">
        <v>1984.9706593425581</v>
      </c>
      <c r="BJ593" s="49">
        <v>1024.2801317387289</v>
      </c>
      <c r="BK593" s="66">
        <v>1.3306755735071674E-2</v>
      </c>
      <c r="BL593" s="66">
        <v>1.5294742973633646E-2</v>
      </c>
      <c r="BM593" s="51">
        <v>26.53704090030158</v>
      </c>
      <c r="BN593" s="51">
        <v>13.693584648913488</v>
      </c>
      <c r="BO593" s="52">
        <v>292</v>
      </c>
      <c r="BP593" s="40">
        <v>292</v>
      </c>
      <c r="BQ593" s="40">
        <v>271</v>
      </c>
      <c r="BR593" s="67">
        <v>7.7490774907749138E-2</v>
      </c>
      <c r="BS593" s="54">
        <v>3.7633689839572195</v>
      </c>
      <c r="BT593" s="3">
        <v>138</v>
      </c>
      <c r="BU593" s="40">
        <v>157</v>
      </c>
      <c r="BV593" s="3">
        <v>128</v>
      </c>
      <c r="BW593" s="3">
        <v>155</v>
      </c>
      <c r="BX593" s="70">
        <v>-0.12101910828025475</v>
      </c>
      <c r="BY593" s="70">
        <v>-0.17419354838709677</v>
      </c>
      <c r="BZ593" s="59">
        <v>1.0129032258064516</v>
      </c>
      <c r="CA593" s="59">
        <v>1.078125</v>
      </c>
      <c r="CB593" s="59">
        <v>1.6363692067736184</v>
      </c>
      <c r="CC593" s="59">
        <v>1.5698050356506239</v>
      </c>
      <c r="CD593" s="60">
        <v>88</v>
      </c>
      <c r="CE593" s="60">
        <v>93</v>
      </c>
      <c r="CF593" s="61">
        <v>1.1764705882352942</v>
      </c>
      <c r="CG593" s="61">
        <v>1.2433155080213905</v>
      </c>
      <c r="CH593" s="61">
        <v>1.0568181818181819</v>
      </c>
      <c r="CI593" s="41"/>
      <c r="CJ593" s="40"/>
      <c r="CK593" s="3"/>
      <c r="CL593" s="62"/>
      <c r="CM593" s="63" t="s">
        <v>110</v>
      </c>
      <c r="CN593" s="3">
        <v>157</v>
      </c>
      <c r="CO593" s="3">
        <v>155</v>
      </c>
      <c r="CP593" s="41">
        <v>15.977777777777778</v>
      </c>
      <c r="CQ593" s="3" t="s">
        <v>110</v>
      </c>
      <c r="CR593" s="40">
        <v>147.5</v>
      </c>
      <c r="CS593" s="40">
        <v>141.5</v>
      </c>
      <c r="CT593" s="40">
        <v>281.5</v>
      </c>
      <c r="CU593" s="40"/>
      <c r="CV593" s="40"/>
      <c r="CW593" s="40"/>
      <c r="CX593" s="40"/>
      <c r="CY593" s="40">
        <v>0</v>
      </c>
      <c r="CZ593" s="40"/>
      <c r="DA593" s="40"/>
    </row>
    <row r="594" spans="1:105" ht="18.75" customHeight="1">
      <c r="A594" s="3">
        <v>419</v>
      </c>
      <c r="B594" s="38" t="s">
        <v>103</v>
      </c>
      <c r="C594" s="3" t="s">
        <v>115</v>
      </c>
      <c r="D594" s="3" t="s">
        <v>215</v>
      </c>
      <c r="E594" s="39">
        <v>45000</v>
      </c>
      <c r="F594" s="3" t="s">
        <v>186</v>
      </c>
      <c r="G594" s="3" t="s">
        <v>107</v>
      </c>
      <c r="H594" s="3">
        <v>2007</v>
      </c>
      <c r="I594" s="40" t="s">
        <v>116</v>
      </c>
      <c r="J594" s="39" t="s">
        <v>117</v>
      </c>
      <c r="K594" s="3">
        <v>182.5</v>
      </c>
      <c r="L594" s="3">
        <v>182</v>
      </c>
      <c r="M594" s="3">
        <v>182</v>
      </c>
      <c r="N594" s="3">
        <v>149.6</v>
      </c>
      <c r="O594" s="3">
        <v>149.69999999999999</v>
      </c>
      <c r="P594" s="3"/>
      <c r="Q594" s="3">
        <v>64.8</v>
      </c>
      <c r="R594" s="3">
        <v>64.8</v>
      </c>
      <c r="S594" s="3"/>
      <c r="T594" s="42">
        <v>182.16666666666666</v>
      </c>
      <c r="U594" s="42">
        <f>AVERAGE(paper3[[#This Row],[Sittende høyde 1]:[Sittende høyde 3]])-56.2</f>
        <v>93.449999999999974</v>
      </c>
      <c r="V594" s="12">
        <f>paper3[[#This Row],[height]]-paper3[[#This Row],[sittingheight]]</f>
        <v>88.716666666666683</v>
      </c>
      <c r="W594" s="73">
        <v>64.8</v>
      </c>
      <c r="X594" s="43" cm="1">
        <f t="array" ref="X594">INDEX([1]!phvny[yphv], MATCH(1, (paper3[[#This Row],[id]]=[1]!phvny[id])*(paper3[[#This Row],[time]]=[1]!phvny[time]), 0))</f>
        <v>3.8032691511287968</v>
      </c>
      <c r="Y594" s="3">
        <v>2.2400000000000002</v>
      </c>
      <c r="Z594" s="3">
        <v>3.92</v>
      </c>
      <c r="AA594" s="3">
        <v>5.56</v>
      </c>
      <c r="AB594" s="3">
        <v>2.2200000000000002</v>
      </c>
      <c r="AC594" s="3">
        <v>3.95</v>
      </c>
      <c r="AD594" s="3">
        <v>5.74</v>
      </c>
      <c r="AE594" s="3">
        <v>2.21</v>
      </c>
      <c r="AF594" s="3">
        <v>3.9</v>
      </c>
      <c r="AG594" s="3">
        <v>5.56</v>
      </c>
      <c r="AH594" s="44">
        <v>2.21</v>
      </c>
      <c r="AI594" s="44">
        <v>3.9</v>
      </c>
      <c r="AJ594" s="44">
        <v>5.56</v>
      </c>
      <c r="AK594" s="45">
        <v>6.0240963855421699</v>
      </c>
      <c r="AL594" s="3">
        <v>11.99</v>
      </c>
      <c r="AM594" s="3">
        <v>12.06</v>
      </c>
      <c r="AN594" s="46"/>
      <c r="AO594" s="3">
        <v>12.26</v>
      </c>
      <c r="AP594" s="3">
        <v>11.99</v>
      </c>
      <c r="AQ594" s="47"/>
      <c r="AR594" s="47"/>
      <c r="AS594" s="3">
        <v>21.44</v>
      </c>
      <c r="AT594" s="3">
        <v>18.05</v>
      </c>
      <c r="AU594" s="3">
        <v>20.46</v>
      </c>
      <c r="AV594" s="3"/>
      <c r="AW594" s="3"/>
      <c r="AX594" s="48">
        <v>21.44</v>
      </c>
      <c r="AY594" s="3"/>
      <c r="AZ594" s="3">
        <v>10</v>
      </c>
      <c r="BA594" s="3">
        <v>200</v>
      </c>
      <c r="BB594" s="3">
        <v>9</v>
      </c>
      <c r="BC594" s="3">
        <v>181</v>
      </c>
      <c r="BD594" s="40">
        <v>815.56846467097944</v>
      </c>
      <c r="BE594" s="40">
        <v>833.03027223277377</v>
      </c>
      <c r="BF594" s="40"/>
      <c r="BG594" s="40">
        <v>331.49494713698914</v>
      </c>
      <c r="BH594" s="40">
        <v>316.31063483541311</v>
      </c>
      <c r="BI594" s="49">
        <v>1648.5987369037532</v>
      </c>
      <c r="BJ594" s="49">
        <v>647.80558197240225</v>
      </c>
      <c r="BK594" s="66">
        <v>-2.0961792318773043E-2</v>
      </c>
      <c r="BL594" s="66">
        <v>4.8004431812660675E-2</v>
      </c>
      <c r="BM594" s="51">
        <v>25.441338532465327</v>
      </c>
      <c r="BN594" s="51">
        <v>9.9969997217963318</v>
      </c>
      <c r="BO594" s="52">
        <v>234</v>
      </c>
      <c r="BP594" s="40">
        <v>234</v>
      </c>
      <c r="BQ594" s="40">
        <v>206</v>
      </c>
      <c r="BR594" s="67">
        <v>0.13592233009708732</v>
      </c>
      <c r="BS594" s="54">
        <v>3.3950617283950617</v>
      </c>
      <c r="BT594" s="3">
        <v>107</v>
      </c>
      <c r="BU594" s="40">
        <v>90</v>
      </c>
      <c r="BV594" s="3">
        <v>115</v>
      </c>
      <c r="BW594" s="3">
        <v>100</v>
      </c>
      <c r="BX594" s="70">
        <v>0.18888888888888888</v>
      </c>
      <c r="BY594" s="70">
        <v>0.14999999999999991</v>
      </c>
      <c r="BZ594" s="59">
        <v>0.9</v>
      </c>
      <c r="CA594" s="59">
        <v>0.93043478260869561</v>
      </c>
      <c r="CB594" s="59">
        <v>1.3485480967078194</v>
      </c>
      <c r="CC594" s="59">
        <v>1.4717656893004119</v>
      </c>
      <c r="CD594" s="60">
        <v>89</v>
      </c>
      <c r="CE594" s="60">
        <v>76</v>
      </c>
      <c r="CF594" s="61">
        <v>1.3734567901234569</v>
      </c>
      <c r="CG594" s="61">
        <v>1.1728395061728396</v>
      </c>
      <c r="CH594" s="61">
        <v>0.8539325842696629</v>
      </c>
      <c r="CI594" s="41">
        <v>13.1</v>
      </c>
      <c r="CJ594" s="40">
        <f>VLOOKUP(paper3[[#This Row],[YYIR nivå]],$DB:$DC,2)</f>
        <v>320</v>
      </c>
      <c r="CK594" s="3"/>
      <c r="CL594" s="62"/>
      <c r="CM594" s="63" t="s">
        <v>110</v>
      </c>
      <c r="CN594" s="3">
        <v>107</v>
      </c>
      <c r="CO594" s="3">
        <v>115</v>
      </c>
      <c r="CP594" s="41">
        <v>15.616666666666667</v>
      </c>
      <c r="CQ594" s="3" t="s">
        <v>110</v>
      </c>
      <c r="CR594" s="40">
        <v>98.5</v>
      </c>
      <c r="CS594" s="40">
        <v>107.5</v>
      </c>
      <c r="CT594" s="40">
        <v>220</v>
      </c>
      <c r="CU594" s="40"/>
      <c r="CV594" s="40"/>
      <c r="CW594" s="40"/>
      <c r="CX594" s="40"/>
      <c r="CY594" s="40">
        <v>0</v>
      </c>
      <c r="CZ594" s="40"/>
      <c r="DA594" s="40"/>
    </row>
    <row r="595" spans="1:105" ht="18.75" customHeight="1">
      <c r="A595" s="3">
        <v>420</v>
      </c>
      <c r="B595" s="38" t="s">
        <v>103</v>
      </c>
      <c r="C595" s="3" t="s">
        <v>158</v>
      </c>
      <c r="D595" s="3" t="s">
        <v>215</v>
      </c>
      <c r="E595" s="39">
        <v>45015</v>
      </c>
      <c r="F595" s="3" t="s">
        <v>186</v>
      </c>
      <c r="G595" s="3" t="s">
        <v>122</v>
      </c>
      <c r="H595" s="3">
        <v>2009</v>
      </c>
      <c r="I595" s="40" t="s">
        <v>108</v>
      </c>
      <c r="J595" s="39" t="s">
        <v>123</v>
      </c>
      <c r="K595" s="46">
        <v>171.2</v>
      </c>
      <c r="L595" s="46">
        <v>171</v>
      </c>
      <c r="M595" s="46">
        <v>170.8</v>
      </c>
      <c r="N595" s="46">
        <v>142.30000000000001</v>
      </c>
      <c r="O595" s="46">
        <v>142.4</v>
      </c>
      <c r="P595" s="46">
        <v>141.9</v>
      </c>
      <c r="Q595" s="46">
        <v>61.2</v>
      </c>
      <c r="R595" s="46">
        <v>61.2</v>
      </c>
      <c r="S595" s="46">
        <v>61.2</v>
      </c>
      <c r="T595" s="42">
        <v>171</v>
      </c>
      <c r="U595" s="42">
        <f>AVERAGE(paper3[[#This Row],[Sittende høyde 1]:[Sittende høyde 3]])-56.2</f>
        <v>86.000000000000014</v>
      </c>
      <c r="V595" s="12">
        <f>paper3[[#This Row],[height]]-paper3[[#This Row],[sittingheight]]</f>
        <v>84.999999999999986</v>
      </c>
      <c r="W595" s="73">
        <v>61.20000000000001</v>
      </c>
      <c r="X595" s="43" cm="1">
        <f t="array" ref="X595">INDEX([1]!phvny[yphv], MATCH(1, (paper3[[#This Row],[id]]=[1]!phvny[id])*(paper3[[#This Row],[time]]=[1]!phvny[time]), 0))</f>
        <v>-4.1219252046780452E-2</v>
      </c>
      <c r="Y595" s="3">
        <v>2.13</v>
      </c>
      <c r="Z595" s="3">
        <v>3.77</v>
      </c>
      <c r="AA595" s="3">
        <v>5.41</v>
      </c>
      <c r="AB595" s="3">
        <v>2.2599999999999998</v>
      </c>
      <c r="AC595" s="3">
        <v>3.94</v>
      </c>
      <c r="AD595" s="3">
        <v>5.59</v>
      </c>
      <c r="AE595" s="3">
        <v>2.2599999999999998</v>
      </c>
      <c r="AF595" s="3">
        <v>3.94</v>
      </c>
      <c r="AG595" s="3">
        <v>5.61</v>
      </c>
      <c r="AH595" s="44">
        <v>2.13</v>
      </c>
      <c r="AI595" s="44">
        <v>3.77</v>
      </c>
      <c r="AJ595" s="44">
        <v>5.41</v>
      </c>
      <c r="AK595" s="45">
        <v>6.0975609756097553</v>
      </c>
      <c r="AL595" s="3"/>
      <c r="AM595" s="3">
        <v>13.36</v>
      </c>
      <c r="AN595" s="3"/>
      <c r="AO595" s="3">
        <v>12.13</v>
      </c>
      <c r="AP595" s="3">
        <v>12.13</v>
      </c>
      <c r="AQ595" s="47"/>
      <c r="AR595" s="47"/>
      <c r="AS595" s="3">
        <v>28.39</v>
      </c>
      <c r="AT595" s="3">
        <v>28.5</v>
      </c>
      <c r="AU595" s="3">
        <v>30.33</v>
      </c>
      <c r="AV595" s="3">
        <v>28.51</v>
      </c>
      <c r="AW595" s="3"/>
      <c r="AX595" s="48">
        <v>30.33</v>
      </c>
      <c r="AY595" s="71"/>
      <c r="AZ595" s="3">
        <v>0</v>
      </c>
      <c r="BA595" s="3">
        <v>180</v>
      </c>
      <c r="BB595" s="3">
        <v>11</v>
      </c>
      <c r="BC595" s="3">
        <v>196</v>
      </c>
      <c r="BD595" s="40">
        <v>733.49541507104345</v>
      </c>
      <c r="BE595" s="40">
        <v>784.26189039709948</v>
      </c>
      <c r="BF595" s="40"/>
      <c r="BG595" s="40">
        <v>186.68122610421653</v>
      </c>
      <c r="BH595" s="40">
        <v>198.835383687503</v>
      </c>
      <c r="BI595" s="49">
        <v>1517.7573054681429</v>
      </c>
      <c r="BJ595" s="49">
        <v>385.51660979171953</v>
      </c>
      <c r="BK595" s="66">
        <v>-6.4731534131221347E-2</v>
      </c>
      <c r="BL595" s="66">
        <v>-6.1126733873425598E-2</v>
      </c>
      <c r="BM595" s="51">
        <v>24.799955971701682</v>
      </c>
      <c r="BN595" s="51">
        <v>6.2992910096686199</v>
      </c>
      <c r="BO595" s="52">
        <v>248</v>
      </c>
      <c r="BP595" s="40">
        <v>248</v>
      </c>
      <c r="BQ595" s="40">
        <v>201</v>
      </c>
      <c r="BR595" s="67">
        <v>0.23383084577114421</v>
      </c>
      <c r="BS595" s="54">
        <v>3.6683006535947706</v>
      </c>
      <c r="BT595" s="3">
        <v>167</v>
      </c>
      <c r="BU595" s="40">
        <v>119</v>
      </c>
      <c r="BV595" s="3">
        <v>148</v>
      </c>
      <c r="BW595" s="3">
        <v>116</v>
      </c>
      <c r="BX595" s="70">
        <v>0.40336134453781503</v>
      </c>
      <c r="BY595" s="70">
        <v>0.27586206896551735</v>
      </c>
      <c r="BZ595" s="59">
        <v>1.0258620689655173</v>
      </c>
      <c r="CA595" s="59">
        <v>1.1283783783783783</v>
      </c>
      <c r="CB595" s="59">
        <v>1.9861111111111105</v>
      </c>
      <c r="CC595" s="59">
        <v>1.8333333333333328</v>
      </c>
      <c r="CD595" s="60">
        <v>71</v>
      </c>
      <c r="CE595" s="60">
        <v>61.75</v>
      </c>
      <c r="CF595" s="61">
        <v>1.1601307189542482</v>
      </c>
      <c r="CG595" s="61">
        <v>1.0089869281045749</v>
      </c>
      <c r="CH595" s="61">
        <v>0.86971830985915477</v>
      </c>
      <c r="CI595" s="41">
        <v>12.3</v>
      </c>
      <c r="CJ595" s="40">
        <f>VLOOKUP(paper3[[#This Row],[YYIR nivå]],$DB:$DC,2)</f>
        <v>280</v>
      </c>
      <c r="CK595" s="3"/>
      <c r="CL595" s="62"/>
      <c r="CM595" s="63" t="s">
        <v>110</v>
      </c>
      <c r="CN595" s="3">
        <v>167</v>
      </c>
      <c r="CO595" s="3">
        <v>148</v>
      </c>
      <c r="CP595" s="41">
        <v>13.344444444444445</v>
      </c>
      <c r="CQ595" s="3" t="s">
        <v>110</v>
      </c>
      <c r="CR595" s="40">
        <v>143</v>
      </c>
      <c r="CS595" s="40">
        <v>132</v>
      </c>
      <c r="CT595" s="40">
        <v>224.5</v>
      </c>
      <c r="CU595" s="40"/>
      <c r="CV595" s="40"/>
      <c r="CW595" s="40"/>
      <c r="CX595" s="40"/>
      <c r="CY595" s="40">
        <v>0</v>
      </c>
      <c r="CZ595" s="40"/>
      <c r="DA595" s="40"/>
    </row>
    <row r="596" spans="1:105" ht="18.75" customHeight="1">
      <c r="A596" s="3">
        <v>421</v>
      </c>
      <c r="B596" s="38" t="s">
        <v>103</v>
      </c>
      <c r="C596" s="3" t="s">
        <v>104</v>
      </c>
      <c r="D596" s="3" t="s">
        <v>215</v>
      </c>
      <c r="E596" s="39">
        <v>45015</v>
      </c>
      <c r="F596" s="3" t="s">
        <v>186</v>
      </c>
      <c r="G596" s="3" t="s">
        <v>122</v>
      </c>
      <c r="H596" s="3">
        <v>2009</v>
      </c>
      <c r="I596" s="40" t="s">
        <v>108</v>
      </c>
      <c r="J596" s="39" t="s">
        <v>123</v>
      </c>
      <c r="K596" s="46">
        <v>168</v>
      </c>
      <c r="L596" s="46">
        <v>168.5</v>
      </c>
      <c r="M596" s="46">
        <v>168.2</v>
      </c>
      <c r="N596" s="46">
        <v>143.6</v>
      </c>
      <c r="O596" s="46">
        <v>143.69999999999999</v>
      </c>
      <c r="P596" s="46">
        <v>143.69999999999999</v>
      </c>
      <c r="Q596" s="46">
        <v>54.1</v>
      </c>
      <c r="R596" s="46">
        <v>54.1</v>
      </c>
      <c r="S596" s="46">
        <v>54.1</v>
      </c>
      <c r="T596" s="42">
        <v>168.23333333333332</v>
      </c>
      <c r="U596" s="42">
        <f>AVERAGE(paper3[[#This Row],[Sittende høyde 1]:[Sittende høyde 3]])-56.2</f>
        <v>87.466666666666654</v>
      </c>
      <c r="V596" s="12">
        <f>paper3[[#This Row],[height]]-paper3[[#This Row],[sittingheight]]</f>
        <v>80.766666666666666</v>
      </c>
      <c r="W596" s="73">
        <v>54.1</v>
      </c>
      <c r="X596" s="43" cm="1">
        <f t="array" ref="X596">INDEX([1]!phvny[yphv], MATCH(1, (paper3[[#This Row],[id]]=[1]!phvny[id])*(paper3[[#This Row],[time]]=[1]!phvny[time]), 0))</f>
        <v>0.38509635670066678</v>
      </c>
      <c r="Y596" s="3">
        <v>1.95</v>
      </c>
      <c r="Z596" s="3">
        <v>3.47</v>
      </c>
      <c r="AA596" s="3">
        <v>4.83</v>
      </c>
      <c r="AB596" s="3">
        <v>1.86</v>
      </c>
      <c r="AC596" s="3">
        <v>3.21</v>
      </c>
      <c r="AD596" s="3">
        <v>4.5199999999999996</v>
      </c>
      <c r="AE596" s="3">
        <v>1.83</v>
      </c>
      <c r="AF596" s="3">
        <v>3.19</v>
      </c>
      <c r="AG596" s="3">
        <v>4.49</v>
      </c>
      <c r="AH596" s="44">
        <v>1.83</v>
      </c>
      <c r="AI596" s="44">
        <v>3.19</v>
      </c>
      <c r="AJ596" s="44">
        <v>4.49</v>
      </c>
      <c r="AK596" s="45">
        <v>7.6923076923076907</v>
      </c>
      <c r="AL596" s="3">
        <v>10.51</v>
      </c>
      <c r="AM596" s="3">
        <v>10.28</v>
      </c>
      <c r="AN596" s="3">
        <v>10.25</v>
      </c>
      <c r="AO596" s="3">
        <v>10.24</v>
      </c>
      <c r="AP596" s="3">
        <v>10.24</v>
      </c>
      <c r="AQ596" s="47"/>
      <c r="AR596" s="47"/>
      <c r="AS596" s="3">
        <v>37.04</v>
      </c>
      <c r="AT596" s="3">
        <v>34.909999999999997</v>
      </c>
      <c r="AU596" s="3">
        <v>34.11</v>
      </c>
      <c r="AV596" s="3"/>
      <c r="AW596" s="3"/>
      <c r="AX596" s="48">
        <v>37.04</v>
      </c>
      <c r="AY596" s="71"/>
      <c r="AZ596" s="3">
        <v>0</v>
      </c>
      <c r="BA596" s="3">
        <v>180</v>
      </c>
      <c r="BB596" s="3">
        <v>17</v>
      </c>
      <c r="BC596" s="3">
        <v>293</v>
      </c>
      <c r="BD596" s="40"/>
      <c r="BE596" s="40"/>
      <c r="BF596" s="40"/>
      <c r="BG596" s="40">
        <v>439.9354831190492</v>
      </c>
      <c r="BH596" s="40">
        <v>440.71544251919005</v>
      </c>
      <c r="BI596" s="49"/>
      <c r="BJ596" s="49">
        <v>880.65092563823919</v>
      </c>
      <c r="BK596" s="66"/>
      <c r="BL596" s="66">
        <v>-1.7697573647125209E-3</v>
      </c>
      <c r="BM596" s="51"/>
      <c r="BN596" s="51">
        <v>16.278205649505345</v>
      </c>
      <c r="BO596" s="52">
        <v>326</v>
      </c>
      <c r="BP596" s="40">
        <v>326</v>
      </c>
      <c r="BQ596" s="40">
        <v>305</v>
      </c>
      <c r="BR596" s="67">
        <v>6.8852459016393475E-2</v>
      </c>
      <c r="BS596" s="54">
        <v>5.8317929759704246</v>
      </c>
      <c r="BT596" s="3">
        <v>186</v>
      </c>
      <c r="BU596" s="40">
        <v>103</v>
      </c>
      <c r="BV596" s="3">
        <v>189</v>
      </c>
      <c r="BW596" s="3">
        <v>109</v>
      </c>
      <c r="BX596" s="70">
        <v>0.80582524271844669</v>
      </c>
      <c r="BY596" s="70">
        <v>0.73394495412844041</v>
      </c>
      <c r="BZ596" s="59">
        <v>0.94495412844036697</v>
      </c>
      <c r="CA596" s="59">
        <v>0.98412698412698407</v>
      </c>
      <c r="CB596" s="59">
        <v>2.1572612446087489</v>
      </c>
      <c r="CC596" s="59">
        <v>2.2244423906346271</v>
      </c>
      <c r="CD596" s="60">
        <v>115</v>
      </c>
      <c r="CE596" s="60">
        <v>85</v>
      </c>
      <c r="CF596" s="61">
        <v>2.1256931608133085</v>
      </c>
      <c r="CG596" s="61">
        <v>1.5711645101663585</v>
      </c>
      <c r="CH596" s="61">
        <v>0.73913043478260876</v>
      </c>
      <c r="CI596" s="41"/>
      <c r="CJ596" s="40"/>
      <c r="CK596" s="3"/>
      <c r="CL596" s="62"/>
      <c r="CM596" s="63" t="s">
        <v>110</v>
      </c>
      <c r="CN596" s="3">
        <v>186</v>
      </c>
      <c r="CO596" s="3">
        <v>189</v>
      </c>
      <c r="CP596" s="41">
        <v>14.030555555555555</v>
      </c>
      <c r="CQ596" s="3" t="s">
        <v>110</v>
      </c>
      <c r="CR596" s="40">
        <v>144.5</v>
      </c>
      <c r="CS596" s="40">
        <v>149</v>
      </c>
      <c r="CT596" s="40">
        <v>315.5</v>
      </c>
      <c r="CU596" s="40"/>
      <c r="CV596" s="40"/>
      <c r="CW596" s="40"/>
      <c r="CX596" s="40"/>
      <c r="CY596" s="40">
        <v>0</v>
      </c>
      <c r="CZ596" s="40"/>
      <c r="DA596" s="40"/>
    </row>
    <row r="597" spans="1:105" ht="18.75" customHeight="1">
      <c r="A597" s="3">
        <v>423</v>
      </c>
      <c r="B597" s="38" t="s">
        <v>103</v>
      </c>
      <c r="C597" s="3" t="s">
        <v>115</v>
      </c>
      <c r="D597" s="3" t="s">
        <v>215</v>
      </c>
      <c r="E597" s="39">
        <v>45015</v>
      </c>
      <c r="F597" s="3" t="s">
        <v>186</v>
      </c>
      <c r="G597" s="3" t="s">
        <v>122</v>
      </c>
      <c r="H597" s="3">
        <v>2009</v>
      </c>
      <c r="I597" s="40" t="s">
        <v>108</v>
      </c>
      <c r="J597" s="39" t="s">
        <v>123</v>
      </c>
      <c r="K597" s="46">
        <v>172.5</v>
      </c>
      <c r="L597" s="46">
        <v>172.8</v>
      </c>
      <c r="M597" s="46">
        <v>172.7</v>
      </c>
      <c r="N597" s="46">
        <v>144.4</v>
      </c>
      <c r="O597" s="46">
        <v>144.80000000000001</v>
      </c>
      <c r="P597" s="46">
        <v>144.80000000000001</v>
      </c>
      <c r="Q597" s="46">
        <v>65</v>
      </c>
      <c r="R597" s="46">
        <v>64.900000000000006</v>
      </c>
      <c r="S597" s="46">
        <v>64.900000000000006</v>
      </c>
      <c r="T597" s="42">
        <v>172.66666666666666</v>
      </c>
      <c r="U597" s="42">
        <f>AVERAGE(paper3[[#This Row],[Sittende høyde 1]:[Sittende høyde 3]])-56.2</f>
        <v>88.466666666666683</v>
      </c>
      <c r="V597" s="12">
        <f>paper3[[#This Row],[height]]-paper3[[#This Row],[sittingheight]]</f>
        <v>84.199999999999974</v>
      </c>
      <c r="W597" s="42">
        <v>64.933333333333337</v>
      </c>
      <c r="X597" s="43" cm="1">
        <f t="array" ref="X597">INDEX([1]!phvny[yphv], MATCH(1, (paper3[[#This Row],[id]]=[1]!phvny[id])*(paper3[[#This Row],[time]]=[1]!phvny[time]), 0))</f>
        <v>0.61446880688173899</v>
      </c>
      <c r="Y597" s="3">
        <v>1.91</v>
      </c>
      <c r="Z597" s="3">
        <v>3.3</v>
      </c>
      <c r="AA597" s="3">
        <v>4.6100000000000003</v>
      </c>
      <c r="AB597" s="3">
        <v>1.92</v>
      </c>
      <c r="AC597" s="3">
        <v>3.33</v>
      </c>
      <c r="AD597" s="3">
        <v>4.68</v>
      </c>
      <c r="AE597" s="3">
        <v>1.95</v>
      </c>
      <c r="AF597" s="3">
        <v>3.37</v>
      </c>
      <c r="AG597" s="3">
        <v>4.7300000000000004</v>
      </c>
      <c r="AH597" s="44">
        <v>1.91</v>
      </c>
      <c r="AI597" s="44">
        <v>3.3</v>
      </c>
      <c r="AJ597" s="44">
        <v>4.6100000000000003</v>
      </c>
      <c r="AK597" s="45">
        <v>7.6335877862595387</v>
      </c>
      <c r="AL597" s="3">
        <v>10.74</v>
      </c>
      <c r="AM597" s="3">
        <v>10.75</v>
      </c>
      <c r="AN597" s="3">
        <v>10.97</v>
      </c>
      <c r="AO597" s="3">
        <v>11.03</v>
      </c>
      <c r="AP597" s="3">
        <v>10.74</v>
      </c>
      <c r="AQ597" s="47"/>
      <c r="AR597" s="47"/>
      <c r="AS597" s="3">
        <v>30.62</v>
      </c>
      <c r="AT597" s="3">
        <v>34.71</v>
      </c>
      <c r="AU597" s="3">
        <v>33.03</v>
      </c>
      <c r="AV597" s="3"/>
      <c r="AW597" s="3"/>
      <c r="AX597" s="48">
        <v>34.71</v>
      </c>
      <c r="AY597" s="71"/>
      <c r="AZ597" s="3">
        <v>0</v>
      </c>
      <c r="BA597" s="3">
        <v>220</v>
      </c>
      <c r="BB597" s="3">
        <v>17</v>
      </c>
      <c r="BC597" s="3">
        <v>361</v>
      </c>
      <c r="BD597" s="40">
        <v>1516.944841101167</v>
      </c>
      <c r="BE597" s="40">
        <v>1447.8499192360696</v>
      </c>
      <c r="BF597" s="40"/>
      <c r="BG597" s="40">
        <v>392.18362153493712</v>
      </c>
      <c r="BH597" s="40">
        <v>416.65794908197552</v>
      </c>
      <c r="BI597" s="49">
        <v>2964.7947603372368</v>
      </c>
      <c r="BJ597" s="49">
        <v>808.84157061691258</v>
      </c>
      <c r="BK597" s="66">
        <v>4.7722433759953553E-2</v>
      </c>
      <c r="BL597" s="66">
        <v>-5.8739615075058094E-2</v>
      </c>
      <c r="BM597" s="51">
        <v>45.612227082111332</v>
      </c>
      <c r="BN597" s="51">
        <v>12.443716471029424</v>
      </c>
      <c r="BO597" s="52">
        <v>260</v>
      </c>
      <c r="BP597" s="40">
        <v>255</v>
      </c>
      <c r="BQ597" s="40">
        <v>260</v>
      </c>
      <c r="BR597" s="67">
        <v>-1.9230769230769273E-2</v>
      </c>
      <c r="BS597" s="54">
        <v>3.9656057494866528</v>
      </c>
      <c r="BT597" s="3">
        <v>197</v>
      </c>
      <c r="BU597" s="40">
        <v>119</v>
      </c>
      <c r="BV597" s="3">
        <v>202</v>
      </c>
      <c r="BW597" s="3">
        <v>149</v>
      </c>
      <c r="BX597" s="70">
        <v>0.65546218487394947</v>
      </c>
      <c r="BY597" s="70">
        <v>0.35570469798657722</v>
      </c>
      <c r="BZ597" s="59">
        <v>0.79865771812080533</v>
      </c>
      <c r="CA597" s="59">
        <v>0.97524752475247523</v>
      </c>
      <c r="CB597" s="59">
        <v>2.0488090349075971</v>
      </c>
      <c r="CC597" s="59">
        <v>2.275734086242299</v>
      </c>
      <c r="CD597" s="60">
        <v>85</v>
      </c>
      <c r="CE597" s="60">
        <v>61</v>
      </c>
      <c r="CF597" s="61">
        <v>1.3090349075975358</v>
      </c>
      <c r="CG597" s="61">
        <v>0.93942505133470222</v>
      </c>
      <c r="CH597" s="61">
        <v>0.71764705882352942</v>
      </c>
      <c r="CI597" s="41">
        <v>14.5</v>
      </c>
      <c r="CJ597" s="40">
        <f>VLOOKUP(paper3[[#This Row],[YYIR nivå]],$DB:$DC,2)</f>
        <v>640</v>
      </c>
      <c r="CK597" s="3"/>
      <c r="CL597" s="62"/>
      <c r="CM597" s="63" t="s">
        <v>110</v>
      </c>
      <c r="CN597" s="3">
        <v>197</v>
      </c>
      <c r="CO597" s="3">
        <v>202</v>
      </c>
      <c r="CP597" s="41">
        <v>13.988888888888889</v>
      </c>
      <c r="CQ597" s="3" t="s">
        <v>110</v>
      </c>
      <c r="CR597" s="40">
        <v>158</v>
      </c>
      <c r="CS597" s="40">
        <v>175.5</v>
      </c>
      <c r="CT597" s="40">
        <v>257.5</v>
      </c>
      <c r="CU597" s="40"/>
      <c r="CV597" s="40"/>
      <c r="CW597" s="40"/>
      <c r="CX597" s="40"/>
      <c r="CY597" s="40">
        <v>0</v>
      </c>
      <c r="CZ597" s="40"/>
      <c r="DA597" s="40"/>
    </row>
    <row r="598" spans="1:105" ht="18.75" customHeight="1">
      <c r="A598" s="3">
        <v>424</v>
      </c>
      <c r="B598" s="38" t="s">
        <v>103</v>
      </c>
      <c r="C598" s="3" t="s">
        <v>104</v>
      </c>
      <c r="D598" s="3" t="s">
        <v>215</v>
      </c>
      <c r="E598" s="39">
        <v>45015</v>
      </c>
      <c r="F598" s="3" t="s">
        <v>186</v>
      </c>
      <c r="G598" s="3" t="s">
        <v>122</v>
      </c>
      <c r="H598" s="3">
        <v>2009</v>
      </c>
      <c r="I598" s="40" t="s">
        <v>108</v>
      </c>
      <c r="J598" s="39" t="s">
        <v>123</v>
      </c>
      <c r="K598" s="46">
        <v>176.2</v>
      </c>
      <c r="L598" s="46">
        <v>176</v>
      </c>
      <c r="M598" s="46">
        <v>175.7</v>
      </c>
      <c r="N598" s="46">
        <v>145.30000000000001</v>
      </c>
      <c r="O598" s="46">
        <v>145.30000000000001</v>
      </c>
      <c r="P598" s="46">
        <v>145.19999999999999</v>
      </c>
      <c r="Q598" s="46">
        <v>60.2</v>
      </c>
      <c r="R598" s="46">
        <v>60.1</v>
      </c>
      <c r="S598" s="46">
        <v>60.1</v>
      </c>
      <c r="T598" s="42">
        <v>175.96666666666667</v>
      </c>
      <c r="U598" s="42">
        <f>AVERAGE(paper3[[#This Row],[Sittende høyde 1]:[Sittende høyde 3]])-56.2</f>
        <v>89.066666666666677</v>
      </c>
      <c r="V598" s="12">
        <f>paper3[[#This Row],[height]]-paper3[[#This Row],[sittingheight]]</f>
        <v>86.899999999999991</v>
      </c>
      <c r="W598" s="42">
        <v>60.133333333333333</v>
      </c>
      <c r="X598" s="43" cm="1">
        <f t="array" ref="X598">INDEX([1]!phvny[yphv], MATCH(1, (paper3[[#This Row],[id]]=[1]!phvny[id])*(paper3[[#This Row],[time]]=[1]!phvny[time]), 0))</f>
        <v>0.57359300234096189</v>
      </c>
      <c r="Y598" s="46">
        <v>2.09</v>
      </c>
      <c r="Z598" s="3">
        <v>3.76</v>
      </c>
      <c r="AA598" s="46">
        <v>5.47</v>
      </c>
      <c r="AB598" s="3"/>
      <c r="AC598" s="3"/>
      <c r="AD598" s="3"/>
      <c r="AE598" s="3"/>
      <c r="AF598" s="3"/>
      <c r="AG598" s="3"/>
      <c r="AH598" s="44">
        <v>2.09</v>
      </c>
      <c r="AI598" s="44">
        <v>3.76</v>
      </c>
      <c r="AJ598" s="44">
        <v>5.47</v>
      </c>
      <c r="AK598" s="45">
        <v>5.8479532163742691</v>
      </c>
      <c r="AL598" s="3"/>
      <c r="AM598" s="3"/>
      <c r="AN598" s="3"/>
      <c r="AO598" s="3"/>
      <c r="AP598" s="3"/>
      <c r="AQ598" s="47"/>
      <c r="AR598" s="47"/>
      <c r="AS598" s="3">
        <v>29.47</v>
      </c>
      <c r="AT598" s="3">
        <v>25.06</v>
      </c>
      <c r="AU598" s="3">
        <v>29.35</v>
      </c>
      <c r="AV598" s="3">
        <v>26.43</v>
      </c>
      <c r="AW598" s="3"/>
      <c r="AX598" s="48">
        <v>29.47</v>
      </c>
      <c r="AY598" s="71"/>
      <c r="AZ598" s="3" t="s">
        <v>230</v>
      </c>
      <c r="BA598" s="3">
        <v>230</v>
      </c>
      <c r="BB598" s="3">
        <v>14</v>
      </c>
      <c r="BC598" s="3">
        <v>314</v>
      </c>
      <c r="BD598" s="40"/>
      <c r="BE598" s="40"/>
      <c r="BF598" s="40"/>
      <c r="BG598" s="40">
        <v>357.35308152658553</v>
      </c>
      <c r="BH598" s="40">
        <v>349.42259091666392</v>
      </c>
      <c r="BI598" s="49"/>
      <c r="BJ598" s="49">
        <v>706.7756724432495</v>
      </c>
      <c r="BK598" s="66"/>
      <c r="BL598" s="66">
        <v>2.2695987082910207E-2</v>
      </c>
      <c r="BM598" s="51"/>
      <c r="BN598" s="51">
        <v>11.740459675137034</v>
      </c>
      <c r="BO598" s="52">
        <v>349</v>
      </c>
      <c r="BP598" s="40">
        <v>326</v>
      </c>
      <c r="BQ598" s="40">
        <v>349</v>
      </c>
      <c r="BR598" s="67">
        <v>-6.5902578796561584E-2</v>
      </c>
      <c r="BS598" s="54">
        <v>5.6125277161862526</v>
      </c>
      <c r="BT598" s="3">
        <v>158</v>
      </c>
      <c r="BU598" s="40">
        <v>100</v>
      </c>
      <c r="BV598" s="3">
        <v>155</v>
      </c>
      <c r="BW598" s="3">
        <v>112</v>
      </c>
      <c r="BX598" s="70">
        <v>0.58000000000000007</v>
      </c>
      <c r="BY598" s="70">
        <v>0.3839285714285714</v>
      </c>
      <c r="BZ598" s="59">
        <v>0.8928571428571429</v>
      </c>
      <c r="CA598" s="59">
        <v>1.0193548387096774</v>
      </c>
      <c r="CB598" s="59">
        <v>1.8642073170731706</v>
      </c>
      <c r="CC598" s="59">
        <v>1.9292378048780485</v>
      </c>
      <c r="CD598" s="60">
        <v>99</v>
      </c>
      <c r="CE598" s="60">
        <v>94</v>
      </c>
      <c r="CF598" s="61">
        <v>1.6463414634146341</v>
      </c>
      <c r="CG598" s="61">
        <v>1.5631929046563193</v>
      </c>
      <c r="CH598" s="61">
        <v>0.94949494949494961</v>
      </c>
      <c r="CI598" s="41"/>
      <c r="CJ598" s="40"/>
      <c r="CK598" s="3"/>
      <c r="CL598" s="62"/>
      <c r="CM598" s="63" t="s">
        <v>110</v>
      </c>
      <c r="CN598" s="3">
        <v>158</v>
      </c>
      <c r="CO598" s="3">
        <v>155</v>
      </c>
      <c r="CP598" s="41">
        <v>13.911111111111111</v>
      </c>
      <c r="CQ598" s="3" t="s">
        <v>110</v>
      </c>
      <c r="CR598" s="40">
        <v>129</v>
      </c>
      <c r="CS598" s="40">
        <v>133.5</v>
      </c>
      <c r="CT598" s="40">
        <v>337.5</v>
      </c>
      <c r="CU598" s="40"/>
      <c r="CV598" s="40"/>
      <c r="CW598" s="40"/>
      <c r="CX598" s="40"/>
      <c r="CY598" s="40" t="s">
        <v>125</v>
      </c>
      <c r="CZ598" s="40"/>
      <c r="DA598" s="40"/>
    </row>
    <row r="599" spans="1:105" ht="18.75" customHeight="1">
      <c r="A599" s="3">
        <v>426</v>
      </c>
      <c r="B599" s="38" t="s">
        <v>103</v>
      </c>
      <c r="C599" s="3" t="s">
        <v>104</v>
      </c>
      <c r="D599" s="3" t="s">
        <v>215</v>
      </c>
      <c r="E599" s="39">
        <v>45015</v>
      </c>
      <c r="F599" s="3" t="s">
        <v>186</v>
      </c>
      <c r="G599" s="3" t="s">
        <v>122</v>
      </c>
      <c r="H599" s="3">
        <v>2009</v>
      </c>
      <c r="I599" s="40" t="s">
        <v>108</v>
      </c>
      <c r="J599" s="39" t="s">
        <v>123</v>
      </c>
      <c r="K599" s="46">
        <v>170.4</v>
      </c>
      <c r="L599" s="46">
        <v>170.1</v>
      </c>
      <c r="M599" s="46">
        <v>170.5</v>
      </c>
      <c r="N599" s="46">
        <v>140.30000000000001</v>
      </c>
      <c r="O599" s="46">
        <v>140.30000000000001</v>
      </c>
      <c r="P599" s="46">
        <v>140.4</v>
      </c>
      <c r="Q599" s="46">
        <v>60.8</v>
      </c>
      <c r="R599" s="46">
        <v>60.7</v>
      </c>
      <c r="S599" s="46">
        <v>60.7</v>
      </c>
      <c r="T599" s="42">
        <v>170.33333333333334</v>
      </c>
      <c r="U599" s="42">
        <f>AVERAGE(paper3[[#This Row],[Sittende høyde 1]:[Sittende høyde 3]])-56.2</f>
        <v>84.13333333333334</v>
      </c>
      <c r="V599" s="12">
        <f>paper3[[#This Row],[height]]-paper3[[#This Row],[sittingheight]]</f>
        <v>86.2</v>
      </c>
      <c r="W599" s="42">
        <v>60.733333333333327</v>
      </c>
      <c r="X599" s="43" cm="1">
        <f t="array" ref="X599">INDEX([1]!phvny[yphv], MATCH(1, (paper3[[#This Row],[id]]=[1]!phvny[id])*(paper3[[#This Row],[time]]=[1]!phvny[time]), 0))</f>
        <v>-0.20703553177893841</v>
      </c>
      <c r="Y599" s="3">
        <v>1.98</v>
      </c>
      <c r="Z599" s="3">
        <v>3.46</v>
      </c>
      <c r="AA599" s="3">
        <v>4.9000000000000004</v>
      </c>
      <c r="AB599" s="3">
        <v>2.06</v>
      </c>
      <c r="AC599" s="3">
        <v>3.61</v>
      </c>
      <c r="AD599" s="3">
        <v>5.12</v>
      </c>
      <c r="AE599" s="3">
        <v>1.99</v>
      </c>
      <c r="AF599" s="3">
        <v>3.5</v>
      </c>
      <c r="AG599" s="3">
        <v>4.9800000000000004</v>
      </c>
      <c r="AH599" s="44">
        <v>1.98</v>
      </c>
      <c r="AI599" s="44">
        <v>3.46</v>
      </c>
      <c r="AJ599" s="44">
        <v>4.9000000000000004</v>
      </c>
      <c r="AK599" s="45">
        <v>6.9444444444444429</v>
      </c>
      <c r="AL599" s="3">
        <v>11.01</v>
      </c>
      <c r="AM599" s="3">
        <v>11.08</v>
      </c>
      <c r="AN599" s="3">
        <v>11.21</v>
      </c>
      <c r="AO599" s="3">
        <v>11.33</v>
      </c>
      <c r="AP599" s="3">
        <v>11.01</v>
      </c>
      <c r="AQ599" s="47">
        <v>11.01</v>
      </c>
      <c r="AR599" s="47">
        <v>11.21</v>
      </c>
      <c r="AS599" s="3">
        <v>29.08</v>
      </c>
      <c r="AT599" s="3">
        <v>31.5</v>
      </c>
      <c r="AU599" s="3">
        <v>32.96</v>
      </c>
      <c r="AV599" s="3">
        <v>34.43</v>
      </c>
      <c r="AW599" s="3">
        <v>33.74</v>
      </c>
      <c r="AX599" s="48">
        <v>34.43</v>
      </c>
      <c r="AY599" s="71"/>
      <c r="AZ599" s="3" t="s">
        <v>230</v>
      </c>
      <c r="BA599" s="3">
        <v>240</v>
      </c>
      <c r="BB599" s="3">
        <v>11</v>
      </c>
      <c r="BC599" s="3">
        <v>262</v>
      </c>
      <c r="BD599" s="40">
        <v>1158.3049274336147</v>
      </c>
      <c r="BE599" s="40">
        <v>1093.4369865643951</v>
      </c>
      <c r="BF599" s="40"/>
      <c r="BG599" s="40">
        <v>305.02378926404026</v>
      </c>
      <c r="BH599" s="40">
        <v>311.22148090077917</v>
      </c>
      <c r="BI599" s="49">
        <v>2251.7419139980097</v>
      </c>
      <c r="BJ599" s="49">
        <v>616.24527016481943</v>
      </c>
      <c r="BK599" s="66">
        <v>5.9324809446071658E-2</v>
      </c>
      <c r="BL599" s="66">
        <v>-1.9914086967264377E-2</v>
      </c>
      <c r="BM599" s="51">
        <v>37.035228848651478</v>
      </c>
      <c r="BN599" s="51">
        <v>10.135612996131899</v>
      </c>
      <c r="BO599" s="52">
        <v>243</v>
      </c>
      <c r="BP599" s="40">
        <v>227</v>
      </c>
      <c r="BQ599" s="40">
        <v>243</v>
      </c>
      <c r="BR599" s="67">
        <v>-6.5843621399176988E-2</v>
      </c>
      <c r="BS599" s="54">
        <v>3.8693743139407251</v>
      </c>
      <c r="BT599" s="3">
        <v>197</v>
      </c>
      <c r="BU599" s="40">
        <v>98</v>
      </c>
      <c r="BV599" s="3">
        <v>172</v>
      </c>
      <c r="BW599" s="3">
        <v>102</v>
      </c>
      <c r="BX599" s="70">
        <v>1.010204081632653</v>
      </c>
      <c r="BY599" s="70">
        <v>0.68627450980392157</v>
      </c>
      <c r="BZ599" s="59">
        <v>0.96078431372549022</v>
      </c>
      <c r="CA599" s="59">
        <v>1.1453488372093024</v>
      </c>
      <c r="CB599" s="59">
        <v>2.0934961580680573</v>
      </c>
      <c r="CC599" s="59">
        <v>1.9444676180021956</v>
      </c>
      <c r="CD599" s="60">
        <v>94</v>
      </c>
      <c r="CE599" s="60">
        <v>54</v>
      </c>
      <c r="CF599" s="61">
        <v>1.54774972557629</v>
      </c>
      <c r="CG599" s="61">
        <v>0.88913282107574099</v>
      </c>
      <c r="CH599" s="61">
        <v>0.57446808510638292</v>
      </c>
      <c r="CI599" s="41">
        <v>14.4</v>
      </c>
      <c r="CJ599" s="40">
        <f>VLOOKUP(paper3[[#This Row],[YYIR nivå]],$DB:$DC,2)</f>
        <v>600</v>
      </c>
      <c r="CK599" s="3"/>
      <c r="CL599" s="62"/>
      <c r="CM599" s="63" t="s">
        <v>110</v>
      </c>
      <c r="CN599" s="3">
        <v>197</v>
      </c>
      <c r="CO599" s="3">
        <v>172</v>
      </c>
      <c r="CP599" s="41">
        <v>13.472222222222221</v>
      </c>
      <c r="CQ599" s="3" t="s">
        <v>110</v>
      </c>
      <c r="CR599" s="40">
        <v>147.5</v>
      </c>
      <c r="CS599" s="40">
        <v>137</v>
      </c>
      <c r="CT599" s="40">
        <v>235</v>
      </c>
      <c r="CU599" s="40"/>
      <c r="CV599" s="40"/>
      <c r="CW599" s="40"/>
      <c r="CX599" s="40"/>
      <c r="CY599" s="40">
        <v>0</v>
      </c>
      <c r="CZ599" s="40"/>
      <c r="DA599" s="40"/>
    </row>
    <row r="600" spans="1:105" ht="18.75" customHeight="1">
      <c r="A600" s="3">
        <v>427</v>
      </c>
      <c r="B600" s="38" t="s">
        <v>103</v>
      </c>
      <c r="C600" s="3" t="s">
        <v>104</v>
      </c>
      <c r="D600" s="3" t="s">
        <v>215</v>
      </c>
      <c r="E600" s="39">
        <v>45015</v>
      </c>
      <c r="F600" s="3" t="s">
        <v>186</v>
      </c>
      <c r="G600" s="3" t="s">
        <v>122</v>
      </c>
      <c r="H600" s="3">
        <v>2009</v>
      </c>
      <c r="I600" s="40" t="s">
        <v>108</v>
      </c>
      <c r="J600" s="39" t="s">
        <v>123</v>
      </c>
      <c r="K600" s="46">
        <v>173.5</v>
      </c>
      <c r="L600" s="46">
        <v>173.1</v>
      </c>
      <c r="M600" s="46">
        <v>173.1</v>
      </c>
      <c r="N600" s="46">
        <v>140.4</v>
      </c>
      <c r="O600" s="46">
        <v>142</v>
      </c>
      <c r="P600" s="46">
        <v>141.19999999999999</v>
      </c>
      <c r="Q600" s="46">
        <v>57.3</v>
      </c>
      <c r="R600" s="46">
        <v>57.3</v>
      </c>
      <c r="S600" s="46">
        <v>57.3</v>
      </c>
      <c r="T600" s="42">
        <v>173.23333333333335</v>
      </c>
      <c r="U600" s="42">
        <f>AVERAGE(paper3[[#This Row],[Sittende høyde 1]:[Sittende høyde 3]])-56.2</f>
        <v>84.999999999999986</v>
      </c>
      <c r="V600" s="12">
        <f>paper3[[#This Row],[height]]-paper3[[#This Row],[sittingheight]]</f>
        <v>88.233333333333363</v>
      </c>
      <c r="W600" s="73">
        <v>57.29999999999999</v>
      </c>
      <c r="X600" s="43"/>
      <c r="Y600" s="3">
        <v>2.0499999999999998</v>
      </c>
      <c r="Z600" s="3">
        <v>3.56</v>
      </c>
      <c r="AA600" s="3">
        <v>5.05</v>
      </c>
      <c r="AB600" s="3">
        <v>2.0699999999999998</v>
      </c>
      <c r="AC600" s="3">
        <v>3.59</v>
      </c>
      <c r="AD600" s="3">
        <v>5.08</v>
      </c>
      <c r="AE600" s="3">
        <v>2.09</v>
      </c>
      <c r="AF600" s="3">
        <v>3.64</v>
      </c>
      <c r="AG600" s="3">
        <v>5.15</v>
      </c>
      <c r="AH600" s="44">
        <v>2.0499999999999998</v>
      </c>
      <c r="AI600" s="44">
        <v>3.56</v>
      </c>
      <c r="AJ600" s="44">
        <v>5.05</v>
      </c>
      <c r="AK600" s="45">
        <v>6.7114093959731553</v>
      </c>
      <c r="AL600" s="3">
        <v>11.68</v>
      </c>
      <c r="AM600" s="3">
        <v>11.46</v>
      </c>
      <c r="AN600" s="3">
        <v>11.73</v>
      </c>
      <c r="AO600" s="3">
        <v>11.74</v>
      </c>
      <c r="AP600" s="3">
        <v>11.46</v>
      </c>
      <c r="AQ600" s="47">
        <v>11.46</v>
      </c>
      <c r="AR600" s="47">
        <v>11.73</v>
      </c>
      <c r="AS600" s="3">
        <v>25.13</v>
      </c>
      <c r="AT600" s="3">
        <v>25.19</v>
      </c>
      <c r="AU600" s="3">
        <v>25.91</v>
      </c>
      <c r="AV600" s="3">
        <v>25.36</v>
      </c>
      <c r="AW600" s="3"/>
      <c r="AX600" s="48">
        <v>25.91</v>
      </c>
      <c r="AY600" s="71"/>
      <c r="AZ600" s="3" t="s">
        <v>230</v>
      </c>
      <c r="BA600" s="3">
        <v>240</v>
      </c>
      <c r="BB600" s="3">
        <v>10</v>
      </c>
      <c r="BC600" s="3">
        <v>239</v>
      </c>
      <c r="BD600" s="40">
        <v>1002.7901409904348</v>
      </c>
      <c r="BE600" s="40">
        <v>1088.4387052681395</v>
      </c>
      <c r="BF600" s="40"/>
      <c r="BG600" s="40">
        <v>372.33540076852245</v>
      </c>
      <c r="BH600" s="40">
        <v>405.75371953132992</v>
      </c>
      <c r="BI600" s="49">
        <v>2091.2288462585743</v>
      </c>
      <c r="BJ600" s="49">
        <v>778.08912029985231</v>
      </c>
      <c r="BK600" s="66">
        <v>-7.8689377604047039E-2</v>
      </c>
      <c r="BL600" s="66">
        <v>-8.2361090371291357E-2</v>
      </c>
      <c r="BM600" s="51">
        <v>36.496140423360814</v>
      </c>
      <c r="BN600" s="51">
        <v>13.579216759159728</v>
      </c>
      <c r="BO600" s="52">
        <v>217</v>
      </c>
      <c r="BP600" s="40">
        <v>199</v>
      </c>
      <c r="BQ600" s="40">
        <v>217</v>
      </c>
      <c r="BR600" s="67">
        <v>-8.2949308755760343E-2</v>
      </c>
      <c r="BS600" s="54">
        <v>3.6300174520069812</v>
      </c>
      <c r="BT600" s="3">
        <v>120</v>
      </c>
      <c r="BU600" s="40">
        <v>103</v>
      </c>
      <c r="BV600" s="3">
        <v>123</v>
      </c>
      <c r="BW600" s="3">
        <v>106</v>
      </c>
      <c r="BX600" s="70">
        <v>0.16504854368932032</v>
      </c>
      <c r="BY600" s="70">
        <v>0.16037735849056611</v>
      </c>
      <c r="BZ600" s="59">
        <v>0.97169811320754718</v>
      </c>
      <c r="CA600" s="59">
        <v>0.97560975609756095</v>
      </c>
      <c r="CB600" s="59">
        <v>1.7169313554392096</v>
      </c>
      <c r="CC600" s="59">
        <v>1.7631268179173947</v>
      </c>
      <c r="CD600" s="60">
        <v>97</v>
      </c>
      <c r="CE600" s="60">
        <v>81</v>
      </c>
      <c r="CF600" s="61">
        <v>1.6928446771378711</v>
      </c>
      <c r="CG600" s="61">
        <v>1.4136125654450264</v>
      </c>
      <c r="CH600" s="61">
        <v>0.83505154639175261</v>
      </c>
      <c r="CI600" s="41">
        <v>14.2</v>
      </c>
      <c r="CJ600" s="40">
        <f>VLOOKUP(paper3[[#This Row],[YYIR nivå]],$DB:$DC,2)</f>
        <v>520</v>
      </c>
      <c r="CK600" s="3"/>
      <c r="CL600" s="62"/>
      <c r="CM600" s="63" t="s">
        <v>110</v>
      </c>
      <c r="CN600" s="3">
        <v>120</v>
      </c>
      <c r="CO600" s="3">
        <v>123</v>
      </c>
      <c r="CP600" s="41">
        <v>13.816666666666666</v>
      </c>
      <c r="CQ600" s="3" t="s">
        <v>110</v>
      </c>
      <c r="CR600" s="40">
        <v>111.5</v>
      </c>
      <c r="CS600" s="40">
        <v>114.5</v>
      </c>
      <c r="CT600" s="40">
        <v>208</v>
      </c>
      <c r="CU600" s="40"/>
      <c r="CV600" s="40"/>
      <c r="CW600" s="40"/>
      <c r="CX600" s="40"/>
      <c r="CY600" s="40">
        <v>0</v>
      </c>
      <c r="CZ600" s="40"/>
      <c r="DA600" s="40"/>
    </row>
    <row r="601" spans="1:105" ht="18.75" customHeight="1">
      <c r="A601" s="3">
        <v>430</v>
      </c>
      <c r="B601" s="38" t="s">
        <v>103</v>
      </c>
      <c r="C601" s="3" t="s">
        <v>104</v>
      </c>
      <c r="D601" s="3" t="s">
        <v>215</v>
      </c>
      <c r="E601" s="39">
        <v>45015</v>
      </c>
      <c r="F601" s="3" t="s">
        <v>186</v>
      </c>
      <c r="G601" s="3" t="s">
        <v>122</v>
      </c>
      <c r="H601" s="3">
        <v>2009</v>
      </c>
      <c r="I601" s="40" t="s">
        <v>108</v>
      </c>
      <c r="J601" s="39" t="s">
        <v>123</v>
      </c>
      <c r="K601" s="46"/>
      <c r="L601" s="46"/>
      <c r="M601" s="46"/>
      <c r="N601" s="46"/>
      <c r="O601" s="46"/>
      <c r="P601" s="46"/>
      <c r="Q601" s="46"/>
      <c r="R601" s="46"/>
      <c r="S601" s="46"/>
      <c r="T601" s="42"/>
      <c r="U601" s="42"/>
      <c r="V601" s="12"/>
      <c r="W601" s="42"/>
      <c r="X601" s="43"/>
      <c r="Y601" s="3"/>
      <c r="Z601" s="3"/>
      <c r="AA601" s="3"/>
      <c r="AB601" s="3"/>
      <c r="AC601" s="3"/>
      <c r="AD601" s="3"/>
      <c r="AE601" s="3"/>
      <c r="AF601" s="3"/>
      <c r="AG601" s="3"/>
      <c r="AH601" s="42"/>
      <c r="AI601" s="42"/>
      <c r="AJ601" s="42"/>
      <c r="AK601" s="42"/>
      <c r="AL601" s="3"/>
      <c r="AM601" s="3"/>
      <c r="AN601" s="3"/>
      <c r="AO601" s="3"/>
      <c r="AP601" s="3"/>
      <c r="AQ601" s="42"/>
      <c r="AR601" s="42"/>
      <c r="AS601" s="3"/>
      <c r="AT601" s="3"/>
      <c r="AU601" s="3"/>
      <c r="AV601" s="3"/>
      <c r="AW601" s="3"/>
      <c r="AX601" s="42"/>
      <c r="AY601" s="71"/>
      <c r="AZ601" s="3"/>
      <c r="BA601" s="3"/>
      <c r="BB601" s="3"/>
      <c r="BC601" s="3"/>
      <c r="BD601" s="40"/>
      <c r="BE601" s="40"/>
      <c r="BF601" s="40"/>
      <c r="BG601" s="40"/>
      <c r="BH601" s="40"/>
      <c r="BI601" s="49"/>
      <c r="BJ601" s="49"/>
      <c r="BK601" s="66"/>
      <c r="BL601" s="66"/>
      <c r="BM601" s="51"/>
      <c r="BN601" s="51"/>
      <c r="BO601" s="52"/>
      <c r="BP601" s="40"/>
      <c r="BQ601" s="40"/>
      <c r="BR601" s="42"/>
      <c r="BS601" s="54" t="s">
        <v>110</v>
      </c>
      <c r="BT601" s="3"/>
      <c r="BU601" s="40"/>
      <c r="BV601" s="3"/>
      <c r="BW601" s="3"/>
      <c r="BX601" s="42"/>
      <c r="BY601" s="42"/>
      <c r="BZ601" s="42"/>
      <c r="CA601" s="42"/>
      <c r="CB601" s="42" t="s">
        <v>110</v>
      </c>
      <c r="CC601" s="42" t="s">
        <v>110</v>
      </c>
      <c r="CD601" s="60"/>
      <c r="CE601" s="60"/>
      <c r="CF601" s="43"/>
      <c r="CG601" s="43"/>
      <c r="CH601" s="42"/>
      <c r="CI601" s="41">
        <v>13.1</v>
      </c>
      <c r="CJ601" s="40">
        <f>VLOOKUP(paper3[[#This Row],[YYIR nivå]],$DB:$DC,2)</f>
        <v>320</v>
      </c>
      <c r="CK601" s="3"/>
      <c r="CL601" s="62"/>
      <c r="CM601" s="63" t="s">
        <v>110</v>
      </c>
      <c r="CN601" s="3"/>
      <c r="CO601" s="3"/>
      <c r="CP601" s="41">
        <v>13.31</v>
      </c>
      <c r="CQ601" s="3" t="s">
        <v>110</v>
      </c>
      <c r="CR601" s="40" t="s">
        <v>110</v>
      </c>
      <c r="CS601" s="40" t="s">
        <v>110</v>
      </c>
      <c r="CT601" s="40" t="s">
        <v>110</v>
      </c>
      <c r="CU601" s="40"/>
      <c r="CV601" s="40"/>
      <c r="CW601" s="40"/>
      <c r="CX601" s="40"/>
      <c r="CY601" s="40">
        <v>0</v>
      </c>
      <c r="CZ601" s="40"/>
      <c r="DA601" s="40"/>
    </row>
    <row r="602" spans="1:105" ht="18.75" customHeight="1">
      <c r="A602" s="3">
        <v>431</v>
      </c>
      <c r="B602" s="38" t="s">
        <v>103</v>
      </c>
      <c r="C602" s="3" t="s">
        <v>104</v>
      </c>
      <c r="D602" s="3" t="s">
        <v>215</v>
      </c>
      <c r="E602" s="39">
        <v>45015</v>
      </c>
      <c r="F602" s="3" t="s">
        <v>186</v>
      </c>
      <c r="G602" s="3" t="s">
        <v>122</v>
      </c>
      <c r="H602" s="3">
        <v>2009</v>
      </c>
      <c r="I602" s="40" t="s">
        <v>108</v>
      </c>
      <c r="J602" s="39" t="s">
        <v>123</v>
      </c>
      <c r="K602" s="46">
        <v>163.4</v>
      </c>
      <c r="L602" s="46">
        <v>164.1</v>
      </c>
      <c r="M602" s="46">
        <v>164.1</v>
      </c>
      <c r="N602" s="46">
        <v>139</v>
      </c>
      <c r="O602" s="46">
        <v>139.5</v>
      </c>
      <c r="P602" s="46">
        <v>139.4</v>
      </c>
      <c r="Q602" s="46">
        <v>52.9</v>
      </c>
      <c r="R602" s="46">
        <v>52.9</v>
      </c>
      <c r="S602" s="46">
        <v>52.9</v>
      </c>
      <c r="T602" s="42">
        <v>163.86666666666667</v>
      </c>
      <c r="U602" s="42">
        <f>AVERAGE(paper3[[#This Row],[Sittende høyde 1]:[Sittende høyde 3]])-56.2</f>
        <v>83.09999999999998</v>
      </c>
      <c r="V602" s="12">
        <f>paper3[[#This Row],[height]]-paper3[[#This Row],[sittingheight]]</f>
        <v>80.766666666666694</v>
      </c>
      <c r="W602" s="73">
        <v>52.9</v>
      </c>
      <c r="X602" s="43" cm="1">
        <f t="array" ref="X602">INDEX([1]!phvny[yphv], MATCH(1, (paper3[[#This Row],[id]]=[1]!phvny[id])*(paper3[[#This Row],[time]]=[1]!phvny[time]), 0))</f>
        <v>-0.17421352495482889</v>
      </c>
      <c r="Y602" s="3">
        <v>1.98</v>
      </c>
      <c r="Z602" s="3">
        <v>3.42</v>
      </c>
      <c r="AA602" s="3">
        <v>4.79</v>
      </c>
      <c r="AB602" s="3">
        <v>1.99</v>
      </c>
      <c r="AC602" s="3">
        <v>3.45</v>
      </c>
      <c r="AD602" s="3">
        <v>4.8600000000000003</v>
      </c>
      <c r="AE602" s="3">
        <v>1.99</v>
      </c>
      <c r="AF602" s="3">
        <v>3.45</v>
      </c>
      <c r="AG602" s="3">
        <v>4.87</v>
      </c>
      <c r="AH602" s="44">
        <v>1.98</v>
      </c>
      <c r="AI602" s="44">
        <v>3.42</v>
      </c>
      <c r="AJ602" s="44">
        <v>4.79</v>
      </c>
      <c r="AK602" s="45">
        <v>7.2992700729926998</v>
      </c>
      <c r="AL602" s="3">
        <v>10.97</v>
      </c>
      <c r="AM602" s="3">
        <v>10.84</v>
      </c>
      <c r="AN602" s="3"/>
      <c r="AO602" s="3">
        <v>10.8</v>
      </c>
      <c r="AP602" s="3">
        <v>10.8</v>
      </c>
      <c r="AQ602" s="47">
        <v>10.84</v>
      </c>
      <c r="AR602" s="47">
        <v>10.8</v>
      </c>
      <c r="AS602" s="3">
        <v>30.79</v>
      </c>
      <c r="AT602" s="3">
        <v>29.46</v>
      </c>
      <c r="AU602" s="3">
        <v>32.53</v>
      </c>
      <c r="AV602" s="3">
        <v>32.21</v>
      </c>
      <c r="AW602" s="3"/>
      <c r="AX602" s="48">
        <v>32.53</v>
      </c>
      <c r="AY602" s="71"/>
      <c r="AZ602" s="3">
        <v>9</v>
      </c>
      <c r="BA602" s="3">
        <v>240</v>
      </c>
      <c r="BB602" s="3">
        <v>11</v>
      </c>
      <c r="BC602" s="3">
        <v>262</v>
      </c>
      <c r="BD602" s="40">
        <v>1041.164155328298</v>
      </c>
      <c r="BE602" s="40">
        <v>993.75527231476849</v>
      </c>
      <c r="BF602" s="40"/>
      <c r="BG602" s="40">
        <v>379.96923091151916</v>
      </c>
      <c r="BH602" s="40">
        <v>374.15107655792849</v>
      </c>
      <c r="BI602" s="49">
        <v>2034.9194276430665</v>
      </c>
      <c r="BJ602" s="49">
        <v>754.12030746944765</v>
      </c>
      <c r="BK602" s="66">
        <v>4.7706798981905552E-2</v>
      </c>
      <c r="BL602" s="66">
        <v>1.5550280937625116E-2</v>
      </c>
      <c r="BM602" s="51">
        <v>38.467285966787649</v>
      </c>
      <c r="BN602" s="51">
        <v>14.255582371823207</v>
      </c>
      <c r="BO602" s="52">
        <v>229</v>
      </c>
      <c r="BP602" s="40">
        <v>229</v>
      </c>
      <c r="BQ602" s="40">
        <v>212</v>
      </c>
      <c r="BR602" s="67">
        <v>8.0188679245283057E-2</v>
      </c>
      <c r="BS602" s="54">
        <v>4.168241965973535</v>
      </c>
      <c r="BT602" s="3">
        <v>119</v>
      </c>
      <c r="BU602" s="40">
        <v>103</v>
      </c>
      <c r="BV602" s="3">
        <v>126</v>
      </c>
      <c r="BW602" s="3">
        <v>110</v>
      </c>
      <c r="BX602" s="70">
        <v>0.15533980582524265</v>
      </c>
      <c r="BY602" s="70">
        <v>0.1454545454545455</v>
      </c>
      <c r="BZ602" s="59">
        <v>0.9363636363636364</v>
      </c>
      <c r="CA602" s="59">
        <v>0.94444444444444442</v>
      </c>
      <c r="CB602" s="59">
        <v>1.6947258979206057</v>
      </c>
      <c r="CC602" s="59">
        <v>1.801600504095779</v>
      </c>
      <c r="CD602" s="60">
        <v>68</v>
      </c>
      <c r="CE602" s="60">
        <v>71</v>
      </c>
      <c r="CF602" s="61">
        <v>1.2854442344045369</v>
      </c>
      <c r="CG602" s="61">
        <v>1.3421550094517958</v>
      </c>
      <c r="CH602" s="61">
        <v>1.0441176470588234</v>
      </c>
      <c r="CI602" s="41">
        <v>14.2</v>
      </c>
      <c r="CJ602" s="40">
        <f>VLOOKUP(paper3[[#This Row],[YYIR nivå]],$DB:$DC,2)</f>
        <v>520</v>
      </c>
      <c r="CK602" s="3"/>
      <c r="CL602" s="62"/>
      <c r="CM602" s="63" t="s">
        <v>110</v>
      </c>
      <c r="CN602" s="3">
        <v>119</v>
      </c>
      <c r="CO602" s="3">
        <v>126</v>
      </c>
      <c r="CP602" s="41">
        <v>13.977777777777778</v>
      </c>
      <c r="CQ602" s="3" t="s">
        <v>110</v>
      </c>
      <c r="CR602" s="40">
        <v>111</v>
      </c>
      <c r="CS602" s="40">
        <v>118</v>
      </c>
      <c r="CT602" s="40">
        <v>220.5</v>
      </c>
      <c r="CU602" s="40"/>
      <c r="CV602" s="40"/>
      <c r="CW602" s="40"/>
      <c r="CX602" s="40"/>
      <c r="CY602" s="40">
        <v>0</v>
      </c>
      <c r="CZ602" s="40"/>
      <c r="DA602" s="40"/>
    </row>
    <row r="603" spans="1:105" ht="18.75" customHeight="1">
      <c r="A603" s="187">
        <v>434</v>
      </c>
      <c r="B603" s="38" t="s">
        <v>103</v>
      </c>
      <c r="C603" s="3" t="s">
        <v>115</v>
      </c>
      <c r="D603" s="3" t="s">
        <v>215</v>
      </c>
      <c r="E603" s="39">
        <v>44999</v>
      </c>
      <c r="F603" s="3" t="s">
        <v>186</v>
      </c>
      <c r="G603" s="3" t="s">
        <v>122</v>
      </c>
      <c r="H603" s="3">
        <v>2007</v>
      </c>
      <c r="I603" s="40" t="s">
        <v>116</v>
      </c>
      <c r="J603" s="39" t="s">
        <v>157</v>
      </c>
      <c r="K603" s="3">
        <v>183.9</v>
      </c>
      <c r="L603" s="3">
        <v>183.8</v>
      </c>
      <c r="M603" s="3"/>
      <c r="N603" s="3">
        <v>149.4</v>
      </c>
      <c r="O603" s="3">
        <v>149.6</v>
      </c>
      <c r="P603" s="3"/>
      <c r="Q603" s="3">
        <v>68.400000000000006</v>
      </c>
      <c r="R603" s="3"/>
      <c r="S603" s="3"/>
      <c r="T603" s="42">
        <v>183.85000000000002</v>
      </c>
      <c r="U603" s="42">
        <f>AVERAGE(paper3[[#This Row],[Sittende høyde 1]:[Sittende høyde 3]])-56.2</f>
        <v>93.3</v>
      </c>
      <c r="V603" s="12">
        <f>paper3[[#This Row],[height]]-paper3[[#This Row],[sittingheight]]</f>
        <v>90.550000000000026</v>
      </c>
      <c r="W603" s="73">
        <v>68.400000000000006</v>
      </c>
      <c r="X603" s="43" cm="1">
        <f t="array" ref="X603">INDEX([1]!phvny[yphv], MATCH(1, (paper3[[#This Row],[id]]=[1]!phvny[id])*(paper3[[#This Row],[time]]=[1]!phvny[time]), 0))</f>
        <v>2.1699409920025277</v>
      </c>
      <c r="Y603" s="3">
        <v>1.78</v>
      </c>
      <c r="Z603" s="3">
        <v>3.04</v>
      </c>
      <c r="AA603" s="3">
        <v>4.22</v>
      </c>
      <c r="AB603" s="3">
        <v>1.77</v>
      </c>
      <c r="AC603" s="3">
        <v>3</v>
      </c>
      <c r="AD603" s="3">
        <v>4.18</v>
      </c>
      <c r="AE603" s="60">
        <v>1.89</v>
      </c>
      <c r="AF603" s="60">
        <v>3.15</v>
      </c>
      <c r="AG603" s="72">
        <v>4.32</v>
      </c>
      <c r="AH603" s="44">
        <v>1.77</v>
      </c>
      <c r="AI603" s="44">
        <v>3</v>
      </c>
      <c r="AJ603" s="44">
        <v>4.18</v>
      </c>
      <c r="AK603" s="45">
        <v>8.474576271186443</v>
      </c>
      <c r="AL603" s="3">
        <v>9.74</v>
      </c>
      <c r="AM603" s="3">
        <v>9.56</v>
      </c>
      <c r="AN603" s="3">
        <v>9.73</v>
      </c>
      <c r="AO603" s="3">
        <v>9.59</v>
      </c>
      <c r="AP603" s="3">
        <v>9.56</v>
      </c>
      <c r="AQ603" s="47">
        <v>9.56</v>
      </c>
      <c r="AR603" s="47">
        <v>9.59</v>
      </c>
      <c r="AS603" s="3">
        <v>39.99</v>
      </c>
      <c r="AT603" s="3">
        <v>44.04</v>
      </c>
      <c r="AU603" s="3">
        <v>41.69</v>
      </c>
      <c r="AV603" s="3"/>
      <c r="AW603" s="3"/>
      <c r="AX603" s="48">
        <v>44.04</v>
      </c>
      <c r="AY603" s="3"/>
      <c r="AZ603" s="3"/>
      <c r="BA603" s="3"/>
      <c r="BB603" s="3"/>
      <c r="BC603" s="3"/>
      <c r="BD603" s="40">
        <v>1288.8915170682594</v>
      </c>
      <c r="BE603" s="40">
        <v>1259.3765004058744</v>
      </c>
      <c r="BF603" s="40"/>
      <c r="BG603" s="40">
        <v>536.45364103850261</v>
      </c>
      <c r="BH603" s="40">
        <v>525.39946974902455</v>
      </c>
      <c r="BI603" s="49">
        <v>2548.2680174741336</v>
      </c>
      <c r="BJ603" s="49">
        <v>1061.8531107875272</v>
      </c>
      <c r="BK603" s="66">
        <v>2.3436213596865541E-2</v>
      </c>
      <c r="BL603" s="66">
        <v>2.1039555473397087E-2</v>
      </c>
      <c r="BM603" s="51">
        <v>37.255380372428853</v>
      </c>
      <c r="BN603" s="51">
        <v>15.524168286367354</v>
      </c>
      <c r="BO603" s="52">
        <v>407</v>
      </c>
      <c r="BP603" s="40">
        <v>407</v>
      </c>
      <c r="BQ603" s="40">
        <v>380</v>
      </c>
      <c r="BR603" s="67">
        <v>7.1052631578947478E-2</v>
      </c>
      <c r="BS603" s="54">
        <v>5.7529239766081863</v>
      </c>
      <c r="BT603" s="3">
        <v>158</v>
      </c>
      <c r="BU603" s="40">
        <v>147</v>
      </c>
      <c r="BV603" s="3">
        <v>131</v>
      </c>
      <c r="BW603" s="3">
        <v>136</v>
      </c>
      <c r="BX603" s="70">
        <v>7.4829931972789199E-2</v>
      </c>
      <c r="BY603" s="70">
        <v>-3.6764705882352922E-2</v>
      </c>
      <c r="BZ603" s="59">
        <v>1.0808823529411764</v>
      </c>
      <c r="CA603" s="59">
        <v>1.2061068702290076</v>
      </c>
      <c r="CB603" s="59">
        <v>2.0188413742690061</v>
      </c>
      <c r="CC603" s="59">
        <v>1.7673135964912285</v>
      </c>
      <c r="CD603" s="60">
        <v>123</v>
      </c>
      <c r="CE603" s="60">
        <v>215</v>
      </c>
      <c r="CF603" s="61">
        <v>1.7982456140350875</v>
      </c>
      <c r="CG603" s="61">
        <v>3.1432748538011692</v>
      </c>
      <c r="CH603" s="61">
        <v>1.7479674796747968</v>
      </c>
      <c r="CI603" s="41">
        <v>14.4</v>
      </c>
      <c r="CJ603" s="40">
        <f>VLOOKUP(paper3[[#This Row],[YYIR nivå]],$DB:$DC,2)</f>
        <v>600</v>
      </c>
      <c r="CK603" s="3" t="s">
        <v>193</v>
      </c>
      <c r="CL603" s="62"/>
      <c r="CM603" s="63" t="s">
        <v>110</v>
      </c>
      <c r="CN603" s="3">
        <v>158</v>
      </c>
      <c r="CO603" s="3">
        <v>136</v>
      </c>
      <c r="CP603" s="41">
        <v>15.813888888888888</v>
      </c>
      <c r="CQ603" s="3" t="s">
        <v>110</v>
      </c>
      <c r="CR603" s="40">
        <v>152.5</v>
      </c>
      <c r="CS603" s="40">
        <v>133.5</v>
      </c>
      <c r="CT603" s="40">
        <v>393.5</v>
      </c>
      <c r="CU603" s="40"/>
      <c r="CV603" s="40"/>
      <c r="CW603" s="40"/>
      <c r="CX603" s="40"/>
      <c r="CY603" s="40">
        <v>0</v>
      </c>
      <c r="CZ603" s="40"/>
      <c r="DA603" s="40"/>
    </row>
    <row r="604" spans="1:105" ht="18.75" customHeight="1">
      <c r="A604" s="187">
        <v>436</v>
      </c>
      <c r="B604" s="38" t="s">
        <v>103</v>
      </c>
      <c r="C604" s="3" t="s">
        <v>115</v>
      </c>
      <c r="D604" s="3" t="s">
        <v>215</v>
      </c>
      <c r="E604" s="39">
        <v>44999</v>
      </c>
      <c r="F604" s="3" t="s">
        <v>186</v>
      </c>
      <c r="G604" s="3" t="s">
        <v>122</v>
      </c>
      <c r="H604" s="3">
        <v>2007</v>
      </c>
      <c r="I604" s="40" t="s">
        <v>116</v>
      </c>
      <c r="J604" s="39" t="s">
        <v>157</v>
      </c>
      <c r="K604" s="3">
        <v>176.3</v>
      </c>
      <c r="L604" s="3">
        <v>176.6</v>
      </c>
      <c r="M604" s="3">
        <v>176.5</v>
      </c>
      <c r="N604" s="3">
        <v>145.9</v>
      </c>
      <c r="O604" s="3">
        <v>146</v>
      </c>
      <c r="P604" s="3"/>
      <c r="Q604" s="3">
        <v>90.6</v>
      </c>
      <c r="R604" s="3"/>
      <c r="S604" s="3"/>
      <c r="T604" s="42">
        <v>176.46666666666667</v>
      </c>
      <c r="U604" s="42">
        <f>AVERAGE(paper3[[#This Row],[Sittende høyde 1]:[Sittende høyde 3]])-56.2</f>
        <v>89.749999999999986</v>
      </c>
      <c r="V604" s="12">
        <f>paper3[[#This Row],[height]]-paper3[[#This Row],[sittingheight]]</f>
        <v>86.716666666666683</v>
      </c>
      <c r="W604" s="73">
        <v>90.6</v>
      </c>
      <c r="X604" s="43" cm="1">
        <f t="array" ref="X604">INDEX([1]!phvny[yphv], MATCH(1, (paper3[[#This Row],[id]]=[1]!phvny[id])*(paper3[[#This Row],[time]]=[1]!phvny[time]), 0))</f>
        <v>2.0500063342914725</v>
      </c>
      <c r="Y604" s="3">
        <v>2.02</v>
      </c>
      <c r="Z604" s="3">
        <v>3.48</v>
      </c>
      <c r="AA604" s="3">
        <v>4.8600000000000003</v>
      </c>
      <c r="AB604" s="3">
        <v>2.1</v>
      </c>
      <c r="AC604" s="3">
        <v>3.6</v>
      </c>
      <c r="AD604" s="3">
        <v>5.0199999999999996</v>
      </c>
      <c r="AE604" s="60">
        <v>2.12</v>
      </c>
      <c r="AF604" s="60">
        <v>3.58</v>
      </c>
      <c r="AG604" s="72">
        <v>4.99</v>
      </c>
      <c r="AH604" s="44">
        <v>2.02</v>
      </c>
      <c r="AI604" s="44">
        <v>3.48</v>
      </c>
      <c r="AJ604" s="44">
        <v>4.8600000000000003</v>
      </c>
      <c r="AK604" s="45">
        <v>7.2463768115942013</v>
      </c>
      <c r="AL604" s="3">
        <v>10.199999999999999</v>
      </c>
      <c r="AM604" s="3">
        <v>10.37</v>
      </c>
      <c r="AN604" s="3">
        <v>10.66</v>
      </c>
      <c r="AO604" s="3">
        <v>10.94</v>
      </c>
      <c r="AP604" s="3">
        <v>10.199999999999999</v>
      </c>
      <c r="AQ604" s="47">
        <v>10.199999999999999</v>
      </c>
      <c r="AR604" s="47">
        <v>10.66</v>
      </c>
      <c r="AS604" s="3">
        <v>26.81</v>
      </c>
      <c r="AT604" s="3">
        <v>29.18</v>
      </c>
      <c r="AU604" s="3">
        <v>30.02</v>
      </c>
      <c r="AV604" s="3">
        <v>29.81</v>
      </c>
      <c r="AW604" s="3"/>
      <c r="AX604" s="48">
        <v>30.02</v>
      </c>
      <c r="AY604" s="3"/>
      <c r="AZ604" s="3"/>
      <c r="BA604" s="3"/>
      <c r="BB604" s="3"/>
      <c r="BC604" s="3"/>
      <c r="BD604" s="40">
        <v>1325.7241667593939</v>
      </c>
      <c r="BE604" s="40">
        <v>1275.3991464225599</v>
      </c>
      <c r="BF604" s="40"/>
      <c r="BG604" s="40">
        <v>609.04112292589923</v>
      </c>
      <c r="BH604" s="40">
        <v>588.37414423679934</v>
      </c>
      <c r="BI604" s="49">
        <v>2601.1233131819536</v>
      </c>
      <c r="BJ604" s="49">
        <v>1197.4152671626985</v>
      </c>
      <c r="BK604" s="66">
        <v>3.945825154265914E-2</v>
      </c>
      <c r="BL604" s="66">
        <v>3.5125572548582618E-2</v>
      </c>
      <c r="BM604" s="51">
        <v>28.709970344171676</v>
      </c>
      <c r="BN604" s="51">
        <v>13.216504052568416</v>
      </c>
      <c r="BO604" s="52">
        <v>411</v>
      </c>
      <c r="BP604" s="40">
        <v>411</v>
      </c>
      <c r="BQ604" s="40">
        <v>362</v>
      </c>
      <c r="BR604" s="67">
        <v>0.13535911602209949</v>
      </c>
      <c r="BS604" s="54">
        <v>4.2660044150110377</v>
      </c>
      <c r="BT604" s="3">
        <v>120</v>
      </c>
      <c r="BU604" s="40">
        <v>129</v>
      </c>
      <c r="BV604" s="3">
        <v>160</v>
      </c>
      <c r="BW604" s="3">
        <v>166</v>
      </c>
      <c r="BX604" s="70">
        <v>-6.9767441860465129E-2</v>
      </c>
      <c r="BY604" s="70">
        <v>-3.6144578313253017E-2</v>
      </c>
      <c r="BZ604" s="59">
        <v>0.77710843373493976</v>
      </c>
      <c r="CA604" s="59">
        <v>0.75</v>
      </c>
      <c r="CB604" s="59">
        <v>1.1916363134657839</v>
      </c>
      <c r="CC604" s="59">
        <v>1.5601342899190584</v>
      </c>
      <c r="CD604" s="60">
        <v>154</v>
      </c>
      <c r="CE604" s="60">
        <v>145</v>
      </c>
      <c r="CF604" s="61">
        <v>1.6997792494481236</v>
      </c>
      <c r="CG604" s="61">
        <v>1.6004415011037529</v>
      </c>
      <c r="CH604" s="61">
        <v>0.94155844155844171</v>
      </c>
      <c r="CI604" s="41"/>
      <c r="CJ604" s="40"/>
      <c r="CK604" s="3"/>
      <c r="CL604" s="62"/>
      <c r="CM604" s="63" t="s">
        <v>110</v>
      </c>
      <c r="CN604" s="3">
        <v>129</v>
      </c>
      <c r="CO604" s="3">
        <v>166</v>
      </c>
      <c r="CP604" s="41">
        <v>15.894444444444444</v>
      </c>
      <c r="CQ604" s="3" t="s">
        <v>110</v>
      </c>
      <c r="CR604" s="40">
        <v>124.5</v>
      </c>
      <c r="CS604" s="40">
        <v>163</v>
      </c>
      <c r="CT604" s="40">
        <v>386.5</v>
      </c>
      <c r="CU604" s="40"/>
      <c r="CV604" s="40"/>
      <c r="CW604" s="40"/>
      <c r="CX604" s="40"/>
      <c r="CY604" s="40">
        <v>0</v>
      </c>
      <c r="CZ604" s="40"/>
      <c r="DA604" s="40"/>
    </row>
    <row r="605" spans="1:105" ht="18.75" customHeight="1">
      <c r="A605" s="187">
        <v>437</v>
      </c>
      <c r="B605" s="38" t="s">
        <v>103</v>
      </c>
      <c r="C605" s="3" t="s">
        <v>115</v>
      </c>
      <c r="D605" s="3" t="s">
        <v>215</v>
      </c>
      <c r="E605" s="39">
        <v>44999</v>
      </c>
      <c r="F605" s="3" t="s">
        <v>186</v>
      </c>
      <c r="G605" s="3" t="s">
        <v>122</v>
      </c>
      <c r="H605" s="3">
        <v>2007</v>
      </c>
      <c r="I605" s="40" t="s">
        <v>116</v>
      </c>
      <c r="J605" s="39" t="s">
        <v>157</v>
      </c>
      <c r="K605" s="3">
        <v>173</v>
      </c>
      <c r="L605" s="3">
        <v>173</v>
      </c>
      <c r="M605" s="3"/>
      <c r="N605" s="3">
        <v>146</v>
      </c>
      <c r="O605" s="3">
        <v>146.5</v>
      </c>
      <c r="P605" s="3">
        <v>146.5</v>
      </c>
      <c r="Q605" s="3">
        <v>63.6</v>
      </c>
      <c r="R605" s="3"/>
      <c r="S605" s="3"/>
      <c r="T605" s="42">
        <v>173</v>
      </c>
      <c r="U605" s="42">
        <f>AVERAGE(paper3[[#This Row],[Sittende høyde 1]:[Sittende høyde 3]])-56.2</f>
        <v>90.13333333333334</v>
      </c>
      <c r="V605" s="12">
        <f>paper3[[#This Row],[height]]-paper3[[#This Row],[sittingheight]]</f>
        <v>82.86666666666666</v>
      </c>
      <c r="W605" s="73">
        <v>63.6</v>
      </c>
      <c r="X605" s="43" cm="1">
        <f t="array" ref="X605">INDEX([1]!phvny[yphv], MATCH(1, (paper3[[#This Row],[id]]=[1]!phvny[id])*(paper3[[#This Row],[time]]=[1]!phvny[time]), 0))</f>
        <v>1.9318394969670318</v>
      </c>
      <c r="Y605" s="3">
        <v>1.75</v>
      </c>
      <c r="Z605" s="3">
        <v>3.03</v>
      </c>
      <c r="AA605" s="3">
        <v>4.21</v>
      </c>
      <c r="AB605" s="3">
        <v>1.74</v>
      </c>
      <c r="AC605" s="3">
        <v>3.03</v>
      </c>
      <c r="AD605" s="3">
        <v>4.21</v>
      </c>
      <c r="AE605" s="3">
        <v>1.84</v>
      </c>
      <c r="AF605" s="3">
        <v>3.15</v>
      </c>
      <c r="AG605" s="46">
        <v>4.3499999999999996</v>
      </c>
      <c r="AH605" s="44">
        <v>1.74</v>
      </c>
      <c r="AI605" s="44">
        <v>3.03</v>
      </c>
      <c r="AJ605" s="44">
        <v>4.21</v>
      </c>
      <c r="AK605" s="45">
        <v>8.4745762711864394</v>
      </c>
      <c r="AL605" s="3"/>
      <c r="AM605" s="118" t="s">
        <v>231</v>
      </c>
      <c r="AN605" s="3"/>
      <c r="AO605" s="3"/>
      <c r="AP605" s="3"/>
      <c r="AQ605" s="47"/>
      <c r="AR605" s="47"/>
      <c r="AS605" s="3">
        <v>41.65</v>
      </c>
      <c r="AT605" s="3">
        <v>37.97</v>
      </c>
      <c r="AU605" s="3">
        <v>40.54</v>
      </c>
      <c r="AV605" s="3"/>
      <c r="AW605" s="3"/>
      <c r="AX605" s="48">
        <v>41.65</v>
      </c>
      <c r="AY605" s="3"/>
      <c r="AZ605" s="3"/>
      <c r="BA605" s="3"/>
      <c r="BB605" s="3"/>
      <c r="BC605" s="3"/>
      <c r="BD605" s="40">
        <v>1143.085315165531</v>
      </c>
      <c r="BE605" s="40">
        <v>1139.6550133744158</v>
      </c>
      <c r="BF605" s="40"/>
      <c r="BG605" s="40">
        <v>611.94533399622344</v>
      </c>
      <c r="BH605" s="40">
        <v>601.2783888677609</v>
      </c>
      <c r="BI605" s="49">
        <v>2282.7403285399469</v>
      </c>
      <c r="BJ605" s="49">
        <v>1213.2237228639842</v>
      </c>
      <c r="BK605" s="66">
        <v>3.0099475287335142E-3</v>
      </c>
      <c r="BL605" s="66">
        <v>1.7740443238861481E-2</v>
      </c>
      <c r="BM605" s="51">
        <v>35.89214353050231</v>
      </c>
      <c r="BN605" s="51">
        <v>19.075844699119248</v>
      </c>
      <c r="BO605" s="52">
        <v>234</v>
      </c>
      <c r="BP605" s="40">
        <v>234</v>
      </c>
      <c r="BQ605" s="40">
        <v>228</v>
      </c>
      <c r="BR605" s="67">
        <v>2.6315789473684292E-2</v>
      </c>
      <c r="BS605" s="54">
        <v>3.632075471698113</v>
      </c>
      <c r="BT605" s="3">
        <v>192</v>
      </c>
      <c r="BU605" s="40">
        <v>194</v>
      </c>
      <c r="BV605" s="3">
        <v>146</v>
      </c>
      <c r="BW605" s="3">
        <v>146</v>
      </c>
      <c r="BX605" s="70">
        <v>-1.0309278350515427E-2</v>
      </c>
      <c r="BY605" s="70">
        <v>0</v>
      </c>
      <c r="BZ605" s="59">
        <v>1.3287671232876712</v>
      </c>
      <c r="CA605" s="59">
        <v>1.3150684931506849</v>
      </c>
      <c r="CB605" s="59">
        <v>2.5146645702306074</v>
      </c>
      <c r="CC605" s="59">
        <v>1.9022851153039828</v>
      </c>
      <c r="CD605" s="60">
        <v>162</v>
      </c>
      <c r="CE605" s="60">
        <v>136</v>
      </c>
      <c r="CF605" s="61">
        <v>2.5471698113207548</v>
      </c>
      <c r="CG605" s="61">
        <v>2.1383647798742138</v>
      </c>
      <c r="CH605" s="61">
        <v>0.83950617283950613</v>
      </c>
      <c r="CI605" s="41"/>
      <c r="CJ605" s="40"/>
      <c r="CK605" s="3"/>
      <c r="CL605" s="62"/>
      <c r="CM605" s="63" t="s">
        <v>110</v>
      </c>
      <c r="CN605" s="3">
        <v>194</v>
      </c>
      <c r="CO605" s="3">
        <v>146</v>
      </c>
      <c r="CP605" s="41">
        <v>16.197222222222223</v>
      </c>
      <c r="CQ605" s="3" t="s">
        <v>110</v>
      </c>
      <c r="CR605" s="40">
        <v>193</v>
      </c>
      <c r="CS605" s="40">
        <v>146</v>
      </c>
      <c r="CT605" s="40">
        <v>231</v>
      </c>
      <c r="CU605" s="40"/>
      <c r="CV605" s="40"/>
      <c r="CW605" s="40"/>
      <c r="CX605" s="40"/>
      <c r="CY605" s="40">
        <v>0</v>
      </c>
      <c r="CZ605" s="40"/>
      <c r="DA605" s="40"/>
    </row>
    <row r="606" spans="1:105" ht="18.75" customHeight="1">
      <c r="A606" s="187">
        <v>438</v>
      </c>
      <c r="B606" s="38" t="s">
        <v>103</v>
      </c>
      <c r="C606" s="3" t="s">
        <v>115</v>
      </c>
      <c r="D606" s="3" t="s">
        <v>215</v>
      </c>
      <c r="E606" s="39">
        <v>44999</v>
      </c>
      <c r="F606" s="3" t="s">
        <v>186</v>
      </c>
      <c r="G606" s="3" t="s">
        <v>122</v>
      </c>
      <c r="H606" s="3">
        <v>2007</v>
      </c>
      <c r="I606" s="40" t="s">
        <v>116</v>
      </c>
      <c r="J606" s="39" t="s">
        <v>157</v>
      </c>
      <c r="K606" s="3">
        <v>177.9</v>
      </c>
      <c r="L606" s="3">
        <v>177.7</v>
      </c>
      <c r="M606" s="3"/>
      <c r="N606" s="3">
        <v>149.6</v>
      </c>
      <c r="O606" s="3">
        <v>150</v>
      </c>
      <c r="P606" s="3">
        <v>149.80000000000001</v>
      </c>
      <c r="Q606" s="3">
        <v>85.2</v>
      </c>
      <c r="R606" s="3"/>
      <c r="S606" s="3"/>
      <c r="T606" s="42">
        <v>177.8</v>
      </c>
      <c r="U606" s="42">
        <f>AVERAGE(paper3[[#This Row],[Sittende høyde 1]:[Sittende høyde 3]])-56.2</f>
        <v>93.600000000000009</v>
      </c>
      <c r="V606" s="12">
        <f>paper3[[#This Row],[height]]-paper3[[#This Row],[sittingheight]]</f>
        <v>84.2</v>
      </c>
      <c r="W606" s="73">
        <v>85.2</v>
      </c>
      <c r="X606" s="43" cm="1">
        <f t="array" ref="X606">INDEX([1]!phvny[yphv], MATCH(1, (paper3[[#This Row],[id]]=[1]!phvny[id])*(paper3[[#This Row],[time]]=[1]!phvny[time]), 0))</f>
        <v>2.396232296924885</v>
      </c>
      <c r="Y606" s="3">
        <v>1.89</v>
      </c>
      <c r="Z606" s="3">
        <v>3.26</v>
      </c>
      <c r="AA606" s="3">
        <v>4.57</v>
      </c>
      <c r="AB606" s="3">
        <v>1.91</v>
      </c>
      <c r="AC606" s="3">
        <v>3.3</v>
      </c>
      <c r="AD606" s="3">
        <v>4.6399999999999997</v>
      </c>
      <c r="AE606" s="3">
        <v>2.02</v>
      </c>
      <c r="AF606" s="3">
        <v>3.44</v>
      </c>
      <c r="AG606" s="46">
        <v>4.74</v>
      </c>
      <c r="AH606" s="44">
        <v>1.89</v>
      </c>
      <c r="AI606" s="44">
        <v>3.26</v>
      </c>
      <c r="AJ606" s="44">
        <v>4.57</v>
      </c>
      <c r="AK606" s="45">
        <v>7.6335877862595387</v>
      </c>
      <c r="AL606" s="46"/>
      <c r="AM606" s="46" t="s">
        <v>223</v>
      </c>
      <c r="AN606" s="3"/>
      <c r="AO606" s="3"/>
      <c r="AP606" s="3"/>
      <c r="AQ606" s="47"/>
      <c r="AR606" s="47"/>
      <c r="AS606" s="3">
        <v>32.4</v>
      </c>
      <c r="AT606" s="3">
        <v>31.08</v>
      </c>
      <c r="AU606" s="3">
        <v>31.86</v>
      </c>
      <c r="AV606" s="3"/>
      <c r="AW606" s="3"/>
      <c r="AX606" s="48">
        <v>32.4</v>
      </c>
      <c r="AY606" s="3"/>
      <c r="AZ606" s="3"/>
      <c r="BA606" s="3"/>
      <c r="BB606" s="3"/>
      <c r="BC606" s="3"/>
      <c r="BD606" s="40">
        <v>1273.20719838276</v>
      </c>
      <c r="BE606" s="40">
        <v>1235.2356926853529</v>
      </c>
      <c r="BF606" s="40"/>
      <c r="BG606" s="40">
        <v>655.36708263131891</v>
      </c>
      <c r="BH606" s="40">
        <v>647.60633994839634</v>
      </c>
      <c r="BI606" s="49">
        <v>2508.4428910681127</v>
      </c>
      <c r="BJ606" s="49">
        <v>1302.9734225797151</v>
      </c>
      <c r="BK606" s="66">
        <v>3.07402918505848E-2</v>
      </c>
      <c r="BL606" s="66">
        <v>1.1983734877488939E-2</v>
      </c>
      <c r="BM606" s="51">
        <v>29.441817970283012</v>
      </c>
      <c r="BN606" s="51">
        <v>15.293115288494308</v>
      </c>
      <c r="BO606" s="52">
        <v>399</v>
      </c>
      <c r="BP606" s="40">
        <v>372</v>
      </c>
      <c r="BQ606" s="40">
        <v>399</v>
      </c>
      <c r="BR606" s="67">
        <v>-6.7669172932330879E-2</v>
      </c>
      <c r="BS606" s="54">
        <v>4.5246478873239431</v>
      </c>
      <c r="BT606" s="3">
        <v>157</v>
      </c>
      <c r="BU606" s="40">
        <v>161</v>
      </c>
      <c r="BV606" s="3">
        <v>159</v>
      </c>
      <c r="BW606" s="3">
        <v>157</v>
      </c>
      <c r="BX606" s="70">
        <v>-2.4844720496894457E-2</v>
      </c>
      <c r="BY606" s="70">
        <v>1.2738853503184711E-2</v>
      </c>
      <c r="BZ606" s="59">
        <v>1.0254777070063694</v>
      </c>
      <c r="CA606" s="59">
        <v>0.98742138364779874</v>
      </c>
      <c r="CB606" s="59">
        <v>1.5713380281690141</v>
      </c>
      <c r="CC606" s="59">
        <v>1.5614553990610329</v>
      </c>
      <c r="CD606" s="60">
        <v>143</v>
      </c>
      <c r="CE606" s="60">
        <v>142</v>
      </c>
      <c r="CF606" s="61">
        <v>1.6784037558685445</v>
      </c>
      <c r="CG606" s="61">
        <v>1.6666666666666665</v>
      </c>
      <c r="CH606" s="61">
        <v>0.99300699300699302</v>
      </c>
      <c r="CI606" s="41">
        <v>14.4</v>
      </c>
      <c r="CJ606" s="40">
        <f>VLOOKUP(paper3[[#This Row],[YYIR nivå]],$DB:$DC,2)</f>
        <v>600</v>
      </c>
      <c r="CK606" s="3" t="s">
        <v>193</v>
      </c>
      <c r="CL606" s="62"/>
      <c r="CM606" s="63" t="s">
        <v>110</v>
      </c>
      <c r="CN606" s="3">
        <v>161</v>
      </c>
      <c r="CO606" s="3">
        <v>159</v>
      </c>
      <c r="CP606" s="41">
        <v>15.688888888888888</v>
      </c>
      <c r="CQ606" s="3" t="s">
        <v>110</v>
      </c>
      <c r="CR606" s="40">
        <v>159</v>
      </c>
      <c r="CS606" s="40">
        <v>158</v>
      </c>
      <c r="CT606" s="40">
        <v>385.5</v>
      </c>
      <c r="CU606" s="40"/>
      <c r="CV606" s="40"/>
      <c r="CW606" s="40"/>
      <c r="CX606" s="40"/>
      <c r="CY606" s="40">
        <v>0</v>
      </c>
      <c r="CZ606" s="40"/>
      <c r="DA606" s="40"/>
    </row>
    <row r="607" spans="1:105" ht="18.75" customHeight="1">
      <c r="A607" s="187">
        <v>440</v>
      </c>
      <c r="B607" s="38" t="s">
        <v>103</v>
      </c>
      <c r="C607" s="3" t="s">
        <v>115</v>
      </c>
      <c r="D607" s="3" t="s">
        <v>215</v>
      </c>
      <c r="E607" s="39">
        <v>44999</v>
      </c>
      <c r="F607" s="3" t="s">
        <v>186</v>
      </c>
      <c r="G607" s="3" t="s">
        <v>122</v>
      </c>
      <c r="H607" s="3">
        <v>2007</v>
      </c>
      <c r="I607" s="40" t="s">
        <v>116</v>
      </c>
      <c r="J607" s="39" t="s">
        <v>157</v>
      </c>
      <c r="K607" s="3">
        <v>176</v>
      </c>
      <c r="L607" s="3">
        <v>176</v>
      </c>
      <c r="M607" s="3"/>
      <c r="N607" s="3">
        <v>145.80000000000001</v>
      </c>
      <c r="O607" s="3">
        <v>145.9</v>
      </c>
      <c r="P607" s="3"/>
      <c r="Q607" s="3">
        <v>64.2</v>
      </c>
      <c r="R607" s="3"/>
      <c r="S607" s="3"/>
      <c r="T607" s="42">
        <v>176</v>
      </c>
      <c r="U607" s="42">
        <f>AVERAGE(paper3[[#This Row],[Sittende høyde 1]:[Sittende høyde 3]])-56.2</f>
        <v>89.65000000000002</v>
      </c>
      <c r="V607" s="12">
        <f>paper3[[#This Row],[height]]-paper3[[#This Row],[sittingheight]]</f>
        <v>86.34999999999998</v>
      </c>
      <c r="W607" s="73">
        <v>64.2</v>
      </c>
      <c r="X607" s="43" cm="1">
        <f t="array" ref="X607">INDEX([1]!phvny[yphv], MATCH(1, (paper3[[#This Row],[id]]=[1]!phvny[id])*(paper3[[#This Row],[time]]=[1]!phvny[time]), 0))</f>
        <v>1.4879827949924285</v>
      </c>
      <c r="Y607" s="3"/>
      <c r="Z607" s="3"/>
      <c r="AA607" s="3"/>
      <c r="AB607" s="3"/>
      <c r="AC607" s="3"/>
      <c r="AD607" s="3"/>
      <c r="AE607" s="3"/>
      <c r="AF607" s="3"/>
      <c r="AG607" s="46"/>
      <c r="AH607" s="44"/>
      <c r="AI607" s="44"/>
      <c r="AJ607" s="44"/>
      <c r="AK607" s="45"/>
      <c r="AL607" s="3"/>
      <c r="AM607" s="3"/>
      <c r="AN607" s="3"/>
      <c r="AO607" s="3"/>
      <c r="AP607" s="3"/>
      <c r="AQ607" s="47"/>
      <c r="AR607" s="47"/>
      <c r="AS607" s="3">
        <v>40.340000000000003</v>
      </c>
      <c r="AT607" s="3">
        <v>41.89</v>
      </c>
      <c r="AU607" s="3">
        <v>41.95</v>
      </c>
      <c r="AV607" s="3">
        <v>40.76</v>
      </c>
      <c r="AW607" s="3"/>
      <c r="AX607" s="48">
        <v>41.95</v>
      </c>
      <c r="AY607" s="3"/>
      <c r="AZ607" s="3"/>
      <c r="BA607" s="3"/>
      <c r="BB607" s="3"/>
      <c r="BC607" s="3"/>
      <c r="BD607" s="40">
        <v>913.45357436312997</v>
      </c>
      <c r="BE607" s="40">
        <v>896.11661671818251</v>
      </c>
      <c r="BF607" s="40"/>
      <c r="BG607" s="40">
        <v>439.55060604334932</v>
      </c>
      <c r="BH607" s="40">
        <v>409.15287558400541</v>
      </c>
      <c r="BI607" s="49">
        <v>1809.5701910813125</v>
      </c>
      <c r="BJ607" s="49">
        <v>848.70348162735468</v>
      </c>
      <c r="BK607" s="66">
        <v>1.9346765054351955E-2</v>
      </c>
      <c r="BL607" s="66">
        <v>7.4294309714811657E-2</v>
      </c>
      <c r="BM607" s="51">
        <v>28.186451574475271</v>
      </c>
      <c r="BN607" s="51">
        <v>13.219680399179978</v>
      </c>
      <c r="BO607" s="52"/>
      <c r="BP607" s="40"/>
      <c r="BQ607" s="40"/>
      <c r="BR607" s="67"/>
      <c r="BS607" s="54" t="s">
        <v>110</v>
      </c>
      <c r="BT607" s="3">
        <v>150</v>
      </c>
      <c r="BU607" s="40">
        <v>152</v>
      </c>
      <c r="BV607" s="3">
        <v>163</v>
      </c>
      <c r="BW607" s="3">
        <v>159</v>
      </c>
      <c r="BX607" s="70">
        <v>-1.3157894736842146E-2</v>
      </c>
      <c r="BY607" s="70">
        <v>2.515723270440251E-2</v>
      </c>
      <c r="BZ607" s="59">
        <v>0.95597484276729561</v>
      </c>
      <c r="CA607" s="59">
        <v>0.92024539877300615</v>
      </c>
      <c r="CB607" s="59">
        <v>2.0309735202492205</v>
      </c>
      <c r="CC607" s="59">
        <v>2.1654750778816196</v>
      </c>
      <c r="CD607" s="60">
        <v>123</v>
      </c>
      <c r="CE607" s="60">
        <v>158</v>
      </c>
      <c r="CF607" s="61">
        <v>1.9158878504672896</v>
      </c>
      <c r="CG607" s="61">
        <v>2.4610591900311527</v>
      </c>
      <c r="CH607" s="61">
        <v>1.2845528455284554</v>
      </c>
      <c r="CI607" s="41">
        <v>15.1</v>
      </c>
      <c r="CJ607" s="40">
        <f>VLOOKUP(paper3[[#This Row],[YYIR nivå]],$DB:$DC,2)</f>
        <v>800</v>
      </c>
      <c r="CK607" s="3" t="s">
        <v>193</v>
      </c>
      <c r="CL607" s="62"/>
      <c r="CM607" s="63" t="s">
        <v>110</v>
      </c>
      <c r="CN607" s="3">
        <v>152</v>
      </c>
      <c r="CO607" s="3">
        <v>163</v>
      </c>
      <c r="CP607" s="41">
        <v>15.480555555555556</v>
      </c>
      <c r="CQ607" s="3" t="s">
        <v>110</v>
      </c>
      <c r="CR607" s="40">
        <v>151</v>
      </c>
      <c r="CS607" s="40">
        <v>161</v>
      </c>
      <c r="CT607" s="40" t="s">
        <v>110</v>
      </c>
      <c r="CU607" s="40"/>
      <c r="CV607" s="40"/>
      <c r="CW607" s="40"/>
      <c r="CX607" s="40"/>
      <c r="CY607" s="40">
        <v>0</v>
      </c>
      <c r="CZ607" s="40"/>
      <c r="DA607" s="40"/>
    </row>
    <row r="608" spans="1:105" ht="18.75" customHeight="1">
      <c r="A608" s="187">
        <v>441</v>
      </c>
      <c r="B608" s="38" t="s">
        <v>103</v>
      </c>
      <c r="C608" s="3" t="s">
        <v>115</v>
      </c>
      <c r="D608" s="3" t="s">
        <v>215</v>
      </c>
      <c r="E608" s="39">
        <v>44999</v>
      </c>
      <c r="F608" s="3" t="s">
        <v>186</v>
      </c>
      <c r="G608" s="3" t="s">
        <v>122</v>
      </c>
      <c r="H608" s="3">
        <v>2007</v>
      </c>
      <c r="I608" s="40" t="s">
        <v>116</v>
      </c>
      <c r="J608" s="39" t="s">
        <v>157</v>
      </c>
      <c r="K608" s="3">
        <v>186.9</v>
      </c>
      <c r="L608" s="3">
        <v>186.7</v>
      </c>
      <c r="M608" s="3"/>
      <c r="N608" s="3">
        <v>151.9</v>
      </c>
      <c r="O608" s="3">
        <v>152</v>
      </c>
      <c r="P608" s="3"/>
      <c r="Q608" s="3">
        <v>66.099999999999994</v>
      </c>
      <c r="R608" s="3"/>
      <c r="S608" s="3"/>
      <c r="T608" s="42">
        <v>186.8</v>
      </c>
      <c r="U608" s="42">
        <f>AVERAGE(paper3[[#This Row],[Sittende høyde 1]:[Sittende høyde 3]])-56.2</f>
        <v>95.749999999999986</v>
      </c>
      <c r="V608" s="12">
        <f>paper3[[#This Row],[height]]-paper3[[#This Row],[sittingheight]]</f>
        <v>91.050000000000026</v>
      </c>
      <c r="W608" s="73">
        <v>66.099999999999994</v>
      </c>
      <c r="X608" s="43" cm="1">
        <f t="array" ref="X608">INDEX([1]!phvny[yphv], MATCH(1, (paper3[[#This Row],[id]]=[1]!phvny[id])*(paper3[[#This Row],[time]]=[1]!phvny[time]), 0))</f>
        <v>2.5051889004086338</v>
      </c>
      <c r="Y608" s="3">
        <v>1.76</v>
      </c>
      <c r="Z608" s="3">
        <v>3.03</v>
      </c>
      <c r="AA608" s="3">
        <v>4.2300000000000004</v>
      </c>
      <c r="AB608" s="3">
        <v>1.73</v>
      </c>
      <c r="AC608" s="3">
        <v>2.99</v>
      </c>
      <c r="AD608" s="3">
        <v>4.1500000000000004</v>
      </c>
      <c r="AE608" s="3">
        <v>1.85</v>
      </c>
      <c r="AF608" s="3">
        <v>3.13</v>
      </c>
      <c r="AG608" s="46">
        <v>4.3600000000000003</v>
      </c>
      <c r="AH608" s="44">
        <v>1.73</v>
      </c>
      <c r="AI608" s="44">
        <v>2.99</v>
      </c>
      <c r="AJ608" s="44">
        <v>4.1500000000000004</v>
      </c>
      <c r="AK608" s="45">
        <v>8.6206896551724128</v>
      </c>
      <c r="AL608" s="3">
        <v>9.6300000000000008</v>
      </c>
      <c r="AM608" s="3">
        <v>9.4700000000000006</v>
      </c>
      <c r="AN608" s="3">
        <v>9.39</v>
      </c>
      <c r="AO608" s="3">
        <v>9.48</v>
      </c>
      <c r="AP608" s="3">
        <v>9.39</v>
      </c>
      <c r="AQ608" s="47"/>
      <c r="AR608" s="47"/>
      <c r="AS608" s="3">
        <v>42.58</v>
      </c>
      <c r="AT608" s="3">
        <v>45.56</v>
      </c>
      <c r="AU608" s="3">
        <v>46.17</v>
      </c>
      <c r="AV608" s="3">
        <v>44.2</v>
      </c>
      <c r="AW608" s="3"/>
      <c r="AX608" s="48">
        <v>46.17</v>
      </c>
      <c r="AY608" s="3"/>
      <c r="AZ608" s="3"/>
      <c r="BA608" s="3"/>
      <c r="BB608" s="3"/>
      <c r="BC608" s="3"/>
      <c r="BD608" s="40">
        <v>1098.1974977507045</v>
      </c>
      <c r="BE608" s="40">
        <v>1096.6700924314514</v>
      </c>
      <c r="BF608" s="40"/>
      <c r="BG608" s="40">
        <v>640.70700141698228</v>
      </c>
      <c r="BH608" s="40">
        <v>639.19970229848252</v>
      </c>
      <c r="BI608" s="49">
        <v>2194.8675901821562</v>
      </c>
      <c r="BJ608" s="49">
        <v>1279.9067037154648</v>
      </c>
      <c r="BK608" s="66">
        <v>1.3927664571089515E-3</v>
      </c>
      <c r="BL608" s="66">
        <v>2.358103599046979E-3</v>
      </c>
      <c r="BM608" s="51">
        <v>33.205258550410839</v>
      </c>
      <c r="BN608" s="51">
        <v>19.363187650763464</v>
      </c>
      <c r="BO608" s="52">
        <v>319</v>
      </c>
      <c r="BP608" s="40">
        <v>319</v>
      </c>
      <c r="BQ608" s="40">
        <v>306</v>
      </c>
      <c r="BR608" s="67">
        <v>4.2483660130719025E-2</v>
      </c>
      <c r="BS608" s="54">
        <v>4.7276853252647504</v>
      </c>
      <c r="BT608" s="3">
        <v>172</v>
      </c>
      <c r="BU608" s="40">
        <v>168</v>
      </c>
      <c r="BV608" s="3">
        <v>121</v>
      </c>
      <c r="BW608" s="3">
        <v>129</v>
      </c>
      <c r="BX608" s="70">
        <v>2.3809523809523725E-2</v>
      </c>
      <c r="BY608" s="70">
        <v>-6.2015503875968991E-2</v>
      </c>
      <c r="BZ608" s="59">
        <v>1.3023255813953489</v>
      </c>
      <c r="CA608" s="59">
        <v>1.4214876033057851</v>
      </c>
      <c r="CB608" s="59">
        <v>2.3416792738275349</v>
      </c>
      <c r="CC608" s="59">
        <v>1.7218229954614228</v>
      </c>
      <c r="CD608" s="60">
        <v>115</v>
      </c>
      <c r="CE608" s="60">
        <v>96</v>
      </c>
      <c r="CF608" s="61">
        <v>1.7397881996974283</v>
      </c>
      <c r="CG608" s="61">
        <v>1.4523449319213315</v>
      </c>
      <c r="CH608" s="61">
        <v>0.83478260869565224</v>
      </c>
      <c r="CI608" s="41">
        <v>15.2</v>
      </c>
      <c r="CJ608" s="40">
        <f>VLOOKUP(paper3[[#This Row],[YYIR nivå]],$DB:$DC,2)</f>
        <v>840</v>
      </c>
      <c r="CK608" s="3" t="s">
        <v>193</v>
      </c>
      <c r="CL608" s="62"/>
      <c r="CM608" s="63" t="s">
        <v>110</v>
      </c>
      <c r="CN608" s="3">
        <v>172</v>
      </c>
      <c r="CO608" s="3">
        <v>129</v>
      </c>
      <c r="CP608" s="41">
        <v>15.883333333333333</v>
      </c>
      <c r="CQ608" s="3" t="s">
        <v>110</v>
      </c>
      <c r="CR608" s="40">
        <v>170</v>
      </c>
      <c r="CS608" s="40">
        <v>125</v>
      </c>
      <c r="CT608" s="40">
        <v>312.5</v>
      </c>
      <c r="CU608" s="40"/>
      <c r="CV608" s="40"/>
      <c r="CW608" s="40"/>
      <c r="CX608" s="40"/>
      <c r="CY608" s="40">
        <v>0</v>
      </c>
      <c r="CZ608" s="40"/>
      <c r="DA608" s="40"/>
    </row>
    <row r="609" spans="1:105" ht="18.75" customHeight="1">
      <c r="A609" s="187">
        <v>442</v>
      </c>
      <c r="B609" s="38" t="s">
        <v>103</v>
      </c>
      <c r="C609" s="3" t="s">
        <v>115</v>
      </c>
      <c r="D609" s="3" t="s">
        <v>215</v>
      </c>
      <c r="E609" s="39">
        <v>44999</v>
      </c>
      <c r="F609" s="3" t="s">
        <v>186</v>
      </c>
      <c r="G609" s="3" t="s">
        <v>122</v>
      </c>
      <c r="H609" s="3">
        <v>2007</v>
      </c>
      <c r="I609" s="40" t="s">
        <v>116</v>
      </c>
      <c r="J609" s="39" t="s">
        <v>157</v>
      </c>
      <c r="K609" s="3">
        <v>182.2</v>
      </c>
      <c r="L609" s="3">
        <v>182.3</v>
      </c>
      <c r="M609" s="3"/>
      <c r="N609" s="3">
        <v>147.9</v>
      </c>
      <c r="O609" s="3">
        <v>147.9</v>
      </c>
      <c r="P609" s="3"/>
      <c r="Q609" s="3">
        <v>66.400000000000006</v>
      </c>
      <c r="R609" s="3"/>
      <c r="S609" s="3"/>
      <c r="T609" s="42">
        <v>182.25</v>
      </c>
      <c r="U609" s="42">
        <f>AVERAGE(paper3[[#This Row],[Sittende høyde 1]:[Sittende høyde 3]])-56.2</f>
        <v>91.7</v>
      </c>
      <c r="V609" s="12">
        <f>paper3[[#This Row],[height]]-paper3[[#This Row],[sittingheight]]</f>
        <v>90.55</v>
      </c>
      <c r="W609" s="73">
        <v>66.400000000000006</v>
      </c>
      <c r="X609" s="43" cm="1">
        <f t="array" ref="X609">INDEX([1]!phvny[yphv], MATCH(1, (paper3[[#This Row],[id]]=[1]!phvny[id])*(paper3[[#This Row],[time]]=[1]!phvny[time]), 0))</f>
        <v>1.7018751936995877</v>
      </c>
      <c r="Y609" s="3">
        <v>1.8</v>
      </c>
      <c r="Z609" s="3">
        <v>3.11</v>
      </c>
      <c r="AA609" s="3">
        <v>4.34</v>
      </c>
      <c r="AB609" s="3">
        <v>1.81</v>
      </c>
      <c r="AC609" s="3">
        <v>3.12</v>
      </c>
      <c r="AD609" s="3">
        <v>4.3600000000000003</v>
      </c>
      <c r="AE609" s="3"/>
      <c r="AF609" s="3"/>
      <c r="AG609" s="46"/>
      <c r="AH609" s="44">
        <v>1.8</v>
      </c>
      <c r="AI609" s="44">
        <v>3.11</v>
      </c>
      <c r="AJ609" s="44">
        <v>4.34</v>
      </c>
      <c r="AK609" s="45">
        <v>8.1300813008130088</v>
      </c>
      <c r="AL609" s="3">
        <v>10.14</v>
      </c>
      <c r="AM609" s="46" t="s">
        <v>232</v>
      </c>
      <c r="AN609" s="3"/>
      <c r="AO609" s="3"/>
      <c r="AP609" s="3"/>
      <c r="AQ609" s="47"/>
      <c r="AR609" s="47"/>
      <c r="AS609" s="3">
        <v>32.35</v>
      </c>
      <c r="AT609" s="3">
        <v>31.95</v>
      </c>
      <c r="AU609" s="3">
        <v>32.049999999999997</v>
      </c>
      <c r="AV609" s="3"/>
      <c r="AW609" s="3"/>
      <c r="AX609" s="48">
        <v>32.35</v>
      </c>
      <c r="AY609" s="3"/>
      <c r="AZ609" s="3"/>
      <c r="BA609" s="3"/>
      <c r="BB609" s="3"/>
      <c r="BC609" s="3"/>
      <c r="BD609" s="40">
        <v>964.79642126005479</v>
      </c>
      <c r="BE609" s="40">
        <v>964.85299510984532</v>
      </c>
      <c r="BF609" s="40"/>
      <c r="BG609" s="40">
        <v>519.59192319318572</v>
      </c>
      <c r="BH609" s="40">
        <v>519.75137630284974</v>
      </c>
      <c r="BI609" s="49">
        <v>1929.6494163699001</v>
      </c>
      <c r="BJ609" s="49">
        <v>1039.3432994960353</v>
      </c>
      <c r="BK609" s="66">
        <v>-5.8634683290925693E-5</v>
      </c>
      <c r="BL609" s="66">
        <v>-3.0678727740607314E-4</v>
      </c>
      <c r="BM609" s="51">
        <v>29.060985186293674</v>
      </c>
      <c r="BN609" s="51">
        <v>15.652760534578844</v>
      </c>
      <c r="BO609" s="52">
        <v>399</v>
      </c>
      <c r="BP609" s="40">
        <v>399</v>
      </c>
      <c r="BQ609" s="40">
        <v>364</v>
      </c>
      <c r="BR609" s="67">
        <v>9.6153846153846256E-2</v>
      </c>
      <c r="BS609" s="54">
        <v>5.7454819277108431</v>
      </c>
      <c r="BT609" s="3">
        <v>180</v>
      </c>
      <c r="BU609" s="40">
        <v>182</v>
      </c>
      <c r="BV609" s="3">
        <v>146</v>
      </c>
      <c r="BW609" s="3">
        <v>153</v>
      </c>
      <c r="BX609" s="70">
        <v>-1.098901098901095E-2</v>
      </c>
      <c r="BY609" s="70">
        <v>-4.5751633986928053E-2</v>
      </c>
      <c r="BZ609" s="59">
        <v>1.1895424836601307</v>
      </c>
      <c r="CA609" s="59">
        <v>1.2328767123287672</v>
      </c>
      <c r="CB609" s="59">
        <v>2.4683057228915661</v>
      </c>
      <c r="CC609" s="59">
        <v>2.0387387048192771</v>
      </c>
      <c r="CD609" s="60">
        <v>128</v>
      </c>
      <c r="CE609" s="60">
        <v>115</v>
      </c>
      <c r="CF609" s="61">
        <v>1.9277108433734937</v>
      </c>
      <c r="CG609" s="61">
        <v>1.7319277108433733</v>
      </c>
      <c r="CH609" s="61">
        <v>0.8984375</v>
      </c>
      <c r="CI609" s="41">
        <v>14.4</v>
      </c>
      <c r="CJ609" s="40">
        <f>VLOOKUP(paper3[[#This Row],[YYIR nivå]],$DB:$DC,2)</f>
        <v>600</v>
      </c>
      <c r="CK609" s="3" t="s">
        <v>193</v>
      </c>
      <c r="CL609" s="62"/>
      <c r="CM609" s="63" t="s">
        <v>110</v>
      </c>
      <c r="CN609" s="3">
        <v>182</v>
      </c>
      <c r="CO609" s="3">
        <v>153</v>
      </c>
      <c r="CP609" s="41">
        <v>15.366666666666667</v>
      </c>
      <c r="CQ609" s="3" t="s">
        <v>110</v>
      </c>
      <c r="CR609" s="40">
        <v>181</v>
      </c>
      <c r="CS609" s="40">
        <v>149.5</v>
      </c>
      <c r="CT609" s="40">
        <v>381.5</v>
      </c>
      <c r="CU609" s="40"/>
      <c r="CV609" s="40"/>
      <c r="CW609" s="40"/>
      <c r="CX609" s="40"/>
      <c r="CY609" s="40">
        <v>0</v>
      </c>
      <c r="CZ609" s="40"/>
      <c r="DA609" s="40"/>
    </row>
    <row r="610" spans="1:105" ht="18.75" customHeight="1">
      <c r="A610" s="3">
        <v>447</v>
      </c>
      <c r="B610" s="38" t="s">
        <v>103</v>
      </c>
      <c r="C610" s="3" t="s">
        <v>115</v>
      </c>
      <c r="D610" s="3" t="s">
        <v>215</v>
      </c>
      <c r="E610" s="39">
        <v>45014</v>
      </c>
      <c r="F610" s="3" t="s">
        <v>186</v>
      </c>
      <c r="G610" s="3" t="s">
        <v>107</v>
      </c>
      <c r="H610" s="3">
        <v>2009</v>
      </c>
      <c r="I610" s="40" t="s">
        <v>108</v>
      </c>
      <c r="J610" s="39" t="s">
        <v>109</v>
      </c>
      <c r="K610" s="3">
        <v>161.6</v>
      </c>
      <c r="L610" s="3">
        <v>161.6</v>
      </c>
      <c r="M610" s="3"/>
      <c r="N610" s="3">
        <v>139.69999999999999</v>
      </c>
      <c r="O610" s="3">
        <v>139.80000000000001</v>
      </c>
      <c r="P610" s="3"/>
      <c r="Q610" s="3">
        <v>53.2</v>
      </c>
      <c r="R610" s="3">
        <v>53.2</v>
      </c>
      <c r="S610" s="3"/>
      <c r="T610" s="42">
        <v>161.6</v>
      </c>
      <c r="U610" s="42">
        <f>AVERAGE(paper3[[#This Row],[Sittende høyde 1]:[Sittende høyde 3]])-56.2</f>
        <v>83.55</v>
      </c>
      <c r="V610" s="12">
        <f>paper3[[#This Row],[height]]-paper3[[#This Row],[sittingheight]]</f>
        <v>78.05</v>
      </c>
      <c r="W610" s="73">
        <v>53.2</v>
      </c>
      <c r="X610" s="43" cm="1">
        <f t="array" ref="X610">INDEX([1]!phvny[yphv], MATCH(1, (paper3[[#This Row],[id]]=[1]!phvny[id])*(paper3[[#This Row],[time]]=[1]!phvny[time]), 0))</f>
        <v>1.5093228550145761</v>
      </c>
      <c r="Y610" s="3"/>
      <c r="Z610" s="3"/>
      <c r="AA610" s="3">
        <v>5.18</v>
      </c>
      <c r="AB610" s="3"/>
      <c r="AC610" s="3"/>
      <c r="AD610" s="3">
        <v>5.15</v>
      </c>
      <c r="AE610" s="3"/>
      <c r="AF610" s="3"/>
      <c r="AG610" s="3">
        <v>5.17</v>
      </c>
      <c r="AH610" s="44"/>
      <c r="AI610" s="44"/>
      <c r="AJ610" s="44">
        <v>5.15</v>
      </c>
      <c r="AK610" s="45"/>
      <c r="AL610" s="3">
        <v>11.19</v>
      </c>
      <c r="AM610" s="3">
        <v>11.06</v>
      </c>
      <c r="AN610" s="3">
        <v>11.23</v>
      </c>
      <c r="AO610" s="3">
        <v>11.03</v>
      </c>
      <c r="AP610" s="3">
        <v>11.03</v>
      </c>
      <c r="AQ610" s="47"/>
      <c r="AR610" s="47"/>
      <c r="AS610" s="3">
        <v>28.12</v>
      </c>
      <c r="AT610" s="3">
        <v>27.65</v>
      </c>
      <c r="AU610" s="3">
        <v>27.38</v>
      </c>
      <c r="AV610" s="3"/>
      <c r="AW610" s="3"/>
      <c r="AX610" s="48">
        <v>28.12</v>
      </c>
      <c r="AY610" s="71"/>
      <c r="AZ610" s="3">
        <v>7</v>
      </c>
      <c r="BA610" s="3">
        <v>200</v>
      </c>
      <c r="BB610" s="3">
        <v>8</v>
      </c>
      <c r="BC610" s="3">
        <v>181</v>
      </c>
      <c r="BD610" s="40">
        <v>812.59980435430657</v>
      </c>
      <c r="BE610" s="40">
        <v>763.0868334616456</v>
      </c>
      <c r="BF610" s="40"/>
      <c r="BG610" s="40">
        <v>331.16560696544684</v>
      </c>
      <c r="BH610" s="40">
        <v>299.20799875456976</v>
      </c>
      <c r="BI610" s="49">
        <v>1575.6866378159521</v>
      </c>
      <c r="BJ610" s="49">
        <v>630.3736057200166</v>
      </c>
      <c r="BK610" s="66">
        <v>6.4885107069731163E-2</v>
      </c>
      <c r="BL610" s="66">
        <v>0.1068073325041381</v>
      </c>
      <c r="BM610" s="51">
        <v>29.618169883758494</v>
      </c>
      <c r="BN610" s="51">
        <v>11.849127927067981</v>
      </c>
      <c r="BO610" s="52">
        <v>196</v>
      </c>
      <c r="BP610" s="40">
        <v>195</v>
      </c>
      <c r="BQ610" s="40">
        <v>196</v>
      </c>
      <c r="BR610" s="67">
        <v>-5.1020408163264808E-3</v>
      </c>
      <c r="BS610" s="54">
        <v>3.6748120300751879</v>
      </c>
      <c r="BT610" s="3">
        <v>98</v>
      </c>
      <c r="BU610" s="40">
        <v>98</v>
      </c>
      <c r="BV610" s="3">
        <v>97</v>
      </c>
      <c r="BW610" s="3">
        <v>94</v>
      </c>
      <c r="BX610" s="70">
        <v>0</v>
      </c>
      <c r="BY610" s="70">
        <v>3.1914893617021267E-2</v>
      </c>
      <c r="BZ610" s="59">
        <v>1.0425531914893618</v>
      </c>
      <c r="CA610" s="59">
        <v>1.0103092783505154</v>
      </c>
      <c r="CB610" s="59">
        <v>1.4377631578947367</v>
      </c>
      <c r="CC610" s="59">
        <v>1.4010855263157895</v>
      </c>
      <c r="CD610" s="60">
        <v>61</v>
      </c>
      <c r="CE610" s="60">
        <v>80</v>
      </c>
      <c r="CF610" s="61">
        <v>1.1466165413533833</v>
      </c>
      <c r="CG610" s="61">
        <v>1.5037593984962405</v>
      </c>
      <c r="CH610" s="61">
        <v>1.3114754098360657</v>
      </c>
      <c r="CI610" s="41">
        <v>13.2</v>
      </c>
      <c r="CJ610" s="40">
        <f>VLOOKUP(paper3[[#This Row],[YYIR nivå]],$DB:$DC,2)</f>
        <v>360</v>
      </c>
      <c r="CK610" s="3" t="s">
        <v>188</v>
      </c>
      <c r="CL610" s="62"/>
      <c r="CM610" s="63" t="s">
        <v>110</v>
      </c>
      <c r="CN610" s="3">
        <v>98</v>
      </c>
      <c r="CO610" s="3">
        <v>97</v>
      </c>
      <c r="CP610" s="41">
        <v>13.747222222222222</v>
      </c>
      <c r="CQ610" s="3" t="s">
        <v>110</v>
      </c>
      <c r="CR610" s="40">
        <v>98</v>
      </c>
      <c r="CS610" s="40">
        <v>95.5</v>
      </c>
      <c r="CT610" s="40">
        <v>195.5</v>
      </c>
      <c r="CU610" s="40"/>
      <c r="CV610" s="40"/>
      <c r="CW610" s="40"/>
      <c r="CX610" s="40"/>
      <c r="CY610" s="40">
        <v>0</v>
      </c>
      <c r="CZ610" s="40"/>
      <c r="DA610" s="84"/>
    </row>
    <row r="611" spans="1:105" ht="18.75" customHeight="1">
      <c r="A611" s="3">
        <v>448</v>
      </c>
      <c r="B611" s="38" t="s">
        <v>103</v>
      </c>
      <c r="C611" s="3" t="s">
        <v>115</v>
      </c>
      <c r="D611" s="3" t="s">
        <v>215</v>
      </c>
      <c r="E611" s="39">
        <v>45042</v>
      </c>
      <c r="F611" s="3" t="s">
        <v>186</v>
      </c>
      <c r="G611" s="3" t="s">
        <v>107</v>
      </c>
      <c r="H611" s="3">
        <v>2009</v>
      </c>
      <c r="I611" s="40" t="s">
        <v>108</v>
      </c>
      <c r="J611" s="39" t="s">
        <v>109</v>
      </c>
      <c r="K611" s="3">
        <v>155.6</v>
      </c>
      <c r="L611" s="3">
        <v>155.69999999999999</v>
      </c>
      <c r="M611" s="3"/>
      <c r="N611" s="3">
        <v>138.5</v>
      </c>
      <c r="O611" s="3">
        <v>138.5</v>
      </c>
      <c r="P611" s="3"/>
      <c r="Q611" s="3">
        <v>67.099999999999994</v>
      </c>
      <c r="R611" s="3"/>
      <c r="S611" s="3"/>
      <c r="T611" s="42">
        <v>155.64999999999998</v>
      </c>
      <c r="U611" s="42">
        <f>AVERAGE(paper3[[#This Row],[Sittende høyde 1]:[Sittende høyde 3]])-56.2</f>
        <v>82.3</v>
      </c>
      <c r="V611" s="12">
        <f>paper3[[#This Row],[height]]-paper3[[#This Row],[sittingheight]]</f>
        <v>73.34999999999998</v>
      </c>
      <c r="W611" s="73">
        <v>67.099999999999994</v>
      </c>
      <c r="X611" s="43" cm="1">
        <f t="array" ref="X611">INDEX([1]!phvny[yphv], MATCH(1, (paper3[[#This Row],[id]]=[1]!phvny[id])*(paper3[[#This Row],[time]]=[1]!phvny[time]), 0))</f>
        <v>1.6924418421307421</v>
      </c>
      <c r="Y611" s="3">
        <v>2.35</v>
      </c>
      <c r="Z611" s="3">
        <v>4.0999999999999996</v>
      </c>
      <c r="AA611" s="3">
        <v>5.9</v>
      </c>
      <c r="AB611" s="3">
        <v>2.35</v>
      </c>
      <c r="AC611" s="3">
        <v>4.13</v>
      </c>
      <c r="AD611" s="3">
        <v>5.98</v>
      </c>
      <c r="AE611" s="3">
        <v>2.33</v>
      </c>
      <c r="AF611" s="3">
        <v>4.12</v>
      </c>
      <c r="AG611" s="3">
        <v>5.93</v>
      </c>
      <c r="AH611" s="44">
        <v>2.33</v>
      </c>
      <c r="AI611" s="44">
        <v>4.0999999999999996</v>
      </c>
      <c r="AJ611" s="44">
        <v>5.9</v>
      </c>
      <c r="AK611" s="45">
        <v>5.5555555555555536</v>
      </c>
      <c r="AL611" s="3"/>
      <c r="AM611" s="3">
        <v>13</v>
      </c>
      <c r="AN611" s="3">
        <v>13.39</v>
      </c>
      <c r="AO611" s="3">
        <v>13.13</v>
      </c>
      <c r="AP611" s="3">
        <v>13</v>
      </c>
      <c r="AQ611" s="47">
        <v>13</v>
      </c>
      <c r="AR611" s="47">
        <v>13.13</v>
      </c>
      <c r="AS611" s="3">
        <v>19.350000000000001</v>
      </c>
      <c r="AT611" s="3">
        <v>19.79</v>
      </c>
      <c r="AU611" s="3">
        <v>20.61</v>
      </c>
      <c r="AV611" s="3">
        <v>20.63</v>
      </c>
      <c r="AW611" s="3"/>
      <c r="AX611" s="48">
        <v>20.63</v>
      </c>
      <c r="AY611" s="71">
        <v>190</v>
      </c>
      <c r="AZ611" s="3">
        <v>8</v>
      </c>
      <c r="BA611" s="3">
        <v>185</v>
      </c>
      <c r="BB611" s="3">
        <v>10</v>
      </c>
      <c r="BC611" s="3">
        <v>201</v>
      </c>
      <c r="BD611" s="40">
        <v>956.92446579279613</v>
      </c>
      <c r="BE611" s="40">
        <v>915.27452278886824</v>
      </c>
      <c r="BF611" s="40"/>
      <c r="BG611" s="40">
        <v>317.61707992384993</v>
      </c>
      <c r="BH611" s="40">
        <v>304.82334056610409</v>
      </c>
      <c r="BI611" s="49">
        <v>1872.1989885816643</v>
      </c>
      <c r="BJ611" s="49">
        <v>622.44042048995402</v>
      </c>
      <c r="BK611" s="66">
        <v>4.5505410635728438E-2</v>
      </c>
      <c r="BL611" s="66">
        <v>4.1970996492545209E-2</v>
      </c>
      <c r="BM611" s="51">
        <v>27.901624270963701</v>
      </c>
      <c r="BN611" s="51">
        <v>9.2763102904613124</v>
      </c>
      <c r="BO611" s="52">
        <v>221</v>
      </c>
      <c r="BP611" s="40">
        <v>221</v>
      </c>
      <c r="BQ611" s="40">
        <v>204</v>
      </c>
      <c r="BR611" s="67">
        <v>8.3333333333333259E-2</v>
      </c>
      <c r="BS611" s="54">
        <v>3.1669150521609541</v>
      </c>
      <c r="BT611" s="3">
        <v>68</v>
      </c>
      <c r="BU611" s="40">
        <v>70</v>
      </c>
      <c r="BV611" s="3">
        <v>84</v>
      </c>
      <c r="BW611" s="3">
        <v>88</v>
      </c>
      <c r="BX611" s="70">
        <v>-2.8571428571428581E-2</v>
      </c>
      <c r="BY611" s="70">
        <v>-4.5454545454545414E-2</v>
      </c>
      <c r="BZ611" s="59">
        <v>0.79545454545454541</v>
      </c>
      <c r="CA611" s="59">
        <v>0.80952380952380953</v>
      </c>
      <c r="CB611" s="59">
        <v>0.75426974664679569</v>
      </c>
      <c r="CC611" s="59">
        <v>0.9401043219076004</v>
      </c>
      <c r="CD611" s="60">
        <v>77</v>
      </c>
      <c r="CE611" s="60">
        <v>69</v>
      </c>
      <c r="CF611" s="61">
        <v>1.1475409836065575</v>
      </c>
      <c r="CG611" s="61">
        <v>1.0283159463487332</v>
      </c>
      <c r="CH611" s="61">
        <v>0.89610389610389596</v>
      </c>
      <c r="CI611" s="41">
        <v>12.1</v>
      </c>
      <c r="CJ611" s="40">
        <f>VLOOKUP(paper3[[#This Row],[YYIR nivå]],$DB:$DC,2)</f>
        <v>200</v>
      </c>
      <c r="CK611" s="3"/>
      <c r="CL611" s="62"/>
      <c r="CM611" s="63" t="s">
        <v>110</v>
      </c>
      <c r="CN611" s="3">
        <v>70</v>
      </c>
      <c r="CO611" s="3">
        <v>88</v>
      </c>
      <c r="CP611" s="41">
        <v>14.266666666666667</v>
      </c>
      <c r="CQ611" s="3" t="s">
        <v>110</v>
      </c>
      <c r="CR611" s="40">
        <v>69</v>
      </c>
      <c r="CS611" s="40">
        <v>86</v>
      </c>
      <c r="CT611" s="40">
        <v>212.5</v>
      </c>
      <c r="CU611" s="40"/>
      <c r="CV611" s="40"/>
      <c r="CW611" s="40"/>
      <c r="CX611" s="40"/>
      <c r="CY611" s="40">
        <v>0</v>
      </c>
      <c r="CZ611" s="40"/>
      <c r="DA611" s="40"/>
    </row>
    <row r="612" spans="1:105" ht="18.75" customHeight="1">
      <c r="A612" s="3">
        <v>449</v>
      </c>
      <c r="B612" s="38" t="s">
        <v>103</v>
      </c>
      <c r="C612" s="3" t="s">
        <v>115</v>
      </c>
      <c r="D612" s="3" t="s">
        <v>215</v>
      </c>
      <c r="E612" s="39">
        <v>45042</v>
      </c>
      <c r="F612" s="3" t="s">
        <v>186</v>
      </c>
      <c r="G612" s="3" t="s">
        <v>107</v>
      </c>
      <c r="H612" s="3">
        <v>2009</v>
      </c>
      <c r="I612" s="40" t="s">
        <v>108</v>
      </c>
      <c r="J612" s="39" t="s">
        <v>109</v>
      </c>
      <c r="K612" s="3">
        <v>162.9</v>
      </c>
      <c r="L612" s="3">
        <v>163</v>
      </c>
      <c r="M612" s="3"/>
      <c r="N612" s="3">
        <v>138.4</v>
      </c>
      <c r="O612" s="3">
        <v>138.5</v>
      </c>
      <c r="P612" s="3"/>
      <c r="Q612" s="3">
        <v>49.5</v>
      </c>
      <c r="R612" s="3"/>
      <c r="S612" s="3"/>
      <c r="T612" s="42">
        <v>162.94999999999999</v>
      </c>
      <c r="U612" s="42">
        <f>AVERAGE(paper3[[#This Row],[Sittende høyde 1]:[Sittende høyde 3]])-56.2</f>
        <v>82.249999999999986</v>
      </c>
      <c r="V612" s="12">
        <f>paper3[[#This Row],[height]]-paper3[[#This Row],[sittingheight]]</f>
        <v>80.7</v>
      </c>
      <c r="W612" s="73">
        <v>49.5</v>
      </c>
      <c r="X612" s="43" cm="1">
        <f t="array" ref="X612">INDEX([1]!phvny[yphv], MATCH(1, (paper3[[#This Row],[id]]=[1]!phvny[id])*(paper3[[#This Row],[time]]=[1]!phvny[time]), 0))</f>
        <v>1.450930340861716</v>
      </c>
      <c r="Y612" s="3">
        <v>2.11</v>
      </c>
      <c r="Z612" s="3">
        <v>3.67</v>
      </c>
      <c r="AA612" s="3">
        <v>5.31</v>
      </c>
      <c r="AB612" s="3">
        <v>2.12</v>
      </c>
      <c r="AC612" s="3">
        <v>3.7</v>
      </c>
      <c r="AD612" s="3">
        <v>5.29</v>
      </c>
      <c r="AE612" s="3">
        <v>2.11</v>
      </c>
      <c r="AF612" s="3">
        <v>3.71</v>
      </c>
      <c r="AG612" s="3">
        <v>5.34</v>
      </c>
      <c r="AH612" s="44">
        <v>2.11</v>
      </c>
      <c r="AI612" s="44">
        <v>3.67</v>
      </c>
      <c r="AJ612" s="44">
        <v>5.29</v>
      </c>
      <c r="AK612" s="45">
        <v>6.1728395061728394</v>
      </c>
      <c r="AL612" s="3">
        <v>12.16</v>
      </c>
      <c r="AM612" s="3">
        <v>11.55</v>
      </c>
      <c r="AN612" s="3">
        <v>12.26</v>
      </c>
      <c r="AO612" s="3">
        <v>11.54</v>
      </c>
      <c r="AP612" s="3">
        <v>11.54</v>
      </c>
      <c r="AQ612" s="47">
        <v>11.55</v>
      </c>
      <c r="AR612" s="47">
        <v>11.54</v>
      </c>
      <c r="AS612" s="46">
        <v>32.44</v>
      </c>
      <c r="AT612" s="3">
        <v>28.25</v>
      </c>
      <c r="AU612" s="3">
        <v>28.08</v>
      </c>
      <c r="AV612" s="3">
        <v>28.4</v>
      </c>
      <c r="AW612" s="46">
        <v>30.33</v>
      </c>
      <c r="AX612" s="48">
        <v>32.44</v>
      </c>
      <c r="AY612" s="71">
        <v>140</v>
      </c>
      <c r="AZ612" s="3">
        <v>9</v>
      </c>
      <c r="BA612" s="3">
        <v>140</v>
      </c>
      <c r="BB612" s="3"/>
      <c r="BC612" s="3"/>
      <c r="BD612" s="40">
        <v>739.13990116998036</v>
      </c>
      <c r="BE612" s="40">
        <v>727.33639111023342</v>
      </c>
      <c r="BF612" s="40"/>
      <c r="BG612" s="40">
        <v>293.09794146232912</v>
      </c>
      <c r="BH612" s="40">
        <v>294.8730712086375</v>
      </c>
      <c r="BI612" s="49">
        <v>1466.4762922802138</v>
      </c>
      <c r="BJ612" s="49">
        <v>587.97101267096662</v>
      </c>
      <c r="BK612" s="66">
        <v>1.6228405733596851E-2</v>
      </c>
      <c r="BL612" s="66">
        <v>-6.0199791694521831E-3</v>
      </c>
      <c r="BM612" s="51">
        <v>29.625783682428562</v>
      </c>
      <c r="BN612" s="51">
        <v>11.878202276181144</v>
      </c>
      <c r="BO612" s="52">
        <v>219</v>
      </c>
      <c r="BP612" s="40">
        <v>194</v>
      </c>
      <c r="BQ612" s="40">
        <v>219</v>
      </c>
      <c r="BR612" s="67">
        <v>-0.11415525114155256</v>
      </c>
      <c r="BS612" s="54">
        <v>4.1717171717171722</v>
      </c>
      <c r="BT612" s="3">
        <v>102</v>
      </c>
      <c r="BU612" s="40">
        <v>107</v>
      </c>
      <c r="BV612" s="3">
        <v>119</v>
      </c>
      <c r="BW612" s="3">
        <v>115</v>
      </c>
      <c r="BX612" s="70">
        <v>-4.6728971962616828E-2</v>
      </c>
      <c r="BY612" s="70">
        <v>3.4782608695652195E-2</v>
      </c>
      <c r="BZ612" s="59">
        <v>0.93043478260869561</v>
      </c>
      <c r="CA612" s="59">
        <v>0.8571428571428571</v>
      </c>
      <c r="CB612" s="59">
        <v>1.7036666666666669</v>
      </c>
      <c r="CC612" s="59">
        <v>1.9074545454545457</v>
      </c>
      <c r="CD612" s="60">
        <v>50</v>
      </c>
      <c r="CE612" s="60">
        <v>67</v>
      </c>
      <c r="CF612" s="61">
        <v>1.0101010101010102</v>
      </c>
      <c r="CG612" s="61">
        <v>1.3535353535353536</v>
      </c>
      <c r="CH612" s="61">
        <v>1.34</v>
      </c>
      <c r="CI612" s="41"/>
      <c r="CJ612" s="40"/>
      <c r="CK612" s="3"/>
      <c r="CL612" s="62"/>
      <c r="CM612" s="63" t="s">
        <v>110</v>
      </c>
      <c r="CN612" s="3">
        <v>107</v>
      </c>
      <c r="CO612" s="3">
        <v>119</v>
      </c>
      <c r="CP612" s="41">
        <v>13.755555555555556</v>
      </c>
      <c r="CQ612" s="3" t="s">
        <v>110</v>
      </c>
      <c r="CR612" s="40">
        <v>104.5</v>
      </c>
      <c r="CS612" s="40">
        <v>117</v>
      </c>
      <c r="CT612" s="40">
        <v>206.5</v>
      </c>
      <c r="CU612" s="40"/>
      <c r="CV612" s="40"/>
      <c r="CW612" s="40"/>
      <c r="CX612" s="40"/>
      <c r="CY612" s="40">
        <v>0</v>
      </c>
      <c r="CZ612" s="40"/>
      <c r="DA612" s="40"/>
    </row>
    <row r="613" spans="1:105" ht="18.75" customHeight="1">
      <c r="A613" s="3">
        <v>450</v>
      </c>
      <c r="B613" s="38" t="s">
        <v>103</v>
      </c>
      <c r="C613" s="3" t="s">
        <v>115</v>
      </c>
      <c r="D613" s="3" t="s">
        <v>215</v>
      </c>
      <c r="E613" s="39">
        <v>45014</v>
      </c>
      <c r="F613" s="3" t="s">
        <v>186</v>
      </c>
      <c r="G613" s="3" t="s">
        <v>107</v>
      </c>
      <c r="H613" s="3">
        <v>2009</v>
      </c>
      <c r="I613" s="40" t="s">
        <v>108</v>
      </c>
      <c r="J613" s="39" t="s">
        <v>109</v>
      </c>
      <c r="K613" s="3">
        <v>170.3</v>
      </c>
      <c r="L613" s="3">
        <v>170.3</v>
      </c>
      <c r="M613" s="3"/>
      <c r="N613" s="3">
        <v>142.19999999999999</v>
      </c>
      <c r="O613" s="3">
        <v>142.30000000000001</v>
      </c>
      <c r="P613" s="3"/>
      <c r="Q613" s="3">
        <v>48.2</v>
      </c>
      <c r="R613" s="3">
        <v>48.2</v>
      </c>
      <c r="S613" s="3"/>
      <c r="T613" s="42">
        <v>170.3</v>
      </c>
      <c r="U613" s="42">
        <f>AVERAGE(paper3[[#This Row],[Sittende høyde 1]:[Sittende høyde 3]])-56.2</f>
        <v>86.05</v>
      </c>
      <c r="V613" s="12">
        <f>paper3[[#This Row],[height]]-paper3[[#This Row],[sittingheight]]</f>
        <v>84.250000000000014</v>
      </c>
      <c r="W613" s="73">
        <v>48.2</v>
      </c>
      <c r="X613" s="43" cm="1">
        <f t="array" ref="X613">INDEX([1]!phvny[yphv], MATCH(1, (paper3[[#This Row],[id]]=[1]!phvny[id])*(paper3[[#This Row],[time]]=[1]!phvny[time]), 0))</f>
        <v>1.8248378210798759</v>
      </c>
      <c r="Y613" s="3"/>
      <c r="Z613" s="3"/>
      <c r="AA613" s="3">
        <v>5.17</v>
      </c>
      <c r="AB613" s="3"/>
      <c r="AC613" s="3"/>
      <c r="AD613" s="3">
        <v>5.25</v>
      </c>
      <c r="AE613" s="3"/>
      <c r="AF613" s="3"/>
      <c r="AG613" s="3">
        <v>5.2</v>
      </c>
      <c r="AH613" s="44"/>
      <c r="AI613" s="44"/>
      <c r="AJ613" s="44">
        <v>5.17</v>
      </c>
      <c r="AK613" s="45"/>
      <c r="AL613" s="3">
        <v>11.2</v>
      </c>
      <c r="AM613" s="3">
        <v>11.19</v>
      </c>
      <c r="AN613" s="3">
        <v>11.3</v>
      </c>
      <c r="AO613" s="3">
        <v>11.49</v>
      </c>
      <c r="AP613" s="3">
        <v>11.19</v>
      </c>
      <c r="AQ613" s="47"/>
      <c r="AR613" s="47"/>
      <c r="AS613" s="3">
        <v>24.28</v>
      </c>
      <c r="AT613" s="3">
        <v>24.85</v>
      </c>
      <c r="AU613" s="3">
        <v>21.78</v>
      </c>
      <c r="AV613" s="3"/>
      <c r="AW613" s="3"/>
      <c r="AX613" s="48">
        <v>24.85</v>
      </c>
      <c r="AY613" s="71"/>
      <c r="AZ613" s="3">
        <v>9</v>
      </c>
      <c r="BA613" s="3">
        <v>150</v>
      </c>
      <c r="BB613" s="3" t="s">
        <v>233</v>
      </c>
      <c r="BC613" s="3">
        <v>202</v>
      </c>
      <c r="BD613" s="40">
        <v>784.07199947527147</v>
      </c>
      <c r="BE613" s="40">
        <v>763.13336574719972</v>
      </c>
      <c r="BF613" s="40"/>
      <c r="BG613" s="40">
        <v>281.87472137800546</v>
      </c>
      <c r="BH613" s="40">
        <v>279.29437000477895</v>
      </c>
      <c r="BI613" s="49">
        <v>1547.2053652224713</v>
      </c>
      <c r="BJ613" s="49">
        <v>561.16909138278447</v>
      </c>
      <c r="BK613" s="66">
        <v>2.7437712289738903E-2</v>
      </c>
      <c r="BL613" s="66">
        <v>9.2388234434599426E-3</v>
      </c>
      <c r="BM613" s="51">
        <v>32.099696373910191</v>
      </c>
      <c r="BN613" s="51">
        <v>11.642512269352375</v>
      </c>
      <c r="BO613" s="52">
        <v>235</v>
      </c>
      <c r="BP613" s="40">
        <v>235</v>
      </c>
      <c r="BQ613" s="40">
        <v>210</v>
      </c>
      <c r="BR613" s="67">
        <v>0.11904761904761907</v>
      </c>
      <c r="BS613" s="54">
        <v>4.6161825726141075</v>
      </c>
      <c r="BT613" s="3">
        <v>91</v>
      </c>
      <c r="BU613" s="40">
        <v>91</v>
      </c>
      <c r="BV613" s="3">
        <v>93</v>
      </c>
      <c r="BW613" s="3">
        <v>92</v>
      </c>
      <c r="BX613" s="70">
        <v>0</v>
      </c>
      <c r="BY613" s="70">
        <v>1.0869565217391353E-2</v>
      </c>
      <c r="BZ613" s="59">
        <v>0.98913043478260865</v>
      </c>
      <c r="CA613" s="59">
        <v>0.978494623655914</v>
      </c>
      <c r="CB613" s="59">
        <v>1.5906120331950211</v>
      </c>
      <c r="CC613" s="59">
        <v>1.6168309128630705</v>
      </c>
      <c r="CD613" s="60">
        <v>62</v>
      </c>
      <c r="CE613" s="60">
        <v>59</v>
      </c>
      <c r="CF613" s="61">
        <v>1.2863070539419086</v>
      </c>
      <c r="CG613" s="61">
        <v>1.2240663900414936</v>
      </c>
      <c r="CH613" s="61">
        <v>0.95161290322580649</v>
      </c>
      <c r="CI613" s="41">
        <v>13.1</v>
      </c>
      <c r="CJ613" s="40">
        <f>VLOOKUP(paper3[[#This Row],[YYIR nivå]],$DB:$DC,2)</f>
        <v>320</v>
      </c>
      <c r="CK613" s="3"/>
      <c r="CL613" s="62"/>
      <c r="CM613" s="63" t="s">
        <v>110</v>
      </c>
      <c r="CN613" s="3">
        <v>91</v>
      </c>
      <c r="CO613" s="3">
        <v>93</v>
      </c>
      <c r="CP613" s="41">
        <v>13.680555555555555</v>
      </c>
      <c r="CQ613" s="3" t="s">
        <v>110</v>
      </c>
      <c r="CR613" s="40">
        <v>91</v>
      </c>
      <c r="CS613" s="40">
        <v>92.5</v>
      </c>
      <c r="CT613" s="40">
        <v>222.5</v>
      </c>
      <c r="CU613" s="40"/>
      <c r="CV613" s="40"/>
      <c r="CW613" s="40"/>
      <c r="CX613" s="40"/>
      <c r="CY613" s="40">
        <v>0</v>
      </c>
      <c r="CZ613" s="40"/>
      <c r="DA613" s="40"/>
    </row>
    <row r="614" spans="1:105" ht="18.75" customHeight="1">
      <c r="A614" s="3">
        <v>451</v>
      </c>
      <c r="B614" s="38" t="s">
        <v>103</v>
      </c>
      <c r="C614" s="3" t="s">
        <v>158</v>
      </c>
      <c r="D614" s="3" t="s">
        <v>215</v>
      </c>
      <c r="E614" s="39">
        <v>45014</v>
      </c>
      <c r="F614" s="3" t="s">
        <v>186</v>
      </c>
      <c r="G614" s="3" t="s">
        <v>107</v>
      </c>
      <c r="H614" s="3">
        <v>2009</v>
      </c>
      <c r="I614" s="40" t="s">
        <v>108</v>
      </c>
      <c r="J614" s="39" t="s">
        <v>109</v>
      </c>
      <c r="K614" s="3">
        <v>164.8</v>
      </c>
      <c r="L614" s="3">
        <v>164.6</v>
      </c>
      <c r="M614" s="3"/>
      <c r="N614" s="3">
        <v>139.69999999999999</v>
      </c>
      <c r="O614" s="3">
        <v>139.4</v>
      </c>
      <c r="P614" s="3">
        <v>139.5</v>
      </c>
      <c r="Q614" s="3">
        <v>50.5</v>
      </c>
      <c r="R614" s="3">
        <v>50.5</v>
      </c>
      <c r="S614" s="3"/>
      <c r="T614" s="42">
        <v>164.7</v>
      </c>
      <c r="U614" s="42">
        <f>AVERAGE(paper3[[#This Row],[Sittende høyde 1]:[Sittende høyde 3]])-56.2</f>
        <v>83.333333333333329</v>
      </c>
      <c r="V614" s="12">
        <f>paper3[[#This Row],[height]]-paper3[[#This Row],[sittingheight]]</f>
        <v>81.36666666666666</v>
      </c>
      <c r="W614" s="73">
        <v>50.5</v>
      </c>
      <c r="X614" s="43" cm="1">
        <f t="array" ref="X614">INDEX([1]!phvny[yphv], MATCH(1, (paper3[[#This Row],[id]]=[1]!phvny[id])*(paper3[[#This Row],[time]]=[1]!phvny[time]), 0))</f>
        <v>1.5378896507285973</v>
      </c>
      <c r="Y614" s="3"/>
      <c r="Z614" s="3"/>
      <c r="AA614" s="3">
        <v>4.93</v>
      </c>
      <c r="AB614" s="3"/>
      <c r="AC614" s="3"/>
      <c r="AD614" s="3">
        <v>4.93</v>
      </c>
      <c r="AE614" s="3"/>
      <c r="AF614" s="3"/>
      <c r="AG614" s="3">
        <v>4.88</v>
      </c>
      <c r="AH614" s="44"/>
      <c r="AI614" s="44"/>
      <c r="AJ614" s="44">
        <v>4.88</v>
      </c>
      <c r="AK614" s="45"/>
      <c r="AL614" s="3">
        <v>10.91</v>
      </c>
      <c r="AM614" s="3">
        <v>10.8</v>
      </c>
      <c r="AN614" s="3">
        <v>11.16</v>
      </c>
      <c r="AO614" s="3">
        <v>10.92</v>
      </c>
      <c r="AP614" s="3">
        <v>10.8</v>
      </c>
      <c r="AQ614" s="47"/>
      <c r="AR614" s="47"/>
      <c r="AS614" s="3">
        <v>26.75</v>
      </c>
      <c r="AT614" s="3">
        <v>27.13</v>
      </c>
      <c r="AU614" s="3">
        <v>28.59</v>
      </c>
      <c r="AV614" s="3">
        <v>31.32</v>
      </c>
      <c r="AW614" s="3">
        <v>29.9</v>
      </c>
      <c r="AX614" s="48">
        <v>31.32</v>
      </c>
      <c r="AY614" s="71"/>
      <c r="AZ614" s="3">
        <v>8</v>
      </c>
      <c r="BA614" s="3">
        <v>200</v>
      </c>
      <c r="BB614" s="3">
        <v>9</v>
      </c>
      <c r="BC614" s="3">
        <v>181</v>
      </c>
      <c r="BD614" s="40">
        <v>792.16718149153644</v>
      </c>
      <c r="BE614" s="40">
        <v>873.02268551400562</v>
      </c>
      <c r="BF614" s="40"/>
      <c r="BG614" s="40">
        <v>251.55487966353775</v>
      </c>
      <c r="BH614" s="40">
        <v>308.74312249757082</v>
      </c>
      <c r="BI614" s="49">
        <v>1665.1898670055421</v>
      </c>
      <c r="BJ614" s="49">
        <v>560.29800216110857</v>
      </c>
      <c r="BK614" s="66">
        <v>-9.2615581890480025E-2</v>
      </c>
      <c r="BL614" s="66">
        <v>-0.18522920404318655</v>
      </c>
      <c r="BM614" s="51">
        <v>32.974056772386973</v>
      </c>
      <c r="BN614" s="51">
        <v>11.095009943784328</v>
      </c>
      <c r="BO614" s="52">
        <v>132</v>
      </c>
      <c r="BP614" s="40">
        <v>132</v>
      </c>
      <c r="BQ614" s="40">
        <v>126</v>
      </c>
      <c r="BR614" s="67">
        <v>4.7619047619047672E-2</v>
      </c>
      <c r="BS614" s="54">
        <v>2.5544554455445545</v>
      </c>
      <c r="BT614" s="3">
        <v>109</v>
      </c>
      <c r="BU614" s="40">
        <v>97</v>
      </c>
      <c r="BV614" s="3">
        <v>116</v>
      </c>
      <c r="BW614" s="3">
        <v>95</v>
      </c>
      <c r="BX614" s="70">
        <v>0.12371134020618557</v>
      </c>
      <c r="BY614" s="70">
        <v>0.22105263157894739</v>
      </c>
      <c r="BZ614" s="59">
        <v>1.0210526315789474</v>
      </c>
      <c r="CA614" s="59">
        <v>0.93965517241379315</v>
      </c>
      <c r="CB614" s="59">
        <v>1.6595577557755774</v>
      </c>
      <c r="CC614" s="59">
        <v>1.6998382838283828</v>
      </c>
      <c r="CD614" s="60">
        <v>73</v>
      </c>
      <c r="CE614" s="60">
        <v>56</v>
      </c>
      <c r="CF614" s="61">
        <v>1.4455445544554455</v>
      </c>
      <c r="CG614" s="61">
        <v>1.108910891089109</v>
      </c>
      <c r="CH614" s="61">
        <v>0.76712328767123295</v>
      </c>
      <c r="CI614" s="41">
        <v>14.1</v>
      </c>
      <c r="CJ614" s="40">
        <f>VLOOKUP(paper3[[#This Row],[YYIR nivå]],$DB:$DC,2)</f>
        <v>480</v>
      </c>
      <c r="CK614" s="3"/>
      <c r="CL614" s="62"/>
      <c r="CM614" s="63" t="s">
        <v>110</v>
      </c>
      <c r="CN614" s="3">
        <v>109</v>
      </c>
      <c r="CO614" s="3">
        <v>116</v>
      </c>
      <c r="CP614" s="41">
        <v>13.694444444444445</v>
      </c>
      <c r="CQ614" s="3" t="s">
        <v>110</v>
      </c>
      <c r="CR614" s="40">
        <v>103</v>
      </c>
      <c r="CS614" s="40">
        <v>105.5</v>
      </c>
      <c r="CT614" s="40">
        <v>129</v>
      </c>
      <c r="CU614" s="40"/>
      <c r="CV614" s="40"/>
      <c r="CW614" s="40"/>
      <c r="CX614" s="40"/>
      <c r="CY614" s="40">
        <v>0</v>
      </c>
      <c r="CZ614" s="40"/>
      <c r="DA614" s="40"/>
    </row>
    <row r="615" spans="1:105" ht="18.75" customHeight="1">
      <c r="A615" s="3">
        <v>452</v>
      </c>
      <c r="B615" s="38" t="s">
        <v>103</v>
      </c>
      <c r="C615" s="3" t="s">
        <v>115</v>
      </c>
      <c r="D615" s="3" t="s">
        <v>215</v>
      </c>
      <c r="E615" s="39">
        <v>45014</v>
      </c>
      <c r="F615" s="3" t="s">
        <v>186</v>
      </c>
      <c r="G615" s="3" t="s">
        <v>107</v>
      </c>
      <c r="H615" s="3">
        <v>2009</v>
      </c>
      <c r="I615" s="40" t="s">
        <v>108</v>
      </c>
      <c r="J615" s="39" t="s">
        <v>109</v>
      </c>
      <c r="K615" s="3">
        <v>168.9</v>
      </c>
      <c r="L615" s="3">
        <v>168.9</v>
      </c>
      <c r="M615" s="3"/>
      <c r="N615" s="3">
        <v>140.80000000000001</v>
      </c>
      <c r="O615" s="3">
        <v>140.9</v>
      </c>
      <c r="P615" s="3"/>
      <c r="Q615" s="3">
        <v>54.2</v>
      </c>
      <c r="R615" s="3">
        <v>54.2</v>
      </c>
      <c r="S615" s="3"/>
      <c r="T615" s="42">
        <v>168.9</v>
      </c>
      <c r="U615" s="42">
        <f>AVERAGE(paper3[[#This Row],[Sittende høyde 1]:[Sittende høyde 3]])-56.2</f>
        <v>84.65000000000002</v>
      </c>
      <c r="V615" s="12">
        <f>paper3[[#This Row],[height]]-paper3[[#This Row],[sittingheight]]</f>
        <v>84.249999999999986</v>
      </c>
      <c r="W615" s="73">
        <v>54.2</v>
      </c>
      <c r="X615" s="43" cm="1">
        <f t="array" ref="X615">INDEX([1]!phvny[yphv], MATCH(1, (paper3[[#This Row],[id]]=[1]!phvny[id])*(paper3[[#This Row],[time]]=[1]!phvny[time]), 0))</f>
        <v>1.9395240391067214</v>
      </c>
      <c r="Y615" s="3"/>
      <c r="Z615" s="3"/>
      <c r="AA615" s="3">
        <v>4.78</v>
      </c>
      <c r="AB615" s="3"/>
      <c r="AC615" s="3"/>
      <c r="AD615" s="3">
        <v>4.8899999999999997</v>
      </c>
      <c r="AE615" s="3"/>
      <c r="AF615" s="3"/>
      <c r="AG615" s="3">
        <v>4.74</v>
      </c>
      <c r="AH615" s="44"/>
      <c r="AI615" s="44"/>
      <c r="AJ615" s="44">
        <v>4.74</v>
      </c>
      <c r="AK615" s="45"/>
      <c r="AL615" s="3">
        <v>10.98</v>
      </c>
      <c r="AM615" s="3">
        <v>10.67</v>
      </c>
      <c r="AN615" s="3">
        <v>10.67</v>
      </c>
      <c r="AO615" s="3">
        <v>11.07</v>
      </c>
      <c r="AP615" s="3">
        <v>10.67</v>
      </c>
      <c r="AQ615" s="47"/>
      <c r="AR615" s="47"/>
      <c r="AS615" s="3">
        <v>32.53</v>
      </c>
      <c r="AT615" s="3">
        <v>35.700000000000003</v>
      </c>
      <c r="AU615" s="3">
        <v>37.18</v>
      </c>
      <c r="AV615" s="3">
        <v>33.729999999999997</v>
      </c>
      <c r="AW615" s="3"/>
      <c r="AX615" s="48">
        <v>37.18</v>
      </c>
      <c r="AY615" s="71"/>
      <c r="AZ615" s="3">
        <v>9</v>
      </c>
      <c r="BA615" s="3">
        <v>200</v>
      </c>
      <c r="BB615" s="3">
        <v>9</v>
      </c>
      <c r="BC615" s="3">
        <v>199</v>
      </c>
      <c r="BD615" s="40">
        <v>799.57361022561111</v>
      </c>
      <c r="BE615" s="40">
        <v>801.45222520060292</v>
      </c>
      <c r="BF615" s="40"/>
      <c r="BG615" s="40">
        <v>426.44845069675785</v>
      </c>
      <c r="BH615" s="40">
        <v>445.72973737675306</v>
      </c>
      <c r="BI615" s="49">
        <v>1601.0258354262141</v>
      </c>
      <c r="BJ615" s="49">
        <v>872.17818807351091</v>
      </c>
      <c r="BK615" s="66">
        <v>-2.3440136740796591E-3</v>
      </c>
      <c r="BL615" s="66">
        <v>-4.3257797412107002E-2</v>
      </c>
      <c r="BM615" s="51">
        <v>29.539222055834209</v>
      </c>
      <c r="BN615" s="51">
        <v>16.091848488441158</v>
      </c>
      <c r="BO615" s="52">
        <v>231</v>
      </c>
      <c r="BP615" s="40">
        <v>231</v>
      </c>
      <c r="BQ615" s="40">
        <v>222</v>
      </c>
      <c r="BR615" s="67">
        <v>4.0540540540540571E-2</v>
      </c>
      <c r="BS615" s="54">
        <v>4.1789667896678964</v>
      </c>
      <c r="BT615" s="3">
        <v>115</v>
      </c>
      <c r="BU615" s="40">
        <v>112</v>
      </c>
      <c r="BV615" s="3">
        <v>112</v>
      </c>
      <c r="BW615" s="3">
        <v>111</v>
      </c>
      <c r="BX615" s="70">
        <v>2.6785714285714191E-2</v>
      </c>
      <c r="BY615" s="70">
        <v>9.009009009008917E-3</v>
      </c>
      <c r="BZ615" s="59">
        <v>1.0090090090090089</v>
      </c>
      <c r="CA615" s="59">
        <v>1.0267857142857142</v>
      </c>
      <c r="CB615" s="59">
        <v>1.7642758302583019</v>
      </c>
      <c r="CC615" s="59">
        <v>1.7331872693726933</v>
      </c>
      <c r="CD615" s="60">
        <v>73</v>
      </c>
      <c r="CE615" s="60">
        <v>52</v>
      </c>
      <c r="CF615" s="61">
        <v>1.3468634686346863</v>
      </c>
      <c r="CG615" s="61">
        <v>0.95940959409594095</v>
      </c>
      <c r="CH615" s="61">
        <v>0.71232876712328763</v>
      </c>
      <c r="CI615" s="41">
        <v>14.6</v>
      </c>
      <c r="CJ615" s="40">
        <f>VLOOKUP(paper3[[#This Row],[YYIR nivå]],$DB:$DC,2)</f>
        <v>680</v>
      </c>
      <c r="CK615" s="3"/>
      <c r="CL615" s="62"/>
      <c r="CM615" s="63" t="s">
        <v>110</v>
      </c>
      <c r="CN615" s="3">
        <v>115</v>
      </c>
      <c r="CO615" s="3">
        <v>112</v>
      </c>
      <c r="CP615" s="41">
        <v>14.008333333333333</v>
      </c>
      <c r="CQ615" s="3" t="s">
        <v>110</v>
      </c>
      <c r="CR615" s="40">
        <v>113.5</v>
      </c>
      <c r="CS615" s="40">
        <v>111.5</v>
      </c>
      <c r="CT615" s="40">
        <v>226.5</v>
      </c>
      <c r="CU615" s="40"/>
      <c r="CV615" s="40"/>
      <c r="CW615" s="40"/>
      <c r="CX615" s="40"/>
      <c r="CY615" s="40">
        <v>0</v>
      </c>
      <c r="CZ615" s="40"/>
      <c r="DA615" s="40"/>
    </row>
    <row r="616" spans="1:105" ht="18.75" customHeight="1">
      <c r="A616" s="3">
        <v>453</v>
      </c>
      <c r="B616" s="38" t="s">
        <v>103</v>
      </c>
      <c r="C616" s="3" t="s">
        <v>115</v>
      </c>
      <c r="D616" s="3" t="s">
        <v>215</v>
      </c>
      <c r="E616" s="39">
        <v>45056</v>
      </c>
      <c r="F616" s="3" t="s">
        <v>186</v>
      </c>
      <c r="G616" s="3" t="s">
        <v>107</v>
      </c>
      <c r="H616" s="3">
        <v>2009</v>
      </c>
      <c r="I616" s="40" t="s">
        <v>108</v>
      </c>
      <c r="J616" s="39" t="s">
        <v>109</v>
      </c>
      <c r="K616" s="3">
        <v>157.69999999999999</v>
      </c>
      <c r="L616" s="3">
        <v>157.80000000000001</v>
      </c>
      <c r="M616" s="3"/>
      <c r="N616" s="3">
        <v>135</v>
      </c>
      <c r="O616" s="3">
        <v>135.19999999999999</v>
      </c>
      <c r="P616" s="3"/>
      <c r="Q616" s="3">
        <v>60</v>
      </c>
      <c r="R616" s="3"/>
      <c r="S616" s="3"/>
      <c r="T616" s="42">
        <v>157.75</v>
      </c>
      <c r="U616" s="42">
        <f>AVERAGE(paper3[[#This Row],[Sittende høyde 1]:[Sittende høyde 3]])-56.2</f>
        <v>78.899999999999991</v>
      </c>
      <c r="V616" s="12">
        <f>paper3[[#This Row],[height]]-paper3[[#This Row],[sittingheight]]</f>
        <v>78.850000000000009</v>
      </c>
      <c r="W616" s="73">
        <v>60</v>
      </c>
      <c r="X616" s="43" cm="1">
        <f t="array" ref="X616">INDEX([1]!phvny[yphv], MATCH(1, (paper3[[#This Row],[id]]=[1]!phvny[id])*(paper3[[#This Row],[time]]=[1]!phvny[time]), 0))</f>
        <v>1.4320055133380865</v>
      </c>
      <c r="Y616" s="3">
        <v>2.2200000000000002</v>
      </c>
      <c r="Z616" s="3">
        <v>3.89</v>
      </c>
      <c r="AA616" s="3">
        <v>5.56</v>
      </c>
      <c r="AB616" s="3">
        <v>2.2599999999999998</v>
      </c>
      <c r="AC616" s="3">
        <v>3.98</v>
      </c>
      <c r="AD616" s="3">
        <v>5.65</v>
      </c>
      <c r="AE616" s="3">
        <v>2.2400000000000002</v>
      </c>
      <c r="AF616" s="3">
        <v>3.97</v>
      </c>
      <c r="AG616" s="3">
        <v>5.68</v>
      </c>
      <c r="AH616" s="44">
        <v>2.2200000000000002</v>
      </c>
      <c r="AI616" s="44">
        <v>3.89</v>
      </c>
      <c r="AJ616" s="44">
        <v>5.56</v>
      </c>
      <c r="AK616" s="45">
        <v>5.9880239520958103</v>
      </c>
      <c r="AL616" s="3">
        <v>12.31</v>
      </c>
      <c r="AM616" s="3">
        <v>12.23</v>
      </c>
      <c r="AN616" s="3">
        <v>11.83</v>
      </c>
      <c r="AO616" s="3">
        <v>11.93</v>
      </c>
      <c r="AP616" s="3">
        <v>11.83</v>
      </c>
      <c r="AQ616" s="47">
        <v>12.23</v>
      </c>
      <c r="AR616" s="47">
        <v>11.83</v>
      </c>
      <c r="AS616" s="3">
        <v>16.57</v>
      </c>
      <c r="AT616" s="3">
        <v>16.47</v>
      </c>
      <c r="AU616" s="3">
        <v>16.63</v>
      </c>
      <c r="AV616" s="3"/>
      <c r="AW616" s="3"/>
      <c r="AX616" s="48">
        <v>16.63</v>
      </c>
      <c r="AY616" s="71">
        <v>150</v>
      </c>
      <c r="AZ616" s="3"/>
      <c r="BA616" s="3"/>
      <c r="BB616" s="40">
        <v>10</v>
      </c>
      <c r="BC616" s="40">
        <v>163</v>
      </c>
      <c r="BD616" s="40">
        <v>736.95415044573565</v>
      </c>
      <c r="BE616" s="40">
        <v>696.15444605603147</v>
      </c>
      <c r="BF616" s="40"/>
      <c r="BG616" s="40">
        <v>183.55933109004795</v>
      </c>
      <c r="BH616" s="40">
        <v>187.73911945303072</v>
      </c>
      <c r="BI616" s="49">
        <v>1433.1085965017671</v>
      </c>
      <c r="BJ616" s="49">
        <v>371.29845054307867</v>
      </c>
      <c r="BK616" s="66">
        <v>5.8607259668956191E-2</v>
      </c>
      <c r="BL616" s="66">
        <v>-2.2263811480315865E-2</v>
      </c>
      <c r="BM616" s="51">
        <v>23.885143275029453</v>
      </c>
      <c r="BN616" s="51">
        <v>6.1883075090513113</v>
      </c>
      <c r="BO616" s="52">
        <v>218</v>
      </c>
      <c r="BP616" s="40">
        <v>189</v>
      </c>
      <c r="BQ616" s="40">
        <v>218</v>
      </c>
      <c r="BR616" s="67">
        <v>-0.1330275229357798</v>
      </c>
      <c r="BS616" s="54">
        <v>3.3916666666666666</v>
      </c>
      <c r="BT616" s="3">
        <v>74</v>
      </c>
      <c r="BU616" s="3">
        <v>93</v>
      </c>
      <c r="BV616" s="3">
        <v>95</v>
      </c>
      <c r="BW616" s="3">
        <v>100</v>
      </c>
      <c r="BX616" s="70">
        <v>-0.20430107526881724</v>
      </c>
      <c r="BY616" s="70">
        <v>-5.0000000000000044E-2</v>
      </c>
      <c r="BZ616" s="59">
        <v>0.93</v>
      </c>
      <c r="CA616" s="59">
        <v>0.77894736842105261</v>
      </c>
      <c r="CB616" s="59">
        <v>1.0973291666666669</v>
      </c>
      <c r="CC616" s="59">
        <v>1.2813125000000001</v>
      </c>
      <c r="CD616" s="60">
        <v>56</v>
      </c>
      <c r="CE616" s="60">
        <v>50</v>
      </c>
      <c r="CF616" s="61">
        <v>0.93333333333333335</v>
      </c>
      <c r="CG616" s="61">
        <v>0.83333333333333337</v>
      </c>
      <c r="CH616" s="61">
        <v>0.8928571428571429</v>
      </c>
      <c r="CI616" s="41">
        <v>12.1</v>
      </c>
      <c r="CJ616" s="40">
        <f>VLOOKUP(paper3[[#This Row],[YYIR nivå]],$DB:$DC,2)</f>
        <v>200</v>
      </c>
      <c r="CK616" s="3" t="s">
        <v>193</v>
      </c>
      <c r="CL616" s="62"/>
      <c r="CM616" s="63" t="s">
        <v>110</v>
      </c>
      <c r="CN616" s="3">
        <v>93</v>
      </c>
      <c r="CO616" s="3">
        <v>100</v>
      </c>
      <c r="CP616" s="41">
        <v>14.133333333333333</v>
      </c>
      <c r="CQ616" s="3" t="s">
        <v>110</v>
      </c>
      <c r="CR616" s="40">
        <v>83.5</v>
      </c>
      <c r="CS616" s="40">
        <v>97.5</v>
      </c>
      <c r="CT616" s="40">
        <v>203.5</v>
      </c>
      <c r="CU616" s="40"/>
      <c r="CV616" s="40"/>
      <c r="CW616" s="40"/>
      <c r="CX616" s="40"/>
      <c r="CY616" s="40">
        <v>0</v>
      </c>
      <c r="CZ616" s="40"/>
      <c r="DA616" s="40"/>
    </row>
    <row r="617" spans="1:105" ht="18.75" customHeight="1">
      <c r="A617" s="3">
        <v>458</v>
      </c>
      <c r="B617" s="38" t="s">
        <v>103</v>
      </c>
      <c r="C617" s="3" t="s">
        <v>115</v>
      </c>
      <c r="D617" s="3" t="s">
        <v>215</v>
      </c>
      <c r="E617" s="39">
        <v>45056</v>
      </c>
      <c r="F617" s="3" t="s">
        <v>186</v>
      </c>
      <c r="G617" s="3" t="s">
        <v>107</v>
      </c>
      <c r="H617" s="3">
        <v>2009</v>
      </c>
      <c r="I617" s="40" t="s">
        <v>108</v>
      </c>
      <c r="J617" s="39" t="s">
        <v>109</v>
      </c>
      <c r="K617" s="3">
        <v>170.4</v>
      </c>
      <c r="L617" s="3">
        <v>170.2</v>
      </c>
      <c r="M617" s="3"/>
      <c r="N617" s="3">
        <v>141.5</v>
      </c>
      <c r="O617" s="3">
        <v>141.69999999999999</v>
      </c>
      <c r="P617" s="3"/>
      <c r="Q617" s="3">
        <v>71.599999999999994</v>
      </c>
      <c r="R617" s="3"/>
      <c r="S617" s="3"/>
      <c r="T617" s="42">
        <v>170.3</v>
      </c>
      <c r="U617" s="42">
        <f>AVERAGE(paper3[[#This Row],[Sittende høyde 1]:[Sittende høyde 3]])-56.2</f>
        <v>85.399999999999991</v>
      </c>
      <c r="V617" s="12">
        <f>paper3[[#This Row],[height]]-paper3[[#This Row],[sittingheight]]</f>
        <v>84.90000000000002</v>
      </c>
      <c r="W617" s="73">
        <v>71.599999999999994</v>
      </c>
      <c r="X617" s="43" cm="1">
        <f t="array" ref="X617">INDEX([1]!phvny[yphv], MATCH(1, (paper3[[#This Row],[id]]=[1]!phvny[id])*(paper3[[#This Row],[time]]=[1]!phvny[time]), 0))</f>
        <v>2.1611071955554908</v>
      </c>
      <c r="Y617" s="3">
        <v>2.08</v>
      </c>
      <c r="Z617" s="3">
        <v>3.64</v>
      </c>
      <c r="AA617" s="3">
        <v>5.16</v>
      </c>
      <c r="AB617" s="3">
        <v>2.0099999999999998</v>
      </c>
      <c r="AC617" s="3">
        <v>3.56</v>
      </c>
      <c r="AD617" s="3">
        <v>5.04</v>
      </c>
      <c r="AE617" s="3">
        <v>2.0299999999999998</v>
      </c>
      <c r="AF617" s="3">
        <v>3.59</v>
      </c>
      <c r="AG617" s="3">
        <v>5.08</v>
      </c>
      <c r="AH617" s="44">
        <v>2.0099999999999998</v>
      </c>
      <c r="AI617" s="44">
        <v>3.56</v>
      </c>
      <c r="AJ617" s="44">
        <v>5.04</v>
      </c>
      <c r="AK617" s="45">
        <v>6.756756756756757</v>
      </c>
      <c r="AL617" s="3">
        <v>11.94</v>
      </c>
      <c r="AM617" s="3">
        <v>12.11</v>
      </c>
      <c r="AN617" s="3">
        <v>12.05</v>
      </c>
      <c r="AO617" s="3">
        <v>12.04</v>
      </c>
      <c r="AP617" s="3">
        <v>11.94</v>
      </c>
      <c r="AQ617" s="47">
        <v>11.94</v>
      </c>
      <c r="AR617" s="47">
        <v>12.04</v>
      </c>
      <c r="AS617" s="3">
        <v>26.92</v>
      </c>
      <c r="AT617" s="3">
        <v>25.97</v>
      </c>
      <c r="AU617" s="3">
        <v>28.45</v>
      </c>
      <c r="AV617" s="3">
        <v>26.04</v>
      </c>
      <c r="AW617" s="3"/>
      <c r="AX617" s="48">
        <v>28.45</v>
      </c>
      <c r="AY617" s="71">
        <v>200</v>
      </c>
      <c r="AZ617" s="3"/>
      <c r="BA617" s="41"/>
      <c r="BB617" s="40">
        <v>10</v>
      </c>
      <c r="BC617" s="40">
        <v>199</v>
      </c>
      <c r="BD617" s="40">
        <v>782.1328112616676</v>
      </c>
      <c r="BE617" s="40">
        <v>760.12540251733128</v>
      </c>
      <c r="BF617" s="40"/>
      <c r="BG617" s="40">
        <v>348.62969364998264</v>
      </c>
      <c r="BH617" s="40">
        <v>350.85773541957388</v>
      </c>
      <c r="BI617" s="49">
        <v>1542.2582137789989</v>
      </c>
      <c r="BJ617" s="49">
        <v>699.48742906955658</v>
      </c>
      <c r="BK617" s="66">
        <v>2.8952339536941762E-2</v>
      </c>
      <c r="BL617" s="66">
        <v>-6.3502711916180177E-3</v>
      </c>
      <c r="BM617" s="51">
        <v>21.539919186857528</v>
      </c>
      <c r="BN617" s="51">
        <v>9.7693775009714621</v>
      </c>
      <c r="BO617" s="52">
        <v>270</v>
      </c>
      <c r="BP617" s="40">
        <v>251</v>
      </c>
      <c r="BQ617" s="40">
        <v>270</v>
      </c>
      <c r="BR617" s="67">
        <v>-7.0370370370370416E-2</v>
      </c>
      <c r="BS617" s="54">
        <v>3.6382681564245813</v>
      </c>
      <c r="BT617" s="3">
        <v>99</v>
      </c>
      <c r="BU617" s="3">
        <v>91</v>
      </c>
      <c r="BV617" s="3">
        <v>93</v>
      </c>
      <c r="BW617" s="3">
        <v>103</v>
      </c>
      <c r="BX617" s="70">
        <v>8.7912087912087822E-2</v>
      </c>
      <c r="BY617" s="70">
        <v>-9.7087378640776656E-2</v>
      </c>
      <c r="BZ617" s="59">
        <v>0.88349514563106801</v>
      </c>
      <c r="CA617" s="59">
        <v>1.064516129032258</v>
      </c>
      <c r="CB617" s="59">
        <v>1.1264664804469278</v>
      </c>
      <c r="CC617" s="59">
        <v>1.162039106145252</v>
      </c>
      <c r="CD617" s="60">
        <v>76</v>
      </c>
      <c r="CE617" s="60">
        <v>91</v>
      </c>
      <c r="CF617" s="61">
        <v>1.0614525139664805</v>
      </c>
      <c r="CG617" s="61">
        <v>1.2709497206703912</v>
      </c>
      <c r="CH617" s="61">
        <v>1.1973684210526316</v>
      </c>
      <c r="CI617" s="41">
        <v>12.1</v>
      </c>
      <c r="CJ617" s="40">
        <f>VLOOKUP(paper3[[#This Row],[YYIR nivå]],$DB:$DC,2)</f>
        <v>200</v>
      </c>
      <c r="CK617" s="3"/>
      <c r="CL617" s="62"/>
      <c r="CM617" s="63" t="s">
        <v>110</v>
      </c>
      <c r="CN617" s="3">
        <v>99</v>
      </c>
      <c r="CO617" s="3">
        <v>103</v>
      </c>
      <c r="CP617" s="41">
        <v>14.008333333333333</v>
      </c>
      <c r="CQ617" s="3" t="s">
        <v>110</v>
      </c>
      <c r="CR617" s="40">
        <v>95</v>
      </c>
      <c r="CS617" s="40">
        <v>98</v>
      </c>
      <c r="CT617" s="40">
        <v>260.5</v>
      </c>
      <c r="CU617" s="40"/>
      <c r="CV617" s="40"/>
      <c r="CW617" s="40"/>
      <c r="CX617" s="40"/>
      <c r="CY617" s="40">
        <v>0</v>
      </c>
      <c r="CZ617" s="40"/>
      <c r="DA617" s="40"/>
    </row>
    <row r="618" spans="1:105" ht="18.75" customHeight="1">
      <c r="A618" s="3">
        <v>459</v>
      </c>
      <c r="B618" s="38" t="s">
        <v>103</v>
      </c>
      <c r="C618" s="3">
        <v>0</v>
      </c>
      <c r="D618" s="3" t="s">
        <v>215</v>
      </c>
      <c r="E618" s="39">
        <v>45056</v>
      </c>
      <c r="F618" s="3" t="s">
        <v>186</v>
      </c>
      <c r="G618" s="3" t="s">
        <v>107</v>
      </c>
      <c r="H618" s="3">
        <v>2009</v>
      </c>
      <c r="I618" s="40" t="s">
        <v>108</v>
      </c>
      <c r="J618" s="39" t="s">
        <v>109</v>
      </c>
      <c r="K618" s="3">
        <v>165.9</v>
      </c>
      <c r="L618" s="3">
        <v>166.1</v>
      </c>
      <c r="M618" s="3"/>
      <c r="N618" s="3">
        <v>140.69999999999999</v>
      </c>
      <c r="O618" s="3">
        <v>140.6</v>
      </c>
      <c r="P618" s="3"/>
      <c r="Q618" s="3">
        <v>83</v>
      </c>
      <c r="R618" s="3"/>
      <c r="S618" s="3"/>
      <c r="T618" s="42">
        <v>166</v>
      </c>
      <c r="U618" s="42">
        <f>AVERAGE(paper3[[#This Row],[Sittende høyde 1]:[Sittende høyde 3]])-56.2</f>
        <v>84.449999999999974</v>
      </c>
      <c r="V618" s="12">
        <f>paper3[[#This Row],[height]]-paper3[[#This Row],[sittingheight]]</f>
        <v>81.550000000000026</v>
      </c>
      <c r="W618" s="73">
        <v>83</v>
      </c>
      <c r="X618" s="43" cm="1">
        <f t="array" ref="X618">INDEX([1]!phvny[yphv], MATCH(1, (paper3[[#This Row],[id]]=[1]!phvny[id])*(paper3[[#This Row],[time]]=[1]!phvny[time]), 0))</f>
        <v>2.1357562717222209</v>
      </c>
      <c r="Y618" s="3">
        <v>2.12</v>
      </c>
      <c r="Z618" s="3">
        <v>3.71</v>
      </c>
      <c r="AA618" s="3">
        <v>5.39</v>
      </c>
      <c r="AB618" s="3">
        <v>2.17</v>
      </c>
      <c r="AC618" s="3">
        <v>3.79</v>
      </c>
      <c r="AD618" s="3">
        <v>5.36</v>
      </c>
      <c r="AE618" s="3">
        <v>2.17</v>
      </c>
      <c r="AF618" s="3">
        <v>3.77</v>
      </c>
      <c r="AG618" s="3">
        <v>5.38</v>
      </c>
      <c r="AH618" s="44">
        <v>2.12</v>
      </c>
      <c r="AI618" s="44">
        <v>3.71</v>
      </c>
      <c r="AJ618" s="44">
        <v>5.36</v>
      </c>
      <c r="AK618" s="45">
        <v>6.0606060606060597</v>
      </c>
      <c r="AL618" s="3">
        <v>11.38</v>
      </c>
      <c r="AM618" s="3">
        <v>11.49</v>
      </c>
      <c r="AN618" s="3">
        <v>11.83</v>
      </c>
      <c r="AO618" s="3">
        <v>11.84</v>
      </c>
      <c r="AP618" s="3">
        <v>11.38</v>
      </c>
      <c r="AQ618" s="47">
        <v>11.38</v>
      </c>
      <c r="AR618" s="47">
        <v>11.83</v>
      </c>
      <c r="AS618" s="3">
        <v>21.56</v>
      </c>
      <c r="AT618" s="3">
        <v>20.14</v>
      </c>
      <c r="AU618" s="3">
        <v>20.82</v>
      </c>
      <c r="AV618" s="3"/>
      <c r="AW618" s="3"/>
      <c r="AX618" s="48">
        <v>21.56</v>
      </c>
      <c r="AY618" s="71">
        <v>220</v>
      </c>
      <c r="AZ618" s="3"/>
      <c r="BA618" s="41"/>
      <c r="BB618" s="40">
        <v>11</v>
      </c>
      <c r="BC618" s="40">
        <v>260</v>
      </c>
      <c r="BD618" s="40">
        <v>1156.6101021412908</v>
      </c>
      <c r="BE618" s="40">
        <v>1112.6609614005342</v>
      </c>
      <c r="BF618" s="40"/>
      <c r="BG618" s="40">
        <v>289.67553534550837</v>
      </c>
      <c r="BH618" s="40">
        <v>293.62251802959332</v>
      </c>
      <c r="BI618" s="49">
        <v>2269.2710635418252</v>
      </c>
      <c r="BJ618" s="49">
        <v>583.29805337510174</v>
      </c>
      <c r="BK618" s="66">
        <v>3.9499130701446283E-2</v>
      </c>
      <c r="BL618" s="66">
        <v>-1.3442370532654957E-2</v>
      </c>
      <c r="BM618" s="51">
        <v>27.340615223395485</v>
      </c>
      <c r="BN618" s="51">
        <v>7.0276873900614669</v>
      </c>
      <c r="BO618" s="52"/>
      <c r="BP618" s="40"/>
      <c r="BQ618" s="40"/>
      <c r="BR618" s="67"/>
      <c r="BS618" s="54" t="s">
        <v>110</v>
      </c>
      <c r="BT618" s="3">
        <v>85</v>
      </c>
      <c r="BU618" s="3">
        <v>89</v>
      </c>
      <c r="BV618" s="3">
        <v>84</v>
      </c>
      <c r="BW618" s="3">
        <v>98</v>
      </c>
      <c r="BX618" s="70">
        <v>-4.49438202247191E-2</v>
      </c>
      <c r="BY618" s="70">
        <v>-0.1428571428571429</v>
      </c>
      <c r="BZ618" s="59">
        <v>0.90816326530612246</v>
      </c>
      <c r="CA618" s="59">
        <v>1.0119047619047619</v>
      </c>
      <c r="CB618" s="59">
        <v>0.85480120481927735</v>
      </c>
      <c r="CC618" s="59">
        <v>0.89410240963855447</v>
      </c>
      <c r="CD618" s="60">
        <v>96</v>
      </c>
      <c r="CE618" s="60">
        <v>85</v>
      </c>
      <c r="CF618" s="61">
        <v>1.1566265060240963</v>
      </c>
      <c r="CG618" s="61">
        <v>1.0240963855421688</v>
      </c>
      <c r="CH618" s="61">
        <v>0.88541666666666674</v>
      </c>
      <c r="CI618" s="41">
        <v>12.1</v>
      </c>
      <c r="CJ618" s="40">
        <f>VLOOKUP(paper3[[#This Row],[YYIR nivå]],$DB:$DC,2)</f>
        <v>200</v>
      </c>
      <c r="CK618" s="3"/>
      <c r="CL618" s="62"/>
      <c r="CM618" s="63" t="s">
        <v>110</v>
      </c>
      <c r="CN618" s="3">
        <v>89</v>
      </c>
      <c r="CO618" s="3">
        <v>98</v>
      </c>
      <c r="CP618" s="41">
        <v>14.088888888888889</v>
      </c>
      <c r="CQ618" s="3" t="s">
        <v>110</v>
      </c>
      <c r="CR618" s="40">
        <v>87</v>
      </c>
      <c r="CS618" s="40">
        <v>91</v>
      </c>
      <c r="CT618" s="40" t="s">
        <v>110</v>
      </c>
      <c r="CU618" s="40"/>
      <c r="CV618" s="40"/>
      <c r="CW618" s="40"/>
      <c r="CX618" s="40"/>
      <c r="CY618" s="40">
        <v>0</v>
      </c>
      <c r="CZ618" s="40"/>
      <c r="DA618" s="40"/>
    </row>
    <row r="619" spans="1:105" ht="18.75" customHeight="1">
      <c r="A619" s="3">
        <v>461</v>
      </c>
      <c r="B619" s="38" t="s">
        <v>103</v>
      </c>
      <c r="C619" s="3" t="s">
        <v>115</v>
      </c>
      <c r="D619" s="3" t="s">
        <v>215</v>
      </c>
      <c r="E619" s="39">
        <v>45056</v>
      </c>
      <c r="F619" s="3" t="s">
        <v>186</v>
      </c>
      <c r="G619" s="3" t="s">
        <v>107</v>
      </c>
      <c r="H619" s="3">
        <v>2009</v>
      </c>
      <c r="I619" s="40" t="s">
        <v>108</v>
      </c>
      <c r="J619" s="39" t="s">
        <v>109</v>
      </c>
      <c r="K619" s="3">
        <v>160</v>
      </c>
      <c r="L619" s="3">
        <v>160</v>
      </c>
      <c r="M619" s="3"/>
      <c r="N619" s="3">
        <v>135.1</v>
      </c>
      <c r="O619" s="3">
        <v>135</v>
      </c>
      <c r="P619" s="3"/>
      <c r="Q619" s="3">
        <v>54.3</v>
      </c>
      <c r="R619" s="3"/>
      <c r="S619" s="3"/>
      <c r="T619" s="42">
        <v>160</v>
      </c>
      <c r="U619" s="42">
        <f>AVERAGE(paper3[[#This Row],[Sittende høyde 1]:[Sittende høyde 3]])-56.2</f>
        <v>78.850000000000009</v>
      </c>
      <c r="V619" s="12">
        <f>paper3[[#This Row],[height]]-paper3[[#This Row],[sittingheight]]</f>
        <v>81.149999999999991</v>
      </c>
      <c r="W619" s="73">
        <v>54.3</v>
      </c>
      <c r="X619" s="43" cm="1">
        <f t="array" ref="X619">INDEX([1]!phvny[yphv], MATCH(1, (paper3[[#This Row],[id]]=[1]!phvny[id])*(paper3[[#This Row],[time]]=[1]!phvny[time]), 0))</f>
        <v>1.2750246479999992</v>
      </c>
      <c r="Y619" s="3">
        <v>2.2999999999999998</v>
      </c>
      <c r="Z619" s="3">
        <v>4.09</v>
      </c>
      <c r="AA619" s="3">
        <v>5.86</v>
      </c>
      <c r="AB619" s="3">
        <v>2.33</v>
      </c>
      <c r="AC619" s="3">
        <v>4.13</v>
      </c>
      <c r="AD619" s="3">
        <v>5.88</v>
      </c>
      <c r="AE619" s="3">
        <v>2.4</v>
      </c>
      <c r="AF619" s="3">
        <v>4.2300000000000004</v>
      </c>
      <c r="AG619" s="3">
        <v>6.03</v>
      </c>
      <c r="AH619" s="44">
        <v>2.2999999999999998</v>
      </c>
      <c r="AI619" s="44">
        <v>4.09</v>
      </c>
      <c r="AJ619" s="44">
        <v>5.86</v>
      </c>
      <c r="AK619" s="45">
        <v>5.6497175141242924</v>
      </c>
      <c r="AL619" s="3">
        <v>13.02</v>
      </c>
      <c r="AM619" s="3">
        <v>12.47</v>
      </c>
      <c r="AN619" s="3">
        <v>13.03</v>
      </c>
      <c r="AO619" s="3">
        <v>13.47</v>
      </c>
      <c r="AP619" s="3">
        <v>12.47</v>
      </c>
      <c r="AQ619" s="47">
        <v>12.47</v>
      </c>
      <c r="AR619" s="47">
        <v>13.03</v>
      </c>
      <c r="AS619" s="3">
        <v>16.61</v>
      </c>
      <c r="AT619" s="3">
        <v>17.489999999999998</v>
      </c>
      <c r="AU619" s="3">
        <v>13.81</v>
      </c>
      <c r="AV619" s="3"/>
      <c r="AW619" s="3"/>
      <c r="AX619" s="48">
        <v>17.489999999999998</v>
      </c>
      <c r="AY619" s="71">
        <v>160</v>
      </c>
      <c r="AZ619" s="3"/>
      <c r="BA619" s="3"/>
      <c r="BB619" s="40">
        <v>8</v>
      </c>
      <c r="BC619" s="40">
        <v>136</v>
      </c>
      <c r="BD619" s="40">
        <v>504.2177413138611</v>
      </c>
      <c r="BE619" s="40">
        <v>484.6095244000453</v>
      </c>
      <c r="BF619" s="40"/>
      <c r="BG619" s="40">
        <v>202.97601806835445</v>
      </c>
      <c r="BH619" s="40">
        <v>202.33885587362636</v>
      </c>
      <c r="BI619" s="49">
        <v>988.8272657139064</v>
      </c>
      <c r="BJ619" s="49">
        <v>405.31487394198081</v>
      </c>
      <c r="BK619" s="66">
        <v>4.0461889266603102E-2</v>
      </c>
      <c r="BL619" s="66">
        <v>3.1489858533451098E-3</v>
      </c>
      <c r="BM619" s="51">
        <v>18.210446882392382</v>
      </c>
      <c r="BN619" s="51">
        <v>7.464362319373496</v>
      </c>
      <c r="BO619" s="52">
        <v>185</v>
      </c>
      <c r="BP619" s="40">
        <v>185</v>
      </c>
      <c r="BQ619" s="40">
        <v>184</v>
      </c>
      <c r="BR619" s="67">
        <v>5.4347826086955653E-3</v>
      </c>
      <c r="BS619" s="54">
        <v>3.3977900552486191</v>
      </c>
      <c r="BT619" s="3">
        <v>106</v>
      </c>
      <c r="BU619" s="3">
        <v>103</v>
      </c>
      <c r="BV619" s="3">
        <v>91</v>
      </c>
      <c r="BW619" s="3">
        <v>108</v>
      </c>
      <c r="BX619" s="70">
        <v>2.9126213592232997E-2</v>
      </c>
      <c r="BY619" s="70">
        <v>-0.15740740740740744</v>
      </c>
      <c r="BZ619" s="59">
        <v>0.95370370370370372</v>
      </c>
      <c r="CA619" s="59">
        <v>1.1648351648351649</v>
      </c>
      <c r="CB619" s="59">
        <v>1.5617265193370164</v>
      </c>
      <c r="CC619" s="59">
        <v>1.4870027624309392</v>
      </c>
      <c r="CD619" s="60">
        <v>64</v>
      </c>
      <c r="CE619" s="60">
        <v>53</v>
      </c>
      <c r="CF619" s="61">
        <v>1.1786372007366483</v>
      </c>
      <c r="CG619" s="61">
        <v>0.97605893186003689</v>
      </c>
      <c r="CH619" s="61">
        <v>0.828125</v>
      </c>
      <c r="CI619" s="41">
        <v>11.2</v>
      </c>
      <c r="CJ619" s="40">
        <f>VLOOKUP(paper3[[#This Row],[YYIR nivå]],$DB:$DC,2)</f>
        <v>160</v>
      </c>
      <c r="CK619" s="3"/>
      <c r="CL619" s="62"/>
      <c r="CM619" s="63" t="s">
        <v>110</v>
      </c>
      <c r="CN619" s="3">
        <v>106</v>
      </c>
      <c r="CO619" s="3">
        <v>108</v>
      </c>
      <c r="CP619" s="41">
        <v>13.816666666666666</v>
      </c>
      <c r="CQ619" s="3" t="s">
        <v>110</v>
      </c>
      <c r="CR619" s="40">
        <v>104.5</v>
      </c>
      <c r="CS619" s="40">
        <v>99.5</v>
      </c>
      <c r="CT619" s="40">
        <v>184.5</v>
      </c>
      <c r="CU619" s="40"/>
      <c r="CV619" s="40"/>
      <c r="CW619" s="40"/>
      <c r="CX619" s="40"/>
      <c r="CY619" s="40">
        <v>0</v>
      </c>
      <c r="CZ619" s="40"/>
      <c r="DA619" s="40"/>
    </row>
    <row r="620" spans="1:105" ht="18.75" customHeight="1">
      <c r="A620" s="3">
        <v>463</v>
      </c>
      <c r="B620" s="38" t="s">
        <v>103</v>
      </c>
      <c r="C620" s="3" t="s">
        <v>104</v>
      </c>
      <c r="D620" s="3" t="s">
        <v>215</v>
      </c>
      <c r="E620" s="39">
        <v>45056</v>
      </c>
      <c r="F620" s="3" t="s">
        <v>186</v>
      </c>
      <c r="G620" s="3" t="s">
        <v>107</v>
      </c>
      <c r="H620" s="3">
        <v>2007</v>
      </c>
      <c r="I620" s="40" t="s">
        <v>116</v>
      </c>
      <c r="J620" s="39" t="s">
        <v>117</v>
      </c>
      <c r="K620" s="3">
        <v>170.6</v>
      </c>
      <c r="L620" s="3">
        <v>170.6</v>
      </c>
      <c r="M620" s="3"/>
      <c r="N620" s="3">
        <v>143</v>
      </c>
      <c r="O620" s="3">
        <v>143</v>
      </c>
      <c r="P620" s="3"/>
      <c r="Q620" s="3">
        <v>63.2</v>
      </c>
      <c r="R620" s="3"/>
      <c r="S620" s="3"/>
      <c r="T620" s="42">
        <v>170.6</v>
      </c>
      <c r="U620" s="42">
        <f>AVERAGE(paper3[[#This Row],[Sittende høyde 1]:[Sittende høyde 3]])-56.2</f>
        <v>86.8</v>
      </c>
      <c r="V620" s="12">
        <f>paper3[[#This Row],[height]]-paper3[[#This Row],[sittingheight]]</f>
        <v>83.8</v>
      </c>
      <c r="W620" s="73">
        <v>63.2</v>
      </c>
      <c r="X620" s="43" cm="1">
        <f t="array" ref="X620">INDEX([1]!phvny[yphv], MATCH(1, (paper3[[#This Row],[id]]=[1]!phvny[id])*(paper3[[#This Row],[time]]=[1]!phvny[time]), 0))</f>
        <v>3.2662648944686743</v>
      </c>
      <c r="Y620" s="3">
        <v>2.2400000000000002</v>
      </c>
      <c r="Z620" s="3">
        <v>3.86</v>
      </c>
      <c r="AA620" s="3">
        <v>5.41</v>
      </c>
      <c r="AB620" s="3">
        <v>2.36</v>
      </c>
      <c r="AC620" s="3">
        <v>4.04</v>
      </c>
      <c r="AD620" s="3">
        <v>5.72</v>
      </c>
      <c r="AE620" s="3">
        <v>2.23</v>
      </c>
      <c r="AF620" s="3">
        <v>3.86</v>
      </c>
      <c r="AG620" s="3">
        <v>5.41</v>
      </c>
      <c r="AH620" s="44">
        <v>2.23</v>
      </c>
      <c r="AI620" s="44">
        <v>3.86</v>
      </c>
      <c r="AJ620" s="44">
        <v>5.41</v>
      </c>
      <c r="AK620" s="45">
        <v>6.4516129032258052</v>
      </c>
      <c r="AL620" s="3">
        <v>12.19</v>
      </c>
      <c r="AM620" s="3">
        <v>11.57</v>
      </c>
      <c r="AN620" s="3">
        <v>11.78</v>
      </c>
      <c r="AO620" s="3">
        <v>11.8</v>
      </c>
      <c r="AP620" s="3">
        <v>11.57</v>
      </c>
      <c r="AQ620" s="47">
        <v>11.57</v>
      </c>
      <c r="AR620" s="47">
        <v>11.78</v>
      </c>
      <c r="AS620" s="3">
        <v>22.35</v>
      </c>
      <c r="AT620" s="3">
        <v>21.76</v>
      </c>
      <c r="AU620" s="3">
        <v>19.559999999999999</v>
      </c>
      <c r="AV620" s="3"/>
      <c r="AW620" s="3"/>
      <c r="AX620" s="48">
        <v>22.35</v>
      </c>
      <c r="AY620" s="71">
        <v>230</v>
      </c>
      <c r="AZ620" s="3"/>
      <c r="BA620" s="3"/>
      <c r="BB620" s="40">
        <v>8</v>
      </c>
      <c r="BC620" s="40">
        <v>208</v>
      </c>
      <c r="BD620" s="40">
        <v>808.37504572504918</v>
      </c>
      <c r="BE620" s="40">
        <v>767.31763319514243</v>
      </c>
      <c r="BF620" s="40"/>
      <c r="BG620" s="40">
        <v>316.5933507409701</v>
      </c>
      <c r="BH620" s="40">
        <v>316.9505568964654</v>
      </c>
      <c r="BI620" s="49">
        <v>1575.6926789201916</v>
      </c>
      <c r="BJ620" s="49">
        <v>633.5439076374355</v>
      </c>
      <c r="BK620" s="66">
        <v>5.3507714085680558E-2</v>
      </c>
      <c r="BL620" s="66">
        <v>-1.1270090798799481E-3</v>
      </c>
      <c r="BM620" s="51">
        <v>24.931846185446069</v>
      </c>
      <c r="BN620" s="51">
        <v>10.024428918313852</v>
      </c>
      <c r="BO620" s="52">
        <v>208</v>
      </c>
      <c r="BP620" s="40">
        <v>208</v>
      </c>
      <c r="BQ620" s="40">
        <v>198</v>
      </c>
      <c r="BR620" s="67">
        <v>5.0505050505050608E-2</v>
      </c>
      <c r="BS620" s="54">
        <v>3.212025316455696</v>
      </c>
      <c r="BT620" s="3">
        <v>104</v>
      </c>
      <c r="BU620" s="3">
        <v>109</v>
      </c>
      <c r="BV620" s="3">
        <v>106</v>
      </c>
      <c r="BW620" s="3">
        <v>117</v>
      </c>
      <c r="BX620" s="70">
        <v>-4.587155963302747E-2</v>
      </c>
      <c r="BY620" s="70">
        <v>-9.4017094017094016E-2</v>
      </c>
      <c r="BZ620" s="59">
        <v>0.93162393162393164</v>
      </c>
      <c r="CA620" s="59">
        <v>0.98113207547169812</v>
      </c>
      <c r="CB620" s="59">
        <v>1.4121360759493671</v>
      </c>
      <c r="CC620" s="59">
        <v>1.4784335443037973</v>
      </c>
      <c r="CD620" s="60">
        <v>81</v>
      </c>
      <c r="CE620" s="60">
        <v>77</v>
      </c>
      <c r="CF620" s="61">
        <v>1.2816455696202531</v>
      </c>
      <c r="CG620" s="61">
        <v>1.2183544303797469</v>
      </c>
      <c r="CH620" s="61">
        <v>0.9506172839506174</v>
      </c>
      <c r="CI620" s="41">
        <v>13.2</v>
      </c>
      <c r="CJ620" s="40">
        <f>VLOOKUP(paper3[[#This Row],[YYIR nivå]],$DB:$DC,2)</f>
        <v>360</v>
      </c>
      <c r="CK620" s="3"/>
      <c r="CL620" s="62"/>
      <c r="CM620" s="63" t="s">
        <v>110</v>
      </c>
      <c r="CN620" s="3">
        <v>109</v>
      </c>
      <c r="CO620" s="3">
        <v>117</v>
      </c>
      <c r="CP620" s="41">
        <v>16.094444444444445</v>
      </c>
      <c r="CQ620" s="3" t="s">
        <v>110</v>
      </c>
      <c r="CR620" s="40">
        <v>106.5</v>
      </c>
      <c r="CS620" s="40">
        <v>111.5</v>
      </c>
      <c r="CT620" s="40">
        <v>203</v>
      </c>
      <c r="CU620" s="40"/>
      <c r="CV620" s="40"/>
      <c r="CW620" s="40"/>
      <c r="CX620" s="40"/>
      <c r="CY620" s="40">
        <v>0</v>
      </c>
      <c r="CZ620" s="40"/>
      <c r="DA620" s="40"/>
    </row>
    <row r="621" spans="1:105" ht="18.75" customHeight="1">
      <c r="A621" s="3">
        <v>464</v>
      </c>
      <c r="B621" s="38" t="s">
        <v>103</v>
      </c>
      <c r="C621" s="3">
        <v>0</v>
      </c>
      <c r="D621" s="3" t="s">
        <v>215</v>
      </c>
      <c r="E621" s="39">
        <v>45056</v>
      </c>
      <c r="F621" s="3" t="s">
        <v>186</v>
      </c>
      <c r="G621" s="3" t="s">
        <v>107</v>
      </c>
      <c r="H621" s="3">
        <v>2007</v>
      </c>
      <c r="I621" s="40" t="s">
        <v>116</v>
      </c>
      <c r="J621" s="39" t="s">
        <v>117</v>
      </c>
      <c r="K621" s="3">
        <v>165.5</v>
      </c>
      <c r="L621" s="3">
        <v>165.6</v>
      </c>
      <c r="M621" s="3"/>
      <c r="N621" s="3">
        <v>139.5</v>
      </c>
      <c r="O621" s="3">
        <v>135.69999999999999</v>
      </c>
      <c r="P621" s="3"/>
      <c r="Q621" s="3">
        <v>65.8</v>
      </c>
      <c r="R621" s="3"/>
      <c r="S621" s="3"/>
      <c r="T621" s="42">
        <v>165.55</v>
      </c>
      <c r="U621" s="42">
        <f>AVERAGE(paper3[[#This Row],[Sittende høyde 1]:[Sittende høyde 3]])-56.2</f>
        <v>81.399999999999991</v>
      </c>
      <c r="V621" s="12">
        <f>paper3[[#This Row],[height]]-paper3[[#This Row],[sittingheight]]</f>
        <v>84.15000000000002</v>
      </c>
      <c r="W621" s="73">
        <v>65.8</v>
      </c>
      <c r="X621" s="43" cm="1">
        <f t="array" ref="X621">INDEX([1]!phvny[yphv], MATCH(1, (paper3[[#This Row],[id]]=[1]!phvny[id])*(paper3[[#This Row],[time]]=[1]!phvny[time]), 0))</f>
        <v>2.4976784755976036</v>
      </c>
      <c r="Y621" s="3">
        <v>2.14</v>
      </c>
      <c r="Z621" s="3">
        <v>3.72</v>
      </c>
      <c r="AA621" s="3">
        <v>5.25</v>
      </c>
      <c r="AB621" s="3">
        <v>2.13</v>
      </c>
      <c r="AC621" s="3">
        <v>3.73</v>
      </c>
      <c r="AD621" s="3">
        <v>5.26</v>
      </c>
      <c r="AE621" s="3">
        <v>2.13</v>
      </c>
      <c r="AF621" s="3">
        <v>3.71</v>
      </c>
      <c r="AG621" s="3">
        <v>5.25</v>
      </c>
      <c r="AH621" s="44">
        <v>2.13</v>
      </c>
      <c r="AI621" s="44">
        <v>3.71</v>
      </c>
      <c r="AJ621" s="44">
        <v>5.25</v>
      </c>
      <c r="AK621" s="45">
        <v>6.4935064935064934</v>
      </c>
      <c r="AL621" s="3">
        <v>11.24</v>
      </c>
      <c r="AM621" s="3">
        <v>11.23</v>
      </c>
      <c r="AN621" s="3">
        <v>11.43</v>
      </c>
      <c r="AO621" s="3">
        <v>11.41</v>
      </c>
      <c r="AP621" s="3">
        <v>11.23</v>
      </c>
      <c r="AQ621" s="47">
        <v>11.23</v>
      </c>
      <c r="AR621" s="47">
        <v>11.41</v>
      </c>
      <c r="AS621" s="3">
        <v>23.56</v>
      </c>
      <c r="AT621" s="3">
        <v>24.49</v>
      </c>
      <c r="AU621" s="3">
        <v>23.09</v>
      </c>
      <c r="AV621" s="3"/>
      <c r="AW621" s="3"/>
      <c r="AX621" s="48">
        <v>24.49</v>
      </c>
      <c r="AY621" s="71">
        <v>230</v>
      </c>
      <c r="AZ621" s="3"/>
      <c r="BA621" s="3"/>
      <c r="BB621" s="40">
        <v>11</v>
      </c>
      <c r="BC621" s="40">
        <v>272</v>
      </c>
      <c r="BD621" s="40">
        <v>1011.0003212106626</v>
      </c>
      <c r="BE621" s="40">
        <v>1001.4886532376044</v>
      </c>
      <c r="BF621" s="40"/>
      <c r="BG621" s="40">
        <v>292.8893998629394</v>
      </c>
      <c r="BH621" s="40">
        <v>300.28707070347076</v>
      </c>
      <c r="BI621" s="49">
        <v>2012.4889744482671</v>
      </c>
      <c r="BJ621" s="49">
        <v>593.17647056641022</v>
      </c>
      <c r="BK621" s="66">
        <v>9.4975294451005166E-3</v>
      </c>
      <c r="BL621" s="66">
        <v>-2.4635329197494671E-2</v>
      </c>
      <c r="BM621" s="51">
        <v>30.584938821402236</v>
      </c>
      <c r="BN621" s="51">
        <v>9.0148399782129225</v>
      </c>
      <c r="BO621" s="52">
        <v>215</v>
      </c>
      <c r="BP621" s="40">
        <v>211</v>
      </c>
      <c r="BQ621" s="40">
        <v>215</v>
      </c>
      <c r="BR621" s="67">
        <v>-1.8604651162790753E-2</v>
      </c>
      <c r="BS621" s="54">
        <v>3.2370820668693012</v>
      </c>
      <c r="BT621" s="3">
        <v>92</v>
      </c>
      <c r="BU621" s="3">
        <v>97</v>
      </c>
      <c r="BV621" s="3">
        <v>104</v>
      </c>
      <c r="BW621" s="3">
        <v>99</v>
      </c>
      <c r="BX621" s="70">
        <v>-5.1546391752577359E-2</v>
      </c>
      <c r="BY621" s="70">
        <v>5.0505050505050608E-2</v>
      </c>
      <c r="BZ621" s="59">
        <v>0.97979797979797978</v>
      </c>
      <c r="CA621" s="59">
        <v>0.88461538461538458</v>
      </c>
      <c r="CB621" s="59">
        <v>1.2085372340425535</v>
      </c>
      <c r="CC621" s="59">
        <v>1.2980585106382985</v>
      </c>
      <c r="CD621" s="60">
        <v>57</v>
      </c>
      <c r="CE621" s="60">
        <v>57</v>
      </c>
      <c r="CF621" s="61">
        <v>0.86626139817629189</v>
      </c>
      <c r="CG621" s="61">
        <v>0.86626139817629189</v>
      </c>
      <c r="CH621" s="61">
        <v>1</v>
      </c>
      <c r="CI621" s="41">
        <v>12.3</v>
      </c>
      <c r="CJ621" s="40">
        <f>VLOOKUP(paper3[[#This Row],[YYIR nivå]],$DB:$DC,2)</f>
        <v>280</v>
      </c>
      <c r="CK621" s="3"/>
      <c r="CL621" s="62"/>
      <c r="CM621" s="63" t="s">
        <v>110</v>
      </c>
      <c r="CN621" s="3">
        <v>97</v>
      </c>
      <c r="CO621" s="3">
        <v>104</v>
      </c>
      <c r="CP621" s="41">
        <v>15.497222222222222</v>
      </c>
      <c r="CQ621" s="3" t="s">
        <v>110</v>
      </c>
      <c r="CR621" s="40">
        <v>94.5</v>
      </c>
      <c r="CS621" s="40">
        <v>101.5</v>
      </c>
      <c r="CT621" s="40">
        <v>213</v>
      </c>
      <c r="CU621" s="40"/>
      <c r="CV621" s="40"/>
      <c r="CW621" s="40"/>
      <c r="CX621" s="40"/>
      <c r="CY621" s="40">
        <v>0</v>
      </c>
      <c r="CZ621" s="40"/>
      <c r="DA621" s="40"/>
    </row>
    <row r="622" spans="1:105" ht="18.75" customHeight="1">
      <c r="A622" s="3">
        <v>466</v>
      </c>
      <c r="B622" s="38" t="s">
        <v>103</v>
      </c>
      <c r="C622" s="3" t="s">
        <v>115</v>
      </c>
      <c r="D622" s="3" t="s">
        <v>215</v>
      </c>
      <c r="E622" s="39">
        <v>45056</v>
      </c>
      <c r="F622" s="3" t="s">
        <v>186</v>
      </c>
      <c r="G622" s="3" t="s">
        <v>107</v>
      </c>
      <c r="H622" s="3">
        <v>2007</v>
      </c>
      <c r="I622" s="40" t="s">
        <v>116</v>
      </c>
      <c r="J622" s="39" t="s">
        <v>117</v>
      </c>
      <c r="K622" s="3">
        <v>178.9</v>
      </c>
      <c r="L622" s="3">
        <v>179.1</v>
      </c>
      <c r="M622" s="3"/>
      <c r="N622" s="3">
        <v>146.4</v>
      </c>
      <c r="O622" s="3">
        <v>146.5</v>
      </c>
      <c r="P622" s="3"/>
      <c r="Q622" s="3">
        <v>82.7</v>
      </c>
      <c r="R622" s="3"/>
      <c r="S622" s="3"/>
      <c r="T622" s="42">
        <v>179</v>
      </c>
      <c r="U622" s="42">
        <f>AVERAGE(paper3[[#This Row],[Sittende høyde 1]:[Sittende høyde 3]])-56.2</f>
        <v>90.249999999999986</v>
      </c>
      <c r="V622" s="12">
        <f>paper3[[#This Row],[height]]-paper3[[#This Row],[sittingheight]]</f>
        <v>88.750000000000014</v>
      </c>
      <c r="W622" s="73">
        <v>82.7</v>
      </c>
      <c r="X622" s="43" cm="1">
        <f t="array" ref="X622">INDEX([1]!phvny[yphv], MATCH(1, (paper3[[#This Row],[id]]=[1]!phvny[id])*(paper3[[#This Row],[time]]=[1]!phvny[time]), 0))</f>
        <v>3.436631878362816</v>
      </c>
      <c r="Y622" s="3">
        <v>2.25</v>
      </c>
      <c r="Z622" s="3">
        <v>3.91</v>
      </c>
      <c r="AA622" s="3">
        <v>5.56</v>
      </c>
      <c r="AB622" s="3">
        <v>2.27</v>
      </c>
      <c r="AC622" s="3">
        <v>3.95</v>
      </c>
      <c r="AD622" s="3">
        <v>5.56</v>
      </c>
      <c r="AE622" s="3">
        <v>2.2000000000000002</v>
      </c>
      <c r="AF622" s="3">
        <v>3.85</v>
      </c>
      <c r="AG622" s="3">
        <v>5.46</v>
      </c>
      <c r="AH622" s="44">
        <v>2.2000000000000002</v>
      </c>
      <c r="AI622" s="44">
        <v>3.85</v>
      </c>
      <c r="AJ622" s="44">
        <v>5.46</v>
      </c>
      <c r="AK622" s="45">
        <v>6.2111801242236027</v>
      </c>
      <c r="AL622" s="3">
        <v>11.64</v>
      </c>
      <c r="AM622" s="3">
        <v>11.8</v>
      </c>
      <c r="AN622" s="3">
        <v>11.53</v>
      </c>
      <c r="AO622" s="3">
        <v>11.75</v>
      </c>
      <c r="AP622" s="3">
        <v>11.53</v>
      </c>
      <c r="AQ622" s="47">
        <v>11.64</v>
      </c>
      <c r="AR622" s="47">
        <v>11.53</v>
      </c>
      <c r="AS622" s="3">
        <v>24.76</v>
      </c>
      <c r="AT622" s="3">
        <v>25.56</v>
      </c>
      <c r="AU622" s="3">
        <v>25.9</v>
      </c>
      <c r="AV622" s="3">
        <v>26.4</v>
      </c>
      <c r="AW622" s="3"/>
      <c r="AX622" s="48">
        <v>26.4</v>
      </c>
      <c r="AY622" s="71">
        <v>220</v>
      </c>
      <c r="AZ622" s="3"/>
      <c r="BA622" s="3"/>
      <c r="BB622" s="40">
        <v>10</v>
      </c>
      <c r="BC622" s="40">
        <v>240</v>
      </c>
      <c r="BD622" s="40">
        <v>873.31777758257749</v>
      </c>
      <c r="BE622" s="40">
        <v>857.45044105223053</v>
      </c>
      <c r="BF622" s="40"/>
      <c r="BG622" s="40">
        <v>318.47757901113152</v>
      </c>
      <c r="BH622" s="40">
        <v>340.66975388735494</v>
      </c>
      <c r="BI622" s="49">
        <v>1730.7682186348079</v>
      </c>
      <c r="BJ622" s="49">
        <v>659.14733289848641</v>
      </c>
      <c r="BK622" s="66">
        <v>1.8505252048007792E-2</v>
      </c>
      <c r="BL622" s="66">
        <v>-6.5142780135278522E-2</v>
      </c>
      <c r="BM622" s="51">
        <v>20.928273502234678</v>
      </c>
      <c r="BN622" s="51">
        <v>7.97034259853067</v>
      </c>
      <c r="BO622" s="52">
        <v>227</v>
      </c>
      <c r="BP622" s="40">
        <v>227</v>
      </c>
      <c r="BQ622" s="40">
        <v>221</v>
      </c>
      <c r="BR622" s="67">
        <v>2.7149321266968229E-2</v>
      </c>
      <c r="BS622" s="54">
        <v>2.7085852478839176</v>
      </c>
      <c r="BT622" s="3">
        <v>91</v>
      </c>
      <c r="BU622" s="3">
        <v>81</v>
      </c>
      <c r="BV622" s="3">
        <v>108</v>
      </c>
      <c r="BW622" s="3">
        <v>113</v>
      </c>
      <c r="BX622" s="70">
        <v>0.12345679012345689</v>
      </c>
      <c r="BY622" s="70">
        <v>-4.4247787610619427E-2</v>
      </c>
      <c r="BZ622" s="59">
        <v>0.7168141592920354</v>
      </c>
      <c r="CA622" s="59">
        <v>0.84259259259259256</v>
      </c>
      <c r="CB622" s="59">
        <v>0.92291414752116097</v>
      </c>
      <c r="CC622" s="59">
        <v>1.1858373639661428</v>
      </c>
      <c r="CD622" s="60">
        <v>72</v>
      </c>
      <c r="CE622" s="60">
        <v>89</v>
      </c>
      <c r="CF622" s="61">
        <v>0.87061668681983073</v>
      </c>
      <c r="CG622" s="61">
        <v>1.0761789600967351</v>
      </c>
      <c r="CH622" s="61">
        <v>1.2361111111111109</v>
      </c>
      <c r="CI622" s="41">
        <v>12.3</v>
      </c>
      <c r="CJ622" s="40">
        <f>VLOOKUP(paper3[[#This Row],[YYIR nivå]],$DB:$DC,2)</f>
        <v>280</v>
      </c>
      <c r="CK622" s="3"/>
      <c r="CL622" s="62"/>
      <c r="CM622" s="63" t="s">
        <v>110</v>
      </c>
      <c r="CN622" s="3">
        <v>91</v>
      </c>
      <c r="CO622" s="3">
        <v>113</v>
      </c>
      <c r="CP622" s="41">
        <v>15.422222222222222</v>
      </c>
      <c r="CQ622" s="3" t="s">
        <v>110</v>
      </c>
      <c r="CR622" s="40">
        <v>86</v>
      </c>
      <c r="CS622" s="40">
        <v>110.5</v>
      </c>
      <c r="CT622" s="40">
        <v>224</v>
      </c>
      <c r="CU622" s="40"/>
      <c r="CV622" s="40"/>
      <c r="CW622" s="40"/>
      <c r="CX622" s="40"/>
      <c r="CY622" s="40">
        <v>0</v>
      </c>
      <c r="CZ622" s="40"/>
      <c r="DA622" s="40"/>
    </row>
    <row r="623" spans="1:105" ht="18.75" customHeight="1">
      <c r="A623" s="3">
        <v>467</v>
      </c>
      <c r="B623" s="38" t="s">
        <v>103</v>
      </c>
      <c r="C623" s="3" t="s">
        <v>104</v>
      </c>
      <c r="D623" s="3" t="s">
        <v>215</v>
      </c>
      <c r="E623" s="39">
        <v>45056</v>
      </c>
      <c r="F623" s="3" t="s">
        <v>186</v>
      </c>
      <c r="G623" s="3" t="s">
        <v>107</v>
      </c>
      <c r="H623" s="3">
        <v>2007</v>
      </c>
      <c r="I623" s="40" t="s">
        <v>116</v>
      </c>
      <c r="J623" s="39" t="s">
        <v>117</v>
      </c>
      <c r="K623" s="3">
        <v>156.1</v>
      </c>
      <c r="L623" s="3">
        <v>156.4</v>
      </c>
      <c r="M623" s="3">
        <v>156.4</v>
      </c>
      <c r="N623" s="3">
        <v>133.5</v>
      </c>
      <c r="O623" s="3">
        <v>133.5</v>
      </c>
      <c r="P623" s="3"/>
      <c r="Q623" s="3">
        <v>58.8</v>
      </c>
      <c r="R623" s="3"/>
      <c r="S623" s="3"/>
      <c r="T623" s="42">
        <v>156.29999999999998</v>
      </c>
      <c r="U623" s="42">
        <f>AVERAGE(paper3[[#This Row],[Sittende høyde 1]:[Sittende høyde 3]])-56.2</f>
        <v>77.3</v>
      </c>
      <c r="V623" s="12">
        <f>paper3[[#This Row],[height]]-paper3[[#This Row],[sittingheight]]</f>
        <v>78.999999999999986</v>
      </c>
      <c r="W623" s="73">
        <v>58.8</v>
      </c>
      <c r="X623" s="43" cm="1">
        <f t="array" ref="X623">INDEX([1]!phvny[yphv], MATCH(1, (paper3[[#This Row],[id]]=[1]!phvny[id])*(paper3[[#This Row],[time]]=[1]!phvny[time]), 0))</f>
        <v>2.3215124687774553</v>
      </c>
      <c r="Y623" s="3">
        <v>2.0099999999999998</v>
      </c>
      <c r="Z623" s="3">
        <v>3.51</v>
      </c>
      <c r="AA623" s="3">
        <v>4.97</v>
      </c>
      <c r="AB623" s="3">
        <v>2.02</v>
      </c>
      <c r="AC623" s="3">
        <v>3.51</v>
      </c>
      <c r="AD623" s="3">
        <v>4.93</v>
      </c>
      <c r="AE623" s="3">
        <v>2.0299999999999998</v>
      </c>
      <c r="AF623" s="3">
        <v>3.52</v>
      </c>
      <c r="AG623" s="3">
        <v>4.95</v>
      </c>
      <c r="AH623" s="44">
        <v>2.0099999999999998</v>
      </c>
      <c r="AI623" s="44">
        <v>3.51</v>
      </c>
      <c r="AJ623" s="44">
        <v>4.93</v>
      </c>
      <c r="AK623" s="45">
        <v>7.042253521126761</v>
      </c>
      <c r="AL623" s="3">
        <v>10.67</v>
      </c>
      <c r="AM623" s="3">
        <v>10.41</v>
      </c>
      <c r="AN623" s="3">
        <v>10.81</v>
      </c>
      <c r="AO623" s="3">
        <v>10.68</v>
      </c>
      <c r="AP623" s="3">
        <v>10.41</v>
      </c>
      <c r="AQ623" s="47">
        <v>10.41</v>
      </c>
      <c r="AR623" s="47">
        <v>10.68</v>
      </c>
      <c r="AS623" s="3">
        <v>26.24</v>
      </c>
      <c r="AT623" s="3">
        <v>30.56</v>
      </c>
      <c r="AU623" s="3">
        <v>27.67</v>
      </c>
      <c r="AV623" s="3"/>
      <c r="AW623" s="3"/>
      <c r="AX623" s="48">
        <v>30.56</v>
      </c>
      <c r="AY623" s="71" t="s">
        <v>234</v>
      </c>
      <c r="AZ623" s="3"/>
      <c r="BA623" s="3"/>
      <c r="BB623" s="40">
        <v>11</v>
      </c>
      <c r="BC623" s="40">
        <v>236</v>
      </c>
      <c r="BD623" s="40">
        <v>1079.6538350684275</v>
      </c>
      <c r="BE623" s="40">
        <v>955.94555724679435</v>
      </c>
      <c r="BF623" s="40"/>
      <c r="BG623" s="40">
        <v>343.01201871528917</v>
      </c>
      <c r="BH623" s="40">
        <v>320.35989429174572</v>
      </c>
      <c r="BI623" s="49">
        <v>2035.5993923152218</v>
      </c>
      <c r="BJ623" s="49">
        <v>663.37191300703489</v>
      </c>
      <c r="BK623" s="66">
        <v>0.12940933391429077</v>
      </c>
      <c r="BL623" s="66">
        <v>7.0708365270325091E-2</v>
      </c>
      <c r="BM623" s="51">
        <v>34.61903728427248</v>
      </c>
      <c r="BN623" s="51">
        <v>11.281835255221683</v>
      </c>
      <c r="BO623" s="52">
        <v>145</v>
      </c>
      <c r="BP623" s="40">
        <v>145</v>
      </c>
      <c r="BQ623" s="40">
        <v>138</v>
      </c>
      <c r="BR623" s="67">
        <v>5.0724637681159424E-2</v>
      </c>
      <c r="BS623" s="54">
        <v>2.4064625850340136</v>
      </c>
      <c r="BT623" s="46">
        <v>75</v>
      </c>
      <c r="BU623" s="46">
        <v>63</v>
      </c>
      <c r="BV623" s="3">
        <v>103</v>
      </c>
      <c r="BW623" s="3">
        <v>113</v>
      </c>
      <c r="BX623" s="70">
        <v>0.19047619047619047</v>
      </c>
      <c r="BY623" s="70">
        <v>-8.8495575221238965E-2</v>
      </c>
      <c r="BZ623" s="59">
        <v>0.55752212389380529</v>
      </c>
      <c r="CA623" s="59">
        <v>0.72815533980582525</v>
      </c>
      <c r="CB623" s="59">
        <v>0.92704081632653035</v>
      </c>
      <c r="CC623" s="59">
        <v>1.4510204081632649</v>
      </c>
      <c r="CD623" s="60">
        <v>63</v>
      </c>
      <c r="CE623" s="60">
        <v>71</v>
      </c>
      <c r="CF623" s="61">
        <v>1.0714285714285714</v>
      </c>
      <c r="CG623" s="61">
        <v>1.207482993197279</v>
      </c>
      <c r="CH623" s="61">
        <v>1.1269841269841272</v>
      </c>
      <c r="CI623" s="41">
        <v>13.1</v>
      </c>
      <c r="CJ623" s="40">
        <f>VLOOKUP(paper3[[#This Row],[YYIR nivå]],$DB:$DC,2)</f>
        <v>320</v>
      </c>
      <c r="CK623" s="3"/>
      <c r="CL623" s="62"/>
      <c r="CM623" s="63" t="s">
        <v>110</v>
      </c>
      <c r="CN623" s="3">
        <v>75</v>
      </c>
      <c r="CO623" s="3">
        <v>113</v>
      </c>
      <c r="CP623" s="41">
        <v>16.319444444444443</v>
      </c>
      <c r="CQ623" s="3" t="s">
        <v>110</v>
      </c>
      <c r="CR623" s="40">
        <v>69</v>
      </c>
      <c r="CS623" s="40">
        <v>108</v>
      </c>
      <c r="CT623" s="40">
        <v>141.5</v>
      </c>
      <c r="CU623" s="40"/>
      <c r="CV623" s="40"/>
      <c r="CW623" s="40"/>
      <c r="CX623" s="40"/>
      <c r="CY623" s="40">
        <v>0</v>
      </c>
      <c r="CZ623" s="40"/>
      <c r="DA623" s="40"/>
    </row>
    <row r="624" spans="1:105" ht="18.75" customHeight="1">
      <c r="A624" s="3">
        <v>468</v>
      </c>
      <c r="B624" s="38" t="s">
        <v>103</v>
      </c>
      <c r="C624" s="3" t="s">
        <v>104</v>
      </c>
      <c r="D624" s="3" t="s">
        <v>215</v>
      </c>
      <c r="E624" s="39">
        <v>45056</v>
      </c>
      <c r="F624" s="3" t="s">
        <v>186</v>
      </c>
      <c r="G624" s="3" t="s">
        <v>107</v>
      </c>
      <c r="H624" s="3">
        <v>2007</v>
      </c>
      <c r="I624" s="40" t="s">
        <v>116</v>
      </c>
      <c r="J624" s="39" t="s">
        <v>117</v>
      </c>
      <c r="K624" s="3">
        <v>159.9</v>
      </c>
      <c r="L624" s="3">
        <v>159.9</v>
      </c>
      <c r="M624" s="3"/>
      <c r="N624" s="3">
        <v>137.6</v>
      </c>
      <c r="O624" s="3">
        <v>137.6</v>
      </c>
      <c r="P624" s="3"/>
      <c r="Q624" s="3">
        <v>56</v>
      </c>
      <c r="R624" s="3"/>
      <c r="S624" s="3"/>
      <c r="T624" s="42">
        <v>159.9</v>
      </c>
      <c r="U624" s="42">
        <f>AVERAGE(paper3[[#This Row],[Sittende høyde 1]:[Sittende høyde 3]])-56.2</f>
        <v>81.399999999999991</v>
      </c>
      <c r="V624" s="12">
        <f>paper3[[#This Row],[height]]-paper3[[#This Row],[sittingheight]]</f>
        <v>78.500000000000014</v>
      </c>
      <c r="W624" s="73">
        <v>56</v>
      </c>
      <c r="X624" s="43" cm="1">
        <f t="array" ref="X624">INDEX([1]!phvny[yphv], MATCH(1, (paper3[[#This Row],[id]]=[1]!phvny[id])*(paper3[[#This Row],[time]]=[1]!phvny[time]), 0))</f>
        <v>2.6345908261851165</v>
      </c>
      <c r="Y624" s="3">
        <v>2.08</v>
      </c>
      <c r="Z624" s="3">
        <v>3.62</v>
      </c>
      <c r="AA624" s="3">
        <v>5.0999999999999996</v>
      </c>
      <c r="AB624" s="3">
        <v>2.04</v>
      </c>
      <c r="AC624" s="3">
        <v>3.57</v>
      </c>
      <c r="AD624" s="3">
        <v>5.07</v>
      </c>
      <c r="AE624" s="3">
        <v>2.04</v>
      </c>
      <c r="AF624" s="3">
        <v>3.61</v>
      </c>
      <c r="AG624" s="3">
        <v>5.12</v>
      </c>
      <c r="AH624" s="44">
        <v>2.04</v>
      </c>
      <c r="AI624" s="44">
        <v>3.57</v>
      </c>
      <c r="AJ624" s="44">
        <v>5.07</v>
      </c>
      <c r="AK624" s="45">
        <v>6.6666666666666643</v>
      </c>
      <c r="AL624" s="3">
        <v>10.6</v>
      </c>
      <c r="AM624" s="3">
        <v>10.74</v>
      </c>
      <c r="AN624" s="3">
        <v>10.69</v>
      </c>
      <c r="AO624" s="3">
        <v>10.66</v>
      </c>
      <c r="AP624" s="3">
        <v>10.6</v>
      </c>
      <c r="AQ624" s="47">
        <v>10.6</v>
      </c>
      <c r="AR624" s="47">
        <v>10.66</v>
      </c>
      <c r="AS624" s="3">
        <v>21.12</v>
      </c>
      <c r="AT624" s="3">
        <v>22.43</v>
      </c>
      <c r="AU624" s="3">
        <v>21.84</v>
      </c>
      <c r="AV624" s="3"/>
      <c r="AW624" s="3"/>
      <c r="AX624" s="48">
        <v>22.43</v>
      </c>
      <c r="AY624" s="71">
        <v>240</v>
      </c>
      <c r="AZ624" s="3"/>
      <c r="BA624" s="3"/>
      <c r="BB624" s="40">
        <v>9</v>
      </c>
      <c r="BC624" s="40">
        <v>229</v>
      </c>
      <c r="BD624" s="40">
        <v>850.08025389381805</v>
      </c>
      <c r="BE624" s="40">
        <v>867.33785192663254</v>
      </c>
      <c r="BF624" s="40"/>
      <c r="BG624" s="40">
        <v>333.97750654514658</v>
      </c>
      <c r="BH624" s="40">
        <v>368.5783358145859</v>
      </c>
      <c r="BI624" s="49">
        <v>1717.4181058204506</v>
      </c>
      <c r="BJ624" s="49">
        <v>702.55584235973242</v>
      </c>
      <c r="BK624" s="66">
        <v>-1.9897203834099764E-2</v>
      </c>
      <c r="BL624" s="66">
        <v>-9.3876459648581601E-2</v>
      </c>
      <c r="BM624" s="51">
        <v>30.668180461079476</v>
      </c>
      <c r="BN624" s="51">
        <v>12.545640042138078</v>
      </c>
      <c r="BO624" s="52">
        <v>258</v>
      </c>
      <c r="BP624" s="40">
        <v>258</v>
      </c>
      <c r="BQ624" s="40">
        <v>243</v>
      </c>
      <c r="BR624" s="67">
        <v>6.1728395061728447E-2</v>
      </c>
      <c r="BS624" s="54">
        <v>4.4732142857142856</v>
      </c>
      <c r="BT624" s="3">
        <v>101</v>
      </c>
      <c r="BU624" s="3">
        <v>124</v>
      </c>
      <c r="BV624" s="3">
        <v>126</v>
      </c>
      <c r="BW624" s="3">
        <v>121</v>
      </c>
      <c r="BX624" s="70">
        <v>-0.18548387096774188</v>
      </c>
      <c r="BY624" s="70">
        <v>4.1322314049586861E-2</v>
      </c>
      <c r="BZ624" s="59">
        <v>1.024793388429752</v>
      </c>
      <c r="CA624" s="59">
        <v>0.80158730158730163</v>
      </c>
      <c r="CB624" s="59">
        <v>1.5770089285714288</v>
      </c>
      <c r="CC624" s="59">
        <v>1.7312053571428574</v>
      </c>
      <c r="CD624" s="60">
        <v>68</v>
      </c>
      <c r="CE624" s="60">
        <v>85</v>
      </c>
      <c r="CF624" s="61">
        <v>1.2142857142857142</v>
      </c>
      <c r="CG624" s="61">
        <v>1.5178571428571428</v>
      </c>
      <c r="CH624" s="61">
        <v>1.25</v>
      </c>
      <c r="CI624" s="41">
        <v>12.2</v>
      </c>
      <c r="CJ624" s="40">
        <f>VLOOKUP(paper3[[#This Row],[YYIR nivå]],$DB:$DC,2)</f>
        <v>240</v>
      </c>
      <c r="CK624" s="3"/>
      <c r="CL624" s="62"/>
      <c r="CM624" s="63" t="s">
        <v>110</v>
      </c>
      <c r="CN624" s="3">
        <v>124</v>
      </c>
      <c r="CO624" s="3">
        <v>126</v>
      </c>
      <c r="CP624" s="41">
        <v>16.25</v>
      </c>
      <c r="CQ624" s="3" t="s">
        <v>110</v>
      </c>
      <c r="CR624" s="40">
        <v>112.5</v>
      </c>
      <c r="CS624" s="40">
        <v>123.5</v>
      </c>
      <c r="CT624" s="40">
        <v>250.5</v>
      </c>
      <c r="CU624" s="40"/>
      <c r="CV624" s="40"/>
      <c r="CW624" s="40"/>
      <c r="CX624" s="40"/>
      <c r="CY624" s="40">
        <v>0</v>
      </c>
      <c r="CZ624" s="40"/>
      <c r="DA624" s="40"/>
    </row>
    <row r="625" spans="1:105" ht="18.75" customHeight="1">
      <c r="A625" s="3">
        <v>469</v>
      </c>
      <c r="B625" s="38" t="s">
        <v>103</v>
      </c>
      <c r="C625" s="3">
        <v>0</v>
      </c>
      <c r="D625" s="3" t="s">
        <v>215</v>
      </c>
      <c r="E625" s="39">
        <v>45056</v>
      </c>
      <c r="F625" s="3" t="s">
        <v>186</v>
      </c>
      <c r="G625" s="3" t="s">
        <v>107</v>
      </c>
      <c r="H625" s="3">
        <v>2007</v>
      </c>
      <c r="I625" s="40" t="s">
        <v>116</v>
      </c>
      <c r="J625" s="39" t="s">
        <v>117</v>
      </c>
      <c r="K625" s="3">
        <v>162.5</v>
      </c>
      <c r="L625" s="3">
        <v>162.69999999999999</v>
      </c>
      <c r="M625" s="3"/>
      <c r="N625" s="3" t="s">
        <v>235</v>
      </c>
      <c r="O625" s="3">
        <v>142.6</v>
      </c>
      <c r="P625" s="3"/>
      <c r="Q625" s="3">
        <v>65.2</v>
      </c>
      <c r="R625" s="3"/>
      <c r="S625" s="3"/>
      <c r="T625" s="42">
        <v>162.6</v>
      </c>
      <c r="U625" s="42">
        <f>AVERAGE(paper3[[#This Row],[Sittende høyde 1]:[Sittende høyde 3]])-56.2</f>
        <v>86.399999999999991</v>
      </c>
      <c r="V625" s="12">
        <f>paper3[[#This Row],[height]]-paper3[[#This Row],[sittingheight]]</f>
        <v>76.2</v>
      </c>
      <c r="W625" s="73">
        <v>65.2</v>
      </c>
      <c r="X625" s="43" cm="1">
        <f t="array" ref="X625">INDEX([1]!phvny[yphv], MATCH(1, (paper3[[#This Row],[id]]=[1]!phvny[id])*(paper3[[#This Row],[time]]=[1]!phvny[time]), 0))</f>
        <v>2.8306450903665437</v>
      </c>
      <c r="Y625" s="3">
        <v>2.0499999999999998</v>
      </c>
      <c r="Z625" s="3">
        <v>3.59</v>
      </c>
      <c r="AA625" s="3">
        <v>5.09</v>
      </c>
      <c r="AB625" s="3">
        <v>2.04</v>
      </c>
      <c r="AC625" s="3">
        <v>3.57</v>
      </c>
      <c r="AD625" s="3">
        <v>5.1100000000000003</v>
      </c>
      <c r="AE625" s="3">
        <v>2.0699999999999998</v>
      </c>
      <c r="AF625" s="3">
        <v>3.62</v>
      </c>
      <c r="AG625" s="3">
        <v>5.17</v>
      </c>
      <c r="AH625" s="44">
        <v>2.04</v>
      </c>
      <c r="AI625" s="44">
        <v>3.57</v>
      </c>
      <c r="AJ625" s="44">
        <v>5.09</v>
      </c>
      <c r="AK625" s="45">
        <v>6.5789473684210522</v>
      </c>
      <c r="AL625" s="3">
        <v>10.7</v>
      </c>
      <c r="AM625" s="3">
        <v>10.53</v>
      </c>
      <c r="AN625" s="3">
        <v>10.86</v>
      </c>
      <c r="AO625" s="3">
        <v>11.14</v>
      </c>
      <c r="AP625" s="3">
        <v>10.53</v>
      </c>
      <c r="AQ625" s="47">
        <v>10.53</v>
      </c>
      <c r="AR625" s="47">
        <v>10.86</v>
      </c>
      <c r="AS625" s="3">
        <v>27.62</v>
      </c>
      <c r="AT625" s="3">
        <v>28.22</v>
      </c>
      <c r="AU625" s="3">
        <v>27.24</v>
      </c>
      <c r="AV625" s="3"/>
      <c r="AW625" s="3"/>
      <c r="AX625" s="48">
        <v>28.22</v>
      </c>
      <c r="AY625" s="71" t="s">
        <v>234</v>
      </c>
      <c r="AZ625" s="3"/>
      <c r="BA625" s="3"/>
      <c r="BB625" s="40">
        <v>14</v>
      </c>
      <c r="BC625" s="40">
        <v>290</v>
      </c>
      <c r="BD625" s="40">
        <v>1160.3312535717942</v>
      </c>
      <c r="BE625" s="40">
        <v>1109.4107698516355</v>
      </c>
      <c r="BF625" s="40"/>
      <c r="BG625" s="40">
        <v>382.71539954733089</v>
      </c>
      <c r="BH625" s="40">
        <v>401.0930906397839</v>
      </c>
      <c r="BI625" s="49">
        <v>2269.7420234234296</v>
      </c>
      <c r="BJ625" s="49">
        <v>783.80849018711478</v>
      </c>
      <c r="BK625" s="66">
        <v>4.5898674417022667E-2</v>
      </c>
      <c r="BL625" s="66">
        <v>-4.5819016884929953E-2</v>
      </c>
      <c r="BM625" s="51">
        <v>34.811994224285726</v>
      </c>
      <c r="BN625" s="51">
        <v>12.021602610231822</v>
      </c>
      <c r="BO625" s="52">
        <v>274</v>
      </c>
      <c r="BP625" s="40">
        <v>255</v>
      </c>
      <c r="BQ625" s="40">
        <v>274</v>
      </c>
      <c r="BR625" s="67">
        <v>-6.9343065693430628E-2</v>
      </c>
      <c r="BS625" s="54">
        <v>4.0567484662576687</v>
      </c>
      <c r="BT625" s="3">
        <v>103</v>
      </c>
      <c r="BU625" s="3">
        <v>101</v>
      </c>
      <c r="BV625" s="3">
        <v>90</v>
      </c>
      <c r="BW625" s="3">
        <v>97</v>
      </c>
      <c r="BX625" s="70">
        <v>1.980198019801982E-2</v>
      </c>
      <c r="BY625" s="70">
        <v>-7.2164948453608213E-2</v>
      </c>
      <c r="BZ625" s="59">
        <v>1.0412371134020619</v>
      </c>
      <c r="CA625" s="59">
        <v>1.1444444444444444</v>
      </c>
      <c r="CB625" s="59">
        <v>1.1920858895705522</v>
      </c>
      <c r="CC625" s="59">
        <v>1.092745398773006</v>
      </c>
      <c r="CD625" s="60">
        <v>86</v>
      </c>
      <c r="CE625" s="60">
        <v>80</v>
      </c>
      <c r="CF625" s="61">
        <v>1.3190184049079754</v>
      </c>
      <c r="CG625" s="61">
        <v>1.2269938650306749</v>
      </c>
      <c r="CH625" s="61">
        <v>0.93023255813953498</v>
      </c>
      <c r="CI625" s="41">
        <v>13.3</v>
      </c>
      <c r="CJ625" s="40">
        <f>VLOOKUP(paper3[[#This Row],[YYIR nivå]],$DB:$DC,2)</f>
        <v>400</v>
      </c>
      <c r="CK625" s="3"/>
      <c r="CL625" s="62"/>
      <c r="CM625" s="63" t="s">
        <v>110</v>
      </c>
      <c r="CN625" s="3">
        <v>103</v>
      </c>
      <c r="CO625" s="3">
        <v>97</v>
      </c>
      <c r="CP625" s="41">
        <v>15.797222222222222</v>
      </c>
      <c r="CQ625" s="3" t="s">
        <v>110</v>
      </c>
      <c r="CR625" s="40">
        <v>102</v>
      </c>
      <c r="CS625" s="40">
        <v>93.5</v>
      </c>
      <c r="CT625" s="40">
        <v>264.5</v>
      </c>
      <c r="CU625" s="40"/>
      <c r="CV625" s="40"/>
      <c r="CW625" s="40"/>
      <c r="CX625" s="40"/>
      <c r="CY625" s="40">
        <v>0</v>
      </c>
      <c r="CZ625" s="40"/>
      <c r="DA625" s="40"/>
    </row>
    <row r="626" spans="1:105" ht="18.75" customHeight="1">
      <c r="A626" s="3">
        <v>480</v>
      </c>
      <c r="B626" s="38" t="s">
        <v>103</v>
      </c>
      <c r="C626" s="3" t="s">
        <v>115</v>
      </c>
      <c r="D626" s="3" t="s">
        <v>215</v>
      </c>
      <c r="E626" s="39">
        <v>45043</v>
      </c>
      <c r="F626" s="3" t="s">
        <v>186</v>
      </c>
      <c r="G626" s="3" t="s">
        <v>122</v>
      </c>
      <c r="H626" s="3">
        <v>2007</v>
      </c>
      <c r="I626" s="40" t="s">
        <v>116</v>
      </c>
      <c r="J626" s="39" t="s">
        <v>157</v>
      </c>
      <c r="K626" s="3">
        <v>180.7</v>
      </c>
      <c r="L626" s="3">
        <v>180.4</v>
      </c>
      <c r="M626" s="3"/>
      <c r="N626" s="3">
        <v>144.6</v>
      </c>
      <c r="O626" s="3">
        <v>144.5</v>
      </c>
      <c r="P626" s="3"/>
      <c r="Q626" s="3">
        <v>69.400000000000006</v>
      </c>
      <c r="R626" s="3"/>
      <c r="S626" s="3"/>
      <c r="T626" s="42">
        <v>180.55</v>
      </c>
      <c r="U626" s="42">
        <f>AVERAGE(paper3[[#This Row],[Sittende høyde 1]:[Sittende høyde 3]])-56.2</f>
        <v>88.350000000000009</v>
      </c>
      <c r="V626" s="12">
        <f>paper3[[#This Row],[height]]-paper3[[#This Row],[sittingheight]]</f>
        <v>92.2</v>
      </c>
      <c r="W626" s="73">
        <v>69.400000000000006</v>
      </c>
      <c r="X626" s="43" cm="1">
        <f t="array" ref="X626">INDEX([1]!phvny[yphv], MATCH(1, (paper3[[#This Row],[id]]=[1]!phvny[id])*(paper3[[#This Row],[time]]=[1]!phvny[time]), 0))</f>
        <v>1.3628055501024336</v>
      </c>
      <c r="Y626" s="3">
        <v>1.78</v>
      </c>
      <c r="Z626" s="3">
        <v>3.07</v>
      </c>
      <c r="AA626" s="3">
        <v>4.3</v>
      </c>
      <c r="AB626" s="3">
        <v>1.76</v>
      </c>
      <c r="AC626" s="3">
        <v>3.04</v>
      </c>
      <c r="AD626" s="3">
        <v>4.2699999999999996</v>
      </c>
      <c r="AE626" s="3">
        <v>1.77</v>
      </c>
      <c r="AF626" s="3">
        <v>3.05</v>
      </c>
      <c r="AG626" s="3">
        <v>4.29</v>
      </c>
      <c r="AH626" s="44">
        <v>1.76</v>
      </c>
      <c r="AI626" s="44">
        <v>3.04</v>
      </c>
      <c r="AJ626" s="44">
        <v>4.2699999999999996</v>
      </c>
      <c r="AK626" s="45">
        <v>8.1300813008130106</v>
      </c>
      <c r="AL626" s="3">
        <v>9.44</v>
      </c>
      <c r="AM626" s="3">
        <v>9.1300000000000008</v>
      </c>
      <c r="AN626" s="3">
        <v>9.02</v>
      </c>
      <c r="AO626" s="3">
        <v>9.07</v>
      </c>
      <c r="AP626" s="3">
        <v>9.02</v>
      </c>
      <c r="AQ626" s="47">
        <v>9.1300000000000008</v>
      </c>
      <c r="AR626" s="47">
        <v>9.02</v>
      </c>
      <c r="AS626" s="3">
        <v>45.06</v>
      </c>
      <c r="AT626" s="3">
        <v>44.78</v>
      </c>
      <c r="AU626" s="3">
        <v>47.05</v>
      </c>
      <c r="AV626" s="3">
        <v>46.56</v>
      </c>
      <c r="AW626" s="3"/>
      <c r="AX626" s="48">
        <v>47.05</v>
      </c>
      <c r="AY626" s="71"/>
      <c r="AZ626" s="3">
        <v>11</v>
      </c>
      <c r="BA626" s="3">
        <v>290</v>
      </c>
      <c r="BB626" s="3">
        <v>12</v>
      </c>
      <c r="BC626" s="46">
        <v>344</v>
      </c>
      <c r="BD626" s="40">
        <v>1315.4320500571027</v>
      </c>
      <c r="BE626" s="40">
        <v>1291.5529112406471</v>
      </c>
      <c r="BF626" s="40"/>
      <c r="BG626" s="40">
        <v>477.45324417606111</v>
      </c>
      <c r="BH626" s="40">
        <v>435.49495952322536</v>
      </c>
      <c r="BI626" s="49">
        <v>2606.9849612977496</v>
      </c>
      <c r="BJ626" s="49">
        <v>912.94820369928652</v>
      </c>
      <c r="BK626" s="66">
        <v>1.8488703489133673E-2</v>
      </c>
      <c r="BL626" s="66">
        <v>9.6346200421633332E-2</v>
      </c>
      <c r="BM626" s="51">
        <v>37.564624802561227</v>
      </c>
      <c r="BN626" s="51">
        <v>13.154873252151102</v>
      </c>
      <c r="BO626" s="52">
        <v>326</v>
      </c>
      <c r="BP626" s="40">
        <v>326</v>
      </c>
      <c r="BQ626" s="40">
        <v>296</v>
      </c>
      <c r="BR626" s="67">
        <v>0.10135135135135132</v>
      </c>
      <c r="BS626" s="54">
        <v>4.4812680115273773</v>
      </c>
      <c r="BT626" s="3">
        <v>209</v>
      </c>
      <c r="BU626" s="40">
        <v>208</v>
      </c>
      <c r="BV626" s="3">
        <v>172.5</v>
      </c>
      <c r="BW626" s="3">
        <v>192</v>
      </c>
      <c r="BX626" s="70">
        <v>4.8076923076922906E-3</v>
      </c>
      <c r="BY626" s="70">
        <v>-0.1015625</v>
      </c>
      <c r="BZ626" s="59">
        <v>1.0833333333333333</v>
      </c>
      <c r="CA626" s="59">
        <v>1.2115942028985507</v>
      </c>
      <c r="CB626" s="59">
        <v>2.7699855907780977</v>
      </c>
      <c r="CC626" s="59">
        <v>2.4212463976945244</v>
      </c>
      <c r="CD626" s="60">
        <v>122</v>
      </c>
      <c r="CE626" s="60">
        <v>106</v>
      </c>
      <c r="CF626" s="61">
        <v>1.7579250720461093</v>
      </c>
      <c r="CG626" s="61">
        <v>1.5273775216138328</v>
      </c>
      <c r="CH626" s="61">
        <v>0.86885245901639352</v>
      </c>
      <c r="CI626" s="41">
        <v>17.399999999999999</v>
      </c>
      <c r="CJ626" s="40">
        <f>VLOOKUP(paper3[[#This Row],[YYIR nivå]],$DB:$DC,2)</f>
        <v>1560</v>
      </c>
      <c r="CK626" s="3" t="s">
        <v>236</v>
      </c>
      <c r="CL626" s="62"/>
      <c r="CM626" s="63" t="s">
        <v>110</v>
      </c>
      <c r="CN626" s="3">
        <v>209</v>
      </c>
      <c r="CO626" s="3">
        <v>192</v>
      </c>
      <c r="CP626" s="41">
        <v>15.513888888888889</v>
      </c>
      <c r="CQ626" s="3" t="s">
        <v>110</v>
      </c>
      <c r="CR626" s="40">
        <v>208.5</v>
      </c>
      <c r="CS626" s="40">
        <v>182.25</v>
      </c>
      <c r="CT626" s="40">
        <v>311</v>
      </c>
      <c r="CU626" s="40"/>
      <c r="CV626" s="40"/>
      <c r="CW626" s="40"/>
      <c r="CX626" s="40"/>
      <c r="CY626" s="40">
        <v>0</v>
      </c>
      <c r="CZ626" s="40"/>
      <c r="DA626" s="40"/>
    </row>
    <row r="627" spans="1:105" ht="18.75" customHeight="1">
      <c r="A627" s="3">
        <v>483</v>
      </c>
      <c r="B627" s="38" t="s">
        <v>103</v>
      </c>
      <c r="C627" s="3" t="s">
        <v>115</v>
      </c>
      <c r="D627" s="3" t="s">
        <v>215</v>
      </c>
      <c r="E627" s="39">
        <v>45043</v>
      </c>
      <c r="F627" s="3" t="s">
        <v>186</v>
      </c>
      <c r="G627" s="3" t="s">
        <v>122</v>
      </c>
      <c r="H627" s="3">
        <v>2007</v>
      </c>
      <c r="I627" s="40" t="s">
        <v>116</v>
      </c>
      <c r="J627" s="39" t="s">
        <v>157</v>
      </c>
      <c r="K627" s="3">
        <v>179.8</v>
      </c>
      <c r="L627" s="3">
        <v>179.9</v>
      </c>
      <c r="M627" s="3"/>
      <c r="N627" s="3">
        <v>149.9</v>
      </c>
      <c r="O627" s="3">
        <v>150</v>
      </c>
      <c r="P627" s="3"/>
      <c r="Q627" s="3">
        <v>72.8</v>
      </c>
      <c r="R627" s="3"/>
      <c r="S627" s="3"/>
      <c r="T627" s="42">
        <v>179.85000000000002</v>
      </c>
      <c r="U627" s="42">
        <f>AVERAGE(paper3[[#This Row],[Sittende høyde 1]:[Sittende høyde 3]])-56.2</f>
        <v>93.749999999999986</v>
      </c>
      <c r="V627" s="12">
        <f>paper3[[#This Row],[height]]-paper3[[#This Row],[sittingheight]]</f>
        <v>86.100000000000037</v>
      </c>
      <c r="W627" s="73">
        <v>72.8</v>
      </c>
      <c r="X627" s="43" cm="1">
        <f t="array" ref="X627">INDEX([1]!phvny[yphv], MATCH(1, (paper3[[#This Row],[id]]=[1]!phvny[id])*(paper3[[#This Row],[time]]=[1]!phvny[time]), 0))</f>
        <v>2.5588179998331926</v>
      </c>
      <c r="Y627" s="3">
        <v>1.8</v>
      </c>
      <c r="Z627" s="3">
        <v>3.08</v>
      </c>
      <c r="AA627" s="3">
        <v>4.33</v>
      </c>
      <c r="AB627" s="3">
        <v>1.82</v>
      </c>
      <c r="AC627" s="3">
        <v>3.12</v>
      </c>
      <c r="AD627" s="3">
        <v>4.29</v>
      </c>
      <c r="AE627" s="3">
        <v>1.78</v>
      </c>
      <c r="AF627" s="3">
        <v>3.08</v>
      </c>
      <c r="AG627" s="3">
        <v>4.32</v>
      </c>
      <c r="AH627" s="44">
        <v>1.78</v>
      </c>
      <c r="AI627" s="44">
        <v>3.08</v>
      </c>
      <c r="AJ627" s="44">
        <v>4.29</v>
      </c>
      <c r="AK627" s="45">
        <v>8.2644628099173563</v>
      </c>
      <c r="AL627" s="3">
        <v>9.44</v>
      </c>
      <c r="AM627" s="3">
        <v>9.25</v>
      </c>
      <c r="AN627" s="3">
        <v>9.8800000000000008</v>
      </c>
      <c r="AO627" s="3">
        <v>9.4</v>
      </c>
      <c r="AP627" s="3">
        <v>9.25</v>
      </c>
      <c r="AQ627" s="47">
        <v>9.25</v>
      </c>
      <c r="AR627" s="47">
        <v>9.4</v>
      </c>
      <c r="AS627" s="3">
        <v>40.159999999999997</v>
      </c>
      <c r="AT627" s="3">
        <v>40.409999999999997</v>
      </c>
      <c r="AU627" s="3">
        <v>40.61</v>
      </c>
      <c r="AV627" s="3">
        <v>41.72</v>
      </c>
      <c r="AW627" s="3">
        <v>38.35</v>
      </c>
      <c r="AX627" s="48">
        <v>41.72</v>
      </c>
      <c r="AY627" s="71"/>
      <c r="AZ627" s="3">
        <v>11</v>
      </c>
      <c r="BA627" s="3">
        <v>330</v>
      </c>
      <c r="BB627" s="3"/>
      <c r="BC627" s="3"/>
      <c r="BD627" s="40">
        <v>1708.0971558014448</v>
      </c>
      <c r="BE627" s="40">
        <v>1754.8131294752397</v>
      </c>
      <c r="BF627" s="40"/>
      <c r="BG627" s="40">
        <v>809.85112634648021</v>
      </c>
      <c r="BH627" s="40">
        <v>845.64540364563663</v>
      </c>
      <c r="BI627" s="49">
        <v>3462.9102852766846</v>
      </c>
      <c r="BJ627" s="49">
        <v>1655.4965299921168</v>
      </c>
      <c r="BK627" s="66">
        <v>-2.6621623060094635E-2</v>
      </c>
      <c r="BL627" s="66">
        <v>-4.2327761902145711E-2</v>
      </c>
      <c r="BM627" s="51">
        <v>47.567448973580831</v>
      </c>
      <c r="BN627" s="51">
        <v>22.740336950441165</v>
      </c>
      <c r="BO627" s="52">
        <v>379</v>
      </c>
      <c r="BP627" s="40">
        <v>379</v>
      </c>
      <c r="BQ627" s="40">
        <v>324</v>
      </c>
      <c r="BR627" s="67">
        <v>0.16975308641975317</v>
      </c>
      <c r="BS627" s="54">
        <v>4.8282967032967035</v>
      </c>
      <c r="BT627" s="3">
        <v>242</v>
      </c>
      <c r="BU627" s="40">
        <v>232</v>
      </c>
      <c r="BV627" s="3">
        <v>202</v>
      </c>
      <c r="BW627" s="3">
        <v>202</v>
      </c>
      <c r="BX627" s="70">
        <v>4.31034482758621E-2</v>
      </c>
      <c r="BY627" s="70">
        <v>0</v>
      </c>
      <c r="BZ627" s="59">
        <v>1.1485148514851484</v>
      </c>
      <c r="CA627" s="59">
        <v>1.198019801980198</v>
      </c>
      <c r="CB627" s="59">
        <v>2.8029807692307704</v>
      </c>
      <c r="CC627" s="59">
        <v>2.3890384615384623</v>
      </c>
      <c r="CD627" s="60">
        <v>170</v>
      </c>
      <c r="CE627" s="60">
        <v>181</v>
      </c>
      <c r="CF627" s="61">
        <v>2.3351648351648353</v>
      </c>
      <c r="CG627" s="61">
        <v>2.4862637362637363</v>
      </c>
      <c r="CH627" s="61">
        <v>1.0647058823529412</v>
      </c>
      <c r="CI627" s="41">
        <v>17.100000000000001</v>
      </c>
      <c r="CJ627" s="40">
        <f>VLOOKUP(paper3[[#This Row],[YYIR nivå]],$DB:$DC,2)</f>
        <v>1440</v>
      </c>
      <c r="CK627" s="3"/>
      <c r="CL627" s="62"/>
      <c r="CM627" s="63" t="s">
        <v>110</v>
      </c>
      <c r="CN627" s="3">
        <v>242</v>
      </c>
      <c r="CO627" s="3">
        <v>202</v>
      </c>
      <c r="CP627" s="41">
        <v>16.277777777777779</v>
      </c>
      <c r="CQ627" s="3" t="s">
        <v>110</v>
      </c>
      <c r="CR627" s="40">
        <v>237</v>
      </c>
      <c r="CS627" s="40">
        <v>202</v>
      </c>
      <c r="CT627" s="40">
        <v>351.5</v>
      </c>
      <c r="CU627" s="40"/>
      <c r="CV627" s="40"/>
      <c r="CW627" s="40"/>
      <c r="CX627" s="40"/>
      <c r="CY627" s="40">
        <v>0</v>
      </c>
      <c r="CZ627" s="40"/>
      <c r="DA627" s="40"/>
    </row>
    <row r="628" spans="1:105" ht="18.75" customHeight="1">
      <c r="A628" s="3">
        <v>484</v>
      </c>
      <c r="B628" s="38" t="s">
        <v>103</v>
      </c>
      <c r="C628" s="3" t="s">
        <v>115</v>
      </c>
      <c r="D628" s="3" t="s">
        <v>215</v>
      </c>
      <c r="E628" s="39">
        <v>45043</v>
      </c>
      <c r="F628" s="3" t="s">
        <v>186</v>
      </c>
      <c r="G628" s="3" t="s">
        <v>122</v>
      </c>
      <c r="H628" s="3">
        <v>2007</v>
      </c>
      <c r="I628" s="40" t="s">
        <v>116</v>
      </c>
      <c r="J628" s="39" t="s">
        <v>157</v>
      </c>
      <c r="K628" s="3">
        <v>182</v>
      </c>
      <c r="L628" s="3">
        <v>181.8</v>
      </c>
      <c r="M628" s="3"/>
      <c r="N628" s="3">
        <v>149.69999999999999</v>
      </c>
      <c r="O628" s="3">
        <v>149.69999999999999</v>
      </c>
      <c r="P628" s="3"/>
      <c r="Q628" s="3">
        <v>61.9</v>
      </c>
      <c r="R628" s="3"/>
      <c r="S628" s="3"/>
      <c r="T628" s="42">
        <v>181.9</v>
      </c>
      <c r="U628" s="42">
        <f>AVERAGE(paper3[[#This Row],[Sittende høyde 1]:[Sittende høyde 3]])-56.2</f>
        <v>93.499999999999986</v>
      </c>
      <c r="V628" s="12">
        <f>paper3[[#This Row],[height]]-paper3[[#This Row],[sittingheight]]</f>
        <v>88.40000000000002</v>
      </c>
      <c r="W628" s="73">
        <v>61.9</v>
      </c>
      <c r="X628" s="43" cm="1">
        <f t="array" ref="X628">INDEX([1]!phvny[yphv], MATCH(1, (paper3[[#This Row],[id]]=[1]!phvny[id])*(paper3[[#This Row],[time]]=[1]!phvny[time]), 0))</f>
        <v>2.1988351978119822</v>
      </c>
      <c r="Y628" s="3">
        <v>1.86</v>
      </c>
      <c r="Z628" s="3">
        <v>3.2</v>
      </c>
      <c r="AA628" s="3">
        <v>4.45</v>
      </c>
      <c r="AB628" s="3">
        <v>1.86</v>
      </c>
      <c r="AC628" s="3">
        <v>3.2</v>
      </c>
      <c r="AD628" s="3">
        <v>4.46</v>
      </c>
      <c r="AE628" s="3">
        <v>1.87</v>
      </c>
      <c r="AF628" s="3">
        <v>3.23</v>
      </c>
      <c r="AG628" s="3">
        <v>4.49</v>
      </c>
      <c r="AH628" s="44">
        <v>1.86</v>
      </c>
      <c r="AI628" s="44">
        <v>3.2</v>
      </c>
      <c r="AJ628" s="44">
        <v>4.45</v>
      </c>
      <c r="AK628" s="45">
        <v>8</v>
      </c>
      <c r="AL628" s="3"/>
      <c r="AM628" s="3">
        <v>9.6999999999999993</v>
      </c>
      <c r="AN628" s="3">
        <v>9.73</v>
      </c>
      <c r="AO628" s="3">
        <v>9.7899999999999991</v>
      </c>
      <c r="AP628" s="3">
        <v>9.6999999999999993</v>
      </c>
      <c r="AQ628" s="47">
        <v>9.6999999999999993</v>
      </c>
      <c r="AR628" s="47">
        <v>9.73</v>
      </c>
      <c r="AS628" s="3">
        <v>33.25</v>
      </c>
      <c r="AT628" s="3">
        <v>32.299999999999997</v>
      </c>
      <c r="AU628" s="3">
        <v>32.270000000000003</v>
      </c>
      <c r="AV628" s="3"/>
      <c r="AW628" s="3"/>
      <c r="AX628" s="48">
        <v>33.25</v>
      </c>
      <c r="AY628" s="71"/>
      <c r="AZ628" s="3">
        <v>11</v>
      </c>
      <c r="BA628" s="3">
        <v>320</v>
      </c>
      <c r="BB628" s="3" t="s">
        <v>237</v>
      </c>
      <c r="BC628" s="46">
        <v>259</v>
      </c>
      <c r="BD628" s="40">
        <v>1087.3700127732877</v>
      </c>
      <c r="BE628" s="40">
        <v>1163.2388189986568</v>
      </c>
      <c r="BF628" s="40"/>
      <c r="BG628" s="40">
        <v>508.13622304962627</v>
      </c>
      <c r="BH628" s="40">
        <v>543.20532161523306</v>
      </c>
      <c r="BI628" s="49">
        <v>2250.6088317719446</v>
      </c>
      <c r="BJ628" s="49">
        <v>1051.3415446648594</v>
      </c>
      <c r="BK628" s="66">
        <v>-6.5222037801901056E-2</v>
      </c>
      <c r="BL628" s="66">
        <v>-6.4559563704803313E-2</v>
      </c>
      <c r="BM628" s="51">
        <v>36.358785650596843</v>
      </c>
      <c r="BN628" s="51">
        <v>16.984516068899183</v>
      </c>
      <c r="BO628" s="52">
        <v>249</v>
      </c>
      <c r="BP628" s="40">
        <v>197</v>
      </c>
      <c r="BQ628" s="40">
        <v>249</v>
      </c>
      <c r="BR628" s="67">
        <v>-0.20883534136546189</v>
      </c>
      <c r="BS628" s="54">
        <v>3.6025848142164785</v>
      </c>
      <c r="BT628" s="3">
        <v>171</v>
      </c>
      <c r="BU628" s="40">
        <v>174</v>
      </c>
      <c r="BV628" s="3">
        <v>135</v>
      </c>
      <c r="BW628" s="3">
        <v>133</v>
      </c>
      <c r="BX628" s="70">
        <v>-1.7241379310344862E-2</v>
      </c>
      <c r="BY628" s="70">
        <v>1.5037593984962516E-2</v>
      </c>
      <c r="BZ628" s="59">
        <v>1.3082706766917294</v>
      </c>
      <c r="CA628" s="59">
        <v>1.2666666666666666</v>
      </c>
      <c r="CB628" s="59">
        <v>2.4634894991922462</v>
      </c>
      <c r="CC628" s="59">
        <v>1.9136672051696291</v>
      </c>
      <c r="CD628" s="60">
        <v>114</v>
      </c>
      <c r="CE628" s="60">
        <v>108</v>
      </c>
      <c r="CF628" s="61">
        <v>1.8416801292407108</v>
      </c>
      <c r="CG628" s="61">
        <v>1.7447495961227788</v>
      </c>
      <c r="CH628" s="61">
        <v>0.94736842105263164</v>
      </c>
      <c r="CI628" s="41"/>
      <c r="CJ628" s="40"/>
      <c r="CK628" s="3"/>
      <c r="CL628" s="62"/>
      <c r="CM628" s="63" t="s">
        <v>110</v>
      </c>
      <c r="CN628" s="3">
        <v>174</v>
      </c>
      <c r="CO628" s="3">
        <v>135</v>
      </c>
      <c r="CP628" s="41">
        <v>15.95</v>
      </c>
      <c r="CQ628" s="3" t="s">
        <v>110</v>
      </c>
      <c r="CR628" s="40">
        <v>172.5</v>
      </c>
      <c r="CS628" s="40">
        <v>134</v>
      </c>
      <c r="CT628" s="40">
        <v>223</v>
      </c>
      <c r="CU628" s="40"/>
      <c r="CV628" s="40"/>
      <c r="CW628" s="40"/>
      <c r="CX628" s="40"/>
      <c r="CY628" s="40">
        <v>0</v>
      </c>
      <c r="CZ628" s="40"/>
      <c r="DA628" s="40"/>
    </row>
    <row r="629" spans="1:105" ht="18.75" customHeight="1">
      <c r="A629" s="3">
        <v>485</v>
      </c>
      <c r="B629" s="38" t="s">
        <v>103</v>
      </c>
      <c r="C629" s="3" t="s">
        <v>115</v>
      </c>
      <c r="D629" s="3" t="s">
        <v>215</v>
      </c>
      <c r="E629" s="39">
        <v>45043</v>
      </c>
      <c r="F629" s="3" t="s">
        <v>186</v>
      </c>
      <c r="G629" s="3" t="s">
        <v>122</v>
      </c>
      <c r="H629" s="3">
        <v>2007</v>
      </c>
      <c r="I629" s="40" t="s">
        <v>116</v>
      </c>
      <c r="J629" s="39" t="s">
        <v>157</v>
      </c>
      <c r="K629" s="3">
        <v>164.3</v>
      </c>
      <c r="L629" s="3">
        <v>164.3</v>
      </c>
      <c r="M629" s="3"/>
      <c r="N629" s="3">
        <v>141.6</v>
      </c>
      <c r="O629" s="3">
        <v>141.5</v>
      </c>
      <c r="P629" s="3"/>
      <c r="Q629" s="3">
        <v>51.5</v>
      </c>
      <c r="R629" s="3"/>
      <c r="S629" s="3"/>
      <c r="T629" s="42">
        <v>164.3</v>
      </c>
      <c r="U629" s="42">
        <f>AVERAGE(paper3[[#This Row],[Sittende høyde 1]:[Sittende høyde 3]])-56.2</f>
        <v>85.350000000000009</v>
      </c>
      <c r="V629" s="12">
        <f>paper3[[#This Row],[height]]-paper3[[#This Row],[sittingheight]]</f>
        <v>78.95</v>
      </c>
      <c r="W629" s="73">
        <v>51.5</v>
      </c>
      <c r="X629" s="43" cm="1">
        <f t="array" ref="X629">INDEX([1]!phvny[yphv], MATCH(1, (paper3[[#This Row],[id]]=[1]!phvny[id])*(paper3[[#This Row],[time]]=[1]!phvny[time]), 0))</f>
        <v>1.1898761494317323</v>
      </c>
      <c r="Y629" s="3">
        <v>1.72</v>
      </c>
      <c r="Z629" s="3">
        <v>2.99</v>
      </c>
      <c r="AA629" s="3">
        <v>4.22</v>
      </c>
      <c r="AB629" s="3">
        <v>1.83</v>
      </c>
      <c r="AC629" s="3">
        <v>3.1</v>
      </c>
      <c r="AD629" s="3">
        <v>4.32</v>
      </c>
      <c r="AE629" s="3">
        <v>1.72</v>
      </c>
      <c r="AF629" s="3">
        <v>3.03</v>
      </c>
      <c r="AG629" s="3">
        <v>4.2699999999999996</v>
      </c>
      <c r="AH629" s="44">
        <v>1.72</v>
      </c>
      <c r="AI629" s="44">
        <v>2.99</v>
      </c>
      <c r="AJ629" s="44">
        <v>4.22</v>
      </c>
      <c r="AK629" s="45">
        <v>8.1300813008130106</v>
      </c>
      <c r="AL629" s="3">
        <v>9.57</v>
      </c>
      <c r="AM629" s="3">
        <v>9.4499999999999993</v>
      </c>
      <c r="AN629" s="3"/>
      <c r="AO629" s="3">
        <v>9.66</v>
      </c>
      <c r="AP629" s="3">
        <v>9.4499999999999993</v>
      </c>
      <c r="AQ629" s="47">
        <v>9.4499999999999993</v>
      </c>
      <c r="AR629" s="47">
        <v>9.66</v>
      </c>
      <c r="AS629" s="3">
        <v>35.5</v>
      </c>
      <c r="AT629" s="3">
        <v>40.03</v>
      </c>
      <c r="AU629" s="3">
        <v>40.18</v>
      </c>
      <c r="AV629" s="3">
        <v>37.22</v>
      </c>
      <c r="AW629" s="3"/>
      <c r="AX629" s="48">
        <v>40.18</v>
      </c>
      <c r="AY629" s="71" t="s">
        <v>238</v>
      </c>
      <c r="AZ629" s="3">
        <v>10</v>
      </c>
      <c r="BA629" s="3">
        <v>220</v>
      </c>
      <c r="BB629" s="3">
        <v>12</v>
      </c>
      <c r="BC629" s="46">
        <v>280</v>
      </c>
      <c r="BD629" s="40">
        <v>1081.1588805810338</v>
      </c>
      <c r="BE629" s="40">
        <v>1160.2182499502533</v>
      </c>
      <c r="BF629" s="40"/>
      <c r="BG629" s="40">
        <v>351.50761276619824</v>
      </c>
      <c r="BH629" s="40">
        <v>432.52946227506629</v>
      </c>
      <c r="BI629" s="49">
        <v>2241.3771305312871</v>
      </c>
      <c r="BJ629" s="49">
        <v>784.03707504126453</v>
      </c>
      <c r="BK629" s="66">
        <v>-6.8141808123264092E-2</v>
      </c>
      <c r="BL629" s="66">
        <v>-0.18732099562120086</v>
      </c>
      <c r="BM629" s="51">
        <v>43.521886029733729</v>
      </c>
      <c r="BN629" s="51">
        <v>15.22402087458766</v>
      </c>
      <c r="BO629" s="52">
        <v>311</v>
      </c>
      <c r="BP629" s="40">
        <v>268</v>
      </c>
      <c r="BQ629" s="40">
        <v>311</v>
      </c>
      <c r="BR629" s="67">
        <v>-0.13826366559485526</v>
      </c>
      <c r="BS629" s="54">
        <v>5.6213592233009706</v>
      </c>
      <c r="BT629" s="3">
        <v>150</v>
      </c>
      <c r="BU629" s="40">
        <v>151</v>
      </c>
      <c r="BV629" s="3">
        <v>111</v>
      </c>
      <c r="BW629" s="3">
        <v>113</v>
      </c>
      <c r="BX629" s="70">
        <v>-6.6225165562914245E-3</v>
      </c>
      <c r="BY629" s="70">
        <v>-1.7699115044247815E-2</v>
      </c>
      <c r="BZ629" s="59">
        <v>1.336283185840708</v>
      </c>
      <c r="CA629" s="59">
        <v>1.3513513513513513</v>
      </c>
      <c r="CB629" s="59">
        <v>2.3071796116504855</v>
      </c>
      <c r="CC629" s="59">
        <v>1.7169708737864076</v>
      </c>
      <c r="CD629" s="60">
        <v>104</v>
      </c>
      <c r="CE629" s="60">
        <v>98</v>
      </c>
      <c r="CF629" s="61">
        <v>2.0194174757281553</v>
      </c>
      <c r="CG629" s="61">
        <v>1.9029126213592233</v>
      </c>
      <c r="CH629" s="61">
        <v>0.94230769230769229</v>
      </c>
      <c r="CI629" s="41">
        <v>16.399999999999999</v>
      </c>
      <c r="CJ629" s="40">
        <f>VLOOKUP(paper3[[#This Row],[YYIR nivå]],$DB:$DC,2)</f>
        <v>1240</v>
      </c>
      <c r="CK629" s="3"/>
      <c r="CL629" s="62"/>
      <c r="CM629" s="63" t="s">
        <v>110</v>
      </c>
      <c r="CN629" s="3">
        <v>151</v>
      </c>
      <c r="CO629" s="3">
        <v>113</v>
      </c>
      <c r="CP629" s="41">
        <v>16.266666666666666</v>
      </c>
      <c r="CQ629" s="3" t="s">
        <v>110</v>
      </c>
      <c r="CR629" s="40">
        <v>150.5</v>
      </c>
      <c r="CS629" s="40">
        <v>112</v>
      </c>
      <c r="CT629" s="40">
        <v>289.5</v>
      </c>
      <c r="CU629" s="40"/>
      <c r="CV629" s="40"/>
      <c r="CW629" s="40"/>
      <c r="CX629" s="40"/>
      <c r="CY629" s="40">
        <v>0</v>
      </c>
      <c r="CZ629" s="40"/>
      <c r="DA629" s="40"/>
    </row>
    <row r="630" spans="1:105" ht="18.75" customHeight="1">
      <c r="A630" s="3">
        <v>486</v>
      </c>
      <c r="B630" s="38" t="s">
        <v>103</v>
      </c>
      <c r="C630" s="3" t="s">
        <v>115</v>
      </c>
      <c r="D630" s="3" t="s">
        <v>215</v>
      </c>
      <c r="E630" s="39">
        <v>45043</v>
      </c>
      <c r="F630" s="3" t="s">
        <v>186</v>
      </c>
      <c r="G630" s="3" t="s">
        <v>122</v>
      </c>
      <c r="H630" s="3">
        <v>2007</v>
      </c>
      <c r="I630" s="40" t="s">
        <v>116</v>
      </c>
      <c r="J630" s="39" t="s">
        <v>157</v>
      </c>
      <c r="K630" s="3">
        <v>183.4</v>
      </c>
      <c r="L630" s="3">
        <v>183.2</v>
      </c>
      <c r="M630" s="3"/>
      <c r="N630" s="3">
        <v>147.69999999999999</v>
      </c>
      <c r="O630" s="3">
        <v>148.1</v>
      </c>
      <c r="P630" s="3">
        <v>148</v>
      </c>
      <c r="Q630" s="3">
        <v>72.099999999999994</v>
      </c>
      <c r="R630" s="3"/>
      <c r="S630" s="3"/>
      <c r="T630" s="42">
        <v>183.3</v>
      </c>
      <c r="U630" s="42">
        <f>AVERAGE(paper3[[#This Row],[Sittende høyde 1]:[Sittende høyde 3]])-56.2</f>
        <v>91.733333333333306</v>
      </c>
      <c r="V630" s="12">
        <f>paper3[[#This Row],[height]]-paper3[[#This Row],[sittingheight]]</f>
        <v>91.566666666666706</v>
      </c>
      <c r="W630" s="73">
        <v>72.099999999999994</v>
      </c>
      <c r="X630" s="43" cm="1">
        <f t="array" ref="X630">INDEX([1]!phvny[yphv], MATCH(1, (paper3[[#This Row],[id]]=[1]!phvny[id])*(paper3[[#This Row],[time]]=[1]!phvny[time]), 0))</f>
        <v>2.0368998277573764</v>
      </c>
      <c r="Y630" s="3">
        <v>1.84</v>
      </c>
      <c r="Z630" s="3">
        <v>3.13</v>
      </c>
      <c r="AA630" s="3">
        <v>4.34</v>
      </c>
      <c r="AB630" s="3">
        <v>1.86</v>
      </c>
      <c r="AC630" s="3">
        <v>3.14</v>
      </c>
      <c r="AD630" s="3">
        <v>4.34</v>
      </c>
      <c r="AE630" s="3">
        <v>1.85</v>
      </c>
      <c r="AF630" s="3">
        <v>3.14</v>
      </c>
      <c r="AG630" s="3">
        <v>4.29</v>
      </c>
      <c r="AH630" s="44">
        <v>1.84</v>
      </c>
      <c r="AI630" s="44">
        <v>3.13</v>
      </c>
      <c r="AJ630" s="44">
        <v>4.29</v>
      </c>
      <c r="AK630" s="45">
        <v>8.6206896551724128</v>
      </c>
      <c r="AL630" s="3">
        <v>10.02</v>
      </c>
      <c r="AM630" s="3">
        <v>9.56</v>
      </c>
      <c r="AN630" s="3">
        <v>9.5299999999999994</v>
      </c>
      <c r="AO630" s="3">
        <v>9.7799999999999994</v>
      </c>
      <c r="AP630" s="3">
        <v>9.5299999999999994</v>
      </c>
      <c r="AQ630" s="47">
        <v>9.56</v>
      </c>
      <c r="AR630" s="47">
        <v>9.5299999999999994</v>
      </c>
      <c r="AS630" s="3">
        <v>41.07</v>
      </c>
      <c r="AT630" s="3">
        <v>41.47</v>
      </c>
      <c r="AU630" s="3">
        <v>36.659999999999997</v>
      </c>
      <c r="AV630" s="3"/>
      <c r="AW630" s="3"/>
      <c r="AX630" s="48">
        <v>41.47</v>
      </c>
      <c r="AY630" s="71">
        <v>270</v>
      </c>
      <c r="AZ630" s="3">
        <v>11</v>
      </c>
      <c r="BA630" s="3">
        <v>300</v>
      </c>
      <c r="BB630" s="3">
        <v>10</v>
      </c>
      <c r="BC630" s="46">
        <v>328</v>
      </c>
      <c r="BD630" s="40">
        <v>1322.2090641996297</v>
      </c>
      <c r="BE630" s="40">
        <v>1353.4667780914676</v>
      </c>
      <c r="BF630" s="40"/>
      <c r="BG630" s="40">
        <v>595.56936879577131</v>
      </c>
      <c r="BH630" s="40">
        <v>584.310943201388</v>
      </c>
      <c r="BI630" s="49">
        <v>2675.6758422910971</v>
      </c>
      <c r="BJ630" s="49">
        <v>1179.8803119971594</v>
      </c>
      <c r="BK630" s="66">
        <v>-2.3094555697861119E-2</v>
      </c>
      <c r="BL630" s="66">
        <v>1.9267867092646496E-2</v>
      </c>
      <c r="BM630" s="51">
        <v>37.110621945784985</v>
      </c>
      <c r="BN630" s="51">
        <v>16.364498085952281</v>
      </c>
      <c r="BO630" s="52">
        <v>331</v>
      </c>
      <c r="BP630" s="40">
        <v>331</v>
      </c>
      <c r="BQ630" s="40">
        <v>314</v>
      </c>
      <c r="BR630" s="67">
        <v>5.4140127388535131E-2</v>
      </c>
      <c r="BS630" s="54">
        <v>4.4729542302357839</v>
      </c>
      <c r="BT630" s="3">
        <v>168</v>
      </c>
      <c r="BU630" s="40">
        <v>192</v>
      </c>
      <c r="BV630" s="3">
        <v>131</v>
      </c>
      <c r="BW630" s="3">
        <v>140</v>
      </c>
      <c r="BX630" s="70">
        <v>-0.125</v>
      </c>
      <c r="BY630" s="70">
        <v>-6.4285714285714279E-2</v>
      </c>
      <c r="BZ630" s="59">
        <v>1.3714285714285714</v>
      </c>
      <c r="CA630" s="59">
        <v>1.282442748091603</v>
      </c>
      <c r="CB630" s="59">
        <v>2.2859916782246894</v>
      </c>
      <c r="CC630" s="59">
        <v>1.7208437355524744</v>
      </c>
      <c r="CD630" s="60">
        <v>118</v>
      </c>
      <c r="CE630" s="60">
        <v>146</v>
      </c>
      <c r="CF630" s="61">
        <v>1.6366158113730931</v>
      </c>
      <c r="CG630" s="61">
        <v>2.0249653259361997</v>
      </c>
      <c r="CH630" s="61">
        <v>1.2372881355932202</v>
      </c>
      <c r="CI630" s="41">
        <v>16.2</v>
      </c>
      <c r="CJ630" s="40">
        <f>VLOOKUP(paper3[[#This Row],[YYIR nivå]],$DB:$DC,2)</f>
        <v>1160</v>
      </c>
      <c r="CK630" s="3"/>
      <c r="CL630" s="62"/>
      <c r="CM630" s="63" t="s">
        <v>110</v>
      </c>
      <c r="CN630" s="3">
        <v>192</v>
      </c>
      <c r="CO630" s="3">
        <v>140</v>
      </c>
      <c r="CP630" s="41">
        <v>15.886111111111111</v>
      </c>
      <c r="CQ630" s="3" t="s">
        <v>110</v>
      </c>
      <c r="CR630" s="40">
        <v>180</v>
      </c>
      <c r="CS630" s="40">
        <v>135.5</v>
      </c>
      <c r="CT630" s="40">
        <v>322.5</v>
      </c>
      <c r="CU630" s="40"/>
      <c r="CV630" s="40"/>
      <c r="CW630" s="40"/>
      <c r="CX630" s="40"/>
      <c r="CY630" s="40">
        <v>0</v>
      </c>
      <c r="CZ630" s="40"/>
      <c r="DA630" s="40"/>
    </row>
    <row r="631" spans="1:105" ht="18.75" customHeight="1">
      <c r="A631" s="3">
        <v>487</v>
      </c>
      <c r="B631" s="38" t="s">
        <v>103</v>
      </c>
      <c r="C631" s="3" t="s">
        <v>115</v>
      </c>
      <c r="D631" s="3" t="s">
        <v>215</v>
      </c>
      <c r="E631" s="39">
        <v>45043</v>
      </c>
      <c r="F631" s="3" t="s">
        <v>186</v>
      </c>
      <c r="G631" s="3" t="s">
        <v>122</v>
      </c>
      <c r="H631" s="3">
        <v>2007</v>
      </c>
      <c r="I631" s="40" t="s">
        <v>116</v>
      </c>
      <c r="J631" s="39" t="s">
        <v>157</v>
      </c>
      <c r="K631" s="3">
        <v>180.6</v>
      </c>
      <c r="L631" s="3">
        <v>180.7</v>
      </c>
      <c r="M631" s="3"/>
      <c r="N631" s="3">
        <v>148.80000000000001</v>
      </c>
      <c r="O631" s="3">
        <v>148.80000000000001</v>
      </c>
      <c r="P631" s="3"/>
      <c r="Q631" s="3">
        <v>68.8</v>
      </c>
      <c r="R631" s="3"/>
      <c r="S631" s="3"/>
      <c r="T631" s="42">
        <v>180.64999999999998</v>
      </c>
      <c r="U631" s="42">
        <f>AVERAGE(paper3[[#This Row],[Sittende høyde 1]:[Sittende høyde 3]])-56.2</f>
        <v>92.600000000000009</v>
      </c>
      <c r="V631" s="12">
        <f>paper3[[#This Row],[height]]-paper3[[#This Row],[sittingheight]]</f>
        <v>88.049999999999969</v>
      </c>
      <c r="W631" s="73">
        <v>68.8</v>
      </c>
      <c r="X631" s="43" cm="1">
        <f t="array" ref="X631">INDEX([1]!phvny[yphv], MATCH(1, (paper3[[#This Row],[id]]=[1]!phvny[id])*(paper3[[#This Row],[time]]=[1]!phvny[time]), 0))</f>
        <v>2.0381582726189156</v>
      </c>
      <c r="Y631" s="3">
        <v>1.86</v>
      </c>
      <c r="Z631" s="3">
        <v>3.19</v>
      </c>
      <c r="AA631" s="3">
        <v>4.46</v>
      </c>
      <c r="AB631" s="3">
        <v>1.88</v>
      </c>
      <c r="AC631" s="3">
        <v>3.2</v>
      </c>
      <c r="AD631" s="3">
        <v>4.47</v>
      </c>
      <c r="AE631" s="3">
        <v>1.88</v>
      </c>
      <c r="AF631" s="3">
        <v>3.21</v>
      </c>
      <c r="AG631" s="3">
        <v>4.47</v>
      </c>
      <c r="AH631" s="44">
        <v>1.86</v>
      </c>
      <c r="AI631" s="44">
        <v>3.19</v>
      </c>
      <c r="AJ631" s="44">
        <v>4.46</v>
      </c>
      <c r="AK631" s="45">
        <v>7.8740157480314963</v>
      </c>
      <c r="AL631" s="3">
        <v>9.4600000000000009</v>
      </c>
      <c r="AM631" s="3">
        <v>9.19</v>
      </c>
      <c r="AN631" s="3">
        <v>9.44</v>
      </c>
      <c r="AO631" s="3">
        <v>9.4600000000000009</v>
      </c>
      <c r="AP631" s="3">
        <v>9.19</v>
      </c>
      <c r="AQ631" s="47">
        <v>9.19</v>
      </c>
      <c r="AR631" s="47">
        <v>9.44</v>
      </c>
      <c r="AS631" s="3">
        <v>34.08</v>
      </c>
      <c r="AT631" s="3">
        <v>32.72</v>
      </c>
      <c r="AU631" s="3">
        <v>33.51</v>
      </c>
      <c r="AV631" s="3"/>
      <c r="AW631" s="3"/>
      <c r="AX631" s="48">
        <v>34.08</v>
      </c>
      <c r="AY631" s="71" t="s">
        <v>239</v>
      </c>
      <c r="AZ631" s="3">
        <v>11</v>
      </c>
      <c r="BA631" s="3">
        <v>320</v>
      </c>
      <c r="BB631" s="3">
        <v>10</v>
      </c>
      <c r="BC631" s="46">
        <v>350</v>
      </c>
      <c r="BD631" s="40">
        <v>1171.7379149942806</v>
      </c>
      <c r="BE631" s="40">
        <v>1154.8337320310927</v>
      </c>
      <c r="BF631" s="40"/>
      <c r="BG631" s="40">
        <v>383.03854905433712</v>
      </c>
      <c r="BH631" s="40">
        <v>366.68472111273138</v>
      </c>
      <c r="BI631" s="49">
        <v>2326.5716470253733</v>
      </c>
      <c r="BJ631" s="49">
        <v>749.72327016706845</v>
      </c>
      <c r="BK631" s="66">
        <v>1.4637763423707151E-2</v>
      </c>
      <c r="BL631" s="66">
        <v>4.4599152896196204E-2</v>
      </c>
      <c r="BM631" s="51">
        <v>33.816448357926937</v>
      </c>
      <c r="BN631" s="51">
        <v>10.897140554753902</v>
      </c>
      <c r="BO631" s="52">
        <v>368</v>
      </c>
      <c r="BP631" s="40">
        <v>368</v>
      </c>
      <c r="BQ631" s="40">
        <v>337</v>
      </c>
      <c r="BR631" s="67">
        <v>9.1988130563798176E-2</v>
      </c>
      <c r="BS631" s="54">
        <v>5.1235465116279073</v>
      </c>
      <c r="BT631" s="3">
        <v>204</v>
      </c>
      <c r="BU631" s="40">
        <v>219</v>
      </c>
      <c r="BV631" s="3">
        <v>187</v>
      </c>
      <c r="BW631" s="3">
        <v>166</v>
      </c>
      <c r="BX631" s="70">
        <v>-6.8493150684931559E-2</v>
      </c>
      <c r="BY631" s="70">
        <v>0.12650602409638556</v>
      </c>
      <c r="BZ631" s="59">
        <v>1.3192771084337349</v>
      </c>
      <c r="CA631" s="59">
        <v>1.0909090909090908</v>
      </c>
      <c r="CB631" s="59">
        <v>2.7067696220930224</v>
      </c>
      <c r="CC631" s="59">
        <v>2.2588408430232554</v>
      </c>
      <c r="CD631" s="60">
        <v>128</v>
      </c>
      <c r="CE631" s="60">
        <v>128</v>
      </c>
      <c r="CF631" s="61">
        <v>1.8604651162790697</v>
      </c>
      <c r="CG631" s="61">
        <v>1.8604651162790697</v>
      </c>
      <c r="CH631" s="61">
        <v>1</v>
      </c>
      <c r="CI631" s="41">
        <v>16.399999999999999</v>
      </c>
      <c r="CJ631" s="40">
        <f>VLOOKUP(paper3[[#This Row],[YYIR nivå]],$DB:$DC,2)</f>
        <v>1240</v>
      </c>
      <c r="CK631" s="3"/>
      <c r="CL631" s="62"/>
      <c r="CM631" s="63" t="s">
        <v>110</v>
      </c>
      <c r="CN631" s="3">
        <v>219</v>
      </c>
      <c r="CO631" s="3">
        <v>187</v>
      </c>
      <c r="CP631" s="41">
        <v>15.702777777777778</v>
      </c>
      <c r="CQ631" s="3" t="s">
        <v>110</v>
      </c>
      <c r="CR631" s="40">
        <v>211.5</v>
      </c>
      <c r="CS631" s="40">
        <v>176.5</v>
      </c>
      <c r="CT631" s="40">
        <v>352.5</v>
      </c>
      <c r="CU631" s="40"/>
      <c r="CV631" s="40"/>
      <c r="CW631" s="40"/>
      <c r="CX631" s="40"/>
      <c r="CY631" s="40" t="s">
        <v>125</v>
      </c>
      <c r="CZ631" s="40"/>
      <c r="DA631" s="40"/>
    </row>
    <row r="632" spans="1:105" ht="18.75" customHeight="1">
      <c r="A632" s="3">
        <v>489</v>
      </c>
      <c r="B632" s="38" t="s">
        <v>103</v>
      </c>
      <c r="C632" s="3" t="s">
        <v>115</v>
      </c>
      <c r="D632" s="3" t="s">
        <v>215</v>
      </c>
      <c r="E632" s="39">
        <v>45035</v>
      </c>
      <c r="F632" s="3" t="s">
        <v>186</v>
      </c>
      <c r="G632" s="3" t="s">
        <v>107</v>
      </c>
      <c r="H632" s="3">
        <v>2009</v>
      </c>
      <c r="I632" s="40" t="s">
        <v>108</v>
      </c>
      <c r="J632" s="39" t="s">
        <v>109</v>
      </c>
      <c r="K632" s="3">
        <v>155.5</v>
      </c>
      <c r="L632" s="3">
        <v>155.5</v>
      </c>
      <c r="M632" s="3"/>
      <c r="N632" s="3">
        <v>139</v>
      </c>
      <c r="O632" s="3">
        <v>138.5</v>
      </c>
      <c r="P632" s="3">
        <v>138.6</v>
      </c>
      <c r="Q632" s="3">
        <v>51.5</v>
      </c>
      <c r="R632" s="3"/>
      <c r="S632" s="3"/>
      <c r="T632" s="42">
        <v>155.5</v>
      </c>
      <c r="U632" s="42">
        <f>AVERAGE(paper3[[#This Row],[Sittende høyde 1]:[Sittende høyde 3]])-56.2</f>
        <v>82.500000000000014</v>
      </c>
      <c r="V632" s="12">
        <f>paper3[[#This Row],[height]]-paper3[[#This Row],[sittingheight]]</f>
        <v>72.999999999999986</v>
      </c>
      <c r="W632" s="73">
        <v>51.5</v>
      </c>
      <c r="X632" s="43" cm="1">
        <f t="array" ref="X632">INDEX([1]!phvny[yphv], MATCH(1, (paper3[[#This Row],[id]]=[1]!phvny[id])*(paper3[[#This Row],[time]]=[1]!phvny[time]), 0))</f>
        <v>1.0381236853965716</v>
      </c>
      <c r="Y632" s="3">
        <v>2.0499999999999998</v>
      </c>
      <c r="Z632" s="3">
        <v>3.61</v>
      </c>
      <c r="AA632" s="3">
        <v>5.12</v>
      </c>
      <c r="AB632" s="3">
        <v>2.06</v>
      </c>
      <c r="AC632" s="3">
        <v>3.6</v>
      </c>
      <c r="AD632" s="3">
        <v>5.0999999999999996</v>
      </c>
      <c r="AE632" s="3">
        <v>2.0099999999999998</v>
      </c>
      <c r="AF632" s="3">
        <v>3.54</v>
      </c>
      <c r="AG632" s="3">
        <v>5.07</v>
      </c>
      <c r="AH632" s="44">
        <v>2.0099999999999998</v>
      </c>
      <c r="AI632" s="44">
        <v>3.54</v>
      </c>
      <c r="AJ632" s="44">
        <v>5.07</v>
      </c>
      <c r="AK632" s="45">
        <v>6.5359477124182996</v>
      </c>
      <c r="AL632" s="3">
        <v>11.87</v>
      </c>
      <c r="AM632" s="3">
        <v>11.89</v>
      </c>
      <c r="AN632" s="3">
        <v>12.53</v>
      </c>
      <c r="AO632" s="3">
        <v>12.45</v>
      </c>
      <c r="AP632" s="3">
        <v>11.87</v>
      </c>
      <c r="AQ632" s="47">
        <v>11.87</v>
      </c>
      <c r="AR632" s="47">
        <v>12.45</v>
      </c>
      <c r="AS632" s="3">
        <v>25.24</v>
      </c>
      <c r="AT632" s="3">
        <v>23.29</v>
      </c>
      <c r="AU632" s="3">
        <v>23.67</v>
      </c>
      <c r="AV632" s="3"/>
      <c r="AW632" s="3"/>
      <c r="AX632" s="48">
        <v>25.24</v>
      </c>
      <c r="AY632" s="71"/>
      <c r="AZ632" s="3">
        <v>8</v>
      </c>
      <c r="BA632" s="3">
        <v>215</v>
      </c>
      <c r="BB632" s="3"/>
      <c r="BC632" s="3">
        <v>234</v>
      </c>
      <c r="BD632" s="40">
        <v>957.30301277098999</v>
      </c>
      <c r="BE632" s="40">
        <v>987.53341551981111</v>
      </c>
      <c r="BF632" s="40"/>
      <c r="BG632" s="40">
        <v>274.71685359602026</v>
      </c>
      <c r="BH632" s="40">
        <v>275.05198603323441</v>
      </c>
      <c r="BI632" s="49">
        <v>1944.836428290801</v>
      </c>
      <c r="BJ632" s="49">
        <v>549.76883962925467</v>
      </c>
      <c r="BK632" s="66">
        <v>-3.0612030209538399E-2</v>
      </c>
      <c r="BL632" s="66">
        <v>-1.2184330753156614E-3</v>
      </c>
      <c r="BM632" s="51">
        <v>37.76381414156895</v>
      </c>
      <c r="BN632" s="51">
        <v>10.675123099597178</v>
      </c>
      <c r="BO632" s="52">
        <v>232</v>
      </c>
      <c r="BP632" s="40">
        <v>232</v>
      </c>
      <c r="BQ632" s="40">
        <v>209</v>
      </c>
      <c r="BR632" s="67">
        <v>0.11004784688995217</v>
      </c>
      <c r="BS632" s="54">
        <v>4.2815533980582527</v>
      </c>
      <c r="BT632" s="3">
        <v>107</v>
      </c>
      <c r="BU632" s="40">
        <v>107</v>
      </c>
      <c r="BV632" s="3">
        <v>106</v>
      </c>
      <c r="BW632" s="3">
        <v>95</v>
      </c>
      <c r="BX632" s="70">
        <v>0</v>
      </c>
      <c r="BY632" s="70">
        <v>0.11578947368421044</v>
      </c>
      <c r="BZ632" s="59">
        <v>1.1263157894736842</v>
      </c>
      <c r="CA632" s="59">
        <v>1.0094339622641511</v>
      </c>
      <c r="CB632" s="59">
        <v>1.5166990291262132</v>
      </c>
      <c r="CC632" s="59">
        <v>1.4245631067961162</v>
      </c>
      <c r="CD632" s="60">
        <v>86</v>
      </c>
      <c r="CE632" s="60">
        <v>70</v>
      </c>
      <c r="CF632" s="61">
        <v>1.6699029126213591</v>
      </c>
      <c r="CG632" s="61">
        <v>1.3592233009708738</v>
      </c>
      <c r="CH632" s="61">
        <v>0.81395348837209314</v>
      </c>
      <c r="CI632" s="189">
        <v>11.2</v>
      </c>
      <c r="CJ632" s="40">
        <f>VLOOKUP(paper3[[#This Row],[YYIR nivå]],$DB:$DC,2)</f>
        <v>160</v>
      </c>
      <c r="CK632" s="46" t="s">
        <v>193</v>
      </c>
      <c r="CL632" s="62"/>
      <c r="CM632" s="63" t="s">
        <v>110</v>
      </c>
      <c r="CN632" s="3">
        <v>107</v>
      </c>
      <c r="CO632" s="3">
        <v>106</v>
      </c>
      <c r="CP632" s="41">
        <v>13.316666666666666</v>
      </c>
      <c r="CQ632" s="3" t="s">
        <v>110</v>
      </c>
      <c r="CR632" s="40">
        <v>107</v>
      </c>
      <c r="CS632" s="40">
        <v>100.5</v>
      </c>
      <c r="CT632" s="40">
        <v>220.5</v>
      </c>
      <c r="CU632" s="40"/>
      <c r="CV632" s="40"/>
      <c r="CW632" s="40"/>
      <c r="CX632" s="40"/>
      <c r="CY632" s="40">
        <v>0</v>
      </c>
      <c r="CZ632" s="40"/>
      <c r="DA632" s="40"/>
    </row>
    <row r="633" spans="1:105" ht="18.75" customHeight="1">
      <c r="A633" s="3">
        <v>490</v>
      </c>
      <c r="B633" s="38" t="s">
        <v>103</v>
      </c>
      <c r="C633" s="3" t="s">
        <v>115</v>
      </c>
      <c r="D633" s="3" t="s">
        <v>215</v>
      </c>
      <c r="E633" s="39">
        <v>45035</v>
      </c>
      <c r="F633" s="3" t="s">
        <v>186</v>
      </c>
      <c r="G633" s="3" t="s">
        <v>107</v>
      </c>
      <c r="H633" s="3">
        <v>2009</v>
      </c>
      <c r="I633" s="40" t="s">
        <v>108</v>
      </c>
      <c r="J633" s="39" t="s">
        <v>109</v>
      </c>
      <c r="K633" s="3">
        <v>171.7</v>
      </c>
      <c r="L633" s="3">
        <v>171.5</v>
      </c>
      <c r="M633" s="3"/>
      <c r="N633" s="3">
        <v>145.5</v>
      </c>
      <c r="O633" s="3">
        <v>145.5</v>
      </c>
      <c r="P633" s="3"/>
      <c r="Q633" s="3">
        <v>55.1</v>
      </c>
      <c r="R633" s="3"/>
      <c r="S633" s="3"/>
      <c r="T633" s="42">
        <v>171.6</v>
      </c>
      <c r="U633" s="42">
        <f>AVERAGE(paper3[[#This Row],[Sittende høyde 1]:[Sittende høyde 3]])-56.2</f>
        <v>89.3</v>
      </c>
      <c r="V633" s="12">
        <f>paper3[[#This Row],[height]]-paper3[[#This Row],[sittingheight]]</f>
        <v>82.3</v>
      </c>
      <c r="W633" s="73">
        <v>55.1</v>
      </c>
      <c r="X633" s="43" cm="1">
        <f t="array" ref="X633">INDEX([1]!phvny[yphv], MATCH(1, (paper3[[#This Row],[id]]=[1]!phvny[id])*(paper3[[#This Row],[time]]=[1]!phvny[time]), 0))</f>
        <v>2.3043908236604516</v>
      </c>
      <c r="Y633" s="3">
        <v>2.08</v>
      </c>
      <c r="Z633" s="3">
        <v>3.66</v>
      </c>
      <c r="AA633" s="3">
        <v>5.2</v>
      </c>
      <c r="AB633" s="3">
        <v>2.04</v>
      </c>
      <c r="AC633" s="3">
        <v>3.62</v>
      </c>
      <c r="AD633" s="3">
        <v>5.14</v>
      </c>
      <c r="AE633" s="3">
        <v>2.06</v>
      </c>
      <c r="AF633" s="3">
        <v>3.64</v>
      </c>
      <c r="AG633" s="3">
        <v>5.16</v>
      </c>
      <c r="AH633" s="44">
        <v>2.04</v>
      </c>
      <c r="AI633" s="44">
        <v>3.62</v>
      </c>
      <c r="AJ633" s="44">
        <v>5.14</v>
      </c>
      <c r="AK633" s="45">
        <v>6.5789473684210549</v>
      </c>
      <c r="AL633" s="3">
        <v>11.57</v>
      </c>
      <c r="AM633" s="3">
        <v>11.22</v>
      </c>
      <c r="AN633" s="3">
        <v>11.18</v>
      </c>
      <c r="AO633" s="3">
        <v>11.08</v>
      </c>
      <c r="AP633" s="3">
        <v>11.08</v>
      </c>
      <c r="AQ633" s="47">
        <v>11.22</v>
      </c>
      <c r="AR633" s="47">
        <v>11.08</v>
      </c>
      <c r="AS633" s="3">
        <v>17.55</v>
      </c>
      <c r="AT633" s="3">
        <v>18.920000000000002</v>
      </c>
      <c r="AU633" s="3">
        <v>18.72</v>
      </c>
      <c r="AV633" s="3"/>
      <c r="AW633" s="3"/>
      <c r="AX633" s="48">
        <v>18.920000000000002</v>
      </c>
      <c r="AY633" s="71"/>
      <c r="AZ633" s="3">
        <v>10</v>
      </c>
      <c r="BA633" s="3">
        <v>180</v>
      </c>
      <c r="BB633" s="3"/>
      <c r="BC633" s="3">
        <v>179</v>
      </c>
      <c r="BD633" s="40">
        <v>814.22470592974446</v>
      </c>
      <c r="BE633" s="40">
        <v>786.39145013385905</v>
      </c>
      <c r="BF633" s="40"/>
      <c r="BG633" s="40">
        <v>234.00539861504495</v>
      </c>
      <c r="BH633" s="40">
        <v>229.1552747966256</v>
      </c>
      <c r="BI633" s="49">
        <v>1600.6161560636035</v>
      </c>
      <c r="BJ633" s="49">
        <v>463.16067341167059</v>
      </c>
      <c r="BK633" s="66">
        <v>3.5393639886531991E-2</v>
      </c>
      <c r="BL633" s="66">
        <v>2.1165228785258394E-2</v>
      </c>
      <c r="BM633" s="51">
        <v>29.049295028377557</v>
      </c>
      <c r="BN633" s="51">
        <v>8.4058198441319529</v>
      </c>
      <c r="BO633" s="52">
        <v>220</v>
      </c>
      <c r="BP633" s="40">
        <v>220</v>
      </c>
      <c r="BQ633" s="40">
        <v>197</v>
      </c>
      <c r="BR633" s="67">
        <v>0.11675126903553301</v>
      </c>
      <c r="BS633" s="54">
        <v>3.7840290381125228</v>
      </c>
      <c r="BT633" s="3">
        <v>120</v>
      </c>
      <c r="BU633" s="40">
        <v>123</v>
      </c>
      <c r="BV633" s="3">
        <v>109</v>
      </c>
      <c r="BW633" s="3">
        <v>106</v>
      </c>
      <c r="BX633" s="70">
        <v>-2.4390243902439046E-2</v>
      </c>
      <c r="BY633" s="70">
        <v>2.8301886792452935E-2</v>
      </c>
      <c r="BZ633" s="59">
        <v>1.1603773584905661</v>
      </c>
      <c r="CA633" s="59">
        <v>1.1009174311926606</v>
      </c>
      <c r="CB633" s="59">
        <v>1.8147822141560797</v>
      </c>
      <c r="CC633" s="59">
        <v>1.605671506352087</v>
      </c>
      <c r="CD633" s="60">
        <v>97</v>
      </c>
      <c r="CE633" s="60">
        <v>71</v>
      </c>
      <c r="CF633" s="61">
        <v>1.7604355716878402</v>
      </c>
      <c r="CG633" s="61">
        <v>1.2885662431941924</v>
      </c>
      <c r="CH633" s="61">
        <v>0.731958762886598</v>
      </c>
      <c r="CI633" s="41">
        <v>12.2</v>
      </c>
      <c r="CJ633" s="40">
        <f>VLOOKUP(paper3[[#This Row],[YYIR nivå]],$DB:$DC,2)</f>
        <v>240</v>
      </c>
      <c r="CK633" s="3" t="s">
        <v>240</v>
      </c>
      <c r="CL633" s="62"/>
      <c r="CM633" s="63" t="s">
        <v>110</v>
      </c>
      <c r="CN633" s="3">
        <v>123</v>
      </c>
      <c r="CO633" s="3">
        <v>109</v>
      </c>
      <c r="CP633" s="41">
        <v>14.072222222222223</v>
      </c>
      <c r="CQ633" s="3" t="s">
        <v>110</v>
      </c>
      <c r="CR633" s="40">
        <v>121.5</v>
      </c>
      <c r="CS633" s="40">
        <v>107.5</v>
      </c>
      <c r="CT633" s="40">
        <v>208.5</v>
      </c>
      <c r="CU633" s="40"/>
      <c r="CV633" s="40"/>
      <c r="CW633" s="40"/>
      <c r="CX633" s="40"/>
      <c r="CY633" s="40">
        <v>0</v>
      </c>
      <c r="CZ633" s="40"/>
      <c r="DA633" s="40"/>
    </row>
    <row r="634" spans="1:105" ht="18.75" customHeight="1">
      <c r="A634" s="3">
        <v>494</v>
      </c>
      <c r="B634" s="38" t="s">
        <v>103</v>
      </c>
      <c r="C634" s="3" t="s">
        <v>115</v>
      </c>
      <c r="D634" s="3" t="s">
        <v>215</v>
      </c>
      <c r="E634" s="39">
        <v>45035</v>
      </c>
      <c r="F634" s="3" t="s">
        <v>186</v>
      </c>
      <c r="G634" s="3" t="s">
        <v>107</v>
      </c>
      <c r="H634" s="3">
        <v>2009</v>
      </c>
      <c r="I634" s="40" t="s">
        <v>108</v>
      </c>
      <c r="J634" s="39" t="s">
        <v>109</v>
      </c>
      <c r="K634" s="3">
        <v>157.1</v>
      </c>
      <c r="L634" s="3">
        <v>157.1</v>
      </c>
      <c r="M634" s="3"/>
      <c r="N634" s="3">
        <v>137.30000000000001</v>
      </c>
      <c r="O634" s="3">
        <v>137.1</v>
      </c>
      <c r="P634" s="3"/>
      <c r="Q634" s="3">
        <v>51.7</v>
      </c>
      <c r="R634" s="3"/>
      <c r="S634" s="3"/>
      <c r="T634" s="42">
        <v>157.1</v>
      </c>
      <c r="U634" s="42">
        <f>AVERAGE(paper3[[#This Row],[Sittende høyde 1]:[Sittende høyde 3]])-56.2</f>
        <v>80.999999999999986</v>
      </c>
      <c r="V634" s="12">
        <f>paper3[[#This Row],[height]]-paper3[[#This Row],[sittingheight]]</f>
        <v>76.100000000000009</v>
      </c>
      <c r="W634" s="73">
        <v>51.7</v>
      </c>
      <c r="X634" s="43" cm="1">
        <f t="array" ref="X634">INDEX([1]!phvny[yphv], MATCH(1, (paper3[[#This Row],[id]]=[1]!phvny[id])*(paper3[[#This Row],[time]]=[1]!phvny[time]), 0))</f>
        <v>1.155440595771978</v>
      </c>
      <c r="Y634" s="3">
        <v>2.31</v>
      </c>
      <c r="Z634" s="3">
        <v>3.97</v>
      </c>
      <c r="AA634" s="3">
        <v>6.19</v>
      </c>
      <c r="AB634" s="3">
        <v>2.16</v>
      </c>
      <c r="AC634" s="3">
        <v>3.7</v>
      </c>
      <c r="AD634" s="3">
        <v>5.2</v>
      </c>
      <c r="AE634" s="3">
        <v>2.2000000000000002</v>
      </c>
      <c r="AF634" s="3">
        <v>3.77</v>
      </c>
      <c r="AG634" s="3">
        <v>5.3</v>
      </c>
      <c r="AH634" s="44">
        <v>2.16</v>
      </c>
      <c r="AI634" s="44">
        <v>3.7</v>
      </c>
      <c r="AJ634" s="44">
        <v>5.2</v>
      </c>
      <c r="AK634" s="45">
        <v>6.666666666666667</v>
      </c>
      <c r="AL634" s="3">
        <v>12.4</v>
      </c>
      <c r="AM634" s="3">
        <v>11.84</v>
      </c>
      <c r="AN634" s="3">
        <v>12.09</v>
      </c>
      <c r="AO634" s="3">
        <v>12.2</v>
      </c>
      <c r="AP634" s="3">
        <v>11.84</v>
      </c>
      <c r="AQ634" s="47">
        <v>11.84</v>
      </c>
      <c r="AR634" s="47">
        <v>12.09</v>
      </c>
      <c r="AS634" s="3">
        <v>23.02</v>
      </c>
      <c r="AT634" s="3">
        <v>25.91</v>
      </c>
      <c r="AU634" s="3">
        <v>25.81</v>
      </c>
      <c r="AV634" s="3"/>
      <c r="AW634" s="3"/>
      <c r="AX634" s="48">
        <v>25.91</v>
      </c>
      <c r="AY634" s="71"/>
      <c r="AZ634" s="3">
        <v>9</v>
      </c>
      <c r="BA634" s="3">
        <v>225</v>
      </c>
      <c r="BB634" s="3"/>
      <c r="BC634" s="3">
        <v>266</v>
      </c>
      <c r="BD634" s="40">
        <v>909.39949191737048</v>
      </c>
      <c r="BE634" s="40">
        <v>894.17948015944989</v>
      </c>
      <c r="BF634" s="40"/>
      <c r="BG634" s="40">
        <v>192.49741872281334</v>
      </c>
      <c r="BH634" s="40">
        <v>191.99902164800301</v>
      </c>
      <c r="BI634" s="49">
        <v>1803.5789720768203</v>
      </c>
      <c r="BJ634" s="49">
        <v>384.49644037081634</v>
      </c>
      <c r="BK634" s="66">
        <v>1.7021204462449369E-2</v>
      </c>
      <c r="BL634" s="66">
        <v>2.5958313252452125E-3</v>
      </c>
      <c r="BM634" s="51">
        <v>34.885473347714125</v>
      </c>
      <c r="BN634" s="51">
        <v>7.4370684791260411</v>
      </c>
      <c r="BO634" s="52">
        <v>247</v>
      </c>
      <c r="BP634" s="40">
        <v>230</v>
      </c>
      <c r="BQ634" s="40">
        <v>247</v>
      </c>
      <c r="BR634" s="67">
        <v>-6.8825910931174072E-2</v>
      </c>
      <c r="BS634" s="54">
        <v>4.6131528046421657</v>
      </c>
      <c r="BT634" s="3">
        <v>98</v>
      </c>
      <c r="BU634" s="40">
        <v>94</v>
      </c>
      <c r="BV634" s="3">
        <v>97</v>
      </c>
      <c r="BW634" s="3">
        <v>114</v>
      </c>
      <c r="BX634" s="70">
        <v>4.2553191489361764E-2</v>
      </c>
      <c r="BY634" s="70">
        <v>-0.14912280701754388</v>
      </c>
      <c r="BZ634" s="59">
        <v>0.82456140350877194</v>
      </c>
      <c r="CA634" s="59">
        <v>1.0103092783505154</v>
      </c>
      <c r="CB634" s="59">
        <v>1.413075435203095</v>
      </c>
      <c r="CC634" s="59">
        <v>1.552911025145068</v>
      </c>
      <c r="CD634" s="60">
        <v>68</v>
      </c>
      <c r="CE634" s="60">
        <v>84</v>
      </c>
      <c r="CF634" s="61">
        <v>1.3152804642166342</v>
      </c>
      <c r="CG634" s="61">
        <v>1.6247582205029012</v>
      </c>
      <c r="CH634" s="61">
        <v>1.2352941176470589</v>
      </c>
      <c r="CI634" s="41">
        <v>13.2</v>
      </c>
      <c r="CJ634" s="40">
        <f>VLOOKUP(paper3[[#This Row],[YYIR nivå]],$DB:$DC,2)</f>
        <v>360</v>
      </c>
      <c r="CK634" s="124" t="s">
        <v>241</v>
      </c>
      <c r="CL634" s="62"/>
      <c r="CM634" s="63" t="s">
        <v>110</v>
      </c>
      <c r="CN634" s="3">
        <v>98</v>
      </c>
      <c r="CO634" s="3">
        <v>114</v>
      </c>
      <c r="CP634" s="41">
        <v>13.594444444444445</v>
      </c>
      <c r="CQ634" s="3" t="s">
        <v>110</v>
      </c>
      <c r="CR634" s="40">
        <v>96</v>
      </c>
      <c r="CS634" s="40">
        <v>105.5</v>
      </c>
      <c r="CT634" s="40">
        <v>238.5</v>
      </c>
      <c r="CU634" s="40"/>
      <c r="CV634" s="40"/>
      <c r="CW634" s="40"/>
      <c r="CX634" s="40"/>
      <c r="CY634" s="40" t="s">
        <v>125</v>
      </c>
      <c r="CZ634" s="40"/>
      <c r="DA634" s="40"/>
    </row>
    <row r="635" spans="1:105" ht="18.75" customHeight="1">
      <c r="A635" s="3">
        <v>495</v>
      </c>
      <c r="B635" s="38" t="s">
        <v>103</v>
      </c>
      <c r="C635" s="3" t="s">
        <v>115</v>
      </c>
      <c r="D635" s="3" t="s">
        <v>215</v>
      </c>
      <c r="E635" s="39">
        <v>45035</v>
      </c>
      <c r="F635" s="3" t="s">
        <v>186</v>
      </c>
      <c r="G635" s="3" t="s">
        <v>107</v>
      </c>
      <c r="H635" s="3">
        <v>2009</v>
      </c>
      <c r="I635" s="40" t="s">
        <v>108</v>
      </c>
      <c r="J635" s="39" t="s">
        <v>109</v>
      </c>
      <c r="K635" s="3">
        <v>167</v>
      </c>
      <c r="L635" s="3">
        <v>167</v>
      </c>
      <c r="M635" s="3"/>
      <c r="N635" s="3">
        <v>146</v>
      </c>
      <c r="O635" s="3">
        <v>145.9</v>
      </c>
      <c r="P635" s="3"/>
      <c r="Q635" s="3">
        <v>60.5</v>
      </c>
      <c r="R635" s="3"/>
      <c r="S635" s="3"/>
      <c r="T635" s="42">
        <v>167</v>
      </c>
      <c r="U635" s="42">
        <f>AVERAGE(paper3[[#This Row],[Sittende høyde 1]:[Sittende høyde 3]])-56.2</f>
        <v>89.749999999999986</v>
      </c>
      <c r="V635" s="12">
        <f>paper3[[#This Row],[height]]-paper3[[#This Row],[sittingheight]]</f>
        <v>77.250000000000014</v>
      </c>
      <c r="W635" s="73">
        <v>60.5</v>
      </c>
      <c r="X635" s="43" cm="1">
        <f t="array" ref="X635">INDEX([1]!phvny[yphv], MATCH(1, (paper3[[#This Row],[id]]=[1]!phvny[id])*(paper3[[#This Row],[time]]=[1]!phvny[time]), 0))</f>
        <v>2.2155962966067859</v>
      </c>
      <c r="Y635" s="3">
        <v>2.06</v>
      </c>
      <c r="Z635" s="3">
        <v>3.6</v>
      </c>
      <c r="AA635" s="3">
        <v>5.14</v>
      </c>
      <c r="AB635" s="3">
        <v>2.11</v>
      </c>
      <c r="AC635" s="3">
        <v>3.68</v>
      </c>
      <c r="AD635" s="3">
        <v>5.27</v>
      </c>
      <c r="AE635" s="3">
        <v>2.0299999999999998</v>
      </c>
      <c r="AF635" s="3">
        <v>3.58</v>
      </c>
      <c r="AG635" s="3">
        <v>5.14</v>
      </c>
      <c r="AH635" s="44">
        <v>2.0299999999999998</v>
      </c>
      <c r="AI635" s="44">
        <v>3.58</v>
      </c>
      <c r="AJ635" s="44">
        <v>5.14</v>
      </c>
      <c r="AK635" s="45">
        <v>6.4102564102564115</v>
      </c>
      <c r="AL635" s="3">
        <v>11.86</v>
      </c>
      <c r="AM635" s="3">
        <v>11.7</v>
      </c>
      <c r="AN635" s="3">
        <v>11.61</v>
      </c>
      <c r="AO635" s="3">
        <v>11.78</v>
      </c>
      <c r="AP635" s="3">
        <v>11.61</v>
      </c>
      <c r="AQ635" s="47">
        <v>11.7</v>
      </c>
      <c r="AR635" s="47">
        <v>11.61</v>
      </c>
      <c r="AS635" s="3">
        <v>18.440000000000001</v>
      </c>
      <c r="AT635" s="3">
        <v>22.74</v>
      </c>
      <c r="AU635" s="3">
        <v>24.44</v>
      </c>
      <c r="AV635" s="3">
        <v>24.21</v>
      </c>
      <c r="AW635" s="3"/>
      <c r="AX635" s="48">
        <v>24.44</v>
      </c>
      <c r="AY635" s="71"/>
      <c r="AZ635" s="3">
        <v>9</v>
      </c>
      <c r="BA635" s="3">
        <v>220</v>
      </c>
      <c r="BB635" s="3"/>
      <c r="BC635" s="3">
        <v>199</v>
      </c>
      <c r="BD635" s="40">
        <v>717.15534544184663</v>
      </c>
      <c r="BE635" s="40">
        <v>700.11688410606007</v>
      </c>
      <c r="BF635" s="40"/>
      <c r="BG635" s="40">
        <v>233.4346383308656</v>
      </c>
      <c r="BH635" s="40">
        <v>238.15759822867665</v>
      </c>
      <c r="BI635" s="49">
        <v>1417.2722295479066</v>
      </c>
      <c r="BJ635" s="49">
        <v>471.59223655954224</v>
      </c>
      <c r="BK635" s="66">
        <v>2.4336595392270954E-2</v>
      </c>
      <c r="BL635" s="66">
        <v>-1.9831237520610667E-2</v>
      </c>
      <c r="BM635" s="51">
        <v>23.425987265254655</v>
      </c>
      <c r="BN635" s="51">
        <v>7.7949130009841694</v>
      </c>
      <c r="BO635" s="52">
        <v>180</v>
      </c>
      <c r="BP635" s="40">
        <v>173</v>
      </c>
      <c r="BQ635" s="40">
        <v>180</v>
      </c>
      <c r="BR635" s="67">
        <v>-3.8888888888888862E-2</v>
      </c>
      <c r="BS635" s="54">
        <v>2.9173553719008263</v>
      </c>
      <c r="BT635" s="3">
        <v>93</v>
      </c>
      <c r="BU635" s="40">
        <v>88</v>
      </c>
      <c r="BV635" s="3">
        <v>106</v>
      </c>
      <c r="BW635" s="3">
        <v>112</v>
      </c>
      <c r="BX635" s="70">
        <v>5.6818181818181879E-2</v>
      </c>
      <c r="BY635" s="70">
        <v>-5.3571428571428603E-2</v>
      </c>
      <c r="BZ635" s="59">
        <v>0.7857142857142857</v>
      </c>
      <c r="CA635" s="59">
        <v>0.87735849056603776</v>
      </c>
      <c r="CB635" s="59">
        <v>1.1555578512396698</v>
      </c>
      <c r="CC635" s="59">
        <v>1.3917768595041324</v>
      </c>
      <c r="CD635" s="60">
        <v>87</v>
      </c>
      <c r="CE635" s="60">
        <v>66</v>
      </c>
      <c r="CF635" s="61">
        <v>1.4380165289256199</v>
      </c>
      <c r="CG635" s="61">
        <v>1.0909090909090908</v>
      </c>
      <c r="CH635" s="61">
        <v>0.75862068965517226</v>
      </c>
      <c r="CI635" s="41">
        <v>11.2</v>
      </c>
      <c r="CJ635" s="40">
        <f>VLOOKUP(paper3[[#This Row],[YYIR nivå]],$DB:$DC,2)</f>
        <v>160</v>
      </c>
      <c r="CK635" s="3"/>
      <c r="CL635" s="62"/>
      <c r="CM635" s="63" t="s">
        <v>110</v>
      </c>
      <c r="CN635" s="3">
        <v>93</v>
      </c>
      <c r="CO635" s="3">
        <v>112</v>
      </c>
      <c r="CP635" s="41">
        <v>14.061111111111112</v>
      </c>
      <c r="CQ635" s="3" t="s">
        <v>110</v>
      </c>
      <c r="CR635" s="40">
        <v>90.5</v>
      </c>
      <c r="CS635" s="40">
        <v>109</v>
      </c>
      <c r="CT635" s="40">
        <v>176.5</v>
      </c>
      <c r="CU635" s="40"/>
      <c r="CV635" s="40"/>
      <c r="CW635" s="40"/>
      <c r="CX635" s="40"/>
      <c r="CY635" s="40">
        <v>0</v>
      </c>
      <c r="CZ635" s="40"/>
      <c r="DA635" s="40"/>
    </row>
    <row r="636" spans="1:105" ht="18.75" customHeight="1">
      <c r="A636" s="3">
        <v>496</v>
      </c>
      <c r="B636" s="38" t="s">
        <v>103</v>
      </c>
      <c r="C636" s="3" t="s">
        <v>158</v>
      </c>
      <c r="D636" s="3" t="s">
        <v>215</v>
      </c>
      <c r="E636" s="39">
        <v>45035</v>
      </c>
      <c r="F636" s="3" t="s">
        <v>186</v>
      </c>
      <c r="G636" s="3" t="s">
        <v>107</v>
      </c>
      <c r="H636" s="3">
        <v>2009</v>
      </c>
      <c r="I636" s="40" t="s">
        <v>108</v>
      </c>
      <c r="J636" s="39" t="s">
        <v>109</v>
      </c>
      <c r="K636" s="3">
        <v>164.2</v>
      </c>
      <c r="L636" s="3">
        <v>164</v>
      </c>
      <c r="M636" s="3"/>
      <c r="N636" s="3">
        <v>141</v>
      </c>
      <c r="O636" s="3">
        <v>141.19999999999999</v>
      </c>
      <c r="P636" s="3"/>
      <c r="Q636" s="3">
        <v>55.9</v>
      </c>
      <c r="R636" s="3"/>
      <c r="S636" s="3"/>
      <c r="T636" s="42">
        <v>164.1</v>
      </c>
      <c r="U636" s="42">
        <f>AVERAGE(paper3[[#This Row],[Sittende høyde 1]:[Sittende høyde 3]])-56.2</f>
        <v>84.899999999999991</v>
      </c>
      <c r="V636" s="12">
        <f>paper3[[#This Row],[height]]-paper3[[#This Row],[sittingheight]]</f>
        <v>79.2</v>
      </c>
      <c r="W636" s="73">
        <v>55.9</v>
      </c>
      <c r="X636" s="43" cm="1">
        <f t="array" ref="X636">INDEX([1]!phvny[yphv], MATCH(1, (paper3[[#This Row],[id]]=[1]!phvny[id])*(paper3[[#This Row],[time]]=[1]!phvny[time]), 0))</f>
        <v>1.8437559624990851</v>
      </c>
      <c r="Y636" s="3"/>
      <c r="Z636" s="3"/>
      <c r="AA636" s="3"/>
      <c r="AB636" s="3">
        <v>1.98</v>
      </c>
      <c r="AC636" s="3">
        <v>3.45</v>
      </c>
      <c r="AD636" s="3">
        <v>4.8899999999999997</v>
      </c>
      <c r="AE636" s="3">
        <v>1.98</v>
      </c>
      <c r="AF636" s="3">
        <v>3.44</v>
      </c>
      <c r="AG636" s="3">
        <v>4.8499999999999996</v>
      </c>
      <c r="AH636" s="44">
        <v>1.98</v>
      </c>
      <c r="AI636" s="44">
        <v>3.44</v>
      </c>
      <c r="AJ636" s="44">
        <v>4.8499999999999996</v>
      </c>
      <c r="AK636" s="45">
        <v>7.092198581560285</v>
      </c>
      <c r="AL636" s="3">
        <v>10.93</v>
      </c>
      <c r="AM636" s="3">
        <v>10.48</v>
      </c>
      <c r="AN636" s="3">
        <v>10.57</v>
      </c>
      <c r="AO636" s="3">
        <v>10.6</v>
      </c>
      <c r="AP636" s="3">
        <v>10.48</v>
      </c>
      <c r="AQ636" s="47">
        <v>10.48</v>
      </c>
      <c r="AR636" s="47">
        <v>10.57</v>
      </c>
      <c r="AS636" s="3">
        <v>28.94</v>
      </c>
      <c r="AT636" s="3">
        <v>31.19</v>
      </c>
      <c r="AU636" s="3">
        <v>30.94</v>
      </c>
      <c r="AV636" s="3"/>
      <c r="AW636" s="3"/>
      <c r="AX636" s="48">
        <v>31.19</v>
      </c>
      <c r="AY636" s="71"/>
      <c r="AZ636" s="3">
        <v>10</v>
      </c>
      <c r="BA636" s="3">
        <v>230</v>
      </c>
      <c r="BB636" s="3">
        <v>10</v>
      </c>
      <c r="BC636" s="3">
        <v>251</v>
      </c>
      <c r="BD636" s="40">
        <v>1029.9935125127208</v>
      </c>
      <c r="BE636" s="40">
        <v>1105.7201198883638</v>
      </c>
      <c r="BF636" s="40"/>
      <c r="BG636" s="40">
        <v>381.35653348068621</v>
      </c>
      <c r="BH636" s="40">
        <v>408.95934752572134</v>
      </c>
      <c r="BI636" s="49">
        <v>2135.7136324010844</v>
      </c>
      <c r="BJ636" s="49">
        <v>790.31588100640761</v>
      </c>
      <c r="BK636" s="66">
        <v>-6.8486234458036699E-2</v>
      </c>
      <c r="BL636" s="66">
        <v>-6.7495251574605675E-2</v>
      </c>
      <c r="BM636" s="51">
        <v>38.205968379268057</v>
      </c>
      <c r="BN636" s="51">
        <v>14.138030071670977</v>
      </c>
      <c r="BO636" s="52">
        <v>281</v>
      </c>
      <c r="BP636" s="40">
        <v>246</v>
      </c>
      <c r="BQ636" s="40">
        <v>281</v>
      </c>
      <c r="BR636" s="67">
        <v>-0.1245551601423488</v>
      </c>
      <c r="BS636" s="54">
        <v>4.7137745974955276</v>
      </c>
      <c r="BT636" s="3">
        <v>128</v>
      </c>
      <c r="BU636" s="40">
        <v>134</v>
      </c>
      <c r="BV636" s="3">
        <v>96</v>
      </c>
      <c r="BW636" s="3">
        <v>98</v>
      </c>
      <c r="BX636" s="70">
        <v>-4.4776119402985093E-2</v>
      </c>
      <c r="BY636" s="70">
        <v>-2.0408163265306145E-2</v>
      </c>
      <c r="BZ636" s="59">
        <v>1.3673469387755102</v>
      </c>
      <c r="CA636" s="59">
        <v>1.3333333333333333</v>
      </c>
      <c r="CB636" s="59">
        <v>1.8560286225402507</v>
      </c>
      <c r="CC636" s="59">
        <v>1.3743112701252236</v>
      </c>
      <c r="CD636" s="60">
        <v>115</v>
      </c>
      <c r="CE636" s="60">
        <v>96</v>
      </c>
      <c r="CF636" s="61">
        <v>2.0572450805008944</v>
      </c>
      <c r="CG636" s="61">
        <v>1.7173524150268338</v>
      </c>
      <c r="CH636" s="61">
        <v>0.83478260869565224</v>
      </c>
      <c r="CI636" s="41">
        <v>12.3</v>
      </c>
      <c r="CJ636" s="40">
        <f>VLOOKUP(paper3[[#This Row],[YYIR nivå]],$DB:$DC,2)</f>
        <v>280</v>
      </c>
      <c r="CK636" s="3"/>
      <c r="CL636" s="62"/>
      <c r="CM636" s="63" t="s">
        <v>110</v>
      </c>
      <c r="CN636" s="3">
        <v>134</v>
      </c>
      <c r="CO636" s="3">
        <v>98</v>
      </c>
      <c r="CP636" s="41">
        <v>14.061111111111112</v>
      </c>
      <c r="CQ636" s="3" t="s">
        <v>110</v>
      </c>
      <c r="CR636" s="40">
        <v>131</v>
      </c>
      <c r="CS636" s="40">
        <v>97</v>
      </c>
      <c r="CT636" s="40">
        <v>263.5</v>
      </c>
      <c r="CU636" s="40"/>
      <c r="CV636" s="40"/>
      <c r="CW636" s="40"/>
      <c r="CX636" s="40"/>
      <c r="CY636" s="40">
        <v>0</v>
      </c>
      <c r="CZ636" s="40"/>
      <c r="DA636" s="40"/>
    </row>
    <row r="637" spans="1:105" ht="18.75" customHeight="1">
      <c r="A637" s="3">
        <v>497</v>
      </c>
      <c r="B637" s="38" t="s">
        <v>103</v>
      </c>
      <c r="C637" s="3" t="s">
        <v>115</v>
      </c>
      <c r="D637" s="3" t="s">
        <v>215</v>
      </c>
      <c r="E637" s="39">
        <v>45035</v>
      </c>
      <c r="F637" s="3" t="s">
        <v>186</v>
      </c>
      <c r="G637" s="3" t="s">
        <v>107</v>
      </c>
      <c r="H637" s="3">
        <v>2009</v>
      </c>
      <c r="I637" s="40" t="s">
        <v>108</v>
      </c>
      <c r="J637" s="39" t="s">
        <v>109</v>
      </c>
      <c r="K637" s="3">
        <v>160.1</v>
      </c>
      <c r="L637" s="3">
        <v>160.1</v>
      </c>
      <c r="M637" s="3"/>
      <c r="N637" s="3">
        <v>136.5</v>
      </c>
      <c r="O637" s="3">
        <v>136.6</v>
      </c>
      <c r="P637" s="3"/>
      <c r="Q637" s="3">
        <v>47.7</v>
      </c>
      <c r="R637" s="3"/>
      <c r="S637" s="3"/>
      <c r="T637" s="42">
        <v>160.1</v>
      </c>
      <c r="U637" s="42">
        <f>AVERAGE(paper3[[#This Row],[Sittende høyde 1]:[Sittende høyde 3]])-56.2</f>
        <v>80.350000000000009</v>
      </c>
      <c r="V637" s="12">
        <f>paper3[[#This Row],[height]]-paper3[[#This Row],[sittingheight]]</f>
        <v>79.749999999999986</v>
      </c>
      <c r="W637" s="73">
        <v>47.7</v>
      </c>
      <c r="X637" s="43" cm="1">
        <f t="array" ref="X637">INDEX([1]!phvny[yphv], MATCH(1, (paper3[[#This Row],[id]]=[1]!phvny[id])*(paper3[[#This Row],[time]]=[1]!phvny[time]), 0))</f>
        <v>1.4083732472303772</v>
      </c>
      <c r="Y637" s="3">
        <v>2.21</v>
      </c>
      <c r="Z637" s="3">
        <v>3.89</v>
      </c>
      <c r="AA637" s="3">
        <v>5.47</v>
      </c>
      <c r="AB637" s="3">
        <v>2.16</v>
      </c>
      <c r="AC637" s="3">
        <v>3.81</v>
      </c>
      <c r="AD637" s="3">
        <v>5.4</v>
      </c>
      <c r="AE637" s="3">
        <v>2.17</v>
      </c>
      <c r="AF637" s="3">
        <v>3.79</v>
      </c>
      <c r="AG637" s="3">
        <v>5.39</v>
      </c>
      <c r="AH637" s="44">
        <v>2.16</v>
      </c>
      <c r="AI637" s="44">
        <v>3.79</v>
      </c>
      <c r="AJ637" s="44">
        <v>5.39</v>
      </c>
      <c r="AK637" s="45">
        <v>6.2500000000000018</v>
      </c>
      <c r="AL637" s="3">
        <v>12.25</v>
      </c>
      <c r="AM637" s="3">
        <v>11.95</v>
      </c>
      <c r="AN637" s="3">
        <v>12.25</v>
      </c>
      <c r="AO637" s="3">
        <v>12.33</v>
      </c>
      <c r="AP637" s="3">
        <v>11.95</v>
      </c>
      <c r="AQ637" s="47">
        <v>11.95</v>
      </c>
      <c r="AR637" s="47">
        <v>12.25</v>
      </c>
      <c r="AS637" s="3">
        <v>21.55</v>
      </c>
      <c r="AT637" s="3">
        <v>24.14</v>
      </c>
      <c r="AU637" s="3">
        <v>23.11</v>
      </c>
      <c r="AV637" s="3"/>
      <c r="AW637" s="3"/>
      <c r="AX637" s="48">
        <v>24.14</v>
      </c>
      <c r="AY637" s="71"/>
      <c r="AZ637" s="3">
        <v>9</v>
      </c>
      <c r="BA637" s="3">
        <v>210</v>
      </c>
      <c r="BB637" s="3"/>
      <c r="BC637" s="3">
        <v>171</v>
      </c>
      <c r="BD637" s="40">
        <v>636.27333557483917</v>
      </c>
      <c r="BE637" s="40">
        <v>647.82892287300785</v>
      </c>
      <c r="BF637" s="40"/>
      <c r="BG637" s="40">
        <v>229.43643452380957</v>
      </c>
      <c r="BH637" s="40">
        <v>202.70389029639347</v>
      </c>
      <c r="BI637" s="49">
        <v>1284.1022584478469</v>
      </c>
      <c r="BJ637" s="49">
        <v>432.14032482020303</v>
      </c>
      <c r="BK637" s="66">
        <v>-1.7837405664016481E-2</v>
      </c>
      <c r="BL637" s="66">
        <v>0.13187977886525903</v>
      </c>
      <c r="BM637" s="51">
        <v>26.92038277668442</v>
      </c>
      <c r="BN637" s="51">
        <v>9.0595455937149474</v>
      </c>
      <c r="BO637" s="52">
        <v>174</v>
      </c>
      <c r="BP637" s="40">
        <v>174</v>
      </c>
      <c r="BQ637" s="40">
        <v>158</v>
      </c>
      <c r="BR637" s="67">
        <v>0.10126582278481022</v>
      </c>
      <c r="BS637" s="54">
        <v>3.4800838574423478</v>
      </c>
      <c r="BT637" s="3">
        <v>101</v>
      </c>
      <c r="BU637" s="40">
        <v>96</v>
      </c>
      <c r="BV637" s="3">
        <v>88</v>
      </c>
      <c r="BW637" s="3">
        <v>93</v>
      </c>
      <c r="BX637" s="70">
        <v>5.2083333333333259E-2</v>
      </c>
      <c r="BY637" s="70">
        <v>-5.3763440860215006E-2</v>
      </c>
      <c r="BZ637" s="59">
        <v>1.032258064516129</v>
      </c>
      <c r="CA637" s="59">
        <v>1.1477272727272727</v>
      </c>
      <c r="CB637" s="59">
        <v>1.6468291404612156</v>
      </c>
      <c r="CC637" s="59">
        <v>1.5130765199161422</v>
      </c>
      <c r="CD637" s="60"/>
      <c r="CE637" s="60">
        <v>62</v>
      </c>
      <c r="CF637" s="61"/>
      <c r="CG637" s="61">
        <v>1.29979035639413</v>
      </c>
      <c r="CH637" s="61"/>
      <c r="CI637" s="41">
        <v>12.3</v>
      </c>
      <c r="CJ637" s="40">
        <f>VLOOKUP(paper3[[#This Row],[YYIR nivå]],$DB:$DC,2)</f>
        <v>280</v>
      </c>
      <c r="CK637" s="3"/>
      <c r="CL637" s="62"/>
      <c r="CM637" s="63" t="s">
        <v>110</v>
      </c>
      <c r="CN637" s="3">
        <v>101</v>
      </c>
      <c r="CO637" s="3">
        <v>93</v>
      </c>
      <c r="CP637" s="41">
        <v>14.066666666666666</v>
      </c>
      <c r="CQ637" s="3" t="s">
        <v>110</v>
      </c>
      <c r="CR637" s="40">
        <v>98.5</v>
      </c>
      <c r="CS637" s="40">
        <v>90.5</v>
      </c>
      <c r="CT637" s="40">
        <v>166</v>
      </c>
      <c r="CU637" s="40"/>
      <c r="CV637" s="40"/>
      <c r="CW637" s="40"/>
      <c r="CX637" s="40"/>
      <c r="CY637" s="40">
        <v>0</v>
      </c>
      <c r="CZ637" s="40"/>
      <c r="DA637" s="40"/>
    </row>
    <row r="638" spans="1:105" ht="18.75" customHeight="1">
      <c r="A638" s="3">
        <v>500</v>
      </c>
      <c r="B638" s="38" t="s">
        <v>103</v>
      </c>
      <c r="C638" s="3" t="s">
        <v>115</v>
      </c>
      <c r="D638" s="3" t="s">
        <v>215</v>
      </c>
      <c r="E638" s="39">
        <v>45035</v>
      </c>
      <c r="F638" s="3" t="s">
        <v>186</v>
      </c>
      <c r="G638" s="3" t="s">
        <v>107</v>
      </c>
      <c r="H638" s="3">
        <v>2009</v>
      </c>
      <c r="I638" s="40" t="s">
        <v>108</v>
      </c>
      <c r="J638" s="39" t="s">
        <v>109</v>
      </c>
      <c r="K638" s="3">
        <v>169.9</v>
      </c>
      <c r="L638" s="3">
        <v>170</v>
      </c>
      <c r="M638" s="3"/>
      <c r="N638" s="3">
        <v>141.9</v>
      </c>
      <c r="O638" s="3">
        <v>141.80000000000001</v>
      </c>
      <c r="P638" s="3"/>
      <c r="Q638" s="3">
        <v>59.9</v>
      </c>
      <c r="R638" s="3"/>
      <c r="S638" s="3"/>
      <c r="T638" s="42">
        <v>169.95</v>
      </c>
      <c r="U638" s="42">
        <f>AVERAGE(paper3[[#This Row],[Sittende høyde 1]:[Sittende høyde 3]])-56.2</f>
        <v>85.65000000000002</v>
      </c>
      <c r="V638" s="12">
        <f>paper3[[#This Row],[height]]-paper3[[#This Row],[sittingheight]]</f>
        <v>84.299999999999969</v>
      </c>
      <c r="W638" s="73">
        <v>59.9</v>
      </c>
      <c r="X638" s="43" cm="1">
        <f t="array" ref="X638">INDEX([1]!phvny[yphv], MATCH(1, (paper3[[#This Row],[id]]=[1]!phvny[id])*(paper3[[#This Row],[time]]=[1]!phvny[time]), 0))</f>
        <v>2.175385699120993</v>
      </c>
      <c r="Y638" s="3">
        <v>2.09</v>
      </c>
      <c r="Z638" s="3">
        <v>3.62</v>
      </c>
      <c r="AA638" s="3">
        <v>5.18</v>
      </c>
      <c r="AB638" s="3">
        <v>2.06</v>
      </c>
      <c r="AC638" s="3">
        <v>3.57</v>
      </c>
      <c r="AD638" s="3">
        <v>5.03</v>
      </c>
      <c r="AE638" s="3">
        <v>2.1</v>
      </c>
      <c r="AF638" s="3">
        <v>3.63</v>
      </c>
      <c r="AG638" s="3">
        <v>5.14</v>
      </c>
      <c r="AH638" s="44">
        <v>2.06</v>
      </c>
      <c r="AI638" s="44">
        <v>3.57</v>
      </c>
      <c r="AJ638" s="44">
        <v>5.03</v>
      </c>
      <c r="AK638" s="45">
        <v>6.8493150684931488</v>
      </c>
      <c r="AL638" s="3">
        <v>11.8</v>
      </c>
      <c r="AM638" s="3">
        <v>11.61</v>
      </c>
      <c r="AN638" s="3"/>
      <c r="AO638" s="3">
        <v>11.92</v>
      </c>
      <c r="AP638" s="3">
        <v>11.61</v>
      </c>
      <c r="AQ638" s="47">
        <v>11.61</v>
      </c>
      <c r="AR638" s="47">
        <v>11.92</v>
      </c>
      <c r="AS638" s="3">
        <v>28.48</v>
      </c>
      <c r="AT638" s="3">
        <v>27.1</v>
      </c>
      <c r="AU638" s="3">
        <v>27.75</v>
      </c>
      <c r="AV638" s="3"/>
      <c r="AW638" s="3"/>
      <c r="AX638" s="48">
        <v>28.48</v>
      </c>
      <c r="AY638" s="71"/>
      <c r="AZ638" s="3">
        <v>11</v>
      </c>
      <c r="BA638" s="3"/>
      <c r="BB638" s="3">
        <v>12</v>
      </c>
      <c r="BC638" s="3">
        <v>267</v>
      </c>
      <c r="BD638" s="190"/>
      <c r="BE638" s="190"/>
      <c r="BF638" s="40"/>
      <c r="BG638" s="40">
        <v>335.51268705844154</v>
      </c>
      <c r="BH638" s="40">
        <v>352.40210832951681</v>
      </c>
      <c r="BI638" s="49"/>
      <c r="BJ638" s="49">
        <v>687.91479538795829</v>
      </c>
      <c r="BK638" s="66"/>
      <c r="BL638" s="66">
        <v>-4.792656136802298E-2</v>
      </c>
      <c r="BM638" s="51"/>
      <c r="BN638" s="51">
        <v>11.48438723519129</v>
      </c>
      <c r="BO638" s="52">
        <v>225</v>
      </c>
      <c r="BP638" s="40">
        <v>204</v>
      </c>
      <c r="BQ638" s="40">
        <v>225</v>
      </c>
      <c r="BR638" s="67">
        <v>-9.3333333333333379E-2</v>
      </c>
      <c r="BS638" s="54">
        <v>3.5809682804674456</v>
      </c>
      <c r="BT638" s="3">
        <v>116</v>
      </c>
      <c r="BU638" s="40">
        <v>116</v>
      </c>
      <c r="BV638" s="3">
        <v>123</v>
      </c>
      <c r="BW638" s="3">
        <v>121</v>
      </c>
      <c r="BX638" s="70">
        <v>0</v>
      </c>
      <c r="BY638" s="70">
        <v>1.6528925619834656E-2</v>
      </c>
      <c r="BZ638" s="59">
        <v>0.95867768595041325</v>
      </c>
      <c r="CA638" s="59">
        <v>0.94308943089430897</v>
      </c>
      <c r="CB638" s="59">
        <v>1.6325208681135217</v>
      </c>
      <c r="CC638" s="59">
        <v>1.7169616026711179</v>
      </c>
      <c r="CD638" s="60">
        <v>98</v>
      </c>
      <c r="CE638" s="60">
        <v>99</v>
      </c>
      <c r="CF638" s="61">
        <v>1.636060100166945</v>
      </c>
      <c r="CG638" s="61">
        <v>1.652754590984975</v>
      </c>
      <c r="CH638" s="61">
        <v>1.010204081632653</v>
      </c>
      <c r="CI638" s="41">
        <v>12.3</v>
      </c>
      <c r="CJ638" s="40">
        <f>VLOOKUP(paper3[[#This Row],[YYIR nivå]],$DB:$DC,2)</f>
        <v>280</v>
      </c>
      <c r="CK638" s="3"/>
      <c r="CL638" s="62"/>
      <c r="CM638" s="63" t="s">
        <v>110</v>
      </c>
      <c r="CN638" s="3">
        <v>116</v>
      </c>
      <c r="CO638" s="3">
        <v>123</v>
      </c>
      <c r="CP638" s="41">
        <v>14.208333333333334</v>
      </c>
      <c r="CQ638" s="3" t="s">
        <v>110</v>
      </c>
      <c r="CR638" s="40">
        <v>116</v>
      </c>
      <c r="CS638" s="40">
        <v>122</v>
      </c>
      <c r="CT638" s="40">
        <v>214.5</v>
      </c>
      <c r="CU638" s="40"/>
      <c r="CV638" s="40"/>
      <c r="CW638" s="40"/>
      <c r="CX638" s="40"/>
      <c r="CY638" s="40">
        <v>0</v>
      </c>
      <c r="CZ638" s="40"/>
      <c r="DA638" s="40"/>
    </row>
    <row r="639" spans="1:105" ht="18.75" customHeight="1">
      <c r="A639" s="3">
        <v>502</v>
      </c>
      <c r="B639" s="38" t="s">
        <v>103</v>
      </c>
      <c r="C639" s="3" t="s">
        <v>115</v>
      </c>
      <c r="D639" s="3" t="s">
        <v>215</v>
      </c>
      <c r="E639" s="39">
        <v>45035</v>
      </c>
      <c r="F639" s="3" t="s">
        <v>186</v>
      </c>
      <c r="G639" s="3" t="s">
        <v>107</v>
      </c>
      <c r="H639" s="3">
        <v>2009</v>
      </c>
      <c r="I639" s="40" t="s">
        <v>108</v>
      </c>
      <c r="J639" s="39" t="s">
        <v>109</v>
      </c>
      <c r="K639" s="3">
        <v>154.1</v>
      </c>
      <c r="L639" s="3">
        <v>154.1</v>
      </c>
      <c r="M639" s="3"/>
      <c r="N639" s="3">
        <v>133.69999999999999</v>
      </c>
      <c r="O639" s="3">
        <v>133.69999999999999</v>
      </c>
      <c r="P639" s="3"/>
      <c r="Q639" s="3">
        <v>45.8</v>
      </c>
      <c r="R639" s="3"/>
      <c r="S639" s="3"/>
      <c r="T639" s="42">
        <v>154.1</v>
      </c>
      <c r="U639" s="42">
        <f>AVERAGE(paper3[[#This Row],[Sittende høyde 1]:[Sittende høyde 3]])-56.2</f>
        <v>77.499999999999986</v>
      </c>
      <c r="V639" s="12">
        <f>paper3[[#This Row],[height]]-paper3[[#This Row],[sittingheight]]</f>
        <v>76.600000000000009</v>
      </c>
      <c r="W639" s="73">
        <v>45.8</v>
      </c>
      <c r="X639" s="43" cm="1">
        <f t="array" ref="X639">INDEX([1]!phvny[yphv], MATCH(1, (paper3[[#This Row],[id]]=[1]!phvny[id])*(paper3[[#This Row],[time]]=[1]!phvny[time]), 0))</f>
        <v>0.76069589113905023</v>
      </c>
      <c r="Y639" s="3">
        <v>2.14</v>
      </c>
      <c r="Z639" s="3">
        <v>3.73</v>
      </c>
      <c r="AA639" s="3">
        <v>5.29</v>
      </c>
      <c r="AB639" s="3">
        <v>2.13</v>
      </c>
      <c r="AC639" s="3">
        <v>3.73</v>
      </c>
      <c r="AD639" s="3">
        <v>5.31</v>
      </c>
      <c r="AE639" s="3">
        <v>2.19</v>
      </c>
      <c r="AF639" s="3">
        <v>3.8</v>
      </c>
      <c r="AG639" s="3">
        <v>5.45</v>
      </c>
      <c r="AH639" s="44">
        <v>2.13</v>
      </c>
      <c r="AI639" s="44">
        <v>3.73</v>
      </c>
      <c r="AJ639" s="44">
        <v>5.29</v>
      </c>
      <c r="AK639" s="45">
        <v>6.4102564102564097</v>
      </c>
      <c r="AL639" s="3">
        <v>12.4</v>
      </c>
      <c r="AM639" s="3">
        <v>11.49</v>
      </c>
      <c r="AN639" s="3">
        <v>12.08</v>
      </c>
      <c r="AO639" s="3">
        <v>11.58</v>
      </c>
      <c r="AP639" s="3">
        <v>11.49</v>
      </c>
      <c r="AQ639" s="47">
        <v>11.49</v>
      </c>
      <c r="AR639" s="47">
        <v>11.58</v>
      </c>
      <c r="AS639" s="3">
        <v>21.04</v>
      </c>
      <c r="AT639" s="3">
        <v>23.71</v>
      </c>
      <c r="AU639" s="3">
        <v>21.99</v>
      </c>
      <c r="AV639" s="3"/>
      <c r="AW639" s="3"/>
      <c r="AX639" s="48">
        <v>23.71</v>
      </c>
      <c r="AY639" s="71"/>
      <c r="AZ639" s="3">
        <v>9</v>
      </c>
      <c r="BA639" s="3">
        <v>230</v>
      </c>
      <c r="BB639" s="3" t="s">
        <v>242</v>
      </c>
      <c r="BC639" s="3"/>
      <c r="BD639" s="40"/>
      <c r="BE639" s="40"/>
      <c r="BF639" s="40"/>
      <c r="BG639" s="40"/>
      <c r="BH639" s="40"/>
      <c r="BI639" s="49"/>
      <c r="BJ639" s="49"/>
      <c r="BK639" s="66"/>
      <c r="BL639" s="66"/>
      <c r="BM639" s="51"/>
      <c r="BN639" s="51"/>
      <c r="BO639" s="52">
        <v>208</v>
      </c>
      <c r="BP639" s="40">
        <v>203</v>
      </c>
      <c r="BQ639" s="40">
        <v>208</v>
      </c>
      <c r="BR639" s="67">
        <v>-2.4038461538461564E-2</v>
      </c>
      <c r="BS639" s="54">
        <v>4.4868995633187776</v>
      </c>
      <c r="BT639" s="3">
        <v>146</v>
      </c>
      <c r="BU639" s="40">
        <v>123</v>
      </c>
      <c r="BV639" s="3">
        <v>83</v>
      </c>
      <c r="BW639" s="3">
        <v>97</v>
      </c>
      <c r="BX639" s="70">
        <v>0.18699186991869921</v>
      </c>
      <c r="BY639" s="70">
        <v>-0.14432989690721654</v>
      </c>
      <c r="BZ639" s="59">
        <v>1.268041237113402</v>
      </c>
      <c r="CA639" s="59">
        <v>1.7590361445783131</v>
      </c>
      <c r="CB639" s="59">
        <v>2.249497816593887</v>
      </c>
      <c r="CC639" s="59">
        <v>1.5052401746724895</v>
      </c>
      <c r="CD639" s="60">
        <v>65</v>
      </c>
      <c r="CE639" s="60">
        <v>54</v>
      </c>
      <c r="CF639" s="61">
        <v>1.4192139737991267</v>
      </c>
      <c r="CG639" s="61">
        <v>1.1790393013100438</v>
      </c>
      <c r="CH639" s="61">
        <v>0.83076923076923082</v>
      </c>
      <c r="CI639" s="74"/>
      <c r="CJ639" s="40"/>
      <c r="CK639" s="3"/>
      <c r="CL639" s="62"/>
      <c r="CM639" s="63" t="s">
        <v>110</v>
      </c>
      <c r="CN639" s="3">
        <v>146</v>
      </c>
      <c r="CO639" s="3">
        <v>97</v>
      </c>
      <c r="CP639" s="41">
        <v>13.480555555555556</v>
      </c>
      <c r="CQ639" s="3" t="s">
        <v>110</v>
      </c>
      <c r="CR639" s="40">
        <v>134.5</v>
      </c>
      <c r="CS639" s="40">
        <v>90</v>
      </c>
      <c r="CT639" s="40">
        <v>205.5</v>
      </c>
      <c r="CU639" s="40"/>
      <c r="CV639" s="40"/>
      <c r="CW639" s="40"/>
      <c r="CX639" s="40"/>
      <c r="CY639" s="40">
        <v>0</v>
      </c>
      <c r="CZ639" s="40"/>
      <c r="DA639" s="40"/>
    </row>
    <row r="640" spans="1:105" ht="18.75" customHeight="1">
      <c r="A640" s="3">
        <v>503</v>
      </c>
      <c r="B640" s="38" t="s">
        <v>103</v>
      </c>
      <c r="C640" s="3" t="s">
        <v>115</v>
      </c>
      <c r="D640" s="3" t="s">
        <v>215</v>
      </c>
      <c r="E640" s="39">
        <v>45035</v>
      </c>
      <c r="F640" s="3" t="s">
        <v>186</v>
      </c>
      <c r="G640" s="3" t="s">
        <v>107</v>
      </c>
      <c r="H640" s="3">
        <v>2009</v>
      </c>
      <c r="I640" s="40" t="s">
        <v>108</v>
      </c>
      <c r="J640" s="39" t="s">
        <v>109</v>
      </c>
      <c r="K640" s="3">
        <v>166</v>
      </c>
      <c r="L640" s="3">
        <v>165.9</v>
      </c>
      <c r="M640" s="3"/>
      <c r="N640" s="3">
        <v>142.4</v>
      </c>
      <c r="O640" s="3">
        <v>142.5</v>
      </c>
      <c r="P640" s="3"/>
      <c r="Q640" s="3">
        <v>49.3</v>
      </c>
      <c r="R640" s="3"/>
      <c r="S640" s="3"/>
      <c r="T640" s="42">
        <v>165.95</v>
      </c>
      <c r="U640" s="42">
        <f>AVERAGE(paper3[[#This Row],[Sittende høyde 1]:[Sittende høyde 3]])-56.2</f>
        <v>86.249999999999986</v>
      </c>
      <c r="V640" s="12">
        <f>paper3[[#This Row],[height]]-paper3[[#This Row],[sittingheight]]</f>
        <v>79.7</v>
      </c>
      <c r="W640" s="73">
        <v>49.3</v>
      </c>
      <c r="X640" s="43" cm="1">
        <f t="array" ref="X640">INDEX([1]!phvny[yphv], MATCH(1, (paper3[[#This Row],[id]]=[1]!phvny[id])*(paper3[[#This Row],[time]]=[1]!phvny[time]), 0))</f>
        <v>1.925061747885741</v>
      </c>
      <c r="Y640" s="3">
        <v>2.11</v>
      </c>
      <c r="Z640" s="3">
        <v>3.71</v>
      </c>
      <c r="AA640" s="3">
        <v>5.28</v>
      </c>
      <c r="AB640" s="3">
        <v>2.13</v>
      </c>
      <c r="AC640" s="3">
        <v>3.69</v>
      </c>
      <c r="AD640" s="3">
        <v>5.21</v>
      </c>
      <c r="AE640" s="3">
        <v>2.11</v>
      </c>
      <c r="AF640" s="3">
        <v>3.68</v>
      </c>
      <c r="AG640" s="3">
        <v>5.22</v>
      </c>
      <c r="AH640" s="44">
        <v>2.11</v>
      </c>
      <c r="AI640" s="44">
        <v>3.68</v>
      </c>
      <c r="AJ640" s="44">
        <v>5.21</v>
      </c>
      <c r="AK640" s="45">
        <v>6.5359477124183014</v>
      </c>
      <c r="AL640" s="3">
        <v>11.56</v>
      </c>
      <c r="AM640" s="3">
        <v>11.5</v>
      </c>
      <c r="AN640" s="3">
        <v>11.95</v>
      </c>
      <c r="AO640" s="3">
        <v>11.93</v>
      </c>
      <c r="AP640" s="3">
        <v>11.5</v>
      </c>
      <c r="AQ640" s="47">
        <v>11.5</v>
      </c>
      <c r="AR640" s="47">
        <v>11.93</v>
      </c>
      <c r="AS640" s="3">
        <v>18.989999999999998</v>
      </c>
      <c r="AT640" s="3">
        <v>21.27</v>
      </c>
      <c r="AU640" s="3">
        <v>23.43</v>
      </c>
      <c r="AV640" s="3">
        <v>23.36</v>
      </c>
      <c r="AW640" s="3"/>
      <c r="AX640" s="48">
        <v>23.43</v>
      </c>
      <c r="AY640" s="71"/>
      <c r="AZ640" s="3">
        <v>9</v>
      </c>
      <c r="BA640" s="3">
        <v>230</v>
      </c>
      <c r="BB640" s="3"/>
      <c r="BC640" s="3">
        <v>208</v>
      </c>
      <c r="BD640" s="40">
        <v>834.14797843168049</v>
      </c>
      <c r="BE640" s="40">
        <v>795.14531444735962</v>
      </c>
      <c r="BF640" s="40"/>
      <c r="BG640" s="40">
        <v>328.35129777898771</v>
      </c>
      <c r="BH640" s="40">
        <v>346.6335825337606</v>
      </c>
      <c r="BI640" s="49">
        <v>1629.2932928790401</v>
      </c>
      <c r="BJ640" s="49">
        <v>674.98488031274837</v>
      </c>
      <c r="BK640" s="66">
        <v>4.90509888892805E-2</v>
      </c>
      <c r="BL640" s="66">
        <v>-5.2742393339780591E-2</v>
      </c>
      <c r="BM640" s="51">
        <v>33.048545494503855</v>
      </c>
      <c r="BN640" s="51">
        <v>13.691376882611531</v>
      </c>
      <c r="BO640" s="52">
        <v>177</v>
      </c>
      <c r="BP640" s="40">
        <v>177</v>
      </c>
      <c r="BQ640" s="40">
        <v>157</v>
      </c>
      <c r="BR640" s="67">
        <v>0.12738853503184711</v>
      </c>
      <c r="BS640" s="54">
        <v>3.3874239350912783</v>
      </c>
      <c r="BT640" s="3">
        <v>121</v>
      </c>
      <c r="BU640" s="40">
        <v>127</v>
      </c>
      <c r="BV640" s="3">
        <v>75</v>
      </c>
      <c r="BW640" s="3">
        <v>74</v>
      </c>
      <c r="BX640" s="70">
        <v>-4.7244094488189003E-2</v>
      </c>
      <c r="BY640" s="70">
        <v>1.3513513513513598E-2</v>
      </c>
      <c r="BZ640" s="59">
        <v>1.7162162162162162</v>
      </c>
      <c r="CA640" s="59">
        <v>1.6133333333333333</v>
      </c>
      <c r="CB640" s="59">
        <v>2.0046247464503044</v>
      </c>
      <c r="CC640" s="59">
        <v>1.2043914807302232</v>
      </c>
      <c r="CD640" s="60">
        <v>53</v>
      </c>
      <c r="CE640" s="60">
        <v>53</v>
      </c>
      <c r="CF640" s="61">
        <v>1.0750507099391482</v>
      </c>
      <c r="CG640" s="61">
        <v>1.0750507099391482</v>
      </c>
      <c r="CH640" s="61">
        <v>1</v>
      </c>
      <c r="CI640" s="41">
        <v>14.1</v>
      </c>
      <c r="CJ640" s="40">
        <f>VLOOKUP(paper3[[#This Row],[YYIR nivå]],$DB:$DC,2)</f>
        <v>480</v>
      </c>
      <c r="CK640" s="3"/>
      <c r="CL640" s="62"/>
      <c r="CM640" s="63" t="s">
        <v>110</v>
      </c>
      <c r="CN640" s="3">
        <v>127</v>
      </c>
      <c r="CO640" s="3">
        <v>75</v>
      </c>
      <c r="CP640" s="41">
        <v>14.088888888888889</v>
      </c>
      <c r="CQ640" s="3" t="s">
        <v>110</v>
      </c>
      <c r="CR640" s="40">
        <v>124</v>
      </c>
      <c r="CS640" s="40">
        <v>74.5</v>
      </c>
      <c r="CT640" s="40">
        <v>167</v>
      </c>
      <c r="CU640" s="40"/>
      <c r="CV640" s="40"/>
      <c r="CW640" s="40"/>
      <c r="CX640" s="40"/>
      <c r="CY640" s="40">
        <v>0</v>
      </c>
      <c r="CZ640" s="40"/>
      <c r="DA640" s="40"/>
    </row>
    <row r="641" spans="1:105" ht="18.75" customHeight="1">
      <c r="A641" s="3">
        <v>504</v>
      </c>
      <c r="B641" s="38" t="s">
        <v>103</v>
      </c>
      <c r="C641" s="3" t="s">
        <v>115</v>
      </c>
      <c r="D641" s="3" t="s">
        <v>215</v>
      </c>
      <c r="E641" s="39">
        <v>45035</v>
      </c>
      <c r="F641" s="3" t="s">
        <v>186</v>
      </c>
      <c r="G641" s="3" t="s">
        <v>107</v>
      </c>
      <c r="H641" s="3">
        <v>2009</v>
      </c>
      <c r="I641" s="40" t="s">
        <v>108</v>
      </c>
      <c r="J641" s="39" t="s">
        <v>109</v>
      </c>
      <c r="K641" s="3">
        <v>170.8</v>
      </c>
      <c r="L641" s="3">
        <v>170.7</v>
      </c>
      <c r="M641" s="3"/>
      <c r="N641" s="3">
        <v>144.1</v>
      </c>
      <c r="O641" s="3">
        <v>143.9</v>
      </c>
      <c r="P641" s="3"/>
      <c r="Q641" s="3">
        <v>58.5</v>
      </c>
      <c r="R641" s="3"/>
      <c r="S641" s="3"/>
      <c r="T641" s="42">
        <v>170.75</v>
      </c>
      <c r="U641" s="42">
        <f>AVERAGE(paper3[[#This Row],[Sittende høyde 1]:[Sittende høyde 3]])-56.2</f>
        <v>87.8</v>
      </c>
      <c r="V641" s="12">
        <f>paper3[[#This Row],[height]]-paper3[[#This Row],[sittingheight]]</f>
        <v>82.95</v>
      </c>
      <c r="W641" s="73">
        <v>58.5</v>
      </c>
      <c r="X641" s="43" cm="1">
        <f t="array" ref="X641">INDEX([1]!phvny[yphv], MATCH(1, (paper3[[#This Row],[id]]=[1]!phvny[id])*(paper3[[#This Row],[time]]=[1]!phvny[time]), 0))</f>
        <v>2.173051322214739</v>
      </c>
      <c r="Y641" s="3">
        <v>2.11</v>
      </c>
      <c r="Z641" s="3">
        <v>3.59</v>
      </c>
      <c r="AA641" s="3">
        <v>5.03</v>
      </c>
      <c r="AB641" s="3">
        <v>2.0499999999999998</v>
      </c>
      <c r="AC641" s="3">
        <v>3.55</v>
      </c>
      <c r="AD641" s="3">
        <v>4.97</v>
      </c>
      <c r="AE641" s="3">
        <v>2.1</v>
      </c>
      <c r="AF641" s="3">
        <v>3.58</v>
      </c>
      <c r="AG641" s="3">
        <v>5.0199999999999996</v>
      </c>
      <c r="AH641" s="44">
        <v>2.0499999999999998</v>
      </c>
      <c r="AI641" s="44">
        <v>3.55</v>
      </c>
      <c r="AJ641" s="44">
        <v>4.97</v>
      </c>
      <c r="AK641" s="45">
        <v>7.042253521126761</v>
      </c>
      <c r="AL641" s="3">
        <v>11.43</v>
      </c>
      <c r="AM641" s="3">
        <v>11.34</v>
      </c>
      <c r="AN641" s="3">
        <v>11.55</v>
      </c>
      <c r="AO641" s="3">
        <v>11.42</v>
      </c>
      <c r="AP641" s="3">
        <v>11.34</v>
      </c>
      <c r="AQ641" s="47">
        <v>11.34</v>
      </c>
      <c r="AR641" s="47">
        <v>11.42</v>
      </c>
      <c r="AS641" s="3">
        <v>26.26</v>
      </c>
      <c r="AT641" s="3">
        <v>25.53</v>
      </c>
      <c r="AU641" s="3">
        <v>26.69</v>
      </c>
      <c r="AV641" s="3">
        <v>27.28</v>
      </c>
      <c r="AW641" s="3">
        <v>26.16</v>
      </c>
      <c r="AX641" s="48">
        <v>27.28</v>
      </c>
      <c r="AY641" s="71"/>
      <c r="AZ641" s="3">
        <v>10</v>
      </c>
      <c r="BA641" s="3">
        <v>200</v>
      </c>
      <c r="BB641" s="3"/>
      <c r="BC641" s="3">
        <v>218</v>
      </c>
      <c r="BD641" s="40">
        <v>805.7487736872481</v>
      </c>
      <c r="BE641" s="40">
        <v>818.01877877624611</v>
      </c>
      <c r="BF641" s="40"/>
      <c r="BG641" s="40">
        <v>369.86675600729359</v>
      </c>
      <c r="BH641" s="40">
        <v>367.76562452653428</v>
      </c>
      <c r="BI641" s="49">
        <v>1623.7675524634942</v>
      </c>
      <c r="BJ641" s="49">
        <v>737.63238053382793</v>
      </c>
      <c r="BK641" s="66">
        <v>-1.4999661874943615E-2</v>
      </c>
      <c r="BL641" s="66">
        <v>5.7132351166977458E-3</v>
      </c>
      <c r="BM641" s="51">
        <v>27.75671029852127</v>
      </c>
      <c r="BN641" s="51">
        <v>12.609100521945777</v>
      </c>
      <c r="BO641" s="52">
        <v>279</v>
      </c>
      <c r="BP641" s="40">
        <v>279</v>
      </c>
      <c r="BQ641" s="40">
        <v>273</v>
      </c>
      <c r="BR641" s="67">
        <v>2.19780219780219E-2</v>
      </c>
      <c r="BS641" s="54">
        <v>4.7179487179487181</v>
      </c>
      <c r="BT641" s="3">
        <v>149</v>
      </c>
      <c r="BU641" s="40">
        <v>145</v>
      </c>
      <c r="BV641" s="3">
        <v>105</v>
      </c>
      <c r="BW641" s="3">
        <v>110</v>
      </c>
      <c r="BX641" s="70">
        <v>2.7586206896551779E-2</v>
      </c>
      <c r="BY641" s="70">
        <v>-4.5454545454545414E-2</v>
      </c>
      <c r="BZ641" s="59">
        <v>1.3181818181818181</v>
      </c>
      <c r="CA641" s="59">
        <v>1.4190476190476191</v>
      </c>
      <c r="CB641" s="59">
        <v>2.0843846153846153</v>
      </c>
      <c r="CC641" s="59">
        <v>1.5242948717948719</v>
      </c>
      <c r="CD641" s="60">
        <v>81</v>
      </c>
      <c r="CE641" s="60">
        <v>87</v>
      </c>
      <c r="CF641" s="61">
        <v>1.3846153846153846</v>
      </c>
      <c r="CG641" s="61">
        <v>1.4871794871794872</v>
      </c>
      <c r="CH641" s="61">
        <v>1.0740740740740742</v>
      </c>
      <c r="CI641" s="41">
        <v>13.2</v>
      </c>
      <c r="CJ641" s="40">
        <f>VLOOKUP(paper3[[#This Row],[YYIR nivå]],$DB:$DC,2)</f>
        <v>360</v>
      </c>
      <c r="CK641" s="3"/>
      <c r="CL641" s="62"/>
      <c r="CM641" s="63" t="s">
        <v>110</v>
      </c>
      <c r="CN641" s="3">
        <v>149</v>
      </c>
      <c r="CO641" s="3">
        <v>110</v>
      </c>
      <c r="CP641" s="41">
        <v>13.972222222222221</v>
      </c>
      <c r="CQ641" s="3" t="s">
        <v>110</v>
      </c>
      <c r="CR641" s="40">
        <v>147</v>
      </c>
      <c r="CS641" s="40">
        <v>107.5</v>
      </c>
      <c r="CT641" s="40">
        <v>276</v>
      </c>
      <c r="CU641" s="40"/>
      <c r="CV641" s="40"/>
      <c r="CW641" s="40"/>
      <c r="CX641" s="40"/>
      <c r="CY641" s="40">
        <v>0</v>
      </c>
      <c r="CZ641" s="40"/>
      <c r="DA641" s="40"/>
    </row>
    <row r="642" spans="1:105" ht="18.75" customHeight="1">
      <c r="A642" s="3">
        <v>505</v>
      </c>
      <c r="B642" s="38" t="s">
        <v>103</v>
      </c>
      <c r="C642" s="3" t="s">
        <v>115</v>
      </c>
      <c r="D642" s="3" t="s">
        <v>215</v>
      </c>
      <c r="E642" s="39">
        <v>45035</v>
      </c>
      <c r="F642" s="3" t="s">
        <v>186</v>
      </c>
      <c r="G642" s="3" t="s">
        <v>107</v>
      </c>
      <c r="H642" s="3">
        <v>2009</v>
      </c>
      <c r="I642" s="40" t="s">
        <v>108</v>
      </c>
      <c r="J642" s="39" t="s">
        <v>109</v>
      </c>
      <c r="K642" s="3">
        <v>161.9</v>
      </c>
      <c r="L642" s="3">
        <v>161.9</v>
      </c>
      <c r="M642" s="3"/>
      <c r="N642" s="3">
        <v>141</v>
      </c>
      <c r="O642" s="3">
        <v>140.9</v>
      </c>
      <c r="P642" s="3"/>
      <c r="Q642" s="3">
        <v>58.5</v>
      </c>
      <c r="R642" s="3"/>
      <c r="S642" s="3"/>
      <c r="T642" s="42">
        <v>161.9</v>
      </c>
      <c r="U642" s="42">
        <f>AVERAGE(paper3[[#This Row],[Sittende høyde 1]:[Sittende høyde 3]])-56.2</f>
        <v>84.749999999999986</v>
      </c>
      <c r="V642" s="12">
        <f>paper3[[#This Row],[height]]-paper3[[#This Row],[sittingheight]]</f>
        <v>77.15000000000002</v>
      </c>
      <c r="W642" s="73">
        <v>58.5</v>
      </c>
      <c r="X642" s="43" cm="1">
        <f t="array" ref="X642">INDEX([1]!phvny[yphv], MATCH(1, (paper3[[#This Row],[id]]=[1]!phvny[id])*(paper3[[#This Row],[time]]=[1]!phvny[time]), 0))</f>
        <v>1.896920712820326</v>
      </c>
      <c r="Y642" s="3">
        <v>2.12</v>
      </c>
      <c r="Z642" s="3">
        <v>3.55</v>
      </c>
      <c r="AA642" s="3">
        <v>4.91</v>
      </c>
      <c r="AB642" s="3">
        <v>2.1</v>
      </c>
      <c r="AC642" s="3">
        <v>3.54</v>
      </c>
      <c r="AD642" s="3">
        <v>4.92</v>
      </c>
      <c r="AE642" s="3">
        <v>2.08</v>
      </c>
      <c r="AF642" s="3">
        <v>3.52</v>
      </c>
      <c r="AG642" s="3">
        <v>4.91</v>
      </c>
      <c r="AH642" s="44">
        <v>2.08</v>
      </c>
      <c r="AI642" s="44">
        <v>3.52</v>
      </c>
      <c r="AJ642" s="44">
        <v>4.91</v>
      </c>
      <c r="AK642" s="45">
        <v>7.1942446043165464</v>
      </c>
      <c r="AL642" s="3">
        <v>11.17</v>
      </c>
      <c r="AM642" s="3">
        <v>10.88</v>
      </c>
      <c r="AN642" s="3">
        <v>11.42</v>
      </c>
      <c r="AO642" s="3">
        <v>11.28</v>
      </c>
      <c r="AP642" s="3">
        <v>10.88</v>
      </c>
      <c r="AQ642" s="47">
        <v>10.88</v>
      </c>
      <c r="AR642" s="47">
        <v>11.28</v>
      </c>
      <c r="AS642" s="3">
        <v>25.38</v>
      </c>
      <c r="AT642" s="3">
        <v>23.81</v>
      </c>
      <c r="AU642" s="3">
        <v>28.41</v>
      </c>
      <c r="AV642" s="3">
        <v>26.37</v>
      </c>
      <c r="AW642" s="3"/>
      <c r="AX642" s="48">
        <v>28.41</v>
      </c>
      <c r="AY642" s="71"/>
      <c r="AZ642" s="3">
        <v>10</v>
      </c>
      <c r="BA642" s="3">
        <v>275</v>
      </c>
      <c r="BB642" s="3"/>
      <c r="BC642" s="3">
        <v>274</v>
      </c>
      <c r="BD642" s="40">
        <v>919.39186021461762</v>
      </c>
      <c r="BE642" s="40">
        <v>964.67420981013629</v>
      </c>
      <c r="BF642" s="40"/>
      <c r="BG642" s="40">
        <v>233.71687947483957</v>
      </c>
      <c r="BH642" s="40">
        <v>278.35206647301476</v>
      </c>
      <c r="BI642" s="49">
        <v>1884.066070024754</v>
      </c>
      <c r="BJ642" s="49">
        <v>512.06894594785433</v>
      </c>
      <c r="BK642" s="66">
        <v>-4.6940562041594358E-2</v>
      </c>
      <c r="BL642" s="66">
        <v>-0.16035514865668299</v>
      </c>
      <c r="BM642" s="51">
        <v>32.206257607260753</v>
      </c>
      <c r="BN642" s="51">
        <v>8.7533153153479368</v>
      </c>
      <c r="BO642" s="52">
        <v>251</v>
      </c>
      <c r="BP642" s="40">
        <v>251</v>
      </c>
      <c r="BQ642" s="40">
        <v>201</v>
      </c>
      <c r="BR642" s="67">
        <v>0.24875621890547261</v>
      </c>
      <c r="BS642" s="54">
        <v>3.8632478632478633</v>
      </c>
      <c r="BT642" s="3">
        <v>108</v>
      </c>
      <c r="BU642" s="40">
        <v>109</v>
      </c>
      <c r="BV642" s="3">
        <v>110</v>
      </c>
      <c r="BW642" s="3">
        <v>105</v>
      </c>
      <c r="BX642" s="70">
        <v>-9.1743119266054496E-3</v>
      </c>
      <c r="BY642" s="70">
        <v>4.7619047619047672E-2</v>
      </c>
      <c r="BZ642" s="59">
        <v>1.0380952380952382</v>
      </c>
      <c r="CA642" s="59">
        <v>0.98181818181818181</v>
      </c>
      <c r="CB642" s="59">
        <v>1.4309017094017098</v>
      </c>
      <c r="CC642" s="59">
        <v>1.4177136752136754</v>
      </c>
      <c r="CD642" s="60">
        <v>94</v>
      </c>
      <c r="CE642" s="60">
        <v>76</v>
      </c>
      <c r="CF642" s="61">
        <v>1.6068376068376069</v>
      </c>
      <c r="CG642" s="61">
        <v>1.2991452991452992</v>
      </c>
      <c r="CH642" s="61">
        <v>0.80851063829787229</v>
      </c>
      <c r="CI642" s="41">
        <v>12.1</v>
      </c>
      <c r="CJ642" s="40">
        <f>VLOOKUP(paper3[[#This Row],[YYIR nivå]],$DB:$DC,2)</f>
        <v>200</v>
      </c>
      <c r="CK642" s="3"/>
      <c r="CL642" s="62"/>
      <c r="CM642" s="63" t="s">
        <v>110</v>
      </c>
      <c r="CN642" s="3">
        <v>109</v>
      </c>
      <c r="CO642" s="3">
        <v>110</v>
      </c>
      <c r="CP642" s="41">
        <v>14.261111111111111</v>
      </c>
      <c r="CQ642" s="3" t="s">
        <v>110</v>
      </c>
      <c r="CR642" s="40">
        <v>108.5</v>
      </c>
      <c r="CS642" s="40">
        <v>107.5</v>
      </c>
      <c r="CT642" s="40">
        <v>226</v>
      </c>
      <c r="CU642" s="40"/>
      <c r="CV642" s="40"/>
      <c r="CW642" s="40"/>
      <c r="CX642" s="40"/>
      <c r="CY642" s="40">
        <v>0</v>
      </c>
      <c r="CZ642" s="40"/>
      <c r="DA642" s="40"/>
    </row>
    <row r="643" spans="1:105" ht="18.95" customHeight="1">
      <c r="A643" s="2">
        <v>511</v>
      </c>
      <c r="B643" s="38" t="s">
        <v>103</v>
      </c>
      <c r="C643" s="3" t="s">
        <v>115</v>
      </c>
      <c r="D643" s="3" t="s">
        <v>215</v>
      </c>
      <c r="E643" s="39">
        <v>45027</v>
      </c>
      <c r="F643" s="3" t="s">
        <v>186</v>
      </c>
      <c r="G643" s="3" t="s">
        <v>122</v>
      </c>
      <c r="H643" s="3">
        <v>2009</v>
      </c>
      <c r="I643" s="40" t="s">
        <v>108</v>
      </c>
      <c r="J643" s="39" t="s">
        <v>123</v>
      </c>
      <c r="K643" s="3">
        <v>169.1</v>
      </c>
      <c r="L643" s="3">
        <v>169.6</v>
      </c>
      <c r="M643" s="3">
        <v>169.4</v>
      </c>
      <c r="N643" s="3">
        <v>139</v>
      </c>
      <c r="O643" s="3">
        <v>139</v>
      </c>
      <c r="P643" s="3"/>
      <c r="Q643" s="3">
        <v>52</v>
      </c>
      <c r="R643" s="3"/>
      <c r="S643" s="3"/>
      <c r="T643" s="42">
        <v>169.36666666666667</v>
      </c>
      <c r="U643" s="42">
        <f>AVERAGE(paper3[[#This Row],[Sittende høyde 1]:[Sittende høyde 3]])-56.2</f>
        <v>82.8</v>
      </c>
      <c r="V643" s="12">
        <f>paper3[[#This Row],[height]]-paper3[[#This Row],[sittingheight]]</f>
        <v>86.566666666666677</v>
      </c>
      <c r="W643" s="73">
        <v>52</v>
      </c>
      <c r="X643" s="43" cm="1">
        <f t="array" ref="X643">INDEX([1]!phvny[yphv], MATCH(1, (paper3[[#This Row],[id]]=[1]!phvny[id])*(paper3[[#This Row],[time]]=[1]!phvny[time]), 0))</f>
        <v>-0.28728780539014609</v>
      </c>
      <c r="Y643" s="3">
        <v>1.9</v>
      </c>
      <c r="Z643" s="3">
        <v>3.28</v>
      </c>
      <c r="AA643" s="3">
        <v>4.72</v>
      </c>
      <c r="AB643" s="3">
        <v>1.93</v>
      </c>
      <c r="AC643" s="3">
        <v>3.36</v>
      </c>
      <c r="AD643" s="3">
        <v>4.79</v>
      </c>
      <c r="AE643" s="3">
        <v>1.89</v>
      </c>
      <c r="AF643" s="3">
        <v>3.31</v>
      </c>
      <c r="AG643" s="3">
        <v>4.7300000000000004</v>
      </c>
      <c r="AH643" s="44">
        <v>1.89</v>
      </c>
      <c r="AI643" s="44">
        <v>3.28</v>
      </c>
      <c r="AJ643" s="44">
        <v>4.72</v>
      </c>
      <c r="AK643" s="45">
        <v>6.9444444444444446</v>
      </c>
      <c r="AL643" s="3">
        <v>10.119999999999999</v>
      </c>
      <c r="AM643" s="3">
        <v>9.74</v>
      </c>
      <c r="AN643" s="3"/>
      <c r="AO643" s="3">
        <v>9.77</v>
      </c>
      <c r="AP643" s="3">
        <v>9.74</v>
      </c>
      <c r="AQ643" s="47">
        <v>9.74</v>
      </c>
      <c r="AR643" s="47">
        <v>9.77</v>
      </c>
      <c r="AS643" s="3">
        <v>32.549999999999997</v>
      </c>
      <c r="AT643" s="3">
        <v>35.31</v>
      </c>
      <c r="AU643" s="3">
        <v>34.26</v>
      </c>
      <c r="AV643" s="3"/>
      <c r="AW643" s="3"/>
      <c r="AX643" s="48">
        <v>35.31</v>
      </c>
      <c r="AY643" s="71"/>
      <c r="AZ643" s="3">
        <v>10</v>
      </c>
      <c r="BA643" s="3">
        <v>250</v>
      </c>
      <c r="BB643" s="3">
        <v>11</v>
      </c>
      <c r="BC643" s="3">
        <v>296</v>
      </c>
      <c r="BD643" s="40">
        <v>1129.2618379505266</v>
      </c>
      <c r="BE643" s="40">
        <v>1101.9162532126602</v>
      </c>
      <c r="BF643" s="40"/>
      <c r="BG643" s="40">
        <v>474.70937978148299</v>
      </c>
      <c r="BH643" s="40">
        <v>465.46997205185323</v>
      </c>
      <c r="BI643" s="49">
        <v>2231.1780911631868</v>
      </c>
      <c r="BJ643" s="49">
        <v>940.17935183333623</v>
      </c>
      <c r="BK643" s="66">
        <v>2.4816391135115579E-2</v>
      </c>
      <c r="BL643" s="66">
        <v>1.9849632166176523E-2</v>
      </c>
      <c r="BM643" s="51">
        <v>42.907270983907438</v>
      </c>
      <c r="BN643" s="51">
        <v>18.080372150641082</v>
      </c>
      <c r="BO643" s="52">
        <v>267</v>
      </c>
      <c r="BP643" s="40">
        <v>262</v>
      </c>
      <c r="BQ643" s="40">
        <v>267</v>
      </c>
      <c r="BR643" s="67">
        <v>-1.8726591760299671E-2</v>
      </c>
      <c r="BS643" s="54">
        <v>5.0865384615384617</v>
      </c>
      <c r="BT643" s="3">
        <v>138</v>
      </c>
      <c r="BU643" s="40">
        <v>128</v>
      </c>
      <c r="BV643" s="3">
        <v>126</v>
      </c>
      <c r="BW643" s="3">
        <v>133</v>
      </c>
      <c r="BX643" s="70">
        <v>7.8125E-2</v>
      </c>
      <c r="BY643" s="70">
        <v>-5.2631578947368474E-2</v>
      </c>
      <c r="BZ643" s="59">
        <v>0.96240601503759393</v>
      </c>
      <c r="CA643" s="59">
        <v>1.0952380952380953</v>
      </c>
      <c r="CB643" s="59">
        <v>2.2141089743589748</v>
      </c>
      <c r="CC643" s="59">
        <v>2.1558429487179493</v>
      </c>
      <c r="CD643" s="72"/>
      <c r="CE643" s="60"/>
      <c r="CF643" s="61"/>
      <c r="CG643" s="61"/>
      <c r="CH643" s="61"/>
      <c r="CI643" s="41">
        <v>15.4</v>
      </c>
      <c r="CJ643" s="40">
        <f>VLOOKUP(paper3[[#This Row],[YYIR nivå]],$DB:$DC,2)</f>
        <v>920</v>
      </c>
      <c r="CK643" s="3" t="s">
        <v>193</v>
      </c>
      <c r="CL643" s="62"/>
      <c r="CM643" s="63" t="s">
        <v>110</v>
      </c>
      <c r="CN643" s="3">
        <v>138</v>
      </c>
      <c r="CO643" s="3">
        <v>133</v>
      </c>
      <c r="CP643" s="41">
        <v>13.9</v>
      </c>
      <c r="CQ643" s="3" t="s">
        <v>110</v>
      </c>
      <c r="CR643" s="40">
        <v>133</v>
      </c>
      <c r="CS643" s="40">
        <v>129.5</v>
      </c>
      <c r="CT643" s="40">
        <v>264.5</v>
      </c>
      <c r="CU643" s="40"/>
      <c r="CV643" s="40"/>
      <c r="CW643" s="40"/>
      <c r="CX643" s="40"/>
      <c r="CY643" s="40">
        <v>0</v>
      </c>
      <c r="CZ643" s="40"/>
      <c r="DA643" s="40"/>
    </row>
    <row r="644" spans="1:105" ht="18.95" customHeight="1">
      <c r="A644" s="2">
        <v>513</v>
      </c>
      <c r="B644" s="38" t="s">
        <v>103</v>
      </c>
      <c r="C644" s="3" t="s">
        <v>115</v>
      </c>
      <c r="D644" s="3" t="s">
        <v>215</v>
      </c>
      <c r="E644" s="39">
        <v>45027</v>
      </c>
      <c r="F644" s="3" t="s">
        <v>186</v>
      </c>
      <c r="G644" s="3" t="s">
        <v>122</v>
      </c>
      <c r="H644" s="3">
        <v>2009</v>
      </c>
      <c r="I644" s="40" t="s">
        <v>108</v>
      </c>
      <c r="J644" s="39" t="s">
        <v>123</v>
      </c>
      <c r="K644" s="3">
        <v>179.4</v>
      </c>
      <c r="L644" s="3">
        <v>179</v>
      </c>
      <c r="M644" s="3">
        <v>179</v>
      </c>
      <c r="N644" s="3">
        <v>141.80000000000001</v>
      </c>
      <c r="O644" s="3">
        <v>141.80000000000001</v>
      </c>
      <c r="P644" s="3"/>
      <c r="Q644" s="3">
        <v>63.6</v>
      </c>
      <c r="R644" s="3"/>
      <c r="S644" s="3"/>
      <c r="T644" s="42">
        <v>179.13333333333333</v>
      </c>
      <c r="U644" s="42">
        <f>AVERAGE(paper3[[#This Row],[Sittende høyde 1]:[Sittende høyde 3]])-56.2</f>
        <v>85.600000000000009</v>
      </c>
      <c r="V644" s="12">
        <f>paper3[[#This Row],[height]]-paper3[[#This Row],[sittingheight]]</f>
        <v>93.533333333333317</v>
      </c>
      <c r="W644" s="73">
        <v>63.6</v>
      </c>
      <c r="X644" s="43" cm="1">
        <f t="array" ref="X644">INDEX([1]!phvny[yphv], MATCH(1, (paper3[[#This Row],[id]]=[1]!phvny[id])*(paper3[[#This Row],[time]]=[1]!phvny[time]), 0))</f>
        <v>0.16456769423292017</v>
      </c>
      <c r="Y644" s="3">
        <v>1.97</v>
      </c>
      <c r="Z644" s="3">
        <v>3.43</v>
      </c>
      <c r="AA644" s="3">
        <v>4.8600000000000003</v>
      </c>
      <c r="AB644" s="3">
        <v>1.95</v>
      </c>
      <c r="AC644" s="3">
        <v>3.41</v>
      </c>
      <c r="AD644" s="3">
        <v>4.8099999999999996</v>
      </c>
      <c r="AE644" s="3">
        <v>1.99</v>
      </c>
      <c r="AF644" s="3"/>
      <c r="AG644" s="3"/>
      <c r="AH644" s="44">
        <v>1.95</v>
      </c>
      <c r="AI644" s="44">
        <v>3.41</v>
      </c>
      <c r="AJ644" s="44">
        <v>4.8099999999999996</v>
      </c>
      <c r="AK644" s="45">
        <v>7.1428571428571459</v>
      </c>
      <c r="AL644" s="3">
        <v>10.79</v>
      </c>
      <c r="AM644" s="3">
        <v>10.42</v>
      </c>
      <c r="AN644" s="3">
        <v>10.98</v>
      </c>
      <c r="AO644" s="3">
        <v>10.52</v>
      </c>
      <c r="AP644" s="3">
        <v>10.42</v>
      </c>
      <c r="AQ644" s="47">
        <v>10.42</v>
      </c>
      <c r="AR644" s="47">
        <v>10.52</v>
      </c>
      <c r="AS644" s="3">
        <v>25.63</v>
      </c>
      <c r="AT644" s="3">
        <v>26.23</v>
      </c>
      <c r="AU644" s="3">
        <v>25.6</v>
      </c>
      <c r="AV644" s="3"/>
      <c r="AW644" s="3"/>
      <c r="AX644" s="48">
        <v>26.23</v>
      </c>
      <c r="AY644" s="71"/>
      <c r="AZ644" s="3">
        <v>11</v>
      </c>
      <c r="BA644" s="3">
        <v>200</v>
      </c>
      <c r="BB644" s="3">
        <v>10</v>
      </c>
      <c r="BC644" s="3">
        <v>218</v>
      </c>
      <c r="BD644" s="40">
        <v>921.36677289068859</v>
      </c>
      <c r="BE644" s="40">
        <v>899.66153304575914</v>
      </c>
      <c r="BF644" s="40"/>
      <c r="BG644" s="40">
        <v>434.43011496598183</v>
      </c>
      <c r="BH644" s="40">
        <v>430.07901963761594</v>
      </c>
      <c r="BI644" s="49">
        <v>1821.0283059364479</v>
      </c>
      <c r="BJ644" s="49">
        <v>864.50913460359777</v>
      </c>
      <c r="BK644" s="66">
        <v>2.4126006334234784E-2</v>
      </c>
      <c r="BL644" s="66">
        <v>1.0116967184384151E-2</v>
      </c>
      <c r="BM644" s="51">
        <v>28.632520533591947</v>
      </c>
      <c r="BN644" s="51">
        <v>13.592910921440216</v>
      </c>
      <c r="BO644" s="52">
        <v>312</v>
      </c>
      <c r="BP644" s="40">
        <v>312</v>
      </c>
      <c r="BQ644" s="40">
        <v>236</v>
      </c>
      <c r="BR644" s="67">
        <v>0.32203389830508478</v>
      </c>
      <c r="BS644" s="54">
        <v>4.3081761006289305</v>
      </c>
      <c r="BT644" s="3">
        <v>139</v>
      </c>
      <c r="BU644" s="40">
        <v>148</v>
      </c>
      <c r="BV644" s="3">
        <v>127</v>
      </c>
      <c r="BW644" s="3">
        <v>134</v>
      </c>
      <c r="BX644" s="70">
        <v>-6.0810810810810856E-2</v>
      </c>
      <c r="BY644" s="70">
        <v>-5.2238805970149294E-2</v>
      </c>
      <c r="BZ644" s="59">
        <v>1.1044776119402986</v>
      </c>
      <c r="CA644" s="59">
        <v>1.094488188976378</v>
      </c>
      <c r="CB644" s="59">
        <v>2.1103825995807126</v>
      </c>
      <c r="CC644" s="59">
        <v>1.9191981132075469</v>
      </c>
      <c r="CD644" s="60"/>
      <c r="CE644" s="60"/>
      <c r="CF644" s="61"/>
      <c r="CG644" s="61"/>
      <c r="CH644" s="61"/>
      <c r="CI644" s="41">
        <v>14.3</v>
      </c>
      <c r="CJ644" s="40">
        <f>VLOOKUP(paper3[[#This Row],[YYIR nivå]],$DB:$DC,2)</f>
        <v>560</v>
      </c>
      <c r="CK644" s="3"/>
      <c r="CL644" s="62"/>
      <c r="CM644" s="63" t="s">
        <v>110</v>
      </c>
      <c r="CN644" s="3">
        <v>148</v>
      </c>
      <c r="CO644" s="3">
        <v>134</v>
      </c>
      <c r="CP644" s="41">
        <v>13.888888888888889</v>
      </c>
      <c r="CQ644" s="3" t="s">
        <v>110</v>
      </c>
      <c r="CR644" s="40">
        <v>143.5</v>
      </c>
      <c r="CS644" s="40">
        <v>130.5</v>
      </c>
      <c r="CT644" s="40">
        <v>274</v>
      </c>
      <c r="CU644" s="40"/>
      <c r="CV644" s="40"/>
      <c r="CW644" s="40"/>
      <c r="CX644" s="40"/>
      <c r="CY644" s="40">
        <v>0</v>
      </c>
      <c r="CZ644" s="40"/>
      <c r="DA644" s="40"/>
    </row>
    <row r="645" spans="1:105" ht="18.75">
      <c r="A645" s="2">
        <v>515</v>
      </c>
      <c r="B645" s="38" t="s">
        <v>103</v>
      </c>
      <c r="C645" s="3" t="s">
        <v>115</v>
      </c>
      <c r="D645" s="3" t="s">
        <v>215</v>
      </c>
      <c r="E645" s="39">
        <v>45027</v>
      </c>
      <c r="F645" s="3" t="s">
        <v>186</v>
      </c>
      <c r="G645" s="3" t="s">
        <v>122</v>
      </c>
      <c r="H645" s="3">
        <v>2009</v>
      </c>
      <c r="I645" s="40" t="s">
        <v>108</v>
      </c>
      <c r="J645" s="39" t="s">
        <v>123</v>
      </c>
      <c r="K645" s="3">
        <v>165.1</v>
      </c>
      <c r="L645" s="3">
        <v>165.1</v>
      </c>
      <c r="M645" s="3"/>
      <c r="N645" s="3">
        <v>137.5</v>
      </c>
      <c r="O645" s="3">
        <v>137.5</v>
      </c>
      <c r="P645" s="3"/>
      <c r="Q645" s="3">
        <v>44.7</v>
      </c>
      <c r="R645" s="3"/>
      <c r="S645" s="3"/>
      <c r="T645" s="42">
        <v>165.1</v>
      </c>
      <c r="U645" s="42">
        <f>AVERAGE(paper3[[#This Row],[Sittende høyde 1]:[Sittende høyde 3]])-56.2</f>
        <v>81.3</v>
      </c>
      <c r="V645" s="12">
        <f>paper3[[#This Row],[height]]-paper3[[#This Row],[sittingheight]]</f>
        <v>83.8</v>
      </c>
      <c r="W645" s="73">
        <v>44.7</v>
      </c>
      <c r="X645" s="43" cm="1">
        <f t="array" ref="X645">INDEX([1]!phvny[yphv], MATCH(1, (paper3[[#This Row],[id]]=[1]!phvny[id])*(paper3[[#This Row],[time]]=[1]!phvny[time]), 0))</f>
        <v>-0.51077370883653139</v>
      </c>
      <c r="Y645" s="3">
        <v>2.06</v>
      </c>
      <c r="Z645" s="3">
        <v>3.58</v>
      </c>
      <c r="AA645" s="3">
        <v>5.04</v>
      </c>
      <c r="AB645" s="3">
        <v>2.0499999999999998</v>
      </c>
      <c r="AC645" s="3">
        <v>3.56</v>
      </c>
      <c r="AD645" s="3">
        <v>5.0999999999999996</v>
      </c>
      <c r="AE645" s="3">
        <v>2.1</v>
      </c>
      <c r="AF645" s="3">
        <v>3.66</v>
      </c>
      <c r="AG645" s="3">
        <v>5.18</v>
      </c>
      <c r="AH645" s="44">
        <v>2.0499999999999998</v>
      </c>
      <c r="AI645" s="44">
        <v>3.56</v>
      </c>
      <c r="AJ645" s="44">
        <v>5.04</v>
      </c>
      <c r="AK645" s="45">
        <v>6.756756756756757</v>
      </c>
      <c r="AL645" s="3">
        <v>11.25</v>
      </c>
      <c r="AM645" s="3">
        <v>11.05</v>
      </c>
      <c r="AN645" s="3">
        <v>11.27</v>
      </c>
      <c r="AO645" s="3">
        <v>10.94</v>
      </c>
      <c r="AP645" s="3">
        <v>10.94</v>
      </c>
      <c r="AQ645" s="47">
        <v>11.05</v>
      </c>
      <c r="AR645" s="47">
        <v>10.94</v>
      </c>
      <c r="AS645" s="3">
        <v>26.87</v>
      </c>
      <c r="AT645" s="3">
        <v>26.06</v>
      </c>
      <c r="AU645" s="3">
        <v>29.37</v>
      </c>
      <c r="AV645" s="3">
        <v>28.26</v>
      </c>
      <c r="AW645" s="3"/>
      <c r="AX645" s="48">
        <v>29.37</v>
      </c>
      <c r="AY645" s="71"/>
      <c r="AZ645" s="3">
        <v>10</v>
      </c>
      <c r="BA645" s="3">
        <v>200</v>
      </c>
      <c r="BB645" s="3">
        <v>12</v>
      </c>
      <c r="BC645" s="3">
        <v>254</v>
      </c>
      <c r="BD645" s="40">
        <v>790.47432268803004</v>
      </c>
      <c r="BE645" s="40">
        <v>774.0076832256982</v>
      </c>
      <c r="BF645" s="40"/>
      <c r="BG645" s="40">
        <v>213.56892571484025</v>
      </c>
      <c r="BH645" s="40">
        <v>132.36246754283695</v>
      </c>
      <c r="BI645" s="49">
        <v>1564.4820059137282</v>
      </c>
      <c r="BJ645" s="49">
        <v>345.9313932576772</v>
      </c>
      <c r="BK645" s="66">
        <v>2.1274516802865184E-2</v>
      </c>
      <c r="BL645" s="66">
        <v>0.61351574717147184</v>
      </c>
      <c r="BM645" s="51">
        <v>34.999597447734409</v>
      </c>
      <c r="BN645" s="107">
        <v>7.7389573435721966</v>
      </c>
      <c r="BO645" s="52">
        <v>177</v>
      </c>
      <c r="BP645" s="40">
        <v>170</v>
      </c>
      <c r="BQ645" s="40">
        <v>177</v>
      </c>
      <c r="BR645" s="67">
        <v>-3.9548022598870025E-2</v>
      </c>
      <c r="BS645" s="54">
        <v>3.8814317673378071</v>
      </c>
      <c r="BT645" s="3">
        <v>160</v>
      </c>
      <c r="BU645" s="40">
        <v>134</v>
      </c>
      <c r="BV645" s="3">
        <v>96</v>
      </c>
      <c r="BW645" s="3">
        <v>97</v>
      </c>
      <c r="BX645" s="70">
        <v>0.19402985074626855</v>
      </c>
      <c r="BY645" s="70">
        <v>-1.0309278350515427E-2</v>
      </c>
      <c r="BZ645" s="59">
        <v>1.3814432989690721</v>
      </c>
      <c r="CA645" s="59">
        <v>1.6666666666666667</v>
      </c>
      <c r="CB645" s="59">
        <v>2.7558389261744964</v>
      </c>
      <c r="CC645" s="59">
        <v>1.80910514541387</v>
      </c>
      <c r="CD645" s="60"/>
      <c r="CE645" s="60"/>
      <c r="CF645" s="61"/>
      <c r="CG645" s="61"/>
      <c r="CH645" s="61"/>
      <c r="CI645" s="41">
        <v>14.5</v>
      </c>
      <c r="CJ645" s="40">
        <f>VLOOKUP(paper3[[#This Row],[YYIR nivå]],$DB:$DC,2)</f>
        <v>640</v>
      </c>
      <c r="CK645" s="3"/>
      <c r="CL645" s="62"/>
      <c r="CM645" s="63" t="s">
        <v>110</v>
      </c>
      <c r="CN645" s="3">
        <v>160</v>
      </c>
      <c r="CO645" s="3">
        <v>97</v>
      </c>
      <c r="CP645" s="41">
        <v>13.994444444444444</v>
      </c>
      <c r="CQ645" s="3" t="s">
        <v>110</v>
      </c>
      <c r="CR645" s="40">
        <v>147</v>
      </c>
      <c r="CS645" s="40">
        <v>96.5</v>
      </c>
      <c r="CT645" s="40">
        <v>173.5</v>
      </c>
      <c r="CU645" s="40"/>
      <c r="CV645" s="40"/>
      <c r="CW645" s="40"/>
      <c r="CX645" s="40"/>
      <c r="CY645" s="40" t="s">
        <v>125</v>
      </c>
      <c r="CZ645" s="40"/>
      <c r="DA645" s="40"/>
    </row>
    <row r="646" spans="1:105" ht="18.95" customHeight="1">
      <c r="A646" s="2">
        <v>517</v>
      </c>
      <c r="B646" s="38" t="s">
        <v>103</v>
      </c>
      <c r="C646" s="3" t="s">
        <v>158</v>
      </c>
      <c r="D646" s="3" t="s">
        <v>215</v>
      </c>
      <c r="E646" s="39">
        <v>45027</v>
      </c>
      <c r="F646" s="3" t="s">
        <v>186</v>
      </c>
      <c r="G646" s="3" t="s">
        <v>122</v>
      </c>
      <c r="H646" s="3">
        <v>2009</v>
      </c>
      <c r="I646" s="40" t="s">
        <v>108</v>
      </c>
      <c r="J646" s="39" t="s">
        <v>123</v>
      </c>
      <c r="K646" s="3">
        <v>185</v>
      </c>
      <c r="L646" s="3">
        <v>185</v>
      </c>
      <c r="M646" s="3"/>
      <c r="N646" s="3">
        <v>148</v>
      </c>
      <c r="O646" s="3">
        <v>148</v>
      </c>
      <c r="P646" s="3"/>
      <c r="Q646" s="3">
        <v>75.5</v>
      </c>
      <c r="R646" s="3"/>
      <c r="S646" s="3"/>
      <c r="T646" s="42">
        <v>185</v>
      </c>
      <c r="U646" s="42">
        <f>AVERAGE(paper3[[#This Row],[Sittende høyde 1]:[Sittende høyde 3]])-56.2</f>
        <v>91.8</v>
      </c>
      <c r="V646" s="12">
        <f>paper3[[#This Row],[height]]-paper3[[#This Row],[sittingheight]]</f>
        <v>93.2</v>
      </c>
      <c r="W646" s="73">
        <v>75.5</v>
      </c>
      <c r="X646" s="43" cm="1">
        <f t="array" ref="X646">INDEX([1]!phvny[yphv], MATCH(1, (paper3[[#This Row],[id]]=[1]!phvny[id])*(paper3[[#This Row],[time]]=[1]!phvny[time]), 0))</f>
        <v>0.78211292511711783</v>
      </c>
      <c r="Y646" s="3">
        <v>1.88</v>
      </c>
      <c r="Z646" s="3">
        <v>3.32</v>
      </c>
      <c r="AA646" s="3">
        <v>4.72</v>
      </c>
      <c r="AB646" s="3">
        <v>1.89</v>
      </c>
      <c r="AC646" s="3">
        <v>3.33</v>
      </c>
      <c r="AD646" s="3">
        <v>4.7</v>
      </c>
      <c r="AE646" s="3">
        <v>1.97</v>
      </c>
      <c r="AF646" s="3">
        <v>3.43</v>
      </c>
      <c r="AG646" s="3">
        <v>4.8600000000000003</v>
      </c>
      <c r="AH646" s="44">
        <v>1.88</v>
      </c>
      <c r="AI646" s="44">
        <v>3.32</v>
      </c>
      <c r="AJ646" s="45">
        <v>4.7</v>
      </c>
      <c r="AK646" s="45">
        <v>7.2463768115942013</v>
      </c>
      <c r="AL646" s="3">
        <v>10.77</v>
      </c>
      <c r="AM646" s="3">
        <v>10.62</v>
      </c>
      <c r="AN646" s="3">
        <v>11.17</v>
      </c>
      <c r="AO646" s="3">
        <v>10.98</v>
      </c>
      <c r="AP646" s="3">
        <v>10.62</v>
      </c>
      <c r="AQ646" s="47">
        <v>10.62</v>
      </c>
      <c r="AR646" s="47">
        <v>10.98</v>
      </c>
      <c r="AS646" s="3">
        <v>27.64</v>
      </c>
      <c r="AT646" s="3">
        <v>28.25</v>
      </c>
      <c r="AU646" s="3">
        <v>33.72</v>
      </c>
      <c r="AV646" s="3">
        <v>33.51</v>
      </c>
      <c r="AW646" s="3"/>
      <c r="AX646" s="48">
        <v>33.72</v>
      </c>
      <c r="AY646" s="71"/>
      <c r="AZ646" s="3">
        <v>12</v>
      </c>
      <c r="BA646" s="3">
        <v>250</v>
      </c>
      <c r="BB646" s="3">
        <v>9</v>
      </c>
      <c r="BC646" s="3">
        <v>226</v>
      </c>
      <c r="BD646" s="40">
        <v>849.70163858468709</v>
      </c>
      <c r="BE646" s="40">
        <v>859.6967205270721</v>
      </c>
      <c r="BF646" s="40"/>
      <c r="BG646" s="40">
        <v>220.27283540743903</v>
      </c>
      <c r="BH646" s="40">
        <v>227.22860183715989</v>
      </c>
      <c r="BI646" s="49">
        <v>1709.3983591117592</v>
      </c>
      <c r="BJ646" s="49">
        <v>447.50143724459895</v>
      </c>
      <c r="BK646" s="66">
        <v>-1.1626288322069134E-2</v>
      </c>
      <c r="BL646" s="66">
        <v>-3.0611315536349659E-2</v>
      </c>
      <c r="BM646" s="51">
        <v>22.641037869029923</v>
      </c>
      <c r="BN646" s="107">
        <v>5.9271713542330984</v>
      </c>
      <c r="BO646" s="52">
        <v>253</v>
      </c>
      <c r="BP646" s="40">
        <v>233</v>
      </c>
      <c r="BQ646" s="40">
        <v>253</v>
      </c>
      <c r="BR646" s="67">
        <v>-7.9051383399209474E-2</v>
      </c>
      <c r="BS646" s="54">
        <v>3.2185430463576159</v>
      </c>
      <c r="BT646" s="3">
        <v>118</v>
      </c>
      <c r="BU646" s="40">
        <v>102</v>
      </c>
      <c r="BV646" s="3">
        <v>105</v>
      </c>
      <c r="BW646" s="3">
        <v>105.5</v>
      </c>
      <c r="BX646" s="70">
        <v>0.15686274509803932</v>
      </c>
      <c r="BY646" s="70">
        <v>-4.7393364928910442E-3</v>
      </c>
      <c r="BZ646" s="59">
        <v>0.96682464454976302</v>
      </c>
      <c r="CA646" s="59">
        <v>1.1238095238095238</v>
      </c>
      <c r="CB646" s="59">
        <v>1.3578807947019869</v>
      </c>
      <c r="CC646" s="59">
        <v>1.2992450331125829</v>
      </c>
      <c r="CD646" s="60"/>
      <c r="CE646" s="60"/>
      <c r="CF646" s="61"/>
      <c r="CG646" s="61"/>
      <c r="CH646" s="61"/>
      <c r="CI646" s="41"/>
      <c r="CJ646" s="40"/>
      <c r="CK646" s="3"/>
      <c r="CL646" s="62"/>
      <c r="CM646" s="63" t="s">
        <v>110</v>
      </c>
      <c r="CN646" s="3">
        <v>118</v>
      </c>
      <c r="CO646" s="3">
        <v>105.5</v>
      </c>
      <c r="CP646" s="41">
        <v>13.333333333333334</v>
      </c>
      <c r="CQ646" s="3" t="s">
        <v>110</v>
      </c>
      <c r="CR646" s="40">
        <v>110</v>
      </c>
      <c r="CS646" s="40">
        <v>105.25</v>
      </c>
      <c r="CT646" s="40">
        <v>243</v>
      </c>
      <c r="CU646" s="40"/>
      <c r="CV646" s="40"/>
      <c r="CW646" s="40"/>
      <c r="CX646" s="40"/>
      <c r="CY646" s="40">
        <v>0</v>
      </c>
      <c r="CZ646" s="40"/>
      <c r="DA646" s="40"/>
    </row>
    <row r="647" spans="1:105" ht="18.95" customHeight="1">
      <c r="A647" s="2">
        <v>518</v>
      </c>
      <c r="B647" s="38" t="s">
        <v>103</v>
      </c>
      <c r="C647" s="3" t="s">
        <v>115</v>
      </c>
      <c r="D647" s="3" t="s">
        <v>215</v>
      </c>
      <c r="E647" s="39">
        <v>45027</v>
      </c>
      <c r="F647" s="3" t="s">
        <v>186</v>
      </c>
      <c r="G647" s="3" t="s">
        <v>122</v>
      </c>
      <c r="H647" s="3">
        <v>2009</v>
      </c>
      <c r="I647" s="40" t="s">
        <v>108</v>
      </c>
      <c r="J647" s="39" t="s">
        <v>123</v>
      </c>
      <c r="K647" s="3">
        <v>166.5</v>
      </c>
      <c r="L647" s="3">
        <v>166.5</v>
      </c>
      <c r="M647" s="3"/>
      <c r="N647" s="3">
        <v>140.5</v>
      </c>
      <c r="O647" s="3">
        <v>140.4</v>
      </c>
      <c r="P647" s="3"/>
      <c r="Q647" s="3">
        <v>57.6</v>
      </c>
      <c r="R647" s="3"/>
      <c r="S647" s="3"/>
      <c r="T647" s="42">
        <v>166.5</v>
      </c>
      <c r="U647" s="42">
        <f>AVERAGE(paper3[[#This Row],[Sittende høyde 1]:[Sittende høyde 3]])-56.2</f>
        <v>84.249999999999986</v>
      </c>
      <c r="V647" s="12">
        <f>paper3[[#This Row],[height]]-paper3[[#This Row],[sittingheight]]</f>
        <v>82.250000000000014</v>
      </c>
      <c r="W647" s="73">
        <v>57.6</v>
      </c>
      <c r="X647" s="43" cm="1">
        <f t="array" ref="X647">INDEX([1]!phvny[yphv], MATCH(1, (paper3[[#This Row],[id]]=[1]!phvny[id])*(paper3[[#This Row],[time]]=[1]!phvny[time]), 0))</f>
        <v>-0.21890994328078317</v>
      </c>
      <c r="Y647" s="3">
        <v>1.91</v>
      </c>
      <c r="Z647" s="3">
        <v>3.35</v>
      </c>
      <c r="AA647" s="3">
        <v>4.7699999999999996</v>
      </c>
      <c r="AB647" s="3">
        <v>1.91</v>
      </c>
      <c r="AC647" s="3">
        <v>3.34</v>
      </c>
      <c r="AD647" s="3">
        <v>4.79</v>
      </c>
      <c r="AE647" s="3">
        <v>1.95</v>
      </c>
      <c r="AF647" s="3">
        <v>3.42</v>
      </c>
      <c r="AG647" s="3">
        <v>4.9000000000000004</v>
      </c>
      <c r="AH647" s="44">
        <v>1.91</v>
      </c>
      <c r="AI647" s="44">
        <v>3.34</v>
      </c>
      <c r="AJ647" s="44">
        <v>4.7699999999999996</v>
      </c>
      <c r="AK647" s="45">
        <v>6.9930069930069942</v>
      </c>
      <c r="AL647" s="3">
        <v>10.31</v>
      </c>
      <c r="AM647" s="3">
        <v>10.119999999999999</v>
      </c>
      <c r="AN647" s="3">
        <v>10.050000000000001</v>
      </c>
      <c r="AO647" s="3">
        <v>10.07</v>
      </c>
      <c r="AP647" s="3">
        <v>10.050000000000001</v>
      </c>
      <c r="AQ647" s="47">
        <v>10.119999999999999</v>
      </c>
      <c r="AR647" s="47">
        <v>10.050000000000001</v>
      </c>
      <c r="AS647" s="3">
        <v>34.68</v>
      </c>
      <c r="AT647" s="3">
        <v>33.47</v>
      </c>
      <c r="AU647" s="3">
        <v>34.119999999999997</v>
      </c>
      <c r="AV647" s="3"/>
      <c r="AW647" s="3"/>
      <c r="AX647" s="48">
        <v>34.68</v>
      </c>
      <c r="AY647" s="71"/>
      <c r="AZ647" s="3">
        <v>10</v>
      </c>
      <c r="BA647" s="3">
        <v>260</v>
      </c>
      <c r="BB647" s="3">
        <v>12</v>
      </c>
      <c r="BC647" s="3">
        <v>332</v>
      </c>
      <c r="BD647" s="40">
        <v>1111.8010930675982</v>
      </c>
      <c r="BE647" s="40">
        <v>1094.83417856492</v>
      </c>
      <c r="BF647" s="40"/>
      <c r="BG647" s="40">
        <v>309.3257293334625</v>
      </c>
      <c r="BH647" s="40">
        <v>303.35967453669707</v>
      </c>
      <c r="BI647" s="49">
        <v>2206.6352716325182</v>
      </c>
      <c r="BJ647" s="49">
        <v>612.68540387015958</v>
      </c>
      <c r="BK647" s="66">
        <v>1.5497245916197055E-2</v>
      </c>
      <c r="BL647" s="66">
        <v>1.9666604685929512E-2</v>
      </c>
      <c r="BM647" s="51">
        <v>38.309640132508996</v>
      </c>
      <c r="BN647" s="51">
        <v>10.636899372745825</v>
      </c>
      <c r="BO647" s="52">
        <v>279</v>
      </c>
      <c r="BP647" s="40">
        <v>279</v>
      </c>
      <c r="BQ647" s="40">
        <v>273</v>
      </c>
      <c r="BR647" s="67">
        <v>2.19780219780219E-2</v>
      </c>
      <c r="BS647" s="54">
        <v>4.791666666666667</v>
      </c>
      <c r="BT647" s="3">
        <v>137</v>
      </c>
      <c r="BU647" s="40">
        <v>140</v>
      </c>
      <c r="BV647" s="3">
        <v>102</v>
      </c>
      <c r="BW647" s="3">
        <v>104</v>
      </c>
      <c r="BX647" s="70">
        <v>-2.1428571428571463E-2</v>
      </c>
      <c r="BY647" s="70">
        <v>-1.9230769230769273E-2</v>
      </c>
      <c r="BZ647" s="59">
        <v>1.3461538461538463</v>
      </c>
      <c r="CA647" s="59">
        <v>1.3431372549019607</v>
      </c>
      <c r="CB647" s="59">
        <v>1.9777126736111115</v>
      </c>
      <c r="CC647" s="59">
        <v>1.4707899305555558</v>
      </c>
      <c r="CD647" s="60"/>
      <c r="CE647" s="60"/>
      <c r="CF647" s="61"/>
      <c r="CG647" s="61"/>
      <c r="CH647" s="61"/>
      <c r="CI647" s="41"/>
      <c r="CJ647" s="40"/>
      <c r="CK647" s="3"/>
      <c r="CL647" s="62"/>
      <c r="CM647" s="63" t="s">
        <v>110</v>
      </c>
      <c r="CN647" s="3">
        <v>140</v>
      </c>
      <c r="CO647" s="3">
        <v>104</v>
      </c>
      <c r="CP647" s="41">
        <v>13.472222222222221</v>
      </c>
      <c r="CQ647" s="3" t="s">
        <v>110</v>
      </c>
      <c r="CR647" s="40">
        <v>138.5</v>
      </c>
      <c r="CS647" s="40">
        <v>103</v>
      </c>
      <c r="CT647" s="40">
        <v>276</v>
      </c>
      <c r="CU647" s="40"/>
      <c r="CV647" s="40"/>
      <c r="CW647" s="40"/>
      <c r="CX647" s="40"/>
      <c r="CY647" s="40">
        <v>0</v>
      </c>
      <c r="CZ647" s="40"/>
      <c r="DA647" s="40"/>
    </row>
    <row r="648" spans="1:105" ht="18.75" customHeight="1">
      <c r="A648" s="3">
        <v>519</v>
      </c>
      <c r="B648" s="38" t="s">
        <v>103</v>
      </c>
      <c r="C648" s="3" t="s">
        <v>115</v>
      </c>
      <c r="D648" s="3" t="s">
        <v>215</v>
      </c>
      <c r="E648" s="39">
        <v>45050</v>
      </c>
      <c r="F648" s="3" t="s">
        <v>186</v>
      </c>
      <c r="G648" s="3" t="s">
        <v>122</v>
      </c>
      <c r="H648" s="3">
        <v>2005</v>
      </c>
      <c r="I648" s="40" t="s">
        <v>121</v>
      </c>
      <c r="J648" s="39" t="s">
        <v>160</v>
      </c>
      <c r="K648" s="3">
        <v>196</v>
      </c>
      <c r="L648" s="3">
        <v>196</v>
      </c>
      <c r="M648" s="3"/>
      <c r="N648" s="3">
        <v>157.30000000000001</v>
      </c>
      <c r="O648" s="3">
        <v>157.1</v>
      </c>
      <c r="P648" s="3"/>
      <c r="Q648" s="3">
        <v>92.4</v>
      </c>
      <c r="R648" s="3"/>
      <c r="S648" s="3"/>
      <c r="T648" s="42">
        <v>196</v>
      </c>
      <c r="U648" s="42">
        <f>AVERAGE(paper3[[#This Row],[Sittende høyde 1]:[Sittende høyde 3]])-56.2</f>
        <v>100.99999999999999</v>
      </c>
      <c r="V648" s="12">
        <f>paper3[[#This Row],[height]]-paper3[[#This Row],[sittingheight]]</f>
        <v>95.000000000000014</v>
      </c>
      <c r="W648" s="73">
        <v>92.4</v>
      </c>
      <c r="X648" s="43" cm="1">
        <f t="array" ref="X648">INDEX([1]!phvny[yphv], MATCH(1, (paper3[[#This Row],[id]]=[1]!phvny[id])*(paper3[[#This Row],[time]]=[1]!phvny[time]), 0))</f>
        <v>4.5814331023809496</v>
      </c>
      <c r="Y648" s="3">
        <v>1.87</v>
      </c>
      <c r="Z648" s="3">
        <v>3.21</v>
      </c>
      <c r="AA648" s="3">
        <v>4.47</v>
      </c>
      <c r="AB648" s="3">
        <v>1.88</v>
      </c>
      <c r="AC648" s="3">
        <v>3.21</v>
      </c>
      <c r="AD648" s="3">
        <v>4.4800000000000004</v>
      </c>
      <c r="AE648" s="3">
        <v>1.88</v>
      </c>
      <c r="AF648" s="3">
        <v>3.22</v>
      </c>
      <c r="AG648" s="3">
        <v>4.4800000000000004</v>
      </c>
      <c r="AH648" s="44">
        <v>1.87</v>
      </c>
      <c r="AI648" s="44">
        <v>3.21</v>
      </c>
      <c r="AJ648" s="44">
        <v>4.47</v>
      </c>
      <c r="AK648" s="45">
        <v>7.9365079365079376</v>
      </c>
      <c r="AL648" s="3">
        <v>10.09</v>
      </c>
      <c r="AM648" s="3">
        <v>9.94</v>
      </c>
      <c r="AN648" s="3">
        <v>9.9600000000000009</v>
      </c>
      <c r="AO648" s="3">
        <v>10.029999999999999</v>
      </c>
      <c r="AP648" s="3">
        <v>9.94</v>
      </c>
      <c r="AQ648" s="47">
        <v>9.94</v>
      </c>
      <c r="AR648" s="47">
        <v>9.9600000000000009</v>
      </c>
      <c r="AS648" s="3">
        <v>42.26</v>
      </c>
      <c r="AT648" s="3">
        <v>46.29</v>
      </c>
      <c r="AU648" s="3">
        <v>46.76</v>
      </c>
      <c r="AV648" s="3">
        <v>45.25</v>
      </c>
      <c r="AW648" s="3"/>
      <c r="AX648" s="48">
        <v>46.76</v>
      </c>
      <c r="AY648" s="71">
        <v>470</v>
      </c>
      <c r="AZ648" s="3">
        <v>13</v>
      </c>
      <c r="BA648" s="3">
        <v>470</v>
      </c>
      <c r="BB648" s="3"/>
      <c r="BC648" s="3"/>
      <c r="BD648" s="40">
        <v>2319.0172356875719</v>
      </c>
      <c r="BE648" s="40">
        <v>2340.5548187319355</v>
      </c>
      <c r="BF648" s="40"/>
      <c r="BG648" s="40">
        <v>1059.1904014059542</v>
      </c>
      <c r="BH648" s="40">
        <v>1030</v>
      </c>
      <c r="BI648" s="49">
        <v>4659.5720544195074</v>
      </c>
      <c r="BJ648" s="49">
        <v>2089.1904014059542</v>
      </c>
      <c r="BK648" s="66">
        <v>-9.2019135257990214E-3</v>
      </c>
      <c r="BL648" s="66">
        <v>2.8340195539761304E-2</v>
      </c>
      <c r="BM648" s="51">
        <v>50.428268987224101</v>
      </c>
      <c r="BN648" s="51">
        <v>22.610285729501665</v>
      </c>
      <c r="BO648" s="52">
        <v>449</v>
      </c>
      <c r="BP648" s="40">
        <v>449</v>
      </c>
      <c r="BQ648" s="40">
        <v>416</v>
      </c>
      <c r="BR648" s="67">
        <v>7.9326923076923128E-2</v>
      </c>
      <c r="BS648" s="54">
        <v>4.6807359307359304</v>
      </c>
      <c r="BT648" s="3">
        <v>137</v>
      </c>
      <c r="BU648" s="40">
        <v>153</v>
      </c>
      <c r="BV648" s="3">
        <v>148</v>
      </c>
      <c r="BW648" s="3">
        <v>184</v>
      </c>
      <c r="BX648" s="70">
        <v>-0.10457516339869277</v>
      </c>
      <c r="BY648" s="70">
        <v>-0.19565217391304346</v>
      </c>
      <c r="BZ648" s="59">
        <v>0.83152173913043481</v>
      </c>
      <c r="CA648" s="59">
        <v>0.92567567567567566</v>
      </c>
      <c r="CB648" s="59">
        <v>1.490800865800866</v>
      </c>
      <c r="CC648" s="59">
        <v>1.7067099567099568</v>
      </c>
      <c r="CD648" s="60">
        <v>148</v>
      </c>
      <c r="CE648" s="60">
        <v>156</v>
      </c>
      <c r="CF648" s="61">
        <v>1.6017316017316017</v>
      </c>
      <c r="CG648" s="61">
        <v>1.6883116883116882</v>
      </c>
      <c r="CH648" s="61">
        <v>1.0540540540540539</v>
      </c>
      <c r="CI648" s="41"/>
      <c r="CJ648" s="40"/>
      <c r="CK648" s="3"/>
      <c r="CL648" s="62"/>
      <c r="CM648" s="63" t="s">
        <v>110</v>
      </c>
      <c r="CN648" s="3">
        <v>153</v>
      </c>
      <c r="CO648" s="3">
        <v>184</v>
      </c>
      <c r="CP648" s="41">
        <v>17.761111111111113</v>
      </c>
      <c r="CQ648" s="3" t="s">
        <v>110</v>
      </c>
      <c r="CR648" s="40">
        <v>145</v>
      </c>
      <c r="CS648" s="40">
        <v>166</v>
      </c>
      <c r="CT648" s="40">
        <v>432.5</v>
      </c>
      <c r="CU648" s="40"/>
      <c r="CV648" s="40"/>
      <c r="CW648" s="40"/>
      <c r="CX648" s="40"/>
      <c r="CY648" s="40" t="s">
        <v>125</v>
      </c>
      <c r="CZ648" s="40"/>
      <c r="DA648" s="40"/>
    </row>
    <row r="649" spans="1:105" ht="18.75" customHeight="1">
      <c r="A649" s="3">
        <v>520</v>
      </c>
      <c r="B649" s="38" t="s">
        <v>103</v>
      </c>
      <c r="C649" s="3" t="s">
        <v>115</v>
      </c>
      <c r="D649" s="3" t="s">
        <v>215</v>
      </c>
      <c r="E649" s="39">
        <v>45050</v>
      </c>
      <c r="F649" s="3" t="s">
        <v>186</v>
      </c>
      <c r="G649" s="3" t="s">
        <v>122</v>
      </c>
      <c r="H649" s="3">
        <v>2005</v>
      </c>
      <c r="I649" s="40" t="s">
        <v>121</v>
      </c>
      <c r="J649" s="39" t="s">
        <v>160</v>
      </c>
      <c r="K649" s="3">
        <v>179.9</v>
      </c>
      <c r="L649" s="3">
        <v>179.7</v>
      </c>
      <c r="M649" s="3"/>
      <c r="N649" s="3">
        <v>147.6</v>
      </c>
      <c r="O649" s="3">
        <v>147.4</v>
      </c>
      <c r="P649" s="3"/>
      <c r="Q649" s="3">
        <v>77.7</v>
      </c>
      <c r="R649" s="3"/>
      <c r="S649" s="3"/>
      <c r="T649" s="42">
        <v>179.8</v>
      </c>
      <c r="U649" s="42">
        <f>AVERAGE(paper3[[#This Row],[Sittende høyde 1]:[Sittende høyde 3]])-56.2</f>
        <v>91.3</v>
      </c>
      <c r="V649" s="12">
        <f>paper3[[#This Row],[height]]-paper3[[#This Row],[sittingheight]]</f>
        <v>88.500000000000014</v>
      </c>
      <c r="W649" s="73">
        <v>77.7</v>
      </c>
      <c r="X649" s="43" cm="1">
        <f t="array" ref="X649">INDEX([1]!phvny[yphv], MATCH(1, (paper3[[#This Row],[id]]=[1]!phvny[id])*(paper3[[#This Row],[time]]=[1]!phvny[time]), 0))</f>
        <v>2.9645701972599174</v>
      </c>
      <c r="Y649" s="3">
        <v>1.77</v>
      </c>
      <c r="Z649" s="3">
        <v>3.04</v>
      </c>
      <c r="AA649" s="3">
        <v>4.24</v>
      </c>
      <c r="AB649" s="3">
        <v>1.76</v>
      </c>
      <c r="AC649" s="3">
        <v>3.02</v>
      </c>
      <c r="AD649" s="3">
        <v>4.21</v>
      </c>
      <c r="AE649" s="3">
        <v>1.77</v>
      </c>
      <c r="AF649" s="3">
        <v>3</v>
      </c>
      <c r="AG649" s="3">
        <v>4.22</v>
      </c>
      <c r="AH649" s="44">
        <v>1.76</v>
      </c>
      <c r="AI649" s="44">
        <v>3</v>
      </c>
      <c r="AJ649" s="44">
        <v>4.21</v>
      </c>
      <c r="AK649" s="45">
        <v>8.2644628099173563</v>
      </c>
      <c r="AL649" s="3">
        <v>9.08</v>
      </c>
      <c r="AM649" s="3">
        <v>8.9700000000000006</v>
      </c>
      <c r="AN649" s="3">
        <v>9.41</v>
      </c>
      <c r="AO649" s="3">
        <v>9.27</v>
      </c>
      <c r="AP649" s="3">
        <v>8.9700000000000006</v>
      </c>
      <c r="AQ649" s="47">
        <v>8.9700000000000006</v>
      </c>
      <c r="AR649" s="47">
        <v>9.27</v>
      </c>
      <c r="AS649" s="3">
        <v>37.799999999999997</v>
      </c>
      <c r="AT649" s="3">
        <v>39.25</v>
      </c>
      <c r="AU649" s="3">
        <v>40.32</v>
      </c>
      <c r="AV649" s="3">
        <v>39.950000000000003</v>
      </c>
      <c r="AW649" s="3"/>
      <c r="AX649" s="48">
        <v>40.32</v>
      </c>
      <c r="AY649" s="71">
        <v>470</v>
      </c>
      <c r="AZ649" s="3">
        <v>11</v>
      </c>
      <c r="BA649" s="3">
        <v>430</v>
      </c>
      <c r="BB649" s="3">
        <v>8</v>
      </c>
      <c r="BC649" s="3">
        <v>424</v>
      </c>
      <c r="BD649" s="40">
        <v>1800.4644723049419</v>
      </c>
      <c r="BE649" s="40">
        <v>1769.3649366860868</v>
      </c>
      <c r="BF649" s="40"/>
      <c r="BG649" s="40">
        <v>852.38825361779573</v>
      </c>
      <c r="BH649" s="40">
        <v>831</v>
      </c>
      <c r="BI649" s="49">
        <v>3569.8294089910287</v>
      </c>
      <c r="BJ649" s="49">
        <v>1683.3882536177957</v>
      </c>
      <c r="BK649" s="66">
        <v>1.757666548829806E-2</v>
      </c>
      <c r="BL649" s="66">
        <v>2.5737970659200693E-2</v>
      </c>
      <c r="BM649" s="51">
        <v>45.943750437464978</v>
      </c>
      <c r="BN649" s="51">
        <v>21.665228489289518</v>
      </c>
      <c r="BO649" s="52">
        <v>302</v>
      </c>
      <c r="BP649" s="40">
        <v>302</v>
      </c>
      <c r="BQ649" s="40">
        <v>296</v>
      </c>
      <c r="BR649" s="67">
        <v>2.0270270270270174E-2</v>
      </c>
      <c r="BS649" s="54">
        <v>3.8481338481338478</v>
      </c>
      <c r="BT649" s="3">
        <v>153</v>
      </c>
      <c r="BU649" s="40">
        <v>151</v>
      </c>
      <c r="BV649" s="3">
        <v>171</v>
      </c>
      <c r="BW649" s="3">
        <v>177</v>
      </c>
      <c r="BX649" s="70">
        <v>1.3245033112582849E-2</v>
      </c>
      <c r="BY649" s="70">
        <v>-3.3898305084745783E-2</v>
      </c>
      <c r="BZ649" s="59">
        <v>0.85310734463276838</v>
      </c>
      <c r="CA649" s="59">
        <v>0.89473684210526316</v>
      </c>
      <c r="CB649" s="59">
        <v>1.7312741312741313</v>
      </c>
      <c r="CC649" s="59">
        <v>1.9818532818532819</v>
      </c>
      <c r="CD649" s="60">
        <v>140</v>
      </c>
      <c r="CE649" s="60">
        <v>147</v>
      </c>
      <c r="CF649" s="61">
        <v>1.8018018018018018</v>
      </c>
      <c r="CG649" s="61">
        <v>1.8918918918918919</v>
      </c>
      <c r="CH649" s="61">
        <v>1.05</v>
      </c>
      <c r="CI649" s="41"/>
      <c r="CJ649" s="40"/>
      <c r="CK649" s="3"/>
      <c r="CL649" s="62"/>
      <c r="CM649" s="63" t="s">
        <v>110</v>
      </c>
      <c r="CN649" s="3">
        <v>153</v>
      </c>
      <c r="CO649" s="3">
        <v>177</v>
      </c>
      <c r="CP649" s="41">
        <v>17.633333333333333</v>
      </c>
      <c r="CQ649" s="3" t="s">
        <v>110</v>
      </c>
      <c r="CR649" s="40">
        <v>152</v>
      </c>
      <c r="CS649" s="40">
        <v>174</v>
      </c>
      <c r="CT649" s="40">
        <v>299</v>
      </c>
      <c r="CU649" s="40"/>
      <c r="CV649" s="40"/>
      <c r="CW649" s="40"/>
      <c r="CX649" s="40"/>
      <c r="CY649" s="40">
        <v>0</v>
      </c>
      <c r="CZ649" s="40"/>
      <c r="DA649" s="40"/>
    </row>
    <row r="650" spans="1:105" ht="18.75" customHeight="1">
      <c r="A650" s="3">
        <v>524</v>
      </c>
      <c r="B650" s="38" t="s">
        <v>103</v>
      </c>
      <c r="C650" s="3" t="s">
        <v>115</v>
      </c>
      <c r="D650" s="3" t="s">
        <v>215</v>
      </c>
      <c r="E650" s="39">
        <v>45050</v>
      </c>
      <c r="F650" s="3" t="s">
        <v>186</v>
      </c>
      <c r="G650" s="3" t="s">
        <v>122</v>
      </c>
      <c r="H650" s="3">
        <v>2005</v>
      </c>
      <c r="I650" s="40" t="s">
        <v>121</v>
      </c>
      <c r="J650" s="39" t="s">
        <v>160</v>
      </c>
      <c r="K650" s="3">
        <v>167</v>
      </c>
      <c r="L650" s="3">
        <v>167</v>
      </c>
      <c r="M650" s="3"/>
      <c r="N650" s="3">
        <v>146.5</v>
      </c>
      <c r="O650" s="3">
        <v>146.5</v>
      </c>
      <c r="P650" s="3"/>
      <c r="Q650" s="3">
        <v>87.1</v>
      </c>
      <c r="R650" s="3"/>
      <c r="S650" s="3"/>
      <c r="T650" s="42">
        <v>167</v>
      </c>
      <c r="U650" s="42">
        <f>AVERAGE(paper3[[#This Row],[Sittende høyde 1]:[Sittende høyde 3]])-56.2</f>
        <v>90.3</v>
      </c>
      <c r="V650" s="12">
        <f>paper3[[#This Row],[height]]-paper3[[#This Row],[sittingheight]]</f>
        <v>76.7</v>
      </c>
      <c r="W650" s="73">
        <v>87.1</v>
      </c>
      <c r="X650" s="43" cm="1">
        <f t="array" ref="X650">INDEX([1]!phvny[yphv], MATCH(1, (paper3[[#This Row],[id]]=[1]!phvny[id])*(paper3[[#This Row],[time]]=[1]!phvny[time]), 0))</f>
        <v>2.9476660634557548</v>
      </c>
      <c r="Y650" s="3"/>
      <c r="Z650" s="3"/>
      <c r="AA650" s="3"/>
      <c r="AB650" s="3"/>
      <c r="AC650" s="3"/>
      <c r="AD650" s="3"/>
      <c r="AE650" s="3"/>
      <c r="AF650" s="3"/>
      <c r="AG650" s="3"/>
      <c r="AH650" s="44"/>
      <c r="AI650" s="44"/>
      <c r="AJ650" s="44"/>
      <c r="AK650" s="45"/>
      <c r="AL650" s="3"/>
      <c r="AM650" s="3"/>
      <c r="AN650" s="3"/>
      <c r="AO650" s="3"/>
      <c r="AP650" s="3"/>
      <c r="AQ650" s="47"/>
      <c r="AR650" s="47"/>
      <c r="AS650" s="3"/>
      <c r="AT650" s="3"/>
      <c r="AU650" s="3"/>
      <c r="AV650" s="3"/>
      <c r="AW650" s="3"/>
      <c r="AX650" s="48"/>
      <c r="AY650" s="71">
        <v>400</v>
      </c>
      <c r="AZ650" s="3"/>
      <c r="BA650" s="3"/>
      <c r="BB650" s="3" t="s">
        <v>243</v>
      </c>
      <c r="BC650" s="3"/>
      <c r="BD650" s="40">
        <v>1766.2642490530068</v>
      </c>
      <c r="BE650" s="40">
        <v>1637.9041088615343</v>
      </c>
      <c r="BF650" s="40"/>
      <c r="BG650" s="40">
        <v>316.85913474879078</v>
      </c>
      <c r="BH650" s="40">
        <v>329</v>
      </c>
      <c r="BI650" s="49">
        <v>3404.168357914541</v>
      </c>
      <c r="BJ650" s="49">
        <v>645.85913474879078</v>
      </c>
      <c r="BK650" s="66">
        <v>7.836853176996561E-2</v>
      </c>
      <c r="BL650" s="66">
        <v>-3.6902325991517437E-2</v>
      </c>
      <c r="BM650" s="51">
        <v>39.083448426114138</v>
      </c>
      <c r="BN650" s="51">
        <v>7.4151450602616631</v>
      </c>
      <c r="BO650" s="52"/>
      <c r="BP650" s="40"/>
      <c r="BQ650" s="40"/>
      <c r="BR650" s="67"/>
      <c r="BS650" s="54" t="s">
        <v>110</v>
      </c>
      <c r="BT650" s="3">
        <v>138</v>
      </c>
      <c r="BU650" s="40">
        <v>146</v>
      </c>
      <c r="BV650" s="3">
        <v>223</v>
      </c>
      <c r="BW650" s="3">
        <v>234</v>
      </c>
      <c r="BX650" s="70">
        <v>-5.4794520547945202E-2</v>
      </c>
      <c r="BY650" s="70">
        <v>-4.7008547008547064E-2</v>
      </c>
      <c r="BZ650" s="59">
        <v>0.62393162393162394</v>
      </c>
      <c r="CA650" s="59">
        <v>0.6188340807174888</v>
      </c>
      <c r="CB650" s="59">
        <v>1.2504477611940299</v>
      </c>
      <c r="CC650" s="59">
        <v>2.0121641791044778</v>
      </c>
      <c r="CD650" s="60">
        <v>168</v>
      </c>
      <c r="CE650" s="60">
        <v>160</v>
      </c>
      <c r="CF650" s="61">
        <v>1.928817451205511</v>
      </c>
      <c r="CG650" s="61">
        <v>1.8369690011481057</v>
      </c>
      <c r="CH650" s="61">
        <v>0.95238095238095244</v>
      </c>
      <c r="CI650" s="41"/>
      <c r="CJ650" s="40"/>
      <c r="CK650" s="3"/>
      <c r="CL650" s="62"/>
      <c r="CM650" s="63" t="s">
        <v>110</v>
      </c>
      <c r="CN650" s="3">
        <v>146</v>
      </c>
      <c r="CO650" s="3">
        <v>234</v>
      </c>
      <c r="CP650" s="41">
        <v>17.388888888888889</v>
      </c>
      <c r="CQ650" s="3" t="s">
        <v>110</v>
      </c>
      <c r="CR650" s="40">
        <v>142</v>
      </c>
      <c r="CS650" s="40">
        <v>228.5</v>
      </c>
      <c r="CT650" s="40" t="s">
        <v>110</v>
      </c>
      <c r="CU650" s="40"/>
      <c r="CV650" s="40"/>
      <c r="CW650" s="40"/>
      <c r="CX650" s="40"/>
      <c r="CY650" s="40">
        <v>0</v>
      </c>
      <c r="CZ650" s="40"/>
      <c r="DA650" s="40"/>
    </row>
    <row r="651" spans="1:105" ht="18.75" customHeight="1">
      <c r="A651" s="3">
        <v>525</v>
      </c>
      <c r="B651" s="38" t="s">
        <v>103</v>
      </c>
      <c r="C651" s="3" t="s">
        <v>115</v>
      </c>
      <c r="D651" s="3" t="s">
        <v>215</v>
      </c>
      <c r="E651" s="39">
        <v>45050</v>
      </c>
      <c r="F651" s="3" t="s">
        <v>186</v>
      </c>
      <c r="G651" s="3" t="s">
        <v>122</v>
      </c>
      <c r="H651" s="3">
        <v>2005</v>
      </c>
      <c r="I651" s="40" t="s">
        <v>121</v>
      </c>
      <c r="J651" s="39" t="s">
        <v>160</v>
      </c>
      <c r="K651" s="3">
        <v>176.4</v>
      </c>
      <c r="L651" s="3">
        <v>176.6</v>
      </c>
      <c r="M651" s="3"/>
      <c r="N651" s="3">
        <v>148.19999999999999</v>
      </c>
      <c r="O651" s="3">
        <v>147.9</v>
      </c>
      <c r="P651" s="3">
        <v>148</v>
      </c>
      <c r="Q651" s="3">
        <v>66.8</v>
      </c>
      <c r="R651" s="3"/>
      <c r="S651" s="3"/>
      <c r="T651" s="42">
        <v>176.5</v>
      </c>
      <c r="U651" s="42">
        <f>AVERAGE(paper3[[#This Row],[Sittende høyde 1]:[Sittende høyde 3]])-56.2</f>
        <v>91.833333333333329</v>
      </c>
      <c r="V651" s="12">
        <f>paper3[[#This Row],[height]]-paper3[[#This Row],[sittingheight]]</f>
        <v>84.666666666666671</v>
      </c>
      <c r="W651" s="73">
        <v>66.8</v>
      </c>
      <c r="X651" s="43" cm="1">
        <f t="array" ref="X651">INDEX([1]!phvny[yphv], MATCH(1, (paper3[[#This Row],[id]]=[1]!phvny[id])*(paper3[[#This Row],[time]]=[1]!phvny[time]), 0))</f>
        <v>3.2944287780663082</v>
      </c>
      <c r="Y651" s="3">
        <v>1.87</v>
      </c>
      <c r="Z651" s="3">
        <v>3.15</v>
      </c>
      <c r="AA651" s="3">
        <v>4.37</v>
      </c>
      <c r="AB651" s="3">
        <v>1.85</v>
      </c>
      <c r="AC651" s="3">
        <v>3.13</v>
      </c>
      <c r="AD651" s="3">
        <v>4.38</v>
      </c>
      <c r="AE651" s="3">
        <v>1.83</v>
      </c>
      <c r="AF651" s="3">
        <v>3.13</v>
      </c>
      <c r="AG651" s="3">
        <v>4.38</v>
      </c>
      <c r="AH651" s="44">
        <v>1.83</v>
      </c>
      <c r="AI651" s="44">
        <v>3.13</v>
      </c>
      <c r="AJ651" s="44">
        <v>4.37</v>
      </c>
      <c r="AK651" s="45">
        <v>8.0645161290322562</v>
      </c>
      <c r="AL651" s="3">
        <v>9.25</v>
      </c>
      <c r="AM651" s="3">
        <v>9.11</v>
      </c>
      <c r="AN651" s="3">
        <v>9.14</v>
      </c>
      <c r="AO651" s="3">
        <v>9.26</v>
      </c>
      <c r="AP651" s="3">
        <v>9.11</v>
      </c>
      <c r="AQ651" s="47">
        <v>9.11</v>
      </c>
      <c r="AR651" s="47">
        <v>9.14</v>
      </c>
      <c r="AS651" s="3">
        <v>35.1</v>
      </c>
      <c r="AT651" s="3">
        <v>28.63</v>
      </c>
      <c r="AU651" s="3">
        <v>37.770000000000003</v>
      </c>
      <c r="AV651" s="3">
        <v>41.51</v>
      </c>
      <c r="AW651" s="3">
        <v>41.13</v>
      </c>
      <c r="AX651" s="48">
        <v>41.51</v>
      </c>
      <c r="AY651" s="71" t="s">
        <v>244</v>
      </c>
      <c r="AZ651" s="3">
        <v>9</v>
      </c>
      <c r="BA651" s="3">
        <v>340</v>
      </c>
      <c r="BB651" s="3">
        <v>10</v>
      </c>
      <c r="BC651" s="3">
        <v>372</v>
      </c>
      <c r="BD651" s="40">
        <v>1489.0088670170387</v>
      </c>
      <c r="BE651" s="40">
        <v>1397.6696639562169</v>
      </c>
      <c r="BF651" s="40"/>
      <c r="BG651" s="40">
        <v>673.93319881845468</v>
      </c>
      <c r="BH651" s="40">
        <v>682</v>
      </c>
      <c r="BI651" s="49">
        <v>2886.6785309732559</v>
      </c>
      <c r="BJ651" s="49">
        <v>1355.9331988184547</v>
      </c>
      <c r="BK651" s="66">
        <v>6.5351066433164684E-2</v>
      </c>
      <c r="BL651" s="66">
        <v>-1.182815422513972E-2</v>
      </c>
      <c r="BM651" s="51">
        <v>43.213750463671495</v>
      </c>
      <c r="BN651" s="51">
        <v>20.298401179916986</v>
      </c>
      <c r="BO651" s="52">
        <v>406</v>
      </c>
      <c r="BP651" s="40">
        <v>406</v>
      </c>
      <c r="BQ651" s="40">
        <v>353</v>
      </c>
      <c r="BR651" s="67">
        <v>0.15014164305949018</v>
      </c>
      <c r="BS651" s="54">
        <v>5.681137724550898</v>
      </c>
      <c r="BT651" s="3">
        <v>147</v>
      </c>
      <c r="BU651" s="40">
        <v>159</v>
      </c>
      <c r="BV651" s="3">
        <v>159</v>
      </c>
      <c r="BW651" s="3">
        <v>155</v>
      </c>
      <c r="BX651" s="70">
        <v>-7.547169811320753E-2</v>
      </c>
      <c r="BY651" s="70">
        <v>2.5806451612903292E-2</v>
      </c>
      <c r="BZ651" s="59">
        <v>1.0258064516129033</v>
      </c>
      <c r="CA651" s="59">
        <v>0.92452830188679247</v>
      </c>
      <c r="CB651" s="59">
        <v>1.9392215568862274</v>
      </c>
      <c r="CC651" s="59">
        <v>1.9899201596806388</v>
      </c>
      <c r="CD651" s="60">
        <v>135</v>
      </c>
      <c r="CE651" s="60">
        <v>118</v>
      </c>
      <c r="CF651" s="61">
        <v>2.0209580838323356</v>
      </c>
      <c r="CG651" s="61">
        <v>1.7664670658682635</v>
      </c>
      <c r="CH651" s="61">
        <v>0.874074074074074</v>
      </c>
      <c r="CI651" s="41">
        <v>18.5</v>
      </c>
      <c r="CJ651" s="40">
        <f>VLOOKUP(paper3[[#This Row],[YYIR nivå]],$DB:$DC,2)</f>
        <v>1920</v>
      </c>
      <c r="CK651" s="3"/>
      <c r="CL651" s="62"/>
      <c r="CM651" s="63" t="s">
        <v>110</v>
      </c>
      <c r="CN651" s="3">
        <v>159</v>
      </c>
      <c r="CO651" s="3">
        <v>159</v>
      </c>
      <c r="CP651" s="41">
        <v>18.31388888888889</v>
      </c>
      <c r="CQ651" s="3" t="s">
        <v>110</v>
      </c>
      <c r="CR651" s="40">
        <v>153</v>
      </c>
      <c r="CS651" s="40">
        <v>157</v>
      </c>
      <c r="CT651" s="40">
        <v>379.5</v>
      </c>
      <c r="CU651" s="40"/>
      <c r="CV651" s="40"/>
      <c r="CW651" s="40"/>
      <c r="CX651" s="40"/>
      <c r="CY651" s="40">
        <v>0</v>
      </c>
      <c r="CZ651" s="40"/>
      <c r="DA651" s="40"/>
    </row>
    <row r="652" spans="1:105" ht="18.75" customHeight="1">
      <c r="A652" s="3">
        <v>526</v>
      </c>
      <c r="B652" s="38" t="s">
        <v>103</v>
      </c>
      <c r="C652" s="3" t="s">
        <v>115</v>
      </c>
      <c r="D652" s="3" t="s">
        <v>215</v>
      </c>
      <c r="E652" s="39">
        <v>45050</v>
      </c>
      <c r="F652" s="3" t="s">
        <v>186</v>
      </c>
      <c r="G652" s="3" t="s">
        <v>122</v>
      </c>
      <c r="H652" s="3">
        <v>2005</v>
      </c>
      <c r="I652" s="40" t="s">
        <v>121</v>
      </c>
      <c r="J652" s="39" t="s">
        <v>160</v>
      </c>
      <c r="K652" s="3">
        <v>184.6</v>
      </c>
      <c r="L652" s="3">
        <v>184.7</v>
      </c>
      <c r="M652" s="3"/>
      <c r="N652" s="3">
        <v>148.9</v>
      </c>
      <c r="O652" s="3">
        <v>148.6</v>
      </c>
      <c r="P652" s="3">
        <v>148.69999999999999</v>
      </c>
      <c r="Q652" s="3">
        <v>76.2</v>
      </c>
      <c r="R652" s="3"/>
      <c r="S652" s="3"/>
      <c r="T652" s="42">
        <v>184.64999999999998</v>
      </c>
      <c r="U652" s="42">
        <f>AVERAGE(paper3[[#This Row],[Sittende høyde 1]:[Sittende høyde 3]])-56.2</f>
        <v>92.533333333333317</v>
      </c>
      <c r="V652" s="12">
        <f>paper3[[#This Row],[height]]-paper3[[#This Row],[sittingheight]]</f>
        <v>92.11666666666666</v>
      </c>
      <c r="W652" s="73">
        <v>76.2</v>
      </c>
      <c r="X652" s="43" cm="1">
        <f t="array" ref="X652">INDEX([1]!phvny[yphv], MATCH(1, (paper3[[#This Row],[id]]=[1]!phvny[id])*(paper3[[#This Row],[time]]=[1]!phvny[time]), 0))</f>
        <v>2.9966650595509945</v>
      </c>
      <c r="Y652" s="3">
        <v>1.88</v>
      </c>
      <c r="Z652" s="3">
        <v>3.19</v>
      </c>
      <c r="AA652" s="3">
        <v>4.4400000000000004</v>
      </c>
      <c r="AB652" s="3">
        <v>1.83</v>
      </c>
      <c r="AC652" s="3">
        <v>3.15</v>
      </c>
      <c r="AD652" s="3">
        <v>4.41</v>
      </c>
      <c r="AE652" s="3">
        <v>1.82</v>
      </c>
      <c r="AF652" s="3">
        <v>3.15</v>
      </c>
      <c r="AG652" s="3">
        <v>4.42</v>
      </c>
      <c r="AH652" s="44">
        <v>1.82</v>
      </c>
      <c r="AI652" s="44">
        <v>3.15</v>
      </c>
      <c r="AJ652" s="44">
        <v>4.41</v>
      </c>
      <c r="AK652" s="45">
        <v>7.936507936507935</v>
      </c>
      <c r="AL652" s="3">
        <v>9.44</v>
      </c>
      <c r="AM652" s="3">
        <v>9.36</v>
      </c>
      <c r="AN652" s="3">
        <v>9.85</v>
      </c>
      <c r="AO652" s="3">
        <v>9.83</v>
      </c>
      <c r="AP652" s="3">
        <v>9.36</v>
      </c>
      <c r="AQ652" s="47">
        <v>9.36</v>
      </c>
      <c r="AR652" s="47">
        <v>9.83</v>
      </c>
      <c r="AS652" s="3">
        <v>32.33</v>
      </c>
      <c r="AT652" s="3">
        <v>36.450000000000003</v>
      </c>
      <c r="AU652" s="3">
        <v>34.65</v>
      </c>
      <c r="AV652" s="3"/>
      <c r="AW652" s="3"/>
      <c r="AX652" s="48">
        <v>36.450000000000003</v>
      </c>
      <c r="AY652" s="71">
        <v>460</v>
      </c>
      <c r="AZ652" s="3">
        <v>11</v>
      </c>
      <c r="BA652" s="3">
        <v>430</v>
      </c>
      <c r="BB652" s="3">
        <v>6</v>
      </c>
      <c r="BC652" s="3">
        <v>306</v>
      </c>
      <c r="BD652" s="40">
        <v>1372.0258311977905</v>
      </c>
      <c r="BE652" s="40">
        <v>1267.1660525194093</v>
      </c>
      <c r="BF652" s="40"/>
      <c r="BG652" s="40">
        <v>558.08680956414696</v>
      </c>
      <c r="BH652" s="40">
        <v>502</v>
      </c>
      <c r="BI652" s="49">
        <v>2639.1918837171997</v>
      </c>
      <c r="BJ652" s="49">
        <v>1060.086809564147</v>
      </c>
      <c r="BK652" s="66">
        <v>8.2751410890385291E-2</v>
      </c>
      <c r="BL652" s="66">
        <v>0.11172671227917719</v>
      </c>
      <c r="BM652" s="51">
        <v>34.635064090776901</v>
      </c>
      <c r="BN652" s="51">
        <v>13.91190038798093</v>
      </c>
      <c r="BO652" s="52">
        <v>396</v>
      </c>
      <c r="BP652" s="40">
        <v>393</v>
      </c>
      <c r="BQ652" s="40">
        <v>396</v>
      </c>
      <c r="BR652" s="67">
        <v>-7.575757575757569E-3</v>
      </c>
      <c r="BS652" s="54">
        <v>5.1771653543307083</v>
      </c>
      <c r="BT652" s="3">
        <v>173</v>
      </c>
      <c r="BU652" s="40">
        <v>184</v>
      </c>
      <c r="BV652" s="3">
        <v>167</v>
      </c>
      <c r="BW652" s="3">
        <v>224</v>
      </c>
      <c r="BX652" s="70">
        <v>-5.9782608695652217E-2</v>
      </c>
      <c r="BY652" s="70">
        <v>-0.2544642857142857</v>
      </c>
      <c r="BZ652" s="59">
        <v>0.8214285714285714</v>
      </c>
      <c r="CA652" s="59">
        <v>1.0359281437125749</v>
      </c>
      <c r="CB652" s="59">
        <v>2.1578510498687664</v>
      </c>
      <c r="CC652" s="59">
        <v>2.3633606736657913</v>
      </c>
      <c r="CD652" s="60">
        <v>136</v>
      </c>
      <c r="CE652" s="60">
        <v>153</v>
      </c>
      <c r="CF652" s="61">
        <v>1.784776902887139</v>
      </c>
      <c r="CG652" s="61">
        <v>2.0078740157480315</v>
      </c>
      <c r="CH652" s="61">
        <v>1.125</v>
      </c>
      <c r="CI652" s="41">
        <v>15.5</v>
      </c>
      <c r="CJ652" s="40">
        <f>VLOOKUP(paper3[[#This Row],[YYIR nivå]],$DB:$DC,2)</f>
        <v>960</v>
      </c>
      <c r="CK652" s="3"/>
      <c r="CL652" s="62"/>
      <c r="CM652" s="63" t="s">
        <v>110</v>
      </c>
      <c r="CN652" s="3">
        <v>184</v>
      </c>
      <c r="CO652" s="3">
        <v>224</v>
      </c>
      <c r="CP652" s="41">
        <v>17.45</v>
      </c>
      <c r="CQ652" s="3" t="s">
        <v>110</v>
      </c>
      <c r="CR652" s="40">
        <v>178.5</v>
      </c>
      <c r="CS652" s="40">
        <v>195.5</v>
      </c>
      <c r="CT652" s="40">
        <v>394.5</v>
      </c>
      <c r="CU652" s="40"/>
      <c r="CV652" s="40"/>
      <c r="CW652" s="40"/>
      <c r="CX652" s="40"/>
      <c r="CY652" s="40" t="s">
        <v>125</v>
      </c>
      <c r="CZ652" s="40"/>
      <c r="DA652" s="40"/>
    </row>
    <row r="653" spans="1:105" ht="18.95" customHeight="1">
      <c r="A653" s="2">
        <v>527</v>
      </c>
      <c r="B653" s="38" t="s">
        <v>103</v>
      </c>
      <c r="C653" s="3" t="s">
        <v>115</v>
      </c>
      <c r="D653" s="3" t="s">
        <v>215</v>
      </c>
      <c r="E653" s="39">
        <v>45027</v>
      </c>
      <c r="F653" s="3" t="s">
        <v>186</v>
      </c>
      <c r="G653" s="3" t="s">
        <v>122</v>
      </c>
      <c r="H653" s="3">
        <v>2009</v>
      </c>
      <c r="I653" s="40" t="s">
        <v>108</v>
      </c>
      <c r="J653" s="39" t="s">
        <v>123</v>
      </c>
      <c r="K653" s="3">
        <v>183.5</v>
      </c>
      <c r="L653" s="3">
        <v>183.3</v>
      </c>
      <c r="M653" s="3"/>
      <c r="N653" s="3">
        <v>145.5</v>
      </c>
      <c r="O653" s="3">
        <v>145.5</v>
      </c>
      <c r="P653" s="3"/>
      <c r="Q653" s="3">
        <v>59.4</v>
      </c>
      <c r="R653" s="3"/>
      <c r="S653" s="3"/>
      <c r="T653" s="42">
        <v>183.4</v>
      </c>
      <c r="U653" s="42">
        <f>AVERAGE(paper3[[#This Row],[Sittende høyde 1]:[Sittende høyde 3]])-56.2</f>
        <v>89.3</v>
      </c>
      <c r="V653" s="12">
        <f>paper3[[#This Row],[height]]-paper3[[#This Row],[sittingheight]]</f>
        <v>94.100000000000009</v>
      </c>
      <c r="W653" s="73">
        <v>59.4</v>
      </c>
      <c r="X653" s="43" cm="1">
        <f t="array" ref="X653">INDEX([1]!phvny[yphv], MATCH(1, (paper3[[#This Row],[id]]=[1]!phvny[id])*(paper3[[#This Row],[time]]=[1]!phvny[time]), 0))</f>
        <v>0.62335489622100937</v>
      </c>
      <c r="Y653" s="3">
        <v>2.02</v>
      </c>
      <c r="Z653" s="3">
        <v>3.54</v>
      </c>
      <c r="AA653" s="3">
        <v>5.0199999999999996</v>
      </c>
      <c r="AB653" s="3">
        <v>2.0499999999999998</v>
      </c>
      <c r="AC653" s="3">
        <v>3.59</v>
      </c>
      <c r="AD653" s="3">
        <v>5.04</v>
      </c>
      <c r="AE653" s="3">
        <v>2.08</v>
      </c>
      <c r="AF653" s="3">
        <v>3.63</v>
      </c>
      <c r="AG653" s="3">
        <v>5.18</v>
      </c>
      <c r="AH653" s="44">
        <v>2.02</v>
      </c>
      <c r="AI653" s="44">
        <v>3.54</v>
      </c>
      <c r="AJ653" s="44">
        <v>5.0199999999999996</v>
      </c>
      <c r="AK653" s="45">
        <v>6.7567567567567588</v>
      </c>
      <c r="AL653" s="3">
        <v>11.32</v>
      </c>
      <c r="AM653" s="3">
        <v>11.44</v>
      </c>
      <c r="AN653" s="3">
        <v>11.29</v>
      </c>
      <c r="AO653" s="3">
        <v>11.15</v>
      </c>
      <c r="AP653" s="3">
        <v>11.15</v>
      </c>
      <c r="AQ653" s="47">
        <v>11.32</v>
      </c>
      <c r="AR653" s="47">
        <v>11.15</v>
      </c>
      <c r="AS653" s="3">
        <v>32.130000000000003</v>
      </c>
      <c r="AT653" s="3">
        <v>28.7</v>
      </c>
      <c r="AU653" s="3">
        <v>27.72</v>
      </c>
      <c r="AV653" s="3"/>
      <c r="AW653" s="3"/>
      <c r="AX653" s="48">
        <v>32.130000000000003</v>
      </c>
      <c r="AY653" s="71"/>
      <c r="AZ653" s="3">
        <v>12</v>
      </c>
      <c r="BA653" s="3">
        <v>210</v>
      </c>
      <c r="BB653" s="3">
        <v>9</v>
      </c>
      <c r="BC653" s="3">
        <v>209</v>
      </c>
      <c r="BD653" s="40">
        <v>820.71799660385648</v>
      </c>
      <c r="BE653" s="40">
        <v>843.31340686746546</v>
      </c>
      <c r="BF653" s="40"/>
      <c r="BG653" s="40">
        <v>311.84601279183346</v>
      </c>
      <c r="BH653" s="40">
        <v>305.95848954007209</v>
      </c>
      <c r="BI653" s="49">
        <v>1664.0314034713219</v>
      </c>
      <c r="BJ653" s="49">
        <v>617.8045023319055</v>
      </c>
      <c r="BK653" s="66">
        <v>-2.6793609682479569E-2</v>
      </c>
      <c r="BL653" s="66">
        <v>1.9242882459681754E-2</v>
      </c>
      <c r="BM653" s="51">
        <v>28.013996691436397</v>
      </c>
      <c r="BN653" s="51">
        <v>10.400749197506826</v>
      </c>
      <c r="BO653" s="52">
        <v>225</v>
      </c>
      <c r="BP653" s="40">
        <v>198</v>
      </c>
      <c r="BQ653" s="40">
        <v>225</v>
      </c>
      <c r="BR653" s="67">
        <v>-0.12</v>
      </c>
      <c r="BS653" s="54">
        <v>3.5606060606060606</v>
      </c>
      <c r="BT653" s="3">
        <v>129</v>
      </c>
      <c r="BU653" s="40">
        <v>117.25</v>
      </c>
      <c r="BV653" s="3">
        <v>124</v>
      </c>
      <c r="BW653" s="3">
        <v>126</v>
      </c>
      <c r="BX653" s="70">
        <v>0.10021321961620466</v>
      </c>
      <c r="BY653" s="70">
        <v>-1.5873015873015928E-2</v>
      </c>
      <c r="BZ653" s="59">
        <v>0.93055555555555558</v>
      </c>
      <c r="CA653" s="59">
        <v>1.0403225806451613</v>
      </c>
      <c r="CB653" s="59">
        <v>1.9505155723905727</v>
      </c>
      <c r="CC653" s="59">
        <v>1.9802188552188555</v>
      </c>
      <c r="CD653" s="60"/>
      <c r="CE653" s="60"/>
      <c r="CF653" s="61"/>
      <c r="CG653" s="61"/>
      <c r="CH653" s="61"/>
      <c r="CI653" s="41">
        <v>15.1</v>
      </c>
      <c r="CJ653" s="40">
        <f>VLOOKUP(paper3[[#This Row],[YYIR nivå]],$DB:$DC,2)</f>
        <v>800</v>
      </c>
      <c r="CK653" s="3"/>
      <c r="CL653" s="62"/>
      <c r="CM653" s="63" t="s">
        <v>110</v>
      </c>
      <c r="CN653" s="3">
        <v>129</v>
      </c>
      <c r="CO653" s="3">
        <v>126</v>
      </c>
      <c r="CP653" s="41">
        <v>14.022222222222222</v>
      </c>
      <c r="CQ653" s="3" t="s">
        <v>110</v>
      </c>
      <c r="CR653" s="40">
        <v>123.125</v>
      </c>
      <c r="CS653" s="40">
        <v>125</v>
      </c>
      <c r="CT653" s="40">
        <v>211.5</v>
      </c>
      <c r="CU653" s="40"/>
      <c r="CV653" s="40"/>
      <c r="CW653" s="40"/>
      <c r="CX653" s="40"/>
      <c r="CY653" s="40">
        <v>0</v>
      </c>
      <c r="CZ653" s="40"/>
      <c r="DA653" s="40"/>
    </row>
    <row r="654" spans="1:105" ht="18.95" customHeight="1">
      <c r="A654" s="3">
        <v>600</v>
      </c>
      <c r="B654" s="92" t="s">
        <v>199</v>
      </c>
      <c r="C654" s="3">
        <v>0</v>
      </c>
      <c r="D654" s="3" t="s">
        <v>215</v>
      </c>
      <c r="E654" s="39">
        <v>45275</v>
      </c>
      <c r="F654" s="3" t="s">
        <v>106</v>
      </c>
      <c r="G654" s="3" t="s">
        <v>107</v>
      </c>
      <c r="H654" s="3">
        <v>2009</v>
      </c>
      <c r="I654" s="40" t="s">
        <v>108</v>
      </c>
      <c r="J654" s="191" t="s">
        <v>109</v>
      </c>
      <c r="K654" s="3"/>
      <c r="L654" s="3"/>
      <c r="M654" s="3"/>
      <c r="N654" s="3"/>
      <c r="O654" s="3"/>
      <c r="P654" s="3"/>
      <c r="Q654" s="3"/>
      <c r="R654" s="3"/>
      <c r="S654" s="3"/>
      <c r="T654" s="42">
        <v>156.6</v>
      </c>
      <c r="U654" s="188">
        <v>81.8</v>
      </c>
      <c r="V654" s="12">
        <f>paper3[[#This Row],[height]]-paper3[[#This Row],[sittingheight]]</f>
        <v>74.8</v>
      </c>
      <c r="W654" s="73">
        <v>48</v>
      </c>
      <c r="X654" s="43" cm="1">
        <f t="array" ref="X654">INDEX([1]!phvny[yphv], MATCH(1, (paper3[[#This Row],[id]]=[1]!phvny[id])*(paper3[[#This Row],[time]]=[1]!phvny[time]), 0))</f>
        <v>1.5833986497241368</v>
      </c>
      <c r="Y654" s="192"/>
      <c r="Z654" s="3"/>
      <c r="AA654" s="192"/>
      <c r="AB654" s="3"/>
      <c r="AC654" s="3"/>
      <c r="AD654" s="3"/>
      <c r="AE654" s="3"/>
      <c r="AF654" s="3"/>
      <c r="AG654" s="3"/>
      <c r="AH654" s="130">
        <v>1.91</v>
      </c>
      <c r="AI654" s="193"/>
      <c r="AJ654" s="194">
        <v>4.6840000000000002</v>
      </c>
      <c r="AK654" s="130"/>
      <c r="AL654" s="3"/>
      <c r="AM654" s="3"/>
      <c r="AN654" s="3"/>
      <c r="AO654" s="3"/>
      <c r="AP654" s="137"/>
      <c r="AQ654" s="132"/>
      <c r="AR654" s="132"/>
      <c r="AS654" s="3"/>
      <c r="AT654" s="3"/>
      <c r="AU654" s="3"/>
      <c r="AV654" s="3"/>
      <c r="AW654" s="192"/>
      <c r="AX654" s="133">
        <v>28.560000000000002</v>
      </c>
      <c r="AY654" s="195"/>
      <c r="AZ654" s="40"/>
      <c r="BA654" s="40"/>
      <c r="BB654" s="40"/>
      <c r="BC654" s="40"/>
      <c r="BD654" s="135"/>
      <c r="BE654" s="135"/>
      <c r="BF654" s="40"/>
      <c r="BG654" s="135"/>
      <c r="BH654" s="135"/>
      <c r="BI654" s="49">
        <v>2124.6187596761756</v>
      </c>
      <c r="BJ654" s="49">
        <v>833.82819639003287</v>
      </c>
      <c r="BK654" s="66"/>
      <c r="BL654" s="66"/>
      <c r="BM654" s="51">
        <v>44.26289082658699</v>
      </c>
      <c r="BN654" s="51">
        <v>17.371420758125684</v>
      </c>
      <c r="BO654" s="136"/>
      <c r="BP654" s="40"/>
      <c r="BQ654" s="40"/>
      <c r="BR654" s="67"/>
      <c r="BS654" s="54"/>
      <c r="BT654" s="3"/>
      <c r="BU654" s="3"/>
      <c r="BV654" s="3"/>
      <c r="BW654" s="3"/>
      <c r="BX654" s="70"/>
      <c r="BY654" s="70"/>
      <c r="BZ654" s="59"/>
      <c r="CA654" s="59"/>
      <c r="CB654" s="59"/>
      <c r="CC654" s="59"/>
      <c r="CD654" s="60"/>
      <c r="CE654" s="60"/>
      <c r="CF654" s="61"/>
      <c r="CG654" s="61"/>
      <c r="CH654" s="61"/>
      <c r="CI654" s="41"/>
      <c r="CJ654" s="40"/>
      <c r="CK654" s="3"/>
      <c r="CL654" s="62"/>
      <c r="CM654" s="63"/>
      <c r="CN654" s="3"/>
      <c r="CO654" s="3"/>
      <c r="CP654" s="41">
        <v>14.472222222222221</v>
      </c>
      <c r="CQ654" s="3"/>
      <c r="CR654" s="40"/>
      <c r="CS654" s="40"/>
      <c r="CT654" s="40"/>
      <c r="CU654" s="40"/>
      <c r="CV654" s="40"/>
      <c r="CW654" s="40"/>
      <c r="CX654" s="40"/>
      <c r="CY654" s="40"/>
      <c r="CZ654" s="40"/>
      <c r="DA654" s="40"/>
    </row>
    <row r="655" spans="1:105" ht="18.95" customHeight="1">
      <c r="A655" s="3">
        <v>601</v>
      </c>
      <c r="B655" s="92" t="s">
        <v>199</v>
      </c>
      <c r="C655" s="3">
        <v>0</v>
      </c>
      <c r="D655" s="3" t="s">
        <v>215</v>
      </c>
      <c r="E655" s="39">
        <v>45275</v>
      </c>
      <c r="F655" s="3" t="s">
        <v>106</v>
      </c>
      <c r="G655" s="3" t="s">
        <v>107</v>
      </c>
      <c r="H655" s="3">
        <v>2009</v>
      </c>
      <c r="I655" s="40" t="s">
        <v>108</v>
      </c>
      <c r="J655" s="191" t="s">
        <v>109</v>
      </c>
      <c r="K655" s="3"/>
      <c r="L655" s="3"/>
      <c r="M655" s="3"/>
      <c r="N655" s="3"/>
      <c r="O655" s="3"/>
      <c r="P655" s="3"/>
      <c r="Q655" s="3"/>
      <c r="R655" s="3"/>
      <c r="S655" s="3"/>
      <c r="T655" s="42">
        <v>172.6</v>
      </c>
      <c r="U655" s="188">
        <v>93.35</v>
      </c>
      <c r="V655" s="12">
        <f>paper3[[#This Row],[height]]-paper3[[#This Row],[sittingheight]]</f>
        <v>79.25</v>
      </c>
      <c r="W655" s="73">
        <v>66.5</v>
      </c>
      <c r="X655" s="43" cm="1">
        <f t="array" ref="X655">INDEX([1]!phvny[yphv], MATCH(1, (paper3[[#This Row],[id]]=[1]!phvny[id])*(paper3[[#This Row],[time]]=[1]!phvny[time]), 0))</f>
        <v>2.6947968799443158</v>
      </c>
      <c r="Y655" s="192"/>
      <c r="Z655" s="3"/>
      <c r="AA655" s="192"/>
      <c r="AB655" s="3"/>
      <c r="AC655" s="3"/>
      <c r="AD655" s="3"/>
      <c r="AE655" s="3"/>
      <c r="AF655" s="3"/>
      <c r="AG655" s="3"/>
      <c r="AH655" s="194">
        <v>1.958</v>
      </c>
      <c r="AI655" s="193"/>
      <c r="AJ655" s="194">
        <v>4.8310000000000004</v>
      </c>
      <c r="AK655" s="130"/>
      <c r="AL655" s="3"/>
      <c r="AM655" s="3"/>
      <c r="AN655" s="3"/>
      <c r="AO655" s="3"/>
      <c r="AP655" s="137"/>
      <c r="AQ655" s="132"/>
      <c r="AR655" s="132"/>
      <c r="AS655" s="3"/>
      <c r="AT655" s="3"/>
      <c r="AU655" s="3"/>
      <c r="AV655" s="3"/>
      <c r="AW655" s="192"/>
      <c r="AX655" s="133">
        <v>24.66</v>
      </c>
      <c r="AY655" s="195"/>
      <c r="AZ655" s="40"/>
      <c r="BA655" s="40"/>
      <c r="BB655" s="40"/>
      <c r="BC655" s="40"/>
      <c r="BD655" s="135"/>
      <c r="BE655" s="135"/>
      <c r="BF655" s="40"/>
      <c r="BG655" s="135"/>
      <c r="BH655" s="135"/>
      <c r="BI655" s="49">
        <v>2410.8906537446128</v>
      </c>
      <c r="BJ655" s="49">
        <v>1001.4650871568853</v>
      </c>
      <c r="BK655" s="66"/>
      <c r="BL655" s="66"/>
      <c r="BM655" s="51">
        <v>36.253994793152074</v>
      </c>
      <c r="BN655" s="51">
        <v>15.05962537078023</v>
      </c>
      <c r="BO655" s="136"/>
      <c r="BP655" s="40"/>
      <c r="BQ655" s="40"/>
      <c r="BR655" s="67"/>
      <c r="BS655" s="54"/>
      <c r="BT655" s="3"/>
      <c r="BU655" s="3"/>
      <c r="BV655" s="3"/>
      <c r="BW655" s="3"/>
      <c r="BX655" s="70"/>
      <c r="BY655" s="70"/>
      <c r="BZ655" s="59"/>
      <c r="CA655" s="59"/>
      <c r="CB655" s="59"/>
      <c r="CC655" s="59"/>
      <c r="CD655" s="60"/>
      <c r="CE655" s="60"/>
      <c r="CF655" s="61"/>
      <c r="CG655" s="61"/>
      <c r="CH655" s="61"/>
      <c r="CI655" s="41"/>
      <c r="CJ655" s="40"/>
      <c r="CK655" s="3"/>
      <c r="CL655" s="62"/>
      <c r="CM655" s="63"/>
      <c r="CN655" s="3"/>
      <c r="CO655" s="3"/>
      <c r="CP655" s="41">
        <v>14.21111111111111</v>
      </c>
      <c r="CQ655" s="3"/>
      <c r="CR655" s="40"/>
      <c r="CS655" s="40"/>
      <c r="CT655" s="40"/>
      <c r="CU655" s="40"/>
      <c r="CV655" s="40"/>
      <c r="CW655" s="40"/>
      <c r="CX655" s="40"/>
      <c r="CY655" s="40"/>
      <c r="CZ655" s="40"/>
      <c r="DA655" s="40"/>
    </row>
    <row r="656" spans="1:105" ht="18.95" customHeight="1">
      <c r="A656" s="3">
        <v>603</v>
      </c>
      <c r="B656" s="92" t="s">
        <v>199</v>
      </c>
      <c r="C656" s="3">
        <v>0</v>
      </c>
      <c r="D656" s="3" t="s">
        <v>215</v>
      </c>
      <c r="E656" s="39">
        <v>45275</v>
      </c>
      <c r="F656" s="3" t="s">
        <v>106</v>
      </c>
      <c r="G656" s="3" t="s">
        <v>107</v>
      </c>
      <c r="H656" s="3">
        <v>2009</v>
      </c>
      <c r="I656" s="40" t="s">
        <v>108</v>
      </c>
      <c r="J656" s="191" t="s">
        <v>109</v>
      </c>
      <c r="K656" s="3"/>
      <c r="L656" s="3"/>
      <c r="M656" s="3"/>
      <c r="N656" s="3"/>
      <c r="O656" s="3"/>
      <c r="P656" s="3"/>
      <c r="Q656" s="3"/>
      <c r="R656" s="3"/>
      <c r="S656" s="3"/>
      <c r="T656" s="42">
        <v>166.9</v>
      </c>
      <c r="U656" s="188">
        <v>89.9</v>
      </c>
      <c r="V656" s="12">
        <f>paper3[[#This Row],[height]]-paper3[[#This Row],[sittingheight]]</f>
        <v>77</v>
      </c>
      <c r="W656" s="73">
        <v>59.3</v>
      </c>
      <c r="X656" s="43" cm="1">
        <f t="array" ref="X656">INDEX([1]!phvny[yphv], MATCH(1, (paper3[[#This Row],[id]]=[1]!phvny[id])*(paper3[[#This Row],[time]]=[1]!phvny[time]), 0))</f>
        <v>2.2153057163028431</v>
      </c>
      <c r="Y656" s="192"/>
      <c r="Z656" s="3"/>
      <c r="AA656" s="192"/>
      <c r="AB656" s="3"/>
      <c r="AC656" s="3"/>
      <c r="AD656" s="3"/>
      <c r="AE656" s="3"/>
      <c r="AF656" s="3"/>
      <c r="AG656" s="3"/>
      <c r="AH656" s="194">
        <v>1.7509999999999999</v>
      </c>
      <c r="AI656" s="193"/>
      <c r="AJ656" s="194">
        <v>4.7089999999999996</v>
      </c>
      <c r="AK656" s="130"/>
      <c r="AL656" s="3"/>
      <c r="AM656" s="3"/>
      <c r="AN656" s="3"/>
      <c r="AO656" s="3"/>
      <c r="AP656" s="137"/>
      <c r="AQ656" s="132"/>
      <c r="AR656" s="132"/>
      <c r="AS656" s="3"/>
      <c r="AT656" s="3"/>
      <c r="AU656" s="3"/>
      <c r="AV656" s="3"/>
      <c r="AW656" s="192"/>
      <c r="AX656" s="133">
        <v>25.66</v>
      </c>
      <c r="AY656" s="195"/>
      <c r="AZ656" s="40"/>
      <c r="BA656" s="40"/>
      <c r="BB656" s="40"/>
      <c r="BC656" s="40"/>
      <c r="BD656" s="135"/>
      <c r="BE656" s="135"/>
      <c r="BF656" s="40"/>
      <c r="BG656" s="135"/>
      <c r="BH656" s="135"/>
      <c r="BI656" s="49">
        <v>1977.5345023547579</v>
      </c>
      <c r="BJ656" s="49">
        <v>673.26069018437624</v>
      </c>
      <c r="BK656" s="66"/>
      <c r="BL656" s="66"/>
      <c r="BM656" s="51">
        <v>33.347967999237063</v>
      </c>
      <c r="BN656" s="51">
        <v>11.353468637173293</v>
      </c>
      <c r="BO656" s="136"/>
      <c r="BP656" s="40"/>
      <c r="BQ656" s="40"/>
      <c r="BR656" s="67"/>
      <c r="BS656" s="54"/>
      <c r="BT656" s="3"/>
      <c r="BU656" s="3"/>
      <c r="BV656" s="3"/>
      <c r="BW656" s="3"/>
      <c r="BX656" s="70"/>
      <c r="BY656" s="70"/>
      <c r="BZ656" s="59"/>
      <c r="CA656" s="59"/>
      <c r="CB656" s="59"/>
      <c r="CC656" s="59"/>
      <c r="CD656" s="60"/>
      <c r="CE656" s="60"/>
      <c r="CF656" s="61"/>
      <c r="CG656" s="61"/>
      <c r="CH656" s="61"/>
      <c r="CI656" s="41"/>
      <c r="CJ656" s="40"/>
      <c r="CK656" s="3"/>
      <c r="CL656" s="62"/>
      <c r="CM656" s="63"/>
      <c r="CN656" s="3"/>
      <c r="CO656" s="3"/>
      <c r="CP656" s="41">
        <v>14.072222222222223</v>
      </c>
      <c r="CQ656" s="3"/>
      <c r="CR656" s="40"/>
      <c r="CS656" s="40"/>
      <c r="CT656" s="40"/>
      <c r="CU656" s="40"/>
      <c r="CV656" s="40"/>
      <c r="CW656" s="40"/>
      <c r="CX656" s="40"/>
      <c r="CY656" s="40"/>
      <c r="CZ656" s="40"/>
      <c r="DA656" s="40"/>
    </row>
    <row r="657" spans="1:105" ht="18.95" customHeight="1">
      <c r="A657" s="3">
        <v>604</v>
      </c>
      <c r="B657" s="92" t="s">
        <v>199</v>
      </c>
      <c r="C657" s="3">
        <v>0</v>
      </c>
      <c r="D657" s="3" t="s">
        <v>215</v>
      </c>
      <c r="E657" s="39">
        <v>45275</v>
      </c>
      <c r="F657" s="3" t="s">
        <v>106</v>
      </c>
      <c r="G657" s="3" t="s">
        <v>107</v>
      </c>
      <c r="H657" s="3">
        <v>2009</v>
      </c>
      <c r="I657" s="40" t="s">
        <v>108</v>
      </c>
      <c r="J657" s="191" t="s">
        <v>109</v>
      </c>
      <c r="K657" s="3"/>
      <c r="L657" s="3"/>
      <c r="M657" s="3"/>
      <c r="N657" s="3"/>
      <c r="O657" s="3"/>
      <c r="P657" s="3"/>
      <c r="Q657" s="3"/>
      <c r="R657" s="3"/>
      <c r="S657" s="3"/>
      <c r="T657" s="42">
        <v>165.55</v>
      </c>
      <c r="U657" s="188">
        <v>88.35</v>
      </c>
      <c r="V657" s="12">
        <f>paper3[[#This Row],[height]]-paper3[[#This Row],[sittingheight]]</f>
        <v>77.200000000000017</v>
      </c>
      <c r="W657" s="73">
        <v>64.599999999999994</v>
      </c>
      <c r="X657" s="43" cm="1">
        <f t="array" ref="X657">INDEX([1]!phvny[yphv], MATCH(1, (paper3[[#This Row],[id]]=[1]!phvny[id])*(paper3[[#This Row],[time]]=[1]!phvny[time]), 0))</f>
        <v>2.5409308836502835</v>
      </c>
      <c r="Y657" s="192"/>
      <c r="Z657" s="3"/>
      <c r="AA657" s="192"/>
      <c r="AB657" s="3"/>
      <c r="AC657" s="3"/>
      <c r="AD657" s="3"/>
      <c r="AE657" s="3"/>
      <c r="AF657" s="3"/>
      <c r="AG657" s="3"/>
      <c r="AH657" s="194"/>
      <c r="AI657" s="193"/>
      <c r="AJ657" s="194"/>
      <c r="AK657" s="130"/>
      <c r="AL657" s="3"/>
      <c r="AM657" s="3"/>
      <c r="AN657" s="3"/>
      <c r="AO657" s="3"/>
      <c r="AP657" s="137"/>
      <c r="AQ657" s="132"/>
      <c r="AR657" s="132"/>
      <c r="AS657" s="3"/>
      <c r="AT657" s="3"/>
      <c r="AU657" s="3"/>
      <c r="AV657" s="3"/>
      <c r="AW657" s="192"/>
      <c r="AX657" s="133"/>
      <c r="AY657" s="195"/>
      <c r="AZ657" s="40"/>
      <c r="BA657" s="40"/>
      <c r="BB657" s="40"/>
      <c r="BC657" s="40"/>
      <c r="BD657" s="135"/>
      <c r="BE657" s="135"/>
      <c r="BF657" s="40"/>
      <c r="BG657" s="135"/>
      <c r="BH657" s="135"/>
      <c r="BI657" s="49"/>
      <c r="BJ657" s="49"/>
      <c r="BK657" s="66"/>
      <c r="BL657" s="66"/>
      <c r="BM657" s="51"/>
      <c r="BN657" s="51"/>
      <c r="BO657" s="136"/>
      <c r="BP657" s="40"/>
      <c r="BQ657" s="40"/>
      <c r="BR657" s="67"/>
      <c r="BS657" s="54"/>
      <c r="BT657" s="3"/>
      <c r="BU657" s="3"/>
      <c r="BV657" s="3"/>
      <c r="BW657" s="3"/>
      <c r="BX657" s="70"/>
      <c r="BY657" s="70"/>
      <c r="BZ657" s="59"/>
      <c r="CA657" s="59"/>
      <c r="CB657" s="59"/>
      <c r="CC657" s="59"/>
      <c r="CD657" s="60"/>
      <c r="CE657" s="60"/>
      <c r="CF657" s="61"/>
      <c r="CG657" s="61"/>
      <c r="CH657" s="61"/>
      <c r="CI657" s="41"/>
      <c r="CJ657" s="40"/>
      <c r="CK657" s="3"/>
      <c r="CL657" s="62"/>
      <c r="CM657" s="63"/>
      <c r="CN657" s="3"/>
      <c r="CO657" s="3"/>
      <c r="CP657" s="41">
        <v>14.841666666666667</v>
      </c>
      <c r="CQ657" s="3"/>
      <c r="CR657" s="40"/>
      <c r="CS657" s="40"/>
      <c r="CT657" s="40"/>
      <c r="CU657" s="40"/>
      <c r="CV657" s="40"/>
      <c r="CW657" s="40"/>
      <c r="CX657" s="40"/>
      <c r="CY657" s="40"/>
      <c r="CZ657" s="40"/>
      <c r="DA657" s="40"/>
    </row>
    <row r="658" spans="1:105" ht="18.95" customHeight="1">
      <c r="A658" s="3">
        <v>605</v>
      </c>
      <c r="B658" s="92" t="s">
        <v>199</v>
      </c>
      <c r="C658" s="3">
        <v>0</v>
      </c>
      <c r="D658" s="3" t="s">
        <v>215</v>
      </c>
      <c r="E658" s="39">
        <v>45258</v>
      </c>
      <c r="F658" s="3" t="s">
        <v>106</v>
      </c>
      <c r="G658" s="3" t="s">
        <v>122</v>
      </c>
      <c r="H658" s="3">
        <v>2009</v>
      </c>
      <c r="I658" s="40" t="s">
        <v>108</v>
      </c>
      <c r="J658" s="191" t="s">
        <v>123</v>
      </c>
      <c r="K658" s="3"/>
      <c r="L658" s="3"/>
      <c r="M658" s="3"/>
      <c r="N658" s="3"/>
      <c r="O658" s="3"/>
      <c r="P658" s="3"/>
      <c r="Q658" s="3"/>
      <c r="R658" s="3"/>
      <c r="S658" s="3"/>
      <c r="T658" s="42">
        <v>174.6</v>
      </c>
      <c r="U658" s="188">
        <v>90.35</v>
      </c>
      <c r="V658" s="12">
        <f>paper3[[#This Row],[height]]-paper3[[#This Row],[sittingheight]]</f>
        <v>84.25</v>
      </c>
      <c r="W658" s="73">
        <v>55.9</v>
      </c>
      <c r="X658" s="43" cm="1">
        <f t="array" ref="X658">INDEX([1]!phvny[yphv], MATCH(1, (paper3[[#This Row],[id]]=[1]!phvny[id])*(paper3[[#This Row],[time]]=[1]!phvny[time]), 0))</f>
        <v>1.093396961665233</v>
      </c>
      <c r="Y658" s="192"/>
      <c r="Z658" s="3"/>
      <c r="AA658" s="192"/>
      <c r="AB658" s="3"/>
      <c r="AC658" s="196"/>
      <c r="AD658" s="3"/>
      <c r="AE658" s="3"/>
      <c r="AF658" s="3"/>
      <c r="AG658" s="3"/>
      <c r="AH658" s="193">
        <v>1.7289999999999999</v>
      </c>
      <c r="AI658" s="193"/>
      <c r="AJ658" s="194">
        <v>4.63</v>
      </c>
      <c r="AK658" s="130"/>
      <c r="AL658" s="3"/>
      <c r="AM658" s="3"/>
      <c r="AN658" s="3"/>
      <c r="AO658" s="3"/>
      <c r="AP658" s="137">
        <v>10.360000000000001</v>
      </c>
      <c r="AQ658" s="132"/>
      <c r="AR658" s="132"/>
      <c r="AS658" s="3"/>
      <c r="AT658" s="3"/>
      <c r="AU658" s="3"/>
      <c r="AV658" s="3"/>
      <c r="AW658" s="192"/>
      <c r="AX658" s="133">
        <v>29.96</v>
      </c>
      <c r="AY658" s="195"/>
      <c r="AZ658" s="40"/>
      <c r="BA658" s="40"/>
      <c r="BB658" s="40"/>
      <c r="BC658" s="40"/>
      <c r="BD658" s="135"/>
      <c r="BE658" s="135"/>
      <c r="BF658" s="40"/>
      <c r="BG658" s="135"/>
      <c r="BH658" s="135"/>
      <c r="BI658" s="49">
        <v>1741.9175287115288</v>
      </c>
      <c r="BJ658" s="49">
        <v>640.47954340401748</v>
      </c>
      <c r="BK658" s="66"/>
      <c r="BL658" s="66"/>
      <c r="BM658" s="51">
        <v>31.161315361565812</v>
      </c>
      <c r="BN658" s="51">
        <v>11.457594694168471</v>
      </c>
      <c r="BO658" s="136"/>
      <c r="BP658" s="40"/>
      <c r="BQ658" s="40"/>
      <c r="BR658" s="67"/>
      <c r="BS658" s="54"/>
      <c r="BT658" s="3"/>
      <c r="BU658" s="3"/>
      <c r="BV658" s="3"/>
      <c r="BW658" s="3"/>
      <c r="BX658" s="70"/>
      <c r="BY658" s="70"/>
      <c r="BZ658" s="59"/>
      <c r="CA658" s="59"/>
      <c r="CB658" s="59"/>
      <c r="CC658" s="59"/>
      <c r="CD658" s="60"/>
      <c r="CE658" s="60"/>
      <c r="CF658" s="61"/>
      <c r="CG658" s="61"/>
      <c r="CH658" s="61"/>
      <c r="CI658" s="41">
        <v>15.7</v>
      </c>
      <c r="CJ658" s="40">
        <v>1040</v>
      </c>
      <c r="CK658" s="3"/>
      <c r="CL658" s="62"/>
      <c r="CM658" s="63"/>
      <c r="CN658" s="3"/>
      <c r="CO658" s="3"/>
      <c r="CP658" s="41">
        <v>14.719444444444445</v>
      </c>
      <c r="CQ658" s="3"/>
      <c r="CR658" s="40"/>
      <c r="CS658" s="40"/>
      <c r="CT658" s="40"/>
      <c r="CU658" s="40"/>
      <c r="CV658" s="40"/>
      <c r="CW658" s="40"/>
      <c r="CX658" s="40"/>
      <c r="CY658" s="40"/>
      <c r="CZ658" s="40"/>
      <c r="DA658" s="40"/>
    </row>
    <row r="659" spans="1:105" ht="18.95" customHeight="1">
      <c r="A659" s="3">
        <v>606</v>
      </c>
      <c r="B659" s="92" t="s">
        <v>199</v>
      </c>
      <c r="C659" s="3">
        <v>0</v>
      </c>
      <c r="D659" s="3" t="s">
        <v>215</v>
      </c>
      <c r="E659" s="39">
        <v>45258</v>
      </c>
      <c r="F659" s="3" t="s">
        <v>106</v>
      </c>
      <c r="G659" s="3" t="s">
        <v>122</v>
      </c>
      <c r="H659" s="3">
        <v>2009</v>
      </c>
      <c r="I659" s="40" t="s">
        <v>108</v>
      </c>
      <c r="J659" s="191" t="s">
        <v>123</v>
      </c>
      <c r="K659" s="3"/>
      <c r="L659" s="3"/>
      <c r="M659" s="3"/>
      <c r="N659" s="3"/>
      <c r="O659" s="3"/>
      <c r="P659" s="3"/>
      <c r="Q659" s="3"/>
      <c r="R659" s="3"/>
      <c r="S659" s="3"/>
      <c r="T659" s="42">
        <v>172</v>
      </c>
      <c r="U659" s="188">
        <v>90.75</v>
      </c>
      <c r="V659" s="12">
        <f>paper3[[#This Row],[height]]-paper3[[#This Row],[sittingheight]]</f>
        <v>81.25</v>
      </c>
      <c r="W659" s="73">
        <v>54.8</v>
      </c>
      <c r="X659" s="43" cm="1">
        <f t="array" ref="X659">INDEX([1]!phvny[yphv], MATCH(1, (paper3[[#This Row],[id]]=[1]!phvny[id])*(paper3[[#This Row],[time]]=[1]!phvny[time]), 0))</f>
        <v>0.94192235560400561</v>
      </c>
      <c r="Y659" s="192"/>
      <c r="Z659" s="3"/>
      <c r="AA659" s="192"/>
      <c r="AB659" s="3"/>
      <c r="AC659" s="197"/>
      <c r="AD659" s="3"/>
      <c r="AE659" s="3"/>
      <c r="AF659" s="3"/>
      <c r="AG659" s="3"/>
      <c r="AH659" s="194">
        <v>1.843</v>
      </c>
      <c r="AI659" s="193"/>
      <c r="AJ659" s="194">
        <v>4.641</v>
      </c>
      <c r="AK659" s="130"/>
      <c r="AL659" s="3"/>
      <c r="AM659" s="3"/>
      <c r="AN659" s="3"/>
      <c r="AO659" s="3"/>
      <c r="AP659" s="137">
        <v>9.7800000000000011</v>
      </c>
      <c r="AQ659" s="132"/>
      <c r="AR659" s="132"/>
      <c r="AS659" s="3"/>
      <c r="AT659" s="3"/>
      <c r="AU659" s="3"/>
      <c r="AV659" s="3"/>
      <c r="AW659" s="192"/>
      <c r="AX659" s="133">
        <v>36.26</v>
      </c>
      <c r="AY659" s="195"/>
      <c r="AZ659" s="40"/>
      <c r="BA659" s="40"/>
      <c r="BB659" s="40"/>
      <c r="BC659" s="40"/>
      <c r="BD659" s="135"/>
      <c r="BE659" s="135"/>
      <c r="BF659" s="40"/>
      <c r="BG659" s="135"/>
      <c r="BH659" s="135"/>
      <c r="BI659" s="49"/>
      <c r="BJ659" s="49"/>
      <c r="BK659" s="66"/>
      <c r="BL659" s="66"/>
      <c r="BM659" s="51"/>
      <c r="BN659" s="51"/>
      <c r="BO659" s="136"/>
      <c r="BP659" s="40"/>
      <c r="BQ659" s="40"/>
      <c r="BR659" s="67"/>
      <c r="BS659" s="54"/>
      <c r="BT659" s="3"/>
      <c r="BU659" s="3"/>
      <c r="BV659" s="3"/>
      <c r="BW659" s="3"/>
      <c r="BX659" s="70"/>
      <c r="BY659" s="70"/>
      <c r="BZ659" s="59"/>
      <c r="CA659" s="59"/>
      <c r="CB659" s="59"/>
      <c r="CC659" s="59"/>
      <c r="CD659" s="60"/>
      <c r="CE659" s="60"/>
      <c r="CF659" s="61"/>
      <c r="CG659" s="61"/>
      <c r="CH659" s="61"/>
      <c r="CI659" s="41">
        <v>16.100000000000001</v>
      </c>
      <c r="CJ659" s="40">
        <v>1120</v>
      </c>
      <c r="CK659" s="3"/>
      <c r="CL659" s="62"/>
      <c r="CM659" s="63"/>
      <c r="CN659" s="3"/>
      <c r="CO659" s="3"/>
      <c r="CP659" s="41">
        <v>14.33611111111111</v>
      </c>
      <c r="CQ659" s="3"/>
      <c r="CR659" s="40"/>
      <c r="CS659" s="40"/>
      <c r="CT659" s="40"/>
      <c r="CU659" s="40"/>
      <c r="CV659" s="40"/>
      <c r="CW659" s="40"/>
      <c r="CX659" s="40"/>
      <c r="CY659" s="40"/>
      <c r="CZ659" s="40"/>
      <c r="DA659" s="40"/>
    </row>
    <row r="660" spans="1:105" ht="18.95" customHeight="1">
      <c r="A660" s="3">
        <v>607</v>
      </c>
      <c r="B660" s="92" t="s">
        <v>199</v>
      </c>
      <c r="C660" s="3">
        <v>0</v>
      </c>
      <c r="D660" s="3" t="s">
        <v>215</v>
      </c>
      <c r="E660" s="39">
        <v>45258</v>
      </c>
      <c r="F660" s="3" t="s">
        <v>106</v>
      </c>
      <c r="G660" s="3" t="s">
        <v>122</v>
      </c>
      <c r="H660" s="3">
        <v>2009</v>
      </c>
      <c r="I660" s="40" t="s">
        <v>108</v>
      </c>
      <c r="J660" s="191" t="s">
        <v>123</v>
      </c>
      <c r="K660" s="3"/>
      <c r="L660" s="3"/>
      <c r="M660" s="3"/>
      <c r="N660" s="3"/>
      <c r="O660" s="3"/>
      <c r="P660" s="3"/>
      <c r="Q660" s="3"/>
      <c r="R660" s="3"/>
      <c r="S660" s="3"/>
      <c r="T660" s="42">
        <v>169</v>
      </c>
      <c r="U660" s="188">
        <v>81.8</v>
      </c>
      <c r="V660" s="12">
        <f>paper3[[#This Row],[height]]-paper3[[#This Row],[sittingheight]]</f>
        <v>87.2</v>
      </c>
      <c r="W660" s="73">
        <v>69</v>
      </c>
      <c r="X660" s="43" cm="1">
        <f t="array" ref="X660">INDEX([1]!phvny[yphv], MATCH(1, (paper3[[#This Row],[id]]=[1]!phvny[id])*(paper3[[#This Row],[time]]=[1]!phvny[time]), 0))</f>
        <v>0.22611679024851983</v>
      </c>
      <c r="Y660" s="192"/>
      <c r="Z660" s="3"/>
      <c r="AA660" s="192"/>
      <c r="AB660" s="3"/>
      <c r="AC660" s="197"/>
      <c r="AD660" s="3"/>
      <c r="AE660" s="3"/>
      <c r="AF660" s="3"/>
      <c r="AG660" s="3"/>
      <c r="AH660" s="194">
        <v>2.0620000000000003</v>
      </c>
      <c r="AI660" s="193"/>
      <c r="AJ660" s="194">
        <v>5.1129999999999995</v>
      </c>
      <c r="AK660" s="130"/>
      <c r="AL660" s="3"/>
      <c r="AM660" s="3"/>
      <c r="AN660" s="3"/>
      <c r="AO660" s="3"/>
      <c r="AP660" s="137"/>
      <c r="AQ660" s="132"/>
      <c r="AR660" s="132"/>
      <c r="AS660" s="3"/>
      <c r="AT660" s="3"/>
      <c r="AU660" s="3"/>
      <c r="AV660" s="3"/>
      <c r="AW660" s="192"/>
      <c r="AX660" s="133">
        <v>24.46</v>
      </c>
      <c r="AY660" s="195"/>
      <c r="AZ660" s="40"/>
      <c r="BA660" s="40"/>
      <c r="BB660" s="40"/>
      <c r="BC660" s="40"/>
      <c r="BD660" s="135"/>
      <c r="BE660" s="135"/>
      <c r="BF660" s="40"/>
      <c r="BG660" s="135"/>
      <c r="BH660" s="135"/>
      <c r="BI660" s="49">
        <v>2270.9532678079249</v>
      </c>
      <c r="BJ660" s="49">
        <v>845.83486514107312</v>
      </c>
      <c r="BK660" s="66"/>
      <c r="BL660" s="66"/>
      <c r="BM660" s="51">
        <v>32.912366200114853</v>
      </c>
      <c r="BN660" s="51">
        <v>12.258476306392364</v>
      </c>
      <c r="BO660" s="136"/>
      <c r="BP660" s="40"/>
      <c r="BQ660" s="40"/>
      <c r="BR660" s="67"/>
      <c r="BS660" s="54"/>
      <c r="BT660" s="3"/>
      <c r="BU660" s="3"/>
      <c r="BV660" s="3"/>
      <c r="BW660" s="3"/>
      <c r="BX660" s="70"/>
      <c r="BY660" s="70"/>
      <c r="BZ660" s="59"/>
      <c r="CA660" s="59"/>
      <c r="CB660" s="59"/>
      <c r="CC660" s="59"/>
      <c r="CD660" s="60"/>
      <c r="CE660" s="60"/>
      <c r="CF660" s="61"/>
      <c r="CG660" s="61"/>
      <c r="CH660" s="61"/>
      <c r="CI660" s="41"/>
      <c r="CJ660" s="40"/>
      <c r="CK660" s="3"/>
      <c r="CL660" s="62"/>
      <c r="CM660" s="63"/>
      <c r="CN660" s="3"/>
      <c r="CO660" s="3"/>
      <c r="CP660" s="41">
        <v>14.811111111111112</v>
      </c>
      <c r="CQ660" s="3"/>
      <c r="CR660" s="40"/>
      <c r="CS660" s="40"/>
      <c r="CT660" s="40"/>
      <c r="CU660" s="40"/>
      <c r="CV660" s="40"/>
      <c r="CW660" s="40"/>
      <c r="CX660" s="40"/>
      <c r="CY660" s="40"/>
      <c r="CZ660" s="40"/>
      <c r="DA660" s="40"/>
    </row>
    <row r="661" spans="1:105" ht="18.95" customHeight="1">
      <c r="A661" s="3">
        <v>610</v>
      </c>
      <c r="B661" s="92" t="s">
        <v>199</v>
      </c>
      <c r="C661" s="3">
        <v>0</v>
      </c>
      <c r="D661" s="3" t="s">
        <v>215</v>
      </c>
      <c r="E661" s="39">
        <v>45258</v>
      </c>
      <c r="F661" s="3" t="s">
        <v>106</v>
      </c>
      <c r="G661" s="3" t="s">
        <v>122</v>
      </c>
      <c r="H661" s="3">
        <v>2009</v>
      </c>
      <c r="I661" s="40" t="s">
        <v>108</v>
      </c>
      <c r="J661" s="191" t="s">
        <v>123</v>
      </c>
      <c r="K661" s="3"/>
      <c r="L661" s="3"/>
      <c r="M661" s="3"/>
      <c r="N661" s="3"/>
      <c r="O661" s="3"/>
      <c r="P661" s="3"/>
      <c r="Q661" s="3"/>
      <c r="R661" s="3"/>
      <c r="S661" s="3"/>
      <c r="T661" s="42">
        <v>172</v>
      </c>
      <c r="U661" s="188">
        <v>88.45</v>
      </c>
      <c r="V661" s="12">
        <f>paper3[[#This Row],[height]]-paper3[[#This Row],[sittingheight]]</f>
        <v>83.55</v>
      </c>
      <c r="W661" s="73">
        <v>52</v>
      </c>
      <c r="X661" s="43" cm="1">
        <f t="array" ref="X661">INDEX([1]!phvny[yphv], MATCH(1, (paper3[[#This Row],[id]]=[1]!phvny[id])*(paper3[[#This Row],[time]]=[1]!phvny[time]), 0))</f>
        <v>0.86043528430813954</v>
      </c>
      <c r="Y661" s="192"/>
      <c r="Z661" s="3"/>
      <c r="AA661" s="192"/>
      <c r="AB661" s="3"/>
      <c r="AC661" s="197"/>
      <c r="AD661" s="3"/>
      <c r="AE661" s="3"/>
      <c r="AF661" s="3"/>
      <c r="AG661" s="3"/>
      <c r="AH661" s="193">
        <v>1.9239999999999999</v>
      </c>
      <c r="AI661" s="193"/>
      <c r="AJ661" s="194">
        <v>4.8179999999999996</v>
      </c>
      <c r="AK661" s="130"/>
      <c r="AL661" s="3"/>
      <c r="AM661" s="3"/>
      <c r="AN661" s="3"/>
      <c r="AO661" s="3"/>
      <c r="AP661" s="137">
        <v>10.190000000000001</v>
      </c>
      <c r="AQ661" s="132"/>
      <c r="AR661" s="132"/>
      <c r="AS661" s="3"/>
      <c r="AT661" s="3"/>
      <c r="AU661" s="3"/>
      <c r="AV661" s="3"/>
      <c r="AW661" s="192"/>
      <c r="AX661" s="133">
        <v>27.36</v>
      </c>
      <c r="AY661" s="195"/>
      <c r="AZ661" s="40"/>
      <c r="BA661" s="40"/>
      <c r="BB661" s="40"/>
      <c r="BC661" s="40"/>
      <c r="BD661" s="135"/>
      <c r="BE661" s="135"/>
      <c r="BF661" s="40"/>
      <c r="BG661" s="135"/>
      <c r="BH661" s="135"/>
      <c r="BI661" s="49">
        <v>1840.5575206502158</v>
      </c>
      <c r="BJ661" s="49">
        <v>786.10044787850347</v>
      </c>
      <c r="BK661" s="66"/>
      <c r="BL661" s="66"/>
      <c r="BM661" s="51">
        <v>35.395336935581071</v>
      </c>
      <c r="BN661" s="51">
        <v>15.117316305355835</v>
      </c>
      <c r="BO661" s="136"/>
      <c r="BP661" s="40"/>
      <c r="BQ661" s="40"/>
      <c r="BR661" s="67"/>
      <c r="BS661" s="54"/>
      <c r="BT661" s="3"/>
      <c r="BU661" s="3"/>
      <c r="BV661" s="3"/>
      <c r="BW661" s="3"/>
      <c r="BX661" s="70"/>
      <c r="BY661" s="70"/>
      <c r="BZ661" s="59"/>
      <c r="CA661" s="59"/>
      <c r="CB661" s="59"/>
      <c r="CC661" s="59"/>
      <c r="CD661" s="60"/>
      <c r="CE661" s="60"/>
      <c r="CF661" s="61"/>
      <c r="CG661" s="61"/>
      <c r="CH661" s="61"/>
      <c r="CI661" s="41">
        <v>14.7</v>
      </c>
      <c r="CJ661" s="40">
        <v>720</v>
      </c>
      <c r="CK661" s="3"/>
      <c r="CL661" s="62"/>
      <c r="CM661" s="63"/>
      <c r="CN661" s="3"/>
      <c r="CO661" s="3"/>
      <c r="CP661" s="41">
        <v>14.824999999999999</v>
      </c>
      <c r="CQ661" s="3"/>
      <c r="CR661" s="40"/>
      <c r="CS661" s="40"/>
      <c r="CT661" s="40"/>
      <c r="CU661" s="40"/>
      <c r="CV661" s="40"/>
      <c r="CW661" s="40"/>
      <c r="CX661" s="40"/>
      <c r="CY661" s="40"/>
      <c r="CZ661" s="40"/>
      <c r="DA661" s="40"/>
    </row>
    <row r="662" spans="1:105" ht="18.95" customHeight="1">
      <c r="A662" s="3">
        <v>612</v>
      </c>
      <c r="B662" s="92" t="s">
        <v>199</v>
      </c>
      <c r="C662" s="3">
        <v>0</v>
      </c>
      <c r="D662" s="3" t="s">
        <v>215</v>
      </c>
      <c r="E662" s="39">
        <v>45258</v>
      </c>
      <c r="F662" s="3" t="s">
        <v>106</v>
      </c>
      <c r="G662" s="3" t="s">
        <v>122</v>
      </c>
      <c r="H662" s="3">
        <v>2009</v>
      </c>
      <c r="I662" s="40" t="s">
        <v>108</v>
      </c>
      <c r="J662" s="191" t="s">
        <v>123</v>
      </c>
      <c r="K662" s="3"/>
      <c r="L662" s="3"/>
      <c r="M662" s="3"/>
      <c r="N662" s="3"/>
      <c r="O662" s="3"/>
      <c r="P662" s="3"/>
      <c r="Q662" s="3"/>
      <c r="R662" s="3"/>
      <c r="S662" s="3"/>
      <c r="T662" s="42">
        <v>182</v>
      </c>
      <c r="U662" s="188">
        <v>93.3</v>
      </c>
      <c r="V662" s="12">
        <f>paper3[[#This Row],[height]]-paper3[[#This Row],[sittingheight]]</f>
        <v>88.7</v>
      </c>
      <c r="W662" s="73">
        <v>62.8</v>
      </c>
      <c r="X662" s="43" cm="1">
        <f t="array" ref="X662">INDEX([1]!phvny[yphv], MATCH(1, (paper3[[#This Row],[id]]=[1]!phvny[id])*(paper3[[#This Row],[time]]=[1]!phvny[time]), 0))</f>
        <v>1.5550437328992661</v>
      </c>
      <c r="Y662" s="192"/>
      <c r="Z662" s="3"/>
      <c r="AA662" s="192"/>
      <c r="AB662" s="3"/>
      <c r="AC662" s="3"/>
      <c r="AD662" s="3"/>
      <c r="AE662" s="3"/>
      <c r="AF662" s="3"/>
      <c r="AG662" s="3"/>
      <c r="AH662" s="194">
        <v>1.9629999999999999</v>
      </c>
      <c r="AI662" s="193"/>
      <c r="AJ662" s="194">
        <v>4.8150000000000004</v>
      </c>
      <c r="AK662" s="130"/>
      <c r="AL662" s="3"/>
      <c r="AM662" s="3"/>
      <c r="AN662" s="3"/>
      <c r="AO662" s="3"/>
      <c r="AP662" s="137"/>
      <c r="AQ662" s="132"/>
      <c r="AR662" s="132"/>
      <c r="AS662" s="3"/>
      <c r="AT662" s="3"/>
      <c r="AU662" s="3"/>
      <c r="AV662" s="3"/>
      <c r="AW662" s="192"/>
      <c r="AX662" s="133">
        <v>30.66</v>
      </c>
      <c r="AY662" s="195"/>
      <c r="AZ662" s="40"/>
      <c r="BA662" s="40"/>
      <c r="BB662" s="40"/>
      <c r="BC662" s="40"/>
      <c r="BD662" s="135"/>
      <c r="BE662" s="135"/>
      <c r="BF662" s="40"/>
      <c r="BG662" s="135"/>
      <c r="BH662" s="135"/>
      <c r="BI662" s="49">
        <v>2333.8560171016129</v>
      </c>
      <c r="BJ662" s="49">
        <v>1048.504567093195</v>
      </c>
      <c r="BK662" s="66"/>
      <c r="BL662" s="66"/>
      <c r="BM662" s="51">
        <v>37.163312374229506</v>
      </c>
      <c r="BN662" s="51">
        <v>16.695932597025397</v>
      </c>
      <c r="BO662" s="136"/>
      <c r="BP662" s="40"/>
      <c r="BQ662" s="40"/>
      <c r="BR662" s="67"/>
      <c r="BS662" s="54"/>
      <c r="BT662" s="3"/>
      <c r="BU662" s="3"/>
      <c r="BV662" s="3"/>
      <c r="BW662" s="3"/>
      <c r="BX662" s="70"/>
      <c r="BY662" s="70"/>
      <c r="BZ662" s="59"/>
      <c r="CA662" s="59"/>
      <c r="CB662" s="59"/>
      <c r="CC662" s="59"/>
      <c r="CD662" s="60"/>
      <c r="CE662" s="60"/>
      <c r="CF662" s="61"/>
      <c r="CG662" s="61"/>
      <c r="CH662" s="61"/>
      <c r="CI662" s="41"/>
      <c r="CJ662" s="40"/>
      <c r="CK662" s="3"/>
      <c r="CL662" s="62"/>
      <c r="CM662" s="63"/>
      <c r="CN662" s="3"/>
      <c r="CO662" s="3"/>
      <c r="CP662" s="41">
        <v>14.758333333333333</v>
      </c>
      <c r="CQ662" s="3"/>
      <c r="CR662" s="40"/>
      <c r="CS662" s="40"/>
      <c r="CT662" s="40"/>
      <c r="CU662" s="40"/>
      <c r="CV662" s="40"/>
      <c r="CW662" s="40"/>
      <c r="CX662" s="40"/>
      <c r="CY662" s="40"/>
      <c r="CZ662" s="40"/>
      <c r="DA662" s="40"/>
    </row>
    <row r="663" spans="1:105" ht="18.95" customHeight="1">
      <c r="A663" s="3">
        <v>613</v>
      </c>
      <c r="B663" s="92" t="s">
        <v>199</v>
      </c>
      <c r="C663" s="3">
        <v>0</v>
      </c>
      <c r="D663" s="3" t="s">
        <v>215</v>
      </c>
      <c r="E663" s="39">
        <v>45258</v>
      </c>
      <c r="F663" s="3" t="s">
        <v>106</v>
      </c>
      <c r="G663" s="3" t="s">
        <v>122</v>
      </c>
      <c r="H663" s="3">
        <v>2009</v>
      </c>
      <c r="I663" s="40" t="s">
        <v>108</v>
      </c>
      <c r="J663" s="191" t="s">
        <v>123</v>
      </c>
      <c r="K663" s="3"/>
      <c r="L663" s="3"/>
      <c r="M663" s="3"/>
      <c r="N663" s="3"/>
      <c r="O663" s="3"/>
      <c r="P663" s="3"/>
      <c r="Q663" s="3"/>
      <c r="R663" s="3"/>
      <c r="S663" s="3"/>
      <c r="T663" s="42">
        <v>179.2</v>
      </c>
      <c r="U663" s="188">
        <v>93.8</v>
      </c>
      <c r="V663" s="12">
        <f>paper3[[#This Row],[height]]-paper3[[#This Row],[sittingheight]]</f>
        <v>85.399999999999991</v>
      </c>
      <c r="W663" s="73">
        <v>65.2</v>
      </c>
      <c r="X663" s="43" cm="1">
        <f t="array" ref="X663">INDEX([1]!phvny[yphv], MATCH(1, (paper3[[#This Row],[id]]=[1]!phvny[id])*(paper3[[#This Row],[time]]=[1]!phvny[time]), 0))</f>
        <v>1.2846502255238099</v>
      </c>
      <c r="Y663" s="192"/>
      <c r="Z663" s="3"/>
      <c r="AA663" s="192"/>
      <c r="AB663" s="3"/>
      <c r="AC663" s="3"/>
      <c r="AD663" s="3"/>
      <c r="AE663" s="3"/>
      <c r="AF663" s="3"/>
      <c r="AG663" s="3"/>
      <c r="AH663" s="194">
        <v>1.89</v>
      </c>
      <c r="AI663" s="193"/>
      <c r="AJ663" s="194">
        <v>4.7240000000000002</v>
      </c>
      <c r="AK663" s="130"/>
      <c r="AL663" s="3"/>
      <c r="AM663" s="3"/>
      <c r="AN663" s="3"/>
      <c r="AO663" s="3"/>
      <c r="AP663" s="137">
        <v>10.350000000000001</v>
      </c>
      <c r="AQ663" s="132"/>
      <c r="AR663" s="132"/>
      <c r="AS663" s="3"/>
      <c r="AT663" s="3"/>
      <c r="AU663" s="3"/>
      <c r="AV663" s="3"/>
      <c r="AW663" s="192"/>
      <c r="AX663" s="133">
        <v>24.76</v>
      </c>
      <c r="AY663" s="195"/>
      <c r="AZ663" s="40"/>
      <c r="BA663" s="40"/>
      <c r="BB663" s="40"/>
      <c r="BC663" s="40"/>
      <c r="BD663" s="135"/>
      <c r="BE663" s="135"/>
      <c r="BF663" s="40"/>
      <c r="BG663" s="135"/>
      <c r="BH663" s="135"/>
      <c r="BI663" s="49">
        <v>2350.3730924820011</v>
      </c>
      <c r="BJ663" s="49">
        <v>972.74344034560272</v>
      </c>
      <c r="BK663" s="66"/>
      <c r="BL663" s="66"/>
      <c r="BM663" s="51">
        <v>36.048667062607379</v>
      </c>
      <c r="BN663" s="51">
        <v>14.919377919411083</v>
      </c>
      <c r="BO663" s="136"/>
      <c r="BP663" s="40"/>
      <c r="BQ663" s="40"/>
      <c r="BR663" s="67"/>
      <c r="BS663" s="54"/>
      <c r="BT663" s="3"/>
      <c r="BU663" s="3"/>
      <c r="BV663" s="3"/>
      <c r="BW663" s="3"/>
      <c r="BX663" s="70"/>
      <c r="BY663" s="70"/>
      <c r="BZ663" s="59"/>
      <c r="CA663" s="59"/>
      <c r="CB663" s="59"/>
      <c r="CC663" s="59"/>
      <c r="CD663" s="60"/>
      <c r="CE663" s="60"/>
      <c r="CF663" s="61"/>
      <c r="CG663" s="61"/>
      <c r="CH663" s="61"/>
      <c r="CI663" s="41">
        <v>14.1</v>
      </c>
      <c r="CJ663" s="40">
        <v>480</v>
      </c>
      <c r="CK663" s="3"/>
      <c r="CL663" s="62"/>
      <c r="CM663" s="63"/>
      <c r="CN663" s="3"/>
      <c r="CO663" s="3"/>
      <c r="CP663" s="41">
        <v>14.055555555555555</v>
      </c>
      <c r="CQ663" s="3"/>
      <c r="CR663" s="40"/>
      <c r="CS663" s="40"/>
      <c r="CT663" s="40"/>
      <c r="CU663" s="40"/>
      <c r="CV663" s="40"/>
      <c r="CW663" s="40"/>
      <c r="CX663" s="40"/>
      <c r="CY663" s="40"/>
      <c r="CZ663" s="40"/>
      <c r="DA663" s="40"/>
    </row>
    <row r="664" spans="1:105" ht="18.95" customHeight="1">
      <c r="A664" s="3">
        <v>616</v>
      </c>
      <c r="B664" s="92" t="s">
        <v>199</v>
      </c>
      <c r="C664" s="3">
        <v>0</v>
      </c>
      <c r="D664" s="3" t="s">
        <v>215</v>
      </c>
      <c r="E664" s="39">
        <v>45258</v>
      </c>
      <c r="F664" s="3" t="s">
        <v>106</v>
      </c>
      <c r="G664" s="3" t="s">
        <v>122</v>
      </c>
      <c r="H664" s="3">
        <v>2009</v>
      </c>
      <c r="I664" s="40" t="s">
        <v>108</v>
      </c>
      <c r="J664" s="191" t="s">
        <v>123</v>
      </c>
      <c r="K664" s="3"/>
      <c r="L664" s="3"/>
      <c r="M664" s="3"/>
      <c r="N664" s="3"/>
      <c r="O664" s="3"/>
      <c r="P664" s="3"/>
      <c r="Q664" s="3"/>
      <c r="R664" s="3"/>
      <c r="S664" s="3"/>
      <c r="T664" s="42">
        <v>176.5</v>
      </c>
      <c r="U664" s="188">
        <v>90.3</v>
      </c>
      <c r="V664" s="12">
        <f>paper3[[#This Row],[height]]-paper3[[#This Row],[sittingheight]]</f>
        <v>86.2</v>
      </c>
      <c r="W664" s="73">
        <v>61.5</v>
      </c>
      <c r="X664" s="43" cm="1">
        <f t="array" ref="X664">INDEX([1]!phvny[yphv], MATCH(1, (paper3[[#This Row],[id]]=[1]!phvny[id])*(paper3[[#This Row],[time]]=[1]!phvny[time]), 0))</f>
        <v>0.92865052262858006</v>
      </c>
      <c r="Y664" s="192"/>
      <c r="Z664" s="3"/>
      <c r="AA664" s="192"/>
      <c r="AB664" s="3"/>
      <c r="AC664" s="3"/>
      <c r="AD664" s="3"/>
      <c r="AE664" s="3"/>
      <c r="AF664" s="3"/>
      <c r="AG664" s="3"/>
      <c r="AH664" s="194">
        <v>1.976</v>
      </c>
      <c r="AI664" s="193"/>
      <c r="AJ664" s="194">
        <v>4.9719999999999995</v>
      </c>
      <c r="AK664" s="130"/>
      <c r="AL664" s="3"/>
      <c r="AM664" s="3"/>
      <c r="AN664" s="3"/>
      <c r="AO664" s="3"/>
      <c r="AP664" s="137"/>
      <c r="AQ664" s="132"/>
      <c r="AR664" s="132"/>
      <c r="AS664" s="3"/>
      <c r="AT664" s="3"/>
      <c r="AU664" s="3"/>
      <c r="AV664" s="3"/>
      <c r="AW664" s="192"/>
      <c r="AX664" s="133">
        <v>31.96</v>
      </c>
      <c r="AY664" s="195"/>
      <c r="AZ664" s="40"/>
      <c r="BA664" s="40"/>
      <c r="BB664" s="40"/>
      <c r="BC664" s="40"/>
      <c r="BD664" s="135"/>
      <c r="BE664" s="135"/>
      <c r="BF664" s="40"/>
      <c r="BG664" s="135"/>
      <c r="BH664" s="135"/>
      <c r="BI664" s="105"/>
      <c r="BJ664" s="49">
        <v>807.65947703079621</v>
      </c>
      <c r="BK664" s="66"/>
      <c r="BL664" s="66"/>
      <c r="BM664" s="51"/>
      <c r="BN664" s="51">
        <v>13.132674423264978</v>
      </c>
      <c r="BO664" s="136"/>
      <c r="BP664" s="40"/>
      <c r="BQ664" s="40"/>
      <c r="BR664" s="67"/>
      <c r="BS664" s="54"/>
      <c r="BT664" s="3"/>
      <c r="BU664" s="3"/>
      <c r="BV664" s="3"/>
      <c r="BW664" s="3"/>
      <c r="BX664" s="70"/>
      <c r="BY664" s="70"/>
      <c r="BZ664" s="59"/>
      <c r="CA664" s="59"/>
      <c r="CB664" s="59"/>
      <c r="CC664" s="59"/>
      <c r="CD664" s="60"/>
      <c r="CE664" s="60"/>
      <c r="CF664" s="61"/>
      <c r="CG664" s="61"/>
      <c r="CH664" s="61"/>
      <c r="CI664" s="41"/>
      <c r="CJ664" s="40"/>
      <c r="CK664" s="3"/>
      <c r="CL664" s="62"/>
      <c r="CM664" s="63"/>
      <c r="CN664" s="3"/>
      <c r="CO664" s="3"/>
      <c r="CP664" s="41">
        <v>14.280555555555555</v>
      </c>
      <c r="CQ664" s="3"/>
      <c r="CR664" s="40"/>
      <c r="CS664" s="40"/>
      <c r="CT664" s="40"/>
      <c r="CU664" s="40"/>
      <c r="CV664" s="40"/>
      <c r="CW664" s="40"/>
      <c r="CX664" s="40"/>
      <c r="CY664" s="40"/>
      <c r="CZ664" s="40"/>
      <c r="DA664" s="40"/>
    </row>
    <row r="665" spans="1:105" ht="18.95" customHeight="1">
      <c r="A665" s="3">
        <v>620</v>
      </c>
      <c r="B665" s="92" t="s">
        <v>199</v>
      </c>
      <c r="C665" s="3">
        <v>0</v>
      </c>
      <c r="D665" s="3" t="s">
        <v>215</v>
      </c>
      <c r="E665" s="39">
        <v>45258</v>
      </c>
      <c r="F665" s="3" t="s">
        <v>106</v>
      </c>
      <c r="G665" s="3" t="s">
        <v>122</v>
      </c>
      <c r="H665" s="3">
        <v>2009</v>
      </c>
      <c r="I665" s="40" t="s">
        <v>108</v>
      </c>
      <c r="J665" s="191" t="s">
        <v>123</v>
      </c>
      <c r="K665" s="3"/>
      <c r="L665" s="3"/>
      <c r="M665" s="3"/>
      <c r="N665" s="3"/>
      <c r="O665" s="3"/>
      <c r="P665" s="3"/>
      <c r="Q665" s="3"/>
      <c r="R665" s="3"/>
      <c r="S665" s="3"/>
      <c r="T665" s="42">
        <v>175</v>
      </c>
      <c r="U665" s="188">
        <v>91.3</v>
      </c>
      <c r="V665" s="12">
        <f>paper3[[#This Row],[height]]-paper3[[#This Row],[sittingheight]]</f>
        <v>83.7</v>
      </c>
      <c r="W665" s="73">
        <v>67.5</v>
      </c>
      <c r="X665" s="43" cm="1">
        <f t="array" ref="X665">INDEX([1]!phvny[yphv], MATCH(1, (paper3[[#This Row],[id]]=[1]!phvny[id])*(paper3[[#This Row],[time]]=[1]!phvny[time]), 0))</f>
        <v>1.0774082972460302</v>
      </c>
      <c r="Y665" s="192"/>
      <c r="Z665" s="3"/>
      <c r="AA665" s="192"/>
      <c r="AB665" s="3"/>
      <c r="AC665" s="3"/>
      <c r="AD665" s="3"/>
      <c r="AE665" s="3"/>
      <c r="AF665" s="3"/>
      <c r="AG665" s="3"/>
      <c r="AH665" s="194">
        <v>1.927</v>
      </c>
      <c r="AI665" s="193"/>
      <c r="AJ665" s="194">
        <v>4.7869999999999999</v>
      </c>
      <c r="AK665" s="130"/>
      <c r="AL665" s="3"/>
      <c r="AM665" s="3"/>
      <c r="AN665" s="3"/>
      <c r="AO665" s="3"/>
      <c r="AP665" s="137">
        <v>10.63</v>
      </c>
      <c r="AQ665" s="132"/>
      <c r="AR665" s="132"/>
      <c r="AS665" s="3"/>
      <c r="AT665" s="3"/>
      <c r="AU665" s="3"/>
      <c r="AV665" s="3"/>
      <c r="AW665" s="192"/>
      <c r="AX665" s="133">
        <v>27.16</v>
      </c>
      <c r="AY665" s="195"/>
      <c r="AZ665" s="40"/>
      <c r="BA665" s="40"/>
      <c r="BB665" s="40"/>
      <c r="BC665" s="40"/>
      <c r="BD665" s="135"/>
      <c r="BE665" s="135"/>
      <c r="BF665" s="40"/>
      <c r="BG665" s="135"/>
      <c r="BH665" s="135"/>
      <c r="BI665" s="49">
        <v>2092.4840282273713</v>
      </c>
      <c r="BJ665" s="49">
        <v>698.09484427953203</v>
      </c>
      <c r="BK665" s="66"/>
      <c r="BL665" s="66"/>
      <c r="BM665" s="51">
        <v>30.999763381146241</v>
      </c>
      <c r="BN665" s="51">
        <v>10.342145841178253</v>
      </c>
      <c r="BO665" s="136"/>
      <c r="BP665" s="40"/>
      <c r="BQ665" s="40"/>
      <c r="BR665" s="67"/>
      <c r="BS665" s="54"/>
      <c r="BT665" s="3"/>
      <c r="BU665" s="3"/>
      <c r="BV665" s="3"/>
      <c r="BW665" s="3"/>
      <c r="BX665" s="70"/>
      <c r="BY665" s="70"/>
      <c r="BZ665" s="59"/>
      <c r="CA665" s="59"/>
      <c r="CB665" s="59"/>
      <c r="CC665" s="59"/>
      <c r="CD665" s="60"/>
      <c r="CE665" s="60"/>
      <c r="CF665" s="61"/>
      <c r="CG665" s="61"/>
      <c r="CH665" s="61"/>
      <c r="CI665" s="41">
        <v>15.2</v>
      </c>
      <c r="CJ665" s="40">
        <v>840</v>
      </c>
      <c r="CK665" s="3"/>
      <c r="CL665" s="62"/>
      <c r="CM665" s="63"/>
      <c r="CN665" s="3"/>
      <c r="CO665" s="3"/>
      <c r="CP665" s="41">
        <v>14.16388888888889</v>
      </c>
      <c r="CQ665" s="3"/>
      <c r="CR665" s="40"/>
      <c r="CS665" s="40"/>
      <c r="CT665" s="40"/>
      <c r="CU665" s="40"/>
      <c r="CV665" s="40"/>
      <c r="CW665" s="40"/>
      <c r="CX665" s="40"/>
      <c r="CY665" s="40"/>
      <c r="CZ665" s="40"/>
      <c r="DA665" s="40"/>
    </row>
    <row r="666" spans="1:105" ht="18.75">
      <c r="A666" s="3">
        <v>621</v>
      </c>
      <c r="B666" s="92" t="s">
        <v>199</v>
      </c>
      <c r="C666" s="3">
        <v>0</v>
      </c>
      <c r="D666" s="3" t="s">
        <v>215</v>
      </c>
      <c r="E666" s="39">
        <v>45258</v>
      </c>
      <c r="F666" s="3" t="s">
        <v>106</v>
      </c>
      <c r="G666" s="3" t="s">
        <v>122</v>
      </c>
      <c r="H666" s="3">
        <v>2009</v>
      </c>
      <c r="I666" s="40" t="s">
        <v>108</v>
      </c>
      <c r="J666" s="191" t="s">
        <v>123</v>
      </c>
      <c r="K666" s="3"/>
      <c r="L666" s="3"/>
      <c r="M666" s="3"/>
      <c r="N666" s="3"/>
      <c r="O666" s="3"/>
      <c r="P666" s="3"/>
      <c r="Q666" s="3"/>
      <c r="R666" s="3"/>
      <c r="S666" s="3"/>
      <c r="T666" s="42">
        <v>185.64999999999998</v>
      </c>
      <c r="U666" s="188">
        <v>95.75</v>
      </c>
      <c r="V666" s="12">
        <f>paper3[[#This Row],[height]]-paper3[[#This Row],[sittingheight]]</f>
        <v>89.899999999999977</v>
      </c>
      <c r="W666" s="73">
        <v>78.5</v>
      </c>
      <c r="X666" s="43" cm="1">
        <f t="array" ref="X666">INDEX([1]!phvny[yphv], MATCH(1, (paper3[[#This Row],[id]]=[1]!phvny[id])*(paper3[[#This Row],[time]]=[1]!phvny[time]), 0))</f>
        <v>0</v>
      </c>
      <c r="Y666" s="192"/>
      <c r="Z666" s="3"/>
      <c r="AA666" s="192"/>
      <c r="AB666" s="3"/>
      <c r="AC666" s="3"/>
      <c r="AD666" s="3"/>
      <c r="AE666" s="3"/>
      <c r="AF666" s="3"/>
      <c r="AG666" s="3"/>
      <c r="AH666" s="194">
        <v>1.954</v>
      </c>
      <c r="AI666" s="193"/>
      <c r="AJ666" s="194">
        <v>4.6639999999999997</v>
      </c>
      <c r="AK666" s="130"/>
      <c r="AL666" s="3"/>
      <c r="AM666" s="3"/>
      <c r="AN666" s="3"/>
      <c r="AO666" s="3"/>
      <c r="AP666" s="137"/>
      <c r="AQ666" s="132"/>
      <c r="AR666" s="132"/>
      <c r="AS666" s="3"/>
      <c r="AT666" s="3"/>
      <c r="AU666" s="3"/>
      <c r="AV666" s="3"/>
      <c r="AW666" s="192"/>
      <c r="AX666" s="133">
        <v>24.76</v>
      </c>
      <c r="AY666" s="195"/>
      <c r="AZ666" s="40"/>
      <c r="BA666" s="40"/>
      <c r="BB666" s="40"/>
      <c r="BC666" s="40"/>
      <c r="BD666" s="135"/>
      <c r="BE666" s="135"/>
      <c r="BF666" s="40"/>
      <c r="BG666" s="135"/>
      <c r="BH666" s="135"/>
      <c r="BI666" s="105"/>
      <c r="BJ666" s="49">
        <v>1044.7160878511449</v>
      </c>
      <c r="BK666" s="66"/>
      <c r="BL666" s="66"/>
      <c r="BM666" s="51"/>
      <c r="BN666" s="51">
        <v>13.308485195555987</v>
      </c>
      <c r="BO666" s="136"/>
      <c r="BP666" s="40"/>
      <c r="BQ666" s="40"/>
      <c r="BR666" s="67"/>
      <c r="BS666" s="54"/>
      <c r="BT666" s="3"/>
      <c r="BU666" s="3"/>
      <c r="BV666" s="3"/>
      <c r="BW666" s="3"/>
      <c r="BX666" s="70"/>
      <c r="BY666" s="70"/>
      <c r="BZ666" s="59"/>
      <c r="CA666" s="59"/>
      <c r="CB666" s="59"/>
      <c r="CC666" s="59"/>
      <c r="CD666" s="60"/>
      <c r="CE666" s="60"/>
      <c r="CF666" s="61"/>
      <c r="CG666" s="61"/>
      <c r="CH666" s="61"/>
      <c r="CI666" s="41"/>
      <c r="CJ666" s="40"/>
      <c r="CK666" s="3"/>
      <c r="CL666" s="62"/>
      <c r="CM666" s="63"/>
      <c r="CN666" s="3"/>
      <c r="CO666" s="3"/>
      <c r="CP666" s="41">
        <v>14.063888888888888</v>
      </c>
      <c r="CQ666" s="3"/>
      <c r="CR666" s="40"/>
      <c r="CS666" s="40"/>
      <c r="CT666" s="40"/>
      <c r="CU666" s="40"/>
      <c r="CV666" s="40"/>
      <c r="CW666" s="40"/>
      <c r="CX666" s="40"/>
      <c r="CY666" s="40"/>
      <c r="CZ666" s="40"/>
      <c r="DA666" s="40"/>
    </row>
    <row r="667" spans="1:105" ht="18.95" customHeight="1">
      <c r="A667" s="3">
        <v>622</v>
      </c>
      <c r="B667" s="92" t="s">
        <v>199</v>
      </c>
      <c r="C667" s="3">
        <v>0</v>
      </c>
      <c r="D667" s="3" t="s">
        <v>215</v>
      </c>
      <c r="E667" s="39">
        <v>45258</v>
      </c>
      <c r="F667" s="3" t="s">
        <v>106</v>
      </c>
      <c r="G667" s="3" t="s">
        <v>122</v>
      </c>
      <c r="H667" s="3">
        <v>2009</v>
      </c>
      <c r="I667" s="40" t="s">
        <v>108</v>
      </c>
      <c r="J667" s="191" t="s">
        <v>123</v>
      </c>
      <c r="K667" s="3"/>
      <c r="L667" s="3"/>
      <c r="M667" s="3"/>
      <c r="N667" s="3"/>
      <c r="O667" s="3"/>
      <c r="P667" s="3"/>
      <c r="Q667" s="3"/>
      <c r="R667" s="3"/>
      <c r="S667" s="3"/>
      <c r="T667" s="42">
        <v>166.6</v>
      </c>
      <c r="U667" s="188">
        <v>82.85</v>
      </c>
      <c r="V667" s="12">
        <f>paper3[[#This Row],[height]]-paper3[[#This Row],[sittingheight]]</f>
        <v>83.75</v>
      </c>
      <c r="W667" s="73">
        <v>49.1</v>
      </c>
      <c r="X667" s="43" cm="1">
        <f t="array" ref="X667">INDEX([1]!phvny[yphv], MATCH(1, (paper3[[#This Row],[id]]=[1]!phvny[id])*(paper3[[#This Row],[time]]=[1]!phvny[time]), 0))</f>
        <v>0</v>
      </c>
      <c r="Y667" s="192"/>
      <c r="Z667" s="3"/>
      <c r="AA667" s="192"/>
      <c r="AB667" s="3"/>
      <c r="AC667" s="3"/>
      <c r="AD667" s="3"/>
      <c r="AE667" s="3"/>
      <c r="AF667" s="3"/>
      <c r="AG667" s="3"/>
      <c r="AH667" s="194">
        <v>2.0859999999999999</v>
      </c>
      <c r="AI667" s="193"/>
      <c r="AJ667" s="194">
        <v>5.04</v>
      </c>
      <c r="AK667" s="130"/>
      <c r="AL667" s="3"/>
      <c r="AM667" s="3"/>
      <c r="AN667" s="3"/>
      <c r="AO667" s="3"/>
      <c r="AP667" s="137"/>
      <c r="AQ667" s="132"/>
      <c r="AR667" s="132"/>
      <c r="AS667" s="3"/>
      <c r="AT667" s="3"/>
      <c r="AU667" s="3"/>
      <c r="AV667" s="3"/>
      <c r="AW667" s="192"/>
      <c r="AX667" s="133">
        <v>24.86</v>
      </c>
      <c r="AY667" s="195"/>
      <c r="AZ667" s="40"/>
      <c r="BA667" s="40"/>
      <c r="BB667" s="40"/>
      <c r="BC667" s="40"/>
      <c r="BD667" s="135"/>
      <c r="BE667" s="135"/>
      <c r="BF667" s="40"/>
      <c r="BG667" s="135"/>
      <c r="BH667" s="135"/>
      <c r="BI667" s="49">
        <v>1302.2229469937588</v>
      </c>
      <c r="BJ667" s="49">
        <v>590.55663552790043</v>
      </c>
      <c r="BK667" s="66"/>
      <c r="BL667" s="66"/>
      <c r="BM667" s="51">
        <v>26.521852280931949</v>
      </c>
      <c r="BN667" s="51">
        <v>12.027630051484733</v>
      </c>
      <c r="BO667" s="136"/>
      <c r="BP667" s="40"/>
      <c r="BQ667" s="40"/>
      <c r="BR667" s="67"/>
      <c r="BS667" s="54"/>
      <c r="BT667" s="3"/>
      <c r="BU667" s="3"/>
      <c r="BV667" s="3"/>
      <c r="BW667" s="3"/>
      <c r="BX667" s="70"/>
      <c r="BY667" s="70"/>
      <c r="BZ667" s="59"/>
      <c r="CA667" s="59"/>
      <c r="CB667" s="59"/>
      <c r="CC667" s="59"/>
      <c r="CD667" s="60"/>
      <c r="CE667" s="60"/>
      <c r="CF667" s="61"/>
      <c r="CG667" s="61"/>
      <c r="CH667" s="61"/>
      <c r="CI667" s="41"/>
      <c r="CJ667" s="40"/>
      <c r="CK667" s="3"/>
      <c r="CL667" s="62"/>
      <c r="CM667" s="63"/>
      <c r="CN667" s="3"/>
      <c r="CO667" s="3"/>
      <c r="CP667" s="41">
        <v>14.186111111111112</v>
      </c>
      <c r="CQ667" s="3"/>
      <c r="CR667" s="40"/>
      <c r="CS667" s="40"/>
      <c r="CT667" s="40"/>
      <c r="CU667" s="40"/>
      <c r="CV667" s="40"/>
      <c r="CW667" s="40"/>
      <c r="CX667" s="40"/>
      <c r="CY667" s="40"/>
      <c r="CZ667" s="40"/>
      <c r="DA667" s="40"/>
    </row>
    <row r="668" spans="1:105" ht="18.95" customHeight="1">
      <c r="A668" s="3">
        <v>624</v>
      </c>
      <c r="B668" s="92" t="s">
        <v>199</v>
      </c>
      <c r="C668" s="3">
        <v>0</v>
      </c>
      <c r="D668" s="3" t="s">
        <v>215</v>
      </c>
      <c r="E668" s="39">
        <v>45258</v>
      </c>
      <c r="F668" s="3" t="s">
        <v>106</v>
      </c>
      <c r="G668" s="3" t="s">
        <v>122</v>
      </c>
      <c r="H668" s="3">
        <v>2009</v>
      </c>
      <c r="I668" s="40" t="s">
        <v>108</v>
      </c>
      <c r="J668" s="191" t="s">
        <v>123</v>
      </c>
      <c r="K668" s="3"/>
      <c r="L668" s="3"/>
      <c r="M668" s="3"/>
      <c r="N668" s="3"/>
      <c r="O668" s="3"/>
      <c r="P668" s="3"/>
      <c r="Q668" s="3"/>
      <c r="R668" s="3"/>
      <c r="S668" s="3"/>
      <c r="T668" s="42">
        <v>171.9</v>
      </c>
      <c r="U668" s="188">
        <v>90.2</v>
      </c>
      <c r="V668" s="12">
        <f>paper3[[#This Row],[height]]-paper3[[#This Row],[sittingheight]]</f>
        <v>81.7</v>
      </c>
      <c r="W668" s="73">
        <v>56</v>
      </c>
      <c r="X668" s="43" cm="1">
        <f t="array" ref="X668">INDEX([1]!phvny[yphv], MATCH(1, (paper3[[#This Row],[id]]=[1]!phvny[id])*(paper3[[#This Row],[time]]=[1]!phvny[time]), 0))</f>
        <v>0.79519235394444421</v>
      </c>
      <c r="Y668" s="192"/>
      <c r="Z668" s="3"/>
      <c r="AA668" s="192"/>
      <c r="AB668" s="3"/>
      <c r="AC668" s="3"/>
      <c r="AD668" s="3"/>
      <c r="AE668" s="3"/>
      <c r="AF668" s="3"/>
      <c r="AG668" s="3"/>
      <c r="AH668" s="194">
        <v>1.99</v>
      </c>
      <c r="AI668" s="193"/>
      <c r="AJ668" s="194">
        <v>4.92</v>
      </c>
      <c r="AK668" s="130"/>
      <c r="AL668" s="3"/>
      <c r="AM668" s="3"/>
      <c r="AN668" s="3"/>
      <c r="AO668" s="3"/>
      <c r="AP668" s="137">
        <v>11.360000000000001</v>
      </c>
      <c r="AQ668" s="132"/>
      <c r="AR668" s="132"/>
      <c r="AS668" s="3"/>
      <c r="AT668" s="3"/>
      <c r="AU668" s="3"/>
      <c r="AV668" s="3"/>
      <c r="AW668" s="192"/>
      <c r="AX668" s="133">
        <v>26.36</v>
      </c>
      <c r="AY668" s="195"/>
      <c r="AZ668" s="40"/>
      <c r="BA668" s="40"/>
      <c r="BB668" s="40"/>
      <c r="BC668" s="40"/>
      <c r="BD668" s="135"/>
      <c r="BE668" s="135"/>
      <c r="BF668" s="40"/>
      <c r="BG668" s="135"/>
      <c r="BH668" s="135"/>
      <c r="BI668" s="49">
        <v>1732.2393547853919</v>
      </c>
      <c r="BJ668" s="49">
        <v>618.51078349429577</v>
      </c>
      <c r="BK668" s="66"/>
      <c r="BL668" s="66"/>
      <c r="BM668" s="51">
        <v>30.932845621167711</v>
      </c>
      <c r="BN668" s="51">
        <v>11.044835419540997</v>
      </c>
      <c r="BO668" s="136"/>
      <c r="BP668" s="40"/>
      <c r="BQ668" s="40"/>
      <c r="BR668" s="67"/>
      <c r="BS668" s="54"/>
      <c r="BT668" s="3"/>
      <c r="BU668" s="3"/>
      <c r="BV668" s="3"/>
      <c r="BW668" s="3"/>
      <c r="BX668" s="70"/>
      <c r="BY668" s="70"/>
      <c r="BZ668" s="59"/>
      <c r="CA668" s="59"/>
      <c r="CB668" s="59"/>
      <c r="CC668" s="59"/>
      <c r="CD668" s="60"/>
      <c r="CE668" s="60"/>
      <c r="CF668" s="61"/>
      <c r="CG668" s="61"/>
      <c r="CH668" s="61"/>
      <c r="CI668" s="41">
        <v>13.3</v>
      </c>
      <c r="CJ668" s="40">
        <v>400</v>
      </c>
      <c r="CK668" s="3"/>
      <c r="CL668" s="62"/>
      <c r="CM668" s="63"/>
      <c r="CN668" s="3"/>
      <c r="CO668" s="3"/>
      <c r="CP668" s="41">
        <v>14.152777777777779</v>
      </c>
      <c r="CQ668" s="3"/>
      <c r="CR668" s="40"/>
      <c r="CS668" s="40"/>
      <c r="CT668" s="40"/>
      <c r="CU668" s="40"/>
      <c r="CV668" s="40"/>
      <c r="CW668" s="40"/>
      <c r="CX668" s="40"/>
      <c r="CY668" s="40"/>
      <c r="CZ668" s="40"/>
      <c r="DA668" s="40"/>
    </row>
    <row r="669" spans="1:105" ht="18.75">
      <c r="A669" s="3">
        <v>625</v>
      </c>
      <c r="B669" s="92" t="s">
        <v>199</v>
      </c>
      <c r="C669" s="3">
        <v>0</v>
      </c>
      <c r="D669" s="3" t="s">
        <v>215</v>
      </c>
      <c r="E669" s="39">
        <v>45258</v>
      </c>
      <c r="F669" s="3" t="s">
        <v>106</v>
      </c>
      <c r="G669" s="3" t="s">
        <v>122</v>
      </c>
      <c r="H669" s="3">
        <v>2009</v>
      </c>
      <c r="I669" s="40" t="s">
        <v>108</v>
      </c>
      <c r="J669" s="191" t="s">
        <v>123</v>
      </c>
      <c r="K669" s="3"/>
      <c r="L669" s="3"/>
      <c r="M669" s="3"/>
      <c r="N669" s="3"/>
      <c r="O669" s="3"/>
      <c r="P669" s="3"/>
      <c r="Q669" s="3"/>
      <c r="R669" s="3"/>
      <c r="S669" s="3"/>
      <c r="T669" s="42">
        <v>177</v>
      </c>
      <c r="U669" s="188">
        <v>90.75</v>
      </c>
      <c r="V669" s="12">
        <f>paper3[[#This Row],[height]]-paper3[[#This Row],[sittingheight]]</f>
        <v>86.25</v>
      </c>
      <c r="W669" s="73">
        <v>68.099999999999994</v>
      </c>
      <c r="X669" s="43" cm="1">
        <f t="array" ref="X669">INDEX([1]!phvny[yphv], MATCH(1, (paper3[[#This Row],[id]]=[1]!phvny[id])*(paper3[[#This Row],[time]]=[1]!phvny[time]), 0))</f>
        <v>1.318803094385594</v>
      </c>
      <c r="Y669" s="192"/>
      <c r="Z669" s="3"/>
      <c r="AA669" s="192"/>
      <c r="AB669" s="3"/>
      <c r="AC669" s="3"/>
      <c r="AD669" s="3"/>
      <c r="AE669" s="3"/>
      <c r="AF669" s="3"/>
      <c r="AG669" s="3"/>
      <c r="AH669" s="194">
        <v>1.9019999999999999</v>
      </c>
      <c r="AI669" s="193"/>
      <c r="AJ669" s="194">
        <v>4.6669999999999998</v>
      </c>
      <c r="AK669" s="130"/>
      <c r="AL669" s="3"/>
      <c r="AM669" s="3"/>
      <c r="AN669" s="3"/>
      <c r="AO669" s="3"/>
      <c r="AP669" s="137">
        <v>10</v>
      </c>
      <c r="AQ669" s="132"/>
      <c r="AR669" s="132"/>
      <c r="AS669" s="3"/>
      <c r="AT669" s="3"/>
      <c r="AU669" s="3"/>
      <c r="AV669" s="3"/>
      <c r="AW669" s="192"/>
      <c r="AX669" s="133">
        <v>28.46</v>
      </c>
      <c r="AY669" s="195"/>
      <c r="AZ669" s="40"/>
      <c r="BA669" s="40"/>
      <c r="BB669" s="40"/>
      <c r="BC669" s="40"/>
      <c r="BD669" s="135"/>
      <c r="BE669" s="135"/>
      <c r="BF669" s="40"/>
      <c r="BG669" s="135"/>
      <c r="BH669" s="135"/>
      <c r="BI669" s="49">
        <v>2520.4628980975522</v>
      </c>
      <c r="BJ669" s="49">
        <v>875.68260449483114</v>
      </c>
      <c r="BK669" s="66"/>
      <c r="BL669" s="66"/>
      <c r="BM669" s="51">
        <v>37.011202615235717</v>
      </c>
      <c r="BN669" s="51">
        <v>12.858775396399871</v>
      </c>
      <c r="BO669" s="136"/>
      <c r="BP669" s="40"/>
      <c r="BQ669" s="40"/>
      <c r="BR669" s="67"/>
      <c r="BS669" s="54"/>
      <c r="BT669" s="3"/>
      <c r="BU669" s="3"/>
      <c r="BV669" s="3"/>
      <c r="BW669" s="3"/>
      <c r="BX669" s="70"/>
      <c r="BY669" s="70"/>
      <c r="BZ669" s="59"/>
      <c r="CA669" s="59"/>
      <c r="CB669" s="59"/>
      <c r="CC669" s="59"/>
      <c r="CD669" s="60"/>
      <c r="CE669" s="60"/>
      <c r="CF669" s="61"/>
      <c r="CG669" s="61"/>
      <c r="CH669" s="61"/>
      <c r="CI669" s="41">
        <v>14.6</v>
      </c>
      <c r="CJ669" s="40">
        <v>680</v>
      </c>
      <c r="CK669" s="3"/>
      <c r="CL669" s="62"/>
      <c r="CM669" s="63"/>
      <c r="CN669" s="3"/>
      <c r="CO669" s="3"/>
      <c r="CP669" s="41">
        <v>14.769444444444444</v>
      </c>
      <c r="CQ669" s="3"/>
      <c r="CR669" s="40"/>
      <c r="CS669" s="40"/>
      <c r="CT669" s="40"/>
      <c r="CU669" s="40"/>
      <c r="CV669" s="40"/>
      <c r="CW669" s="40"/>
      <c r="CX669" s="40"/>
      <c r="CY669" s="40"/>
      <c r="CZ669" s="40"/>
      <c r="DA669" s="40"/>
    </row>
    <row r="670" spans="1:105" ht="18.95" customHeight="1">
      <c r="A670" s="3">
        <v>627</v>
      </c>
      <c r="B670" s="92" t="s">
        <v>199</v>
      </c>
      <c r="C670" s="3">
        <v>0</v>
      </c>
      <c r="D670" s="3" t="s">
        <v>215</v>
      </c>
      <c r="E670" s="39">
        <v>45258</v>
      </c>
      <c r="F670" s="3" t="s">
        <v>106</v>
      </c>
      <c r="G670" s="3" t="s">
        <v>122</v>
      </c>
      <c r="H670" s="3">
        <v>2009</v>
      </c>
      <c r="I670" s="40" t="s">
        <v>108</v>
      </c>
      <c r="J670" s="191" t="s">
        <v>123</v>
      </c>
      <c r="K670" s="3"/>
      <c r="L670" s="3"/>
      <c r="M670" s="3"/>
      <c r="N670" s="3"/>
      <c r="O670" s="3"/>
      <c r="P670" s="3"/>
      <c r="Q670" s="3"/>
      <c r="R670" s="3"/>
      <c r="S670" s="3"/>
      <c r="T670" s="42">
        <v>166.8</v>
      </c>
      <c r="U670" s="188">
        <v>85.8</v>
      </c>
      <c r="V670" s="12">
        <f>paper3[[#This Row],[height]]-paper3[[#This Row],[sittingheight]]</f>
        <v>81.000000000000014</v>
      </c>
      <c r="W670" s="73">
        <v>55</v>
      </c>
      <c r="X670" s="43" cm="1">
        <f t="array" ref="X670">INDEX([1]!phvny[yphv], MATCH(1, (paper3[[#This Row],[id]]=[1]!phvny[id])*(paper3[[#This Row],[time]]=[1]!phvny[time]), 0))</f>
        <v>0</v>
      </c>
      <c r="Y670" s="192"/>
      <c r="Z670" s="3"/>
      <c r="AA670" s="192"/>
      <c r="AB670" s="3"/>
      <c r="AC670" s="3"/>
      <c r="AD670" s="3"/>
      <c r="AE670" s="3"/>
      <c r="AF670" s="3"/>
      <c r="AG670" s="3"/>
      <c r="AH670" s="194">
        <v>2.012</v>
      </c>
      <c r="AI670" s="193"/>
      <c r="AJ670" s="194">
        <v>5</v>
      </c>
      <c r="AK670" s="130"/>
      <c r="AL670" s="3"/>
      <c r="AM670" s="3"/>
      <c r="AN670" s="3"/>
      <c r="AO670" s="3"/>
      <c r="AP670" s="137">
        <v>10.93</v>
      </c>
      <c r="AQ670" s="132"/>
      <c r="AR670" s="132"/>
      <c r="AS670" s="3"/>
      <c r="AT670" s="3"/>
      <c r="AU670" s="3"/>
      <c r="AV670" s="3"/>
      <c r="AW670" s="192"/>
      <c r="AX670" s="133">
        <v>27.36</v>
      </c>
      <c r="AY670" s="195"/>
      <c r="AZ670" s="40"/>
      <c r="BA670" s="40"/>
      <c r="BB670" s="40"/>
      <c r="BC670" s="40"/>
      <c r="BD670" s="135"/>
      <c r="BE670" s="135"/>
      <c r="BF670" s="40"/>
      <c r="BG670" s="135"/>
      <c r="BH670" s="135"/>
      <c r="BI670" s="49">
        <v>1801</v>
      </c>
      <c r="BJ670" s="49">
        <v>807</v>
      </c>
      <c r="BK670" s="66"/>
      <c r="BL670" s="66"/>
      <c r="BM670" s="51">
        <v>32.745454545454542</v>
      </c>
      <c r="BN670" s="51">
        <v>14.672727272727272</v>
      </c>
      <c r="BO670" s="136"/>
      <c r="BP670" s="40"/>
      <c r="BQ670" s="40"/>
      <c r="BR670" s="67"/>
      <c r="BS670" s="54"/>
      <c r="BT670" s="3"/>
      <c r="BU670" s="3"/>
      <c r="BV670" s="3"/>
      <c r="BW670" s="3"/>
      <c r="BX670" s="70"/>
      <c r="BY670" s="70"/>
      <c r="BZ670" s="59"/>
      <c r="CA670" s="59"/>
      <c r="CB670" s="59"/>
      <c r="CC670" s="59"/>
      <c r="CD670" s="60"/>
      <c r="CE670" s="60"/>
      <c r="CF670" s="61"/>
      <c r="CG670" s="61"/>
      <c r="CH670" s="61"/>
      <c r="CI670" s="41">
        <v>14.4</v>
      </c>
      <c r="CJ670" s="40">
        <v>600</v>
      </c>
      <c r="CK670" s="3"/>
      <c r="CL670" s="62"/>
      <c r="CM670" s="63"/>
      <c r="CN670" s="3"/>
      <c r="CO670" s="3"/>
      <c r="CP670" s="41">
        <v>14.136111111111111</v>
      </c>
      <c r="CQ670" s="3"/>
      <c r="CR670" s="40"/>
      <c r="CS670" s="40"/>
      <c r="CT670" s="40"/>
      <c r="CU670" s="40"/>
      <c r="CV670" s="40"/>
      <c r="CW670" s="40"/>
      <c r="CX670" s="40"/>
      <c r="CY670" s="40"/>
      <c r="CZ670" s="40"/>
      <c r="DA670" s="40"/>
    </row>
    <row r="671" spans="1:105" ht="18.95" customHeight="1">
      <c r="A671" s="3">
        <v>628</v>
      </c>
      <c r="B671" s="92" t="s">
        <v>199</v>
      </c>
      <c r="C671" s="3">
        <v>0</v>
      </c>
      <c r="D671" s="3" t="s">
        <v>215</v>
      </c>
      <c r="E671" s="39">
        <v>45258</v>
      </c>
      <c r="F671" s="3" t="s">
        <v>106</v>
      </c>
      <c r="G671" s="3" t="s">
        <v>122</v>
      </c>
      <c r="H671" s="3">
        <v>2009</v>
      </c>
      <c r="I671" s="40" t="s">
        <v>108</v>
      </c>
      <c r="J671" s="191" t="s">
        <v>123</v>
      </c>
      <c r="K671" s="3"/>
      <c r="L671" s="3"/>
      <c r="M671" s="3"/>
      <c r="N671" s="3"/>
      <c r="O671" s="3"/>
      <c r="P671" s="3"/>
      <c r="Q671" s="3"/>
      <c r="R671" s="3"/>
      <c r="S671" s="3"/>
      <c r="T671" s="42">
        <v>166.55</v>
      </c>
      <c r="U671" s="188">
        <v>82.8</v>
      </c>
      <c r="V671" s="12">
        <f>paper3[[#This Row],[height]]-paper3[[#This Row],[sittingheight]]</f>
        <v>83.750000000000014</v>
      </c>
      <c r="W671" s="73">
        <v>59.3</v>
      </c>
      <c r="X671" s="43"/>
      <c r="Y671" s="192"/>
      <c r="Z671" s="3"/>
      <c r="AA671" s="192"/>
      <c r="AB671" s="3"/>
      <c r="AC671" s="3"/>
      <c r="AD671" s="3"/>
      <c r="AE671" s="3"/>
      <c r="AF671" s="3"/>
      <c r="AG671" s="3"/>
      <c r="AH671" s="194">
        <v>2.1150000000000002</v>
      </c>
      <c r="AI671" s="193"/>
      <c r="AJ671" s="194">
        <v>5.3940000000000001</v>
      </c>
      <c r="AK671" s="130"/>
      <c r="AL671" s="3"/>
      <c r="AM671" s="3"/>
      <c r="AN671" s="3"/>
      <c r="AO671" s="3"/>
      <c r="AP671" s="137">
        <v>11.06</v>
      </c>
      <c r="AQ671" s="132"/>
      <c r="AR671" s="132"/>
      <c r="AS671" s="3"/>
      <c r="AT671" s="3"/>
      <c r="AU671" s="3"/>
      <c r="AV671" s="3"/>
      <c r="AW671" s="192"/>
      <c r="AX671" s="133">
        <v>20.060000000000002</v>
      </c>
      <c r="AY671" s="195"/>
      <c r="AZ671" s="40"/>
      <c r="BA671" s="40"/>
      <c r="BB671" s="40"/>
      <c r="BC671" s="40"/>
      <c r="BD671" s="135"/>
      <c r="BE671" s="135"/>
      <c r="BF671" s="40"/>
      <c r="BG671" s="135"/>
      <c r="BH671" s="135"/>
      <c r="BI671" s="49"/>
      <c r="BJ671" s="49"/>
      <c r="BK671" s="66"/>
      <c r="BL671" s="66"/>
      <c r="BM671" s="51"/>
      <c r="BN671" s="51"/>
      <c r="BO671" s="136"/>
      <c r="BP671" s="40"/>
      <c r="BQ671" s="40"/>
      <c r="BR671" s="67"/>
      <c r="BS671" s="54"/>
      <c r="BT671" s="3"/>
      <c r="BU671" s="3"/>
      <c r="BV671" s="3"/>
      <c r="BW671" s="3"/>
      <c r="BX671" s="70"/>
      <c r="BY671" s="70"/>
      <c r="BZ671" s="59"/>
      <c r="CA671" s="59"/>
      <c r="CB671" s="59"/>
      <c r="CC671" s="59"/>
      <c r="CD671" s="60"/>
      <c r="CE671" s="60"/>
      <c r="CF671" s="61"/>
      <c r="CG671" s="61"/>
      <c r="CH671" s="61"/>
      <c r="CI671" s="41">
        <v>15.4</v>
      </c>
      <c r="CJ671" s="40">
        <v>920</v>
      </c>
      <c r="CK671" s="3"/>
      <c r="CL671" s="62"/>
      <c r="CM671" s="63"/>
      <c r="CN671" s="3"/>
      <c r="CO671" s="3"/>
      <c r="CP671" s="41"/>
      <c r="CQ671" s="3"/>
      <c r="CR671" s="40"/>
      <c r="CS671" s="40"/>
      <c r="CT671" s="40"/>
      <c r="CU671" s="40"/>
      <c r="CV671" s="40"/>
      <c r="CW671" s="40"/>
      <c r="CX671" s="40"/>
      <c r="CY671" s="40"/>
      <c r="CZ671" s="40"/>
      <c r="DA671" s="40"/>
    </row>
    <row r="672" spans="1:105" ht="18.75">
      <c r="A672" s="3">
        <v>629</v>
      </c>
      <c r="B672" s="92" t="s">
        <v>199</v>
      </c>
      <c r="C672" s="3">
        <v>0</v>
      </c>
      <c r="D672" s="3" t="s">
        <v>215</v>
      </c>
      <c r="E672" s="39">
        <v>45258</v>
      </c>
      <c r="F672" s="3" t="s">
        <v>106</v>
      </c>
      <c r="G672" s="3" t="s">
        <v>122</v>
      </c>
      <c r="H672" s="3">
        <v>2009</v>
      </c>
      <c r="I672" s="40" t="s">
        <v>108</v>
      </c>
      <c r="J672" s="191" t="s">
        <v>123</v>
      </c>
      <c r="K672" s="3"/>
      <c r="L672" s="3"/>
      <c r="M672" s="3"/>
      <c r="N672" s="3"/>
      <c r="O672" s="3"/>
      <c r="P672" s="3"/>
      <c r="Q672" s="3"/>
      <c r="R672" s="3"/>
      <c r="S672" s="3"/>
      <c r="T672" s="42">
        <v>162</v>
      </c>
      <c r="U672" s="188">
        <v>78.150000000000006</v>
      </c>
      <c r="V672" s="12">
        <f>paper3[[#This Row],[height]]-paper3[[#This Row],[sittingheight]]</f>
        <v>83.85</v>
      </c>
      <c r="W672" s="73">
        <v>45.5</v>
      </c>
      <c r="X672" s="43" cm="1">
        <f t="array" ref="X672">INDEX([1]!phvny[yphv], MATCH(1, (paper3[[#This Row],[id]]=[1]!phvny[id])*(paper3[[#This Row],[time]]=[1]!phvny[time]), 0))</f>
        <v>-0.62139655517592574</v>
      </c>
      <c r="Y672" s="192"/>
      <c r="Z672" s="3"/>
      <c r="AA672" s="192"/>
      <c r="AB672" s="3"/>
      <c r="AC672" s="3"/>
      <c r="AD672" s="3"/>
      <c r="AE672" s="3"/>
      <c r="AF672" s="3"/>
      <c r="AG672" s="3"/>
      <c r="AH672" s="194">
        <v>1.907</v>
      </c>
      <c r="AI672" s="193"/>
      <c r="AJ672" s="194">
        <v>4.758</v>
      </c>
      <c r="AK672" s="130"/>
      <c r="AL672" s="3"/>
      <c r="AM672" s="3"/>
      <c r="AN672" s="3"/>
      <c r="AO672" s="3"/>
      <c r="AP672" s="137">
        <v>10.870000000000001</v>
      </c>
      <c r="AQ672" s="132"/>
      <c r="AR672" s="132"/>
      <c r="AS672" s="3"/>
      <c r="AT672" s="3"/>
      <c r="AU672" s="3"/>
      <c r="AV672" s="3"/>
      <c r="AW672" s="192"/>
      <c r="AX672" s="133">
        <v>28.86</v>
      </c>
      <c r="AY672" s="195"/>
      <c r="AZ672" s="40"/>
      <c r="BA672" s="40"/>
      <c r="BB672" s="40"/>
      <c r="BC672" s="40"/>
      <c r="BD672" s="135"/>
      <c r="BE672" s="135"/>
      <c r="BF672" s="40"/>
      <c r="BG672" s="135"/>
      <c r="BH672" s="135"/>
      <c r="BI672" s="49">
        <v>2090</v>
      </c>
      <c r="BJ672" s="49">
        <v>655</v>
      </c>
      <c r="BK672" s="66"/>
      <c r="BL672" s="66"/>
      <c r="BM672" s="51">
        <v>45.934065934065934</v>
      </c>
      <c r="BN672" s="51">
        <v>14.395604395604396</v>
      </c>
      <c r="BO672" s="136"/>
      <c r="BP672" s="40"/>
      <c r="BQ672" s="40"/>
      <c r="BR672" s="67"/>
      <c r="BS672" s="54"/>
      <c r="BT672" s="3"/>
      <c r="BU672" s="3"/>
      <c r="BV672" s="3"/>
      <c r="BW672" s="3"/>
      <c r="BX672" s="70"/>
      <c r="BY672" s="70"/>
      <c r="BZ672" s="59"/>
      <c r="CA672" s="59"/>
      <c r="CB672" s="59"/>
      <c r="CC672" s="59"/>
      <c r="CD672" s="60"/>
      <c r="CE672" s="60"/>
      <c r="CF672" s="61"/>
      <c r="CG672" s="61"/>
      <c r="CH672" s="61"/>
      <c r="CI672" s="41"/>
      <c r="CJ672" s="40"/>
      <c r="CK672" s="3"/>
      <c r="CL672" s="62"/>
      <c r="CM672" s="63"/>
      <c r="CN672" s="3"/>
      <c r="CO672" s="3"/>
      <c r="CP672" s="41">
        <v>14.597222222222221</v>
      </c>
      <c r="CQ672" s="3"/>
      <c r="CR672" s="40"/>
      <c r="CS672" s="40"/>
      <c r="CT672" s="40"/>
      <c r="CU672" s="40"/>
      <c r="CV672" s="40"/>
      <c r="CW672" s="40"/>
      <c r="CX672" s="40"/>
      <c r="CY672" s="40"/>
      <c r="CZ672" s="40"/>
      <c r="DA672" s="40"/>
    </row>
    <row r="673" spans="1:105" ht="18.95" customHeight="1">
      <c r="A673" s="3">
        <v>631</v>
      </c>
      <c r="B673" s="92" t="s">
        <v>199</v>
      </c>
      <c r="C673" s="3">
        <v>0</v>
      </c>
      <c r="D673" s="3" t="s">
        <v>215</v>
      </c>
      <c r="E673" s="39">
        <v>45258</v>
      </c>
      <c r="F673" s="3" t="s">
        <v>106</v>
      </c>
      <c r="G673" s="3" t="s">
        <v>122</v>
      </c>
      <c r="H673" s="3">
        <v>2009</v>
      </c>
      <c r="I673" s="40" t="s">
        <v>108</v>
      </c>
      <c r="J673" s="191" t="s">
        <v>123</v>
      </c>
      <c r="K673" s="3"/>
      <c r="L673" s="3"/>
      <c r="M673" s="3"/>
      <c r="N673" s="3"/>
      <c r="O673" s="3"/>
      <c r="P673" s="3"/>
      <c r="Q673" s="3"/>
      <c r="R673" s="3"/>
      <c r="S673" s="3"/>
      <c r="T673" s="42">
        <v>167.5</v>
      </c>
      <c r="U673" s="188">
        <v>84.2</v>
      </c>
      <c r="V673" s="12">
        <f>paper3[[#This Row],[height]]-paper3[[#This Row],[sittingheight]]</f>
        <v>83.3</v>
      </c>
      <c r="W673" s="73">
        <v>52.4</v>
      </c>
      <c r="X673" s="43" cm="1">
        <f t="array" ref="X673">INDEX([1]!phvny[yphv], MATCH(1, (paper3[[#This Row],[id]]=[1]!phvny[id])*(paper3[[#This Row],[time]]=[1]!phvny[time]), 0))</f>
        <v>1.6259141992536419E-2</v>
      </c>
      <c r="Y673" s="192"/>
      <c r="Z673" s="3"/>
      <c r="AA673" s="192"/>
      <c r="AB673" s="3"/>
      <c r="AC673" s="3"/>
      <c r="AD673" s="3"/>
      <c r="AE673" s="3"/>
      <c r="AF673" s="3"/>
      <c r="AG673" s="3"/>
      <c r="AH673" s="194">
        <v>1.9179999999999999</v>
      </c>
      <c r="AI673" s="193"/>
      <c r="AJ673" s="194">
        <v>4.6529999999999996</v>
      </c>
      <c r="AK673" s="130"/>
      <c r="AL673" s="3"/>
      <c r="AM673" s="3"/>
      <c r="AN673" s="3"/>
      <c r="AO673" s="3"/>
      <c r="AP673" s="137">
        <v>9.73</v>
      </c>
      <c r="AQ673" s="132"/>
      <c r="AR673" s="132"/>
      <c r="AS673" s="3"/>
      <c r="AT673" s="3"/>
      <c r="AU673" s="3"/>
      <c r="AV673" s="3"/>
      <c r="AW673" s="192"/>
      <c r="AX673" s="133">
        <v>30.86</v>
      </c>
      <c r="AY673" s="195"/>
      <c r="AZ673" s="40"/>
      <c r="BA673" s="40"/>
      <c r="BB673" s="40"/>
      <c r="BC673" s="40"/>
      <c r="BD673" s="135"/>
      <c r="BE673" s="135"/>
      <c r="BF673" s="40"/>
      <c r="BG673" s="135"/>
      <c r="BH673" s="135"/>
      <c r="BI673" s="49">
        <v>1994</v>
      </c>
      <c r="BJ673" s="49">
        <v>929</v>
      </c>
      <c r="BK673" s="66"/>
      <c r="BL673" s="66"/>
      <c r="BM673" s="51">
        <v>38.05343511450382</v>
      </c>
      <c r="BN673" s="51">
        <v>17.729007633587788</v>
      </c>
      <c r="BO673" s="136"/>
      <c r="BP673" s="40"/>
      <c r="BQ673" s="40"/>
      <c r="BR673" s="67"/>
      <c r="BS673" s="54"/>
      <c r="BT673" s="3"/>
      <c r="BU673" s="3"/>
      <c r="BV673" s="3"/>
      <c r="BW673" s="3"/>
      <c r="BX673" s="70"/>
      <c r="BY673" s="70"/>
      <c r="BZ673" s="59"/>
      <c r="CA673" s="59"/>
      <c r="CB673" s="59"/>
      <c r="CC673" s="59"/>
      <c r="CD673" s="60"/>
      <c r="CE673" s="60"/>
      <c r="CF673" s="61"/>
      <c r="CG673" s="61"/>
      <c r="CH673" s="61"/>
      <c r="CI673" s="41">
        <v>19.2</v>
      </c>
      <c r="CJ673" s="40">
        <v>2120</v>
      </c>
      <c r="CK673" s="3"/>
      <c r="CL673" s="62"/>
      <c r="CM673" s="63"/>
      <c r="CN673" s="3"/>
      <c r="CO673" s="3"/>
      <c r="CP673" s="41">
        <v>14.147222222222222</v>
      </c>
      <c r="CQ673" s="3"/>
      <c r="CR673" s="40"/>
      <c r="CS673" s="40"/>
      <c r="CT673" s="40"/>
      <c r="CU673" s="40"/>
      <c r="CV673" s="40"/>
      <c r="CW673" s="40"/>
      <c r="CX673" s="40"/>
      <c r="CY673" s="40"/>
      <c r="CZ673" s="40"/>
      <c r="DA673" s="40"/>
    </row>
    <row r="674" spans="1:105" ht="18.95" customHeight="1">
      <c r="A674" s="3">
        <v>633</v>
      </c>
      <c r="B674" s="92" t="s">
        <v>199</v>
      </c>
      <c r="C674" s="3">
        <v>0</v>
      </c>
      <c r="D674" s="3" t="s">
        <v>215</v>
      </c>
      <c r="E674" s="39">
        <v>45258</v>
      </c>
      <c r="F674" s="3" t="s">
        <v>106</v>
      </c>
      <c r="G674" s="3" t="s">
        <v>122</v>
      </c>
      <c r="H674" s="3">
        <v>2009</v>
      </c>
      <c r="I674" s="40" t="s">
        <v>108</v>
      </c>
      <c r="J674" s="191" t="s">
        <v>123</v>
      </c>
      <c r="K674" s="3"/>
      <c r="L674" s="3"/>
      <c r="M674" s="3"/>
      <c r="N674" s="3"/>
      <c r="O674" s="3"/>
      <c r="P674" s="3"/>
      <c r="Q674" s="3"/>
      <c r="R674" s="3"/>
      <c r="S674" s="3"/>
      <c r="T674" s="42">
        <v>167.8</v>
      </c>
      <c r="U674" s="188">
        <v>84.8</v>
      </c>
      <c r="V674" s="12">
        <f>paper3[[#This Row],[height]]-paper3[[#This Row],[sittingheight]]</f>
        <v>83.000000000000014</v>
      </c>
      <c r="W674" s="73">
        <v>55.3</v>
      </c>
      <c r="X674" s="43" cm="1">
        <f t="array" ref="X674">INDEX([1]!phvny[yphv], MATCH(1, (paper3[[#This Row],[id]]=[1]!phvny[id])*(paper3[[#This Row],[time]]=[1]!phvny[time]), 0))</f>
        <v>0.4731126152681745</v>
      </c>
      <c r="Y674" s="192"/>
      <c r="Z674" s="3"/>
      <c r="AA674" s="192"/>
      <c r="AB674" s="3"/>
      <c r="AC674" s="3"/>
      <c r="AD674" s="3"/>
      <c r="AE674" s="3"/>
      <c r="AF674" s="3"/>
      <c r="AG674" s="3"/>
      <c r="AH674" s="194">
        <v>1.9550000000000001</v>
      </c>
      <c r="AI674" s="193"/>
      <c r="AJ674" s="194">
        <v>4.8310000000000004</v>
      </c>
      <c r="AK674" s="130"/>
      <c r="AL674" s="3"/>
      <c r="AM674" s="3"/>
      <c r="AN674" s="3"/>
      <c r="AO674" s="3"/>
      <c r="AP674" s="137">
        <v>10.190000000000001</v>
      </c>
      <c r="AQ674" s="132"/>
      <c r="AR674" s="132"/>
      <c r="AS674" s="3"/>
      <c r="AT674" s="3"/>
      <c r="AU674" s="3"/>
      <c r="AV674" s="3"/>
      <c r="AW674" s="192"/>
      <c r="AX674" s="133">
        <v>31.060000000000002</v>
      </c>
      <c r="AY674" s="195"/>
      <c r="AZ674" s="40"/>
      <c r="BA674" s="40"/>
      <c r="BB674" s="40"/>
      <c r="BC674" s="40"/>
      <c r="BD674" s="135"/>
      <c r="BE674" s="135"/>
      <c r="BF674" s="40"/>
      <c r="BG674" s="135"/>
      <c r="BH674" s="135"/>
      <c r="BI674" s="49">
        <v>2042.6149329105745</v>
      </c>
      <c r="BJ674" s="49">
        <v>821.77349031659151</v>
      </c>
      <c r="BK674" s="66"/>
      <c r="BL674" s="66"/>
      <c r="BM674" s="51">
        <v>36.936978895308762</v>
      </c>
      <c r="BN674" s="51">
        <v>14.860280114224079</v>
      </c>
      <c r="BO674" s="136"/>
      <c r="BP674" s="40"/>
      <c r="BQ674" s="40"/>
      <c r="BR674" s="67"/>
      <c r="BS674" s="54"/>
      <c r="BT674" s="3"/>
      <c r="BU674" s="3"/>
      <c r="BV674" s="3"/>
      <c r="BW674" s="3"/>
      <c r="BX674" s="70"/>
      <c r="BY674" s="70"/>
      <c r="BZ674" s="59"/>
      <c r="CA674" s="59"/>
      <c r="CB674" s="59"/>
      <c r="CC674" s="59"/>
      <c r="CD674" s="60"/>
      <c r="CE674" s="60"/>
      <c r="CF674" s="61"/>
      <c r="CG674" s="61"/>
      <c r="CH674" s="61"/>
      <c r="CI674" s="41">
        <v>16.2</v>
      </c>
      <c r="CJ674" s="40">
        <v>1160</v>
      </c>
      <c r="CK674" s="3"/>
      <c r="CL674" s="62"/>
      <c r="CM674" s="63"/>
      <c r="CN674" s="3"/>
      <c r="CO674" s="3"/>
      <c r="CP674" s="41">
        <v>14.872222222222222</v>
      </c>
      <c r="CQ674" s="3"/>
      <c r="CR674" s="40"/>
      <c r="CS674" s="40"/>
      <c r="CT674" s="40"/>
      <c r="CU674" s="40"/>
      <c r="CV674" s="40"/>
      <c r="CW674" s="40"/>
      <c r="CX674" s="40"/>
      <c r="CY674" s="40"/>
      <c r="CZ674" s="40"/>
      <c r="DA674" s="40"/>
    </row>
    <row r="675" spans="1:105" ht="18.75">
      <c r="A675" s="3">
        <v>634</v>
      </c>
      <c r="B675" s="92" t="s">
        <v>199</v>
      </c>
      <c r="C675" s="3">
        <v>0</v>
      </c>
      <c r="D675" s="3" t="s">
        <v>215</v>
      </c>
      <c r="E675" s="39">
        <v>45258</v>
      </c>
      <c r="F675" s="3" t="s">
        <v>106</v>
      </c>
      <c r="G675" s="3" t="s">
        <v>122</v>
      </c>
      <c r="H675" s="3">
        <v>2009</v>
      </c>
      <c r="I675" s="40" t="s">
        <v>108</v>
      </c>
      <c r="J675" s="191" t="s">
        <v>123</v>
      </c>
      <c r="K675" s="3"/>
      <c r="L675" s="3"/>
      <c r="M675" s="3"/>
      <c r="N675" s="3"/>
      <c r="O675" s="3"/>
      <c r="P675" s="3"/>
      <c r="Q675" s="3"/>
      <c r="R675" s="3"/>
      <c r="S675" s="3"/>
      <c r="T675" s="42">
        <v>179</v>
      </c>
      <c r="U675" s="188">
        <v>93.75</v>
      </c>
      <c r="V675" s="12">
        <f>paper3[[#This Row],[height]]-paper3[[#This Row],[sittingheight]]</f>
        <v>85.25</v>
      </c>
      <c r="W675" s="73">
        <v>61.4</v>
      </c>
      <c r="X675" s="43" cm="1">
        <f t="array" ref="X675">INDEX([1]!phvny[yphv], MATCH(1, (paper3[[#This Row],[id]]=[1]!phvny[id])*(paper3[[#This Row],[time]]=[1]!phvny[time]), 0))</f>
        <v>1.303178061324487</v>
      </c>
      <c r="Y675" s="192"/>
      <c r="Z675" s="3"/>
      <c r="AA675" s="192"/>
      <c r="AB675" s="3"/>
      <c r="AC675" s="3"/>
      <c r="AD675" s="3"/>
      <c r="AE675" s="3"/>
      <c r="AF675" s="3"/>
      <c r="AG675" s="3"/>
      <c r="AH675" s="194">
        <v>1.853</v>
      </c>
      <c r="AI675" s="193"/>
      <c r="AJ675" s="194">
        <v>4.5149999999999997</v>
      </c>
      <c r="AK675" s="130"/>
      <c r="AL675" s="3"/>
      <c r="AM675" s="3"/>
      <c r="AN675" s="3"/>
      <c r="AO675" s="3"/>
      <c r="AP675" s="137">
        <v>9.92</v>
      </c>
      <c r="AQ675" s="132"/>
      <c r="AR675" s="132"/>
      <c r="AS675" s="3"/>
      <c r="AT675" s="3"/>
      <c r="AU675" s="3"/>
      <c r="AV675" s="3"/>
      <c r="AW675" s="192"/>
      <c r="AX675" s="133">
        <v>36.36</v>
      </c>
      <c r="AY675" s="195"/>
      <c r="AZ675" s="40"/>
      <c r="BA675" s="40"/>
      <c r="BB675" s="40"/>
      <c r="BC675" s="40"/>
      <c r="BD675" s="135"/>
      <c r="BE675" s="135"/>
      <c r="BF675" s="40"/>
      <c r="BG675" s="135"/>
      <c r="BH675" s="135"/>
      <c r="BI675" s="49">
        <v>2649.180153559204</v>
      </c>
      <c r="BJ675" s="49">
        <v>1209.2598663283748</v>
      </c>
      <c r="BK675" s="66"/>
      <c r="BL675" s="66"/>
      <c r="BM675" s="51">
        <v>43.146256572625475</v>
      </c>
      <c r="BN675" s="51">
        <v>19.694786096553337</v>
      </c>
      <c r="BO675" s="136"/>
      <c r="BP675" s="40"/>
      <c r="BQ675" s="40"/>
      <c r="BR675" s="67"/>
      <c r="BS675" s="54"/>
      <c r="BT675" s="3"/>
      <c r="BU675" s="3"/>
      <c r="BV675" s="3"/>
      <c r="BW675" s="3"/>
      <c r="BX675" s="70"/>
      <c r="BY675" s="70"/>
      <c r="BZ675" s="59"/>
      <c r="CA675" s="59"/>
      <c r="CB675" s="59"/>
      <c r="CC675" s="59"/>
      <c r="CD675" s="60"/>
      <c r="CE675" s="60"/>
      <c r="CF675" s="61"/>
      <c r="CG675" s="61"/>
      <c r="CH675" s="61"/>
      <c r="CI675" s="41">
        <v>14.7</v>
      </c>
      <c r="CJ675" s="40">
        <v>720</v>
      </c>
      <c r="CK675" s="3"/>
      <c r="CL675" s="62"/>
      <c r="CM675" s="63"/>
      <c r="CN675" s="3"/>
      <c r="CO675" s="3"/>
      <c r="CP675" s="41">
        <v>14.191666666666666</v>
      </c>
      <c r="CQ675" s="3"/>
      <c r="CR675" s="40"/>
      <c r="CS675" s="40"/>
      <c r="CT675" s="40"/>
      <c r="CU675" s="40"/>
      <c r="CV675" s="40"/>
      <c r="CW675" s="40"/>
      <c r="CX675" s="40"/>
      <c r="CY675" s="40"/>
      <c r="CZ675" s="40"/>
      <c r="DA675" s="40"/>
    </row>
    <row r="676" spans="1:105" ht="18.95" customHeight="1">
      <c r="A676" s="3">
        <v>635</v>
      </c>
      <c r="B676" s="92" t="s">
        <v>199</v>
      </c>
      <c r="C676" s="3">
        <v>0</v>
      </c>
      <c r="D676" s="3" t="s">
        <v>215</v>
      </c>
      <c r="E676" s="39">
        <v>45258</v>
      </c>
      <c r="F676" s="3" t="s">
        <v>106</v>
      </c>
      <c r="G676" s="3" t="s">
        <v>122</v>
      </c>
      <c r="H676" s="3">
        <v>2009</v>
      </c>
      <c r="I676" s="40" t="s">
        <v>108</v>
      </c>
      <c r="J676" s="191" t="s">
        <v>123</v>
      </c>
      <c r="K676" s="3"/>
      <c r="L676" s="3"/>
      <c r="M676" s="3"/>
      <c r="N676" s="3"/>
      <c r="O676" s="3"/>
      <c r="P676" s="3"/>
      <c r="Q676" s="3"/>
      <c r="R676" s="3"/>
      <c r="S676" s="3"/>
      <c r="T676" s="42">
        <v>181.45</v>
      </c>
      <c r="U676" s="188">
        <v>93.85</v>
      </c>
      <c r="V676" s="12">
        <f>paper3[[#This Row],[height]]-paper3[[#This Row],[sittingheight]]</f>
        <v>87.6</v>
      </c>
      <c r="W676" s="73">
        <v>66.599999999999994</v>
      </c>
      <c r="X676" s="43" cm="1">
        <f t="array" ref="X676">INDEX([1]!phvny[yphv], MATCH(1, (paper3[[#This Row],[id]]=[1]!phvny[id])*(paper3[[#This Row],[time]]=[1]!phvny[time]), 0))</f>
        <v>1.5079443025614037</v>
      </c>
      <c r="Y676" s="192"/>
      <c r="Z676" s="3"/>
      <c r="AA676" s="192"/>
      <c r="AB676" s="3"/>
      <c r="AC676" s="3"/>
      <c r="AD676" s="3"/>
      <c r="AE676" s="3"/>
      <c r="AF676" s="3"/>
      <c r="AG676" s="3"/>
      <c r="AH676" s="194">
        <v>1.746</v>
      </c>
      <c r="AI676" s="193"/>
      <c r="AJ676" s="194">
        <v>4.6520000000000001</v>
      </c>
      <c r="AK676" s="130"/>
      <c r="AL676" s="3"/>
      <c r="AM676" s="3"/>
      <c r="AN676" s="3"/>
      <c r="AO676" s="3"/>
      <c r="AP676" s="137">
        <v>10.25</v>
      </c>
      <c r="AQ676" s="132"/>
      <c r="AR676" s="132"/>
      <c r="AS676" s="3"/>
      <c r="AT676" s="3"/>
      <c r="AU676" s="3"/>
      <c r="AV676" s="3"/>
      <c r="AW676" s="192"/>
      <c r="AX676" s="133">
        <v>35.06</v>
      </c>
      <c r="AY676" s="195"/>
      <c r="AZ676" s="40"/>
      <c r="BA676" s="40"/>
      <c r="BB676" s="40"/>
      <c r="BC676" s="40"/>
      <c r="BD676" s="135"/>
      <c r="BE676" s="135"/>
      <c r="BF676" s="40"/>
      <c r="BG676" s="135"/>
      <c r="BH676" s="135"/>
      <c r="BI676" s="49">
        <v>2512.4853172070202</v>
      </c>
      <c r="BJ676" s="49">
        <v>938.88266708349897</v>
      </c>
      <c r="BK676" s="66"/>
      <c r="BL676" s="66"/>
      <c r="BM676" s="51">
        <v>37.725004762868174</v>
      </c>
      <c r="BN676" s="51">
        <v>14.097337343596083</v>
      </c>
      <c r="BO676" s="136"/>
      <c r="BP676" s="40"/>
      <c r="BQ676" s="40"/>
      <c r="BR676" s="67"/>
      <c r="BS676" s="54"/>
      <c r="BT676" s="3"/>
      <c r="BU676" s="3"/>
      <c r="BV676" s="3"/>
      <c r="BW676" s="3"/>
      <c r="BX676" s="70"/>
      <c r="BY676" s="70"/>
      <c r="BZ676" s="59"/>
      <c r="CA676" s="59"/>
      <c r="CB676" s="59"/>
      <c r="CC676" s="59"/>
      <c r="CD676" s="60"/>
      <c r="CE676" s="60"/>
      <c r="CF676" s="61"/>
      <c r="CG676" s="61"/>
      <c r="CH676" s="61"/>
      <c r="CI676" s="41">
        <v>14.3</v>
      </c>
      <c r="CJ676" s="40">
        <v>560</v>
      </c>
      <c r="CK676" s="3"/>
      <c r="CL676" s="62"/>
      <c r="CM676" s="63"/>
      <c r="CN676" s="3"/>
      <c r="CO676" s="3"/>
      <c r="CP676" s="41">
        <v>14.441666666666666</v>
      </c>
      <c r="CQ676" s="3"/>
      <c r="CR676" s="40"/>
      <c r="CS676" s="40"/>
      <c r="CT676" s="40"/>
      <c r="CU676" s="40"/>
      <c r="CV676" s="40"/>
      <c r="CW676" s="40"/>
      <c r="CX676" s="40"/>
      <c r="CY676" s="40"/>
      <c r="CZ676" s="40"/>
      <c r="DA676" s="40"/>
    </row>
    <row r="677" spans="1:105" ht="18.95" customHeight="1">
      <c r="A677" s="3">
        <v>637</v>
      </c>
      <c r="B677" s="92" t="s">
        <v>199</v>
      </c>
      <c r="C677" s="3">
        <v>0</v>
      </c>
      <c r="D677" s="3" t="s">
        <v>215</v>
      </c>
      <c r="E677" s="39">
        <v>45258</v>
      </c>
      <c r="F677" s="3" t="s">
        <v>106</v>
      </c>
      <c r="G677" s="3" t="s">
        <v>122</v>
      </c>
      <c r="H677" s="3">
        <v>2009</v>
      </c>
      <c r="I677" s="40" t="s">
        <v>108</v>
      </c>
      <c r="J677" s="191" t="s">
        <v>123</v>
      </c>
      <c r="K677" s="3"/>
      <c r="L677" s="3"/>
      <c r="M677" s="3"/>
      <c r="N677" s="3"/>
      <c r="O677" s="3"/>
      <c r="P677" s="3"/>
      <c r="Q677" s="3"/>
      <c r="R677" s="3"/>
      <c r="S677" s="3"/>
      <c r="T677" s="42">
        <v>170.6</v>
      </c>
      <c r="U677" s="188">
        <v>87.8</v>
      </c>
      <c r="V677" s="12">
        <f>paper3[[#This Row],[height]]-paper3[[#This Row],[sittingheight]]</f>
        <v>82.8</v>
      </c>
      <c r="W677" s="73">
        <v>60.1</v>
      </c>
      <c r="X677" s="43" cm="1">
        <f t="array" ref="X677">INDEX([1]!phvny[yphv], MATCH(1, (paper3[[#This Row],[id]]=[1]!phvny[id])*(paper3[[#This Row],[time]]=[1]!phvny[time]), 0))</f>
        <v>0.81835847907567882</v>
      </c>
      <c r="Y677" s="192"/>
      <c r="Z677" s="3"/>
      <c r="AA677" s="192"/>
      <c r="AB677" s="3"/>
      <c r="AC677" s="3"/>
      <c r="AD677" s="3"/>
      <c r="AE677" s="3"/>
      <c r="AF677" s="3"/>
      <c r="AG677" s="3"/>
      <c r="AH677" s="194">
        <v>1.9419999999999999</v>
      </c>
      <c r="AI677" s="193"/>
      <c r="AJ677" s="194">
        <v>4.7149999999999999</v>
      </c>
      <c r="AK677" s="130"/>
      <c r="AL677" s="3"/>
      <c r="AM677" s="3"/>
      <c r="AN677" s="3"/>
      <c r="AO677" s="3"/>
      <c r="AP677" s="137"/>
      <c r="AQ677" s="132"/>
      <c r="AR677" s="132"/>
      <c r="AS677" s="3"/>
      <c r="AT677" s="3"/>
      <c r="AU677" s="3"/>
      <c r="AV677" s="3"/>
      <c r="AW677" s="192"/>
      <c r="AX677" s="133">
        <v>30.26</v>
      </c>
      <c r="AY677" s="195"/>
      <c r="AZ677" s="40"/>
      <c r="BA677" s="40"/>
      <c r="BB677" s="40"/>
      <c r="BC677" s="40"/>
      <c r="BD677" s="135"/>
      <c r="BE677" s="135"/>
      <c r="BF677" s="40"/>
      <c r="BG677" s="135"/>
      <c r="BH677" s="135"/>
      <c r="BI677" s="49">
        <v>2315.9393176266749</v>
      </c>
      <c r="BJ677" s="49">
        <v>783.12936332996389</v>
      </c>
      <c r="BK677" s="66"/>
      <c r="BL677" s="66"/>
      <c r="BM677" s="51">
        <v>38.534764020410563</v>
      </c>
      <c r="BN677" s="51">
        <v>13.030438657736504</v>
      </c>
      <c r="BO677" s="136"/>
      <c r="BP677" s="40"/>
      <c r="BQ677" s="40"/>
      <c r="BR677" s="67"/>
      <c r="BS677" s="54"/>
      <c r="BT677" s="3"/>
      <c r="BU677" s="3"/>
      <c r="BV677" s="3"/>
      <c r="BW677" s="3"/>
      <c r="BX677" s="70"/>
      <c r="BY677" s="70"/>
      <c r="BZ677" s="59"/>
      <c r="CA677" s="59"/>
      <c r="CB677" s="59"/>
      <c r="CC677" s="59"/>
      <c r="CD677" s="60"/>
      <c r="CE677" s="60"/>
      <c r="CF677" s="61"/>
      <c r="CG677" s="61"/>
      <c r="CH677" s="61"/>
      <c r="CI677" s="41"/>
      <c r="CJ677" s="40"/>
      <c r="CK677" s="3"/>
      <c r="CL677" s="62"/>
      <c r="CM677" s="63"/>
      <c r="CN677" s="3"/>
      <c r="CO677" s="3"/>
      <c r="CP677" s="41">
        <v>14.677777777777777</v>
      </c>
      <c r="CQ677" s="3"/>
      <c r="CR677" s="40"/>
      <c r="CS677" s="40"/>
      <c r="CT677" s="40"/>
      <c r="CU677" s="40"/>
      <c r="CV677" s="40"/>
      <c r="CW677" s="40"/>
      <c r="CX677" s="40"/>
      <c r="CY677" s="40"/>
      <c r="CZ677" s="40"/>
      <c r="DA677" s="40"/>
    </row>
    <row r="678" spans="1:105" ht="18.75">
      <c r="A678" s="3">
        <v>638</v>
      </c>
      <c r="B678" s="92" t="s">
        <v>199</v>
      </c>
      <c r="C678" s="3">
        <v>0</v>
      </c>
      <c r="D678" s="3" t="s">
        <v>215</v>
      </c>
      <c r="E678" s="39">
        <v>45258</v>
      </c>
      <c r="F678" s="3" t="s">
        <v>106</v>
      </c>
      <c r="G678" s="3" t="s">
        <v>122</v>
      </c>
      <c r="H678" s="3">
        <v>2009</v>
      </c>
      <c r="I678" s="40" t="s">
        <v>108</v>
      </c>
      <c r="J678" s="191" t="s">
        <v>123</v>
      </c>
      <c r="K678" s="3"/>
      <c r="L678" s="3"/>
      <c r="M678" s="3"/>
      <c r="N678" s="3"/>
      <c r="O678" s="3"/>
      <c r="P678" s="3"/>
      <c r="Q678" s="3"/>
      <c r="R678" s="3"/>
      <c r="S678" s="3"/>
      <c r="T678" s="42">
        <v>156.5</v>
      </c>
      <c r="U678" s="188">
        <v>77.5</v>
      </c>
      <c r="V678" s="12">
        <f>paper3[[#This Row],[height]]-paper3[[#This Row],[sittingheight]]</f>
        <v>79</v>
      </c>
      <c r="W678" s="73">
        <v>42.5</v>
      </c>
      <c r="X678" s="43" cm="1">
        <f t="array" ref="X678">INDEX([1]!phvny[yphv], MATCH(1, (paper3[[#This Row],[id]]=[1]!phvny[id])*(paper3[[#This Row],[time]]=[1]!phvny[time]), 0))</f>
        <v>-0.9476892599840262</v>
      </c>
      <c r="Y678" s="192"/>
      <c r="Z678" s="3"/>
      <c r="AA678" s="192"/>
      <c r="AB678" s="3"/>
      <c r="AC678" s="3"/>
      <c r="AD678" s="3"/>
      <c r="AE678" s="3"/>
      <c r="AF678" s="3"/>
      <c r="AG678" s="3"/>
      <c r="AH678" s="194">
        <v>1.972</v>
      </c>
      <c r="AI678" s="193"/>
      <c r="AJ678" s="194">
        <v>4.806</v>
      </c>
      <c r="AK678" s="130"/>
      <c r="AL678" s="3"/>
      <c r="AM678" s="3"/>
      <c r="AN678" s="3"/>
      <c r="AO678" s="3"/>
      <c r="AP678" s="137"/>
      <c r="AQ678" s="132"/>
      <c r="AR678" s="132"/>
      <c r="AS678" s="3"/>
      <c r="AT678" s="3"/>
      <c r="AU678" s="3"/>
      <c r="AV678" s="3"/>
      <c r="AW678" s="192"/>
      <c r="AX678" s="133">
        <v>31.16</v>
      </c>
      <c r="AY678" s="195"/>
      <c r="AZ678" s="40"/>
      <c r="BA678" s="40"/>
      <c r="BB678" s="40"/>
      <c r="BC678" s="40"/>
      <c r="BD678" s="135"/>
      <c r="BE678" s="135"/>
      <c r="BF678" s="40"/>
      <c r="BG678" s="135"/>
      <c r="BH678" s="135"/>
      <c r="BI678" s="49">
        <v>1544.0403896198545</v>
      </c>
      <c r="BJ678" s="49">
        <v>616.06244504460915</v>
      </c>
      <c r="BK678" s="66"/>
      <c r="BL678" s="66"/>
      <c r="BM678" s="51">
        <v>36.33036210870246</v>
      </c>
      <c r="BN678" s="51">
        <v>14.495586942226097</v>
      </c>
      <c r="BO678" s="136"/>
      <c r="BP678" s="40"/>
      <c r="BQ678" s="40"/>
      <c r="BR678" s="67"/>
      <c r="BS678" s="54"/>
      <c r="BT678" s="3"/>
      <c r="BU678" s="3"/>
      <c r="BV678" s="3"/>
      <c r="BW678" s="3"/>
      <c r="BX678" s="70"/>
      <c r="BY678" s="70"/>
      <c r="BZ678" s="59"/>
      <c r="CA678" s="59"/>
      <c r="CB678" s="59"/>
      <c r="CC678" s="59"/>
      <c r="CD678" s="60"/>
      <c r="CE678" s="60"/>
      <c r="CF678" s="61"/>
      <c r="CG678" s="61"/>
      <c r="CH678" s="61"/>
      <c r="CI678" s="41"/>
      <c r="CJ678" s="40"/>
      <c r="CK678" s="3"/>
      <c r="CL678" s="62"/>
      <c r="CM678" s="63"/>
      <c r="CN678" s="3"/>
      <c r="CO678" s="3"/>
      <c r="CP678" s="41">
        <v>14.041666666666666</v>
      </c>
      <c r="CQ678" s="3"/>
      <c r="CR678" s="40"/>
      <c r="CS678" s="40"/>
      <c r="CT678" s="40"/>
      <c r="CU678" s="40"/>
      <c r="CV678" s="40"/>
      <c r="CW678" s="40"/>
      <c r="CX678" s="40"/>
      <c r="CY678" s="40"/>
      <c r="CZ678" s="40"/>
      <c r="DA678" s="40"/>
    </row>
    <row r="679" spans="1:105" ht="18.95" customHeight="1">
      <c r="A679" s="3">
        <v>639</v>
      </c>
      <c r="B679" s="92" t="s">
        <v>199</v>
      </c>
      <c r="C679" s="3">
        <v>0</v>
      </c>
      <c r="D679" s="3" t="s">
        <v>215</v>
      </c>
      <c r="E679" s="39">
        <v>45258</v>
      </c>
      <c r="F679" s="3" t="s">
        <v>106</v>
      </c>
      <c r="G679" s="3" t="s">
        <v>122</v>
      </c>
      <c r="H679" s="3">
        <v>2009</v>
      </c>
      <c r="I679" s="40" t="s">
        <v>108</v>
      </c>
      <c r="J679" s="191" t="s">
        <v>123</v>
      </c>
      <c r="K679" s="3"/>
      <c r="L679" s="3"/>
      <c r="M679" s="3"/>
      <c r="N679" s="3"/>
      <c r="O679" s="3"/>
      <c r="P679" s="3"/>
      <c r="Q679" s="3"/>
      <c r="R679" s="3"/>
      <c r="S679" s="3"/>
      <c r="T679" s="42">
        <v>174.6</v>
      </c>
      <c r="U679" s="188">
        <v>91.9</v>
      </c>
      <c r="V679" s="12">
        <f>paper3[[#This Row],[height]]-paper3[[#This Row],[sittingheight]]</f>
        <v>82.699999999999989</v>
      </c>
      <c r="W679" s="73">
        <v>55.9</v>
      </c>
      <c r="X679" s="43" cm="1">
        <f t="array" ref="X679">INDEX([1]!phvny[yphv], MATCH(1, (paper3[[#This Row],[id]]=[1]!phvny[id])*(paper3[[#This Row],[time]]=[1]!phvny[time]), 0))</f>
        <v>0.99637012191523422</v>
      </c>
      <c r="Y679" s="192"/>
      <c r="Z679" s="3"/>
      <c r="AA679" s="192"/>
      <c r="AB679" s="3"/>
      <c r="AC679" s="3"/>
      <c r="AD679" s="3"/>
      <c r="AE679" s="3"/>
      <c r="AF679" s="3"/>
      <c r="AG679" s="3"/>
      <c r="AH679" s="194">
        <v>1.833</v>
      </c>
      <c r="AI679" s="193"/>
      <c r="AJ679" s="194">
        <v>4.532</v>
      </c>
      <c r="AK679" s="130"/>
      <c r="AL679" s="3"/>
      <c r="AM679" s="3"/>
      <c r="AN679" s="3"/>
      <c r="AO679" s="3"/>
      <c r="AP679" s="137">
        <v>9.92</v>
      </c>
      <c r="AQ679" s="132"/>
      <c r="AR679" s="132"/>
      <c r="AS679" s="3"/>
      <c r="AT679" s="3"/>
      <c r="AU679" s="3"/>
      <c r="AV679" s="3"/>
      <c r="AW679" s="192"/>
      <c r="AX679" s="133">
        <v>33.46</v>
      </c>
      <c r="AY679" s="195"/>
      <c r="AZ679" s="40"/>
      <c r="BA679" s="40"/>
      <c r="BB679" s="40"/>
      <c r="BC679" s="40"/>
      <c r="BD679" s="135"/>
      <c r="BE679" s="135"/>
      <c r="BF679" s="40"/>
      <c r="BG679" s="135"/>
      <c r="BH679" s="135"/>
      <c r="BI679" s="49">
        <v>1952.8254332713097</v>
      </c>
      <c r="BJ679" s="49">
        <v>913.86635918923696</v>
      </c>
      <c r="BK679" s="66"/>
      <c r="BL679" s="66"/>
      <c r="BM679" s="51">
        <v>34.934265353690691</v>
      </c>
      <c r="BN679" s="51">
        <v>16.348235405889749</v>
      </c>
      <c r="BO679" s="136"/>
      <c r="BP679" s="40"/>
      <c r="BQ679" s="40"/>
      <c r="BR679" s="67"/>
      <c r="BS679" s="54"/>
      <c r="BT679" s="3"/>
      <c r="BU679" s="3"/>
      <c r="BV679" s="3"/>
      <c r="BW679" s="3"/>
      <c r="BX679" s="70"/>
      <c r="BY679" s="70"/>
      <c r="BZ679" s="59"/>
      <c r="CA679" s="59"/>
      <c r="CB679" s="59"/>
      <c r="CC679" s="59"/>
      <c r="CD679" s="60"/>
      <c r="CE679" s="60"/>
      <c r="CF679" s="61"/>
      <c r="CG679" s="61"/>
      <c r="CH679" s="61"/>
      <c r="CI679" s="41">
        <v>14.1</v>
      </c>
      <c r="CJ679" s="40">
        <v>480</v>
      </c>
      <c r="CK679" s="3"/>
      <c r="CL679" s="62"/>
      <c r="CM679" s="63"/>
      <c r="CN679" s="3"/>
      <c r="CO679" s="3"/>
      <c r="CP679" s="41">
        <v>14.155555555555555</v>
      </c>
      <c r="CQ679" s="3"/>
      <c r="CR679" s="40"/>
      <c r="CS679" s="40"/>
      <c r="CT679" s="40"/>
      <c r="CU679" s="40"/>
      <c r="CV679" s="40"/>
      <c r="CW679" s="40"/>
      <c r="CX679" s="40"/>
      <c r="CY679" s="40"/>
      <c r="CZ679" s="40"/>
      <c r="DA679" s="40"/>
    </row>
    <row r="680" spans="1:105" ht="18.95" customHeight="1">
      <c r="A680" s="3">
        <v>642</v>
      </c>
      <c r="B680" s="92" t="s">
        <v>199</v>
      </c>
      <c r="C680" s="3" t="e">
        <v>#N/A</v>
      </c>
      <c r="D680" s="3" t="s">
        <v>215</v>
      </c>
      <c r="E680" s="39">
        <v>45258</v>
      </c>
      <c r="F680" s="3" t="s">
        <v>106</v>
      </c>
      <c r="G680" s="3" t="s">
        <v>122</v>
      </c>
      <c r="H680" s="3">
        <v>2009</v>
      </c>
      <c r="I680" s="40" t="s">
        <v>108</v>
      </c>
      <c r="J680" s="191" t="s">
        <v>123</v>
      </c>
      <c r="K680" s="3"/>
      <c r="L680" s="3"/>
      <c r="M680" s="3"/>
      <c r="N680" s="3"/>
      <c r="O680" s="3"/>
      <c r="P680" s="3"/>
      <c r="Q680" s="3"/>
      <c r="R680" s="3"/>
      <c r="S680" s="3"/>
      <c r="T680" s="42">
        <v>186.4</v>
      </c>
      <c r="U680" s="188">
        <v>94.3</v>
      </c>
      <c r="V680" s="12">
        <f>paper3[[#This Row],[height]]-paper3[[#This Row],[sittingheight]]</f>
        <v>92.100000000000009</v>
      </c>
      <c r="W680" s="73">
        <v>72.8</v>
      </c>
      <c r="X680" s="43"/>
      <c r="Y680" s="192"/>
      <c r="Z680" s="3"/>
      <c r="AA680" s="192"/>
      <c r="AB680" s="3"/>
      <c r="AC680" s="3"/>
      <c r="AD680" s="3"/>
      <c r="AE680" s="3"/>
      <c r="AF680" s="3"/>
      <c r="AG680" s="3"/>
      <c r="AH680" s="193">
        <v>2.0870000000000002</v>
      </c>
      <c r="AI680" s="193"/>
      <c r="AJ680" s="194">
        <v>4.9329999999999998</v>
      </c>
      <c r="AK680" s="130"/>
      <c r="AL680" s="3"/>
      <c r="AM680" s="3"/>
      <c r="AN680" s="3"/>
      <c r="AO680" s="3"/>
      <c r="AP680" s="137">
        <v>10.43</v>
      </c>
      <c r="AQ680" s="132"/>
      <c r="AR680" s="132"/>
      <c r="AS680" s="3"/>
      <c r="AT680" s="3"/>
      <c r="AU680" s="3"/>
      <c r="AV680" s="3"/>
      <c r="AW680" s="192"/>
      <c r="AX680" s="133">
        <v>32.46</v>
      </c>
      <c r="AY680" s="195"/>
      <c r="AZ680" s="40"/>
      <c r="BA680" s="40"/>
      <c r="BB680" s="40"/>
      <c r="BC680" s="40"/>
      <c r="BD680" s="135"/>
      <c r="BE680" s="135"/>
      <c r="BF680" s="40"/>
      <c r="BG680" s="135"/>
      <c r="BH680" s="135"/>
      <c r="BI680" s="105"/>
      <c r="BJ680" s="49">
        <v>1101.3575300273187</v>
      </c>
      <c r="BK680" s="66"/>
      <c r="BL680" s="66"/>
      <c r="BM680" s="51"/>
      <c r="BN680" s="51">
        <v>15.128537500375257</v>
      </c>
      <c r="BO680" s="136"/>
      <c r="BP680" s="40"/>
      <c r="BQ680" s="40"/>
      <c r="BR680" s="67"/>
      <c r="BS680" s="54"/>
      <c r="BT680" s="3"/>
      <c r="BU680" s="3"/>
      <c r="BV680" s="3"/>
      <c r="BW680" s="3"/>
      <c r="BX680" s="70"/>
      <c r="BY680" s="70"/>
      <c r="BZ680" s="59"/>
      <c r="CA680" s="59"/>
      <c r="CB680" s="59"/>
      <c r="CC680" s="59"/>
      <c r="CD680" s="60"/>
      <c r="CE680" s="60"/>
      <c r="CF680" s="61"/>
      <c r="CG680" s="61"/>
      <c r="CH680" s="61"/>
      <c r="CI680" s="41">
        <v>14.2</v>
      </c>
      <c r="CJ680" s="40">
        <v>520</v>
      </c>
      <c r="CK680" s="3"/>
      <c r="CL680" s="62"/>
      <c r="CM680" s="63"/>
      <c r="CN680" s="3"/>
      <c r="CO680" s="3"/>
      <c r="CP680" s="41"/>
      <c r="CQ680" s="3"/>
      <c r="CR680" s="40"/>
      <c r="CS680" s="40"/>
      <c r="CT680" s="40"/>
      <c r="CU680" s="40"/>
      <c r="CV680" s="40"/>
      <c r="CW680" s="40"/>
      <c r="CX680" s="40"/>
      <c r="CY680" s="40"/>
      <c r="CZ680" s="40"/>
      <c r="DA680" s="40"/>
    </row>
    <row r="681" spans="1:105" ht="18.75">
      <c r="A681" s="3">
        <v>643</v>
      </c>
      <c r="B681" s="92" t="s">
        <v>199</v>
      </c>
      <c r="C681" s="3">
        <v>0</v>
      </c>
      <c r="D681" s="3" t="s">
        <v>215</v>
      </c>
      <c r="E681" s="39">
        <v>45258</v>
      </c>
      <c r="F681" s="3" t="s">
        <v>106</v>
      </c>
      <c r="G681" s="3" t="s">
        <v>122</v>
      </c>
      <c r="H681" s="3">
        <v>2009</v>
      </c>
      <c r="I681" s="40" t="s">
        <v>108</v>
      </c>
      <c r="J681" s="191" t="s">
        <v>123</v>
      </c>
      <c r="K681" s="3"/>
      <c r="L681" s="3"/>
      <c r="M681" s="3"/>
      <c r="N681" s="3"/>
      <c r="O681" s="3"/>
      <c r="P681" s="3"/>
      <c r="Q681" s="3"/>
      <c r="R681" s="3"/>
      <c r="S681" s="3"/>
      <c r="T681" s="42">
        <v>157.25</v>
      </c>
      <c r="U681" s="188">
        <v>80</v>
      </c>
      <c r="V681" s="12">
        <f>paper3[[#This Row],[height]]-paper3[[#This Row],[sittingheight]]</f>
        <v>77.25</v>
      </c>
      <c r="W681" s="73">
        <v>40.700000000000003</v>
      </c>
      <c r="X681" s="43" cm="1">
        <f t="array" ref="X681">INDEX([1]!phvny[yphv], MATCH(1, (paper3[[#This Row],[id]]=[1]!phvny[id])*(paper3[[#This Row],[time]]=[1]!phvny[time]), 0))</f>
        <v>-0.44897331086601378</v>
      </c>
      <c r="Y681" s="192">
        <v>2.004</v>
      </c>
      <c r="Z681" s="3">
        <v>3.653</v>
      </c>
      <c r="AA681" s="192">
        <v>5.2590000000000003</v>
      </c>
      <c r="AB681" s="3"/>
      <c r="AC681" s="3"/>
      <c r="AD681" s="3"/>
      <c r="AE681" s="3">
        <v>1.984</v>
      </c>
      <c r="AF681" s="3">
        <v>3.677</v>
      </c>
      <c r="AG681" s="3">
        <v>5.3360000000000003</v>
      </c>
      <c r="AH681" s="194">
        <f>MIN(AE681,Y681)+0.21</f>
        <v>2.194</v>
      </c>
      <c r="AI681" s="194">
        <f>MIN(AF681,Z681)</f>
        <v>3.653</v>
      </c>
      <c r="AJ681" s="194">
        <f>MIN(AG681,AA681)+0.21</f>
        <v>5.4690000000000003</v>
      </c>
      <c r="AK681" s="130"/>
      <c r="AL681" s="3"/>
      <c r="AM681" s="3"/>
      <c r="AN681" s="3"/>
      <c r="AO681" s="3"/>
      <c r="AP681" s="137"/>
      <c r="AQ681" s="132"/>
      <c r="AR681" s="132"/>
      <c r="AS681" s="3"/>
      <c r="AT681" s="3"/>
      <c r="AU681" s="3"/>
      <c r="AV681" s="3"/>
      <c r="AW681" s="192"/>
      <c r="AX681" s="133">
        <v>23.36</v>
      </c>
      <c r="AY681" s="195"/>
      <c r="AZ681" s="40"/>
      <c r="BA681" s="40"/>
      <c r="BB681" s="40"/>
      <c r="BC681" s="40"/>
      <c r="BD681" s="135"/>
      <c r="BE681" s="135"/>
      <c r="BF681" s="40"/>
      <c r="BG681" s="135"/>
      <c r="BH681" s="135"/>
      <c r="BI681" s="49">
        <v>1610.8886718603701</v>
      </c>
      <c r="BJ681" s="49">
        <v>491.78856886956532</v>
      </c>
      <c r="BK681" s="66"/>
      <c r="BL681" s="66"/>
      <c r="BM681" s="51">
        <v>39.579574247183537</v>
      </c>
      <c r="BN681" s="51">
        <v>12.083257220382439</v>
      </c>
      <c r="BO681" s="136"/>
      <c r="BP681" s="40"/>
      <c r="BQ681" s="40"/>
      <c r="BR681" s="67"/>
      <c r="BS681" s="54"/>
      <c r="BT681" s="3"/>
      <c r="BU681" s="3"/>
      <c r="BV681" s="3"/>
      <c r="BW681" s="3"/>
      <c r="BX681" s="70"/>
      <c r="BY681" s="70"/>
      <c r="BZ681" s="59"/>
      <c r="CA681" s="59"/>
      <c r="CB681" s="59"/>
      <c r="CC681" s="59"/>
      <c r="CD681" s="60"/>
      <c r="CE681" s="60"/>
      <c r="CF681" s="61"/>
      <c r="CG681" s="61"/>
      <c r="CH681" s="61"/>
      <c r="CI681" s="41"/>
      <c r="CJ681" s="40"/>
      <c r="CK681" s="3"/>
      <c r="CL681" s="62"/>
      <c r="CM681" s="63"/>
      <c r="CN681" s="3"/>
      <c r="CO681" s="3"/>
      <c r="CP681" s="41">
        <f>_xlfn.MAXIFS([1]!phvny[age],[1]!phvny[id],paper3[[#This Row],[id]],[1]!phvny[time],paper3[[#This Row],[time]])</f>
        <v>14.527777777777779</v>
      </c>
      <c r="CQ681" s="3"/>
      <c r="CR681" s="40"/>
      <c r="CS681" s="40"/>
      <c r="CT681" s="40"/>
      <c r="CU681" s="40"/>
      <c r="CV681" s="40"/>
      <c r="CW681" s="40"/>
      <c r="CX681" s="40"/>
      <c r="CY681" s="40"/>
      <c r="CZ681" s="40"/>
      <c r="DA681" s="40"/>
    </row>
    <row r="682" spans="1:105" ht="18.95" customHeight="1">
      <c r="A682" s="3">
        <v>644</v>
      </c>
      <c r="B682" s="92" t="s">
        <v>199</v>
      </c>
      <c r="C682" s="3">
        <v>0</v>
      </c>
      <c r="D682" s="3" t="s">
        <v>215</v>
      </c>
      <c r="E682" s="39">
        <v>45258</v>
      </c>
      <c r="F682" s="3" t="s">
        <v>106</v>
      </c>
      <c r="G682" s="3" t="s">
        <v>122</v>
      </c>
      <c r="H682" s="3">
        <v>2009</v>
      </c>
      <c r="I682" s="40" t="s">
        <v>108</v>
      </c>
      <c r="J682" s="191" t="s">
        <v>123</v>
      </c>
      <c r="K682" s="3"/>
      <c r="L682" s="3"/>
      <c r="M682" s="3"/>
      <c r="N682" s="3"/>
      <c r="O682" s="3"/>
      <c r="P682" s="3"/>
      <c r="Q682" s="3"/>
      <c r="R682" s="3"/>
      <c r="S682" s="3"/>
      <c r="T682" s="42">
        <v>176.8</v>
      </c>
      <c r="U682" s="188">
        <v>89.65</v>
      </c>
      <c r="V682" s="12">
        <f>paper3[[#This Row],[height]]-paper3[[#This Row],[sittingheight]]</f>
        <v>87.15</v>
      </c>
      <c r="W682" s="73">
        <v>63.7</v>
      </c>
      <c r="X682" s="43" cm="1">
        <f t="array" ref="X682">INDEX([1]!phvny[yphv], MATCH(1, (paper3[[#This Row],[id]]=[1]!phvny[id])*(paper3[[#This Row],[time]]=[1]!phvny[time]), 0))</f>
        <v>3.145640900369282</v>
      </c>
      <c r="Y682" s="192"/>
      <c r="Z682" s="3"/>
      <c r="AA682" s="192"/>
      <c r="AB682" s="3"/>
      <c r="AC682" s="3"/>
      <c r="AD682" s="3"/>
      <c r="AE682" s="3"/>
      <c r="AF682" s="3"/>
      <c r="AG682" s="3"/>
      <c r="AH682" s="193">
        <v>2.06</v>
      </c>
      <c r="AI682" s="193"/>
      <c r="AJ682" s="194">
        <v>5.008</v>
      </c>
      <c r="AK682" s="130"/>
      <c r="AL682" s="3"/>
      <c r="AM682" s="3"/>
      <c r="AN682" s="3"/>
      <c r="AO682" s="3"/>
      <c r="AP682" s="137"/>
      <c r="AQ682" s="132"/>
      <c r="AR682" s="132"/>
      <c r="AS682" s="3"/>
      <c r="AT682" s="3"/>
      <c r="AU682" s="3"/>
      <c r="AV682" s="3"/>
      <c r="AW682" s="192"/>
      <c r="AX682" s="133">
        <v>28.26</v>
      </c>
      <c r="AY682" s="195"/>
      <c r="AZ682" s="40"/>
      <c r="BA682" s="40"/>
      <c r="BB682" s="40"/>
      <c r="BC682" s="40"/>
      <c r="BD682" s="135"/>
      <c r="BE682" s="135"/>
      <c r="BF682" s="40"/>
      <c r="BG682" s="135"/>
      <c r="BH682" s="135"/>
      <c r="BI682" s="49">
        <v>2215.2472953468841</v>
      </c>
      <c r="BJ682" s="49">
        <v>803.39600793674447</v>
      </c>
      <c r="BK682" s="66"/>
      <c r="BL682" s="66"/>
      <c r="BM682" s="51">
        <v>34.776252674205402</v>
      </c>
      <c r="BN682" s="51">
        <v>12.612182228206349</v>
      </c>
      <c r="BO682" s="136"/>
      <c r="BP682" s="40"/>
      <c r="BQ682" s="40"/>
      <c r="BR682" s="67"/>
      <c r="BS682" s="54"/>
      <c r="BT682" s="3"/>
      <c r="BU682" s="3"/>
      <c r="BV682" s="3"/>
      <c r="BW682" s="3"/>
      <c r="BX682" s="70"/>
      <c r="BY682" s="70"/>
      <c r="BZ682" s="59"/>
      <c r="CA682" s="59"/>
      <c r="CB682" s="59"/>
      <c r="CC682" s="59"/>
      <c r="CD682" s="60"/>
      <c r="CE682" s="60"/>
      <c r="CF682" s="61"/>
      <c r="CG682" s="61"/>
      <c r="CH682" s="61"/>
      <c r="CI682" s="41"/>
      <c r="CJ682" s="40"/>
      <c r="CK682" s="3"/>
      <c r="CL682" s="62"/>
      <c r="CM682" s="63"/>
      <c r="CN682" s="3"/>
      <c r="CO682" s="3"/>
      <c r="CP682" s="41">
        <f>_xlfn.MAXIFS([1]!phvny[age],[1]!phvny[id],paper3[[#This Row],[id]],[1]!phvny[time],paper3[[#This Row],[time]])</f>
        <v>18.805555555555557</v>
      </c>
      <c r="CQ682" s="3"/>
      <c r="CR682" s="40"/>
      <c r="CS682" s="40"/>
      <c r="CT682" s="40"/>
      <c r="CU682" s="40"/>
      <c r="CV682" s="40"/>
      <c r="CW682" s="40"/>
      <c r="CX682" s="40"/>
      <c r="CY682" s="40"/>
      <c r="CZ682" s="40"/>
      <c r="DA682" s="40"/>
    </row>
    <row r="683" spans="1:105" ht="18.95" customHeight="1">
      <c r="A683" s="3">
        <v>645</v>
      </c>
      <c r="B683" s="92" t="s">
        <v>199</v>
      </c>
      <c r="C683" s="3">
        <v>0</v>
      </c>
      <c r="D683" s="3" t="s">
        <v>215</v>
      </c>
      <c r="E683" s="39">
        <v>45258</v>
      </c>
      <c r="F683" s="3" t="s">
        <v>106</v>
      </c>
      <c r="G683" s="3" t="s">
        <v>122</v>
      </c>
      <c r="H683" s="3">
        <v>2009</v>
      </c>
      <c r="I683" s="40" t="s">
        <v>108</v>
      </c>
      <c r="J683" s="191" t="s">
        <v>123</v>
      </c>
      <c r="K683" s="3"/>
      <c r="L683" s="3"/>
      <c r="M683" s="3"/>
      <c r="N683" s="3"/>
      <c r="O683" s="3"/>
      <c r="P683" s="3"/>
      <c r="Q683" s="3"/>
      <c r="R683" s="3"/>
      <c r="S683" s="3"/>
      <c r="T683" s="42">
        <v>184.35000000000002</v>
      </c>
      <c r="U683" s="188">
        <v>97.8</v>
      </c>
      <c r="V683" s="12">
        <f>paper3[[#This Row],[height]]-paper3[[#This Row],[sittingheight]]</f>
        <v>86.550000000000026</v>
      </c>
      <c r="W683" s="73">
        <v>72.599999999999994</v>
      </c>
      <c r="X683" s="43" cm="1">
        <f t="array" ref="X683">INDEX([1]!phvny[yphv], MATCH(1, (paper3[[#This Row],[id]]=[1]!phvny[id])*(paper3[[#This Row],[time]]=[1]!phvny[time]), 0))</f>
        <v>4.4861981751305935</v>
      </c>
      <c r="Y683" s="192"/>
      <c r="Z683" s="3"/>
      <c r="AA683" s="192"/>
      <c r="AB683" s="3"/>
      <c r="AC683" s="3"/>
      <c r="AD683" s="3"/>
      <c r="AE683" s="3"/>
      <c r="AF683" s="3"/>
      <c r="AG683" s="3"/>
      <c r="AH683" s="194">
        <v>2.0020000000000002</v>
      </c>
      <c r="AI683" s="193"/>
      <c r="AJ683" s="194">
        <v>4.7649999999999997</v>
      </c>
      <c r="AK683" s="130"/>
      <c r="AL683" s="3"/>
      <c r="AM683" s="3"/>
      <c r="AN683" s="3"/>
      <c r="AO683" s="3"/>
      <c r="AP683" s="137"/>
      <c r="AQ683" s="132"/>
      <c r="AR683" s="132"/>
      <c r="AS683" s="3"/>
      <c r="AT683" s="3"/>
      <c r="AU683" s="3"/>
      <c r="AV683" s="3"/>
      <c r="AW683" s="192"/>
      <c r="AX683" s="133">
        <v>29.060000000000002</v>
      </c>
      <c r="AY683" s="195"/>
      <c r="AZ683" s="40"/>
      <c r="BA683" s="40"/>
      <c r="BB683" s="40"/>
      <c r="BC683" s="40"/>
      <c r="BD683" s="135"/>
      <c r="BE683" s="135"/>
      <c r="BF683" s="40"/>
      <c r="BG683" s="135"/>
      <c r="BH683" s="135"/>
      <c r="BI683" s="49">
        <v>2438.7786577474008</v>
      </c>
      <c r="BJ683" s="49">
        <v>786.03318173650348</v>
      </c>
      <c r="BK683" s="66"/>
      <c r="BL683" s="66"/>
      <c r="BM683" s="51">
        <v>33.591992530955935</v>
      </c>
      <c r="BN683" s="51">
        <v>10.826903329703905</v>
      </c>
      <c r="BO683" s="136"/>
      <c r="BP683" s="40"/>
      <c r="BQ683" s="40"/>
      <c r="BR683" s="67"/>
      <c r="BS683" s="54"/>
      <c r="BT683" s="3"/>
      <c r="BU683" s="3"/>
      <c r="BV683" s="3"/>
      <c r="BW683" s="3"/>
      <c r="BX683" s="70"/>
      <c r="BY683" s="70"/>
      <c r="BZ683" s="59"/>
      <c r="CA683" s="59"/>
      <c r="CB683" s="59"/>
      <c r="CC683" s="59"/>
      <c r="CD683" s="60"/>
      <c r="CE683" s="60"/>
      <c r="CF683" s="61"/>
      <c r="CG683" s="61"/>
      <c r="CH683" s="61"/>
      <c r="CI683" s="41"/>
      <c r="CJ683" s="40"/>
      <c r="CK683" s="3"/>
      <c r="CL683" s="62"/>
      <c r="CM683" s="63"/>
      <c r="CN683" s="3"/>
      <c r="CO683" s="3"/>
      <c r="CP683" s="41">
        <f>_xlfn.MAXIFS([1]!phvny[age],[1]!phvny[id],paper3[[#This Row],[id]],[1]!phvny[time],paper3[[#This Row],[time]])</f>
        <v>18.738888888888887</v>
      </c>
      <c r="CQ683" s="3"/>
      <c r="CR683" s="40"/>
      <c r="CS683" s="40"/>
      <c r="CT683" s="40"/>
      <c r="CU683" s="40"/>
      <c r="CV683" s="40"/>
      <c r="CW683" s="40"/>
      <c r="CX683" s="40"/>
      <c r="CY683" s="40"/>
      <c r="CZ683" s="40"/>
      <c r="DA683" s="40"/>
    </row>
    <row r="684" spans="1:105" ht="18.95" customHeight="1">
      <c r="A684" s="3">
        <v>651</v>
      </c>
      <c r="B684" s="92" t="s">
        <v>199</v>
      </c>
      <c r="C684" s="3">
        <v>0</v>
      </c>
      <c r="D684" s="3" t="s">
        <v>215</v>
      </c>
      <c r="E684" s="39">
        <v>45273</v>
      </c>
      <c r="F684" s="3" t="s">
        <v>106</v>
      </c>
      <c r="G684" s="3" t="s">
        <v>122</v>
      </c>
      <c r="H684" s="3">
        <v>2009</v>
      </c>
      <c r="I684" s="40" t="s">
        <v>108</v>
      </c>
      <c r="J684" s="191" t="s">
        <v>123</v>
      </c>
      <c r="K684" s="3"/>
      <c r="L684" s="3"/>
      <c r="M684" s="3"/>
      <c r="N684" s="3"/>
      <c r="O684" s="3"/>
      <c r="P684" s="3"/>
      <c r="Q684" s="3"/>
      <c r="R684" s="3"/>
      <c r="S684" s="3"/>
      <c r="T684" s="42">
        <v>169.85000000000002</v>
      </c>
      <c r="U684" s="188">
        <v>84.8</v>
      </c>
      <c r="V684" s="12">
        <f>paper3[[#This Row],[height]]-paper3[[#This Row],[sittingheight]]</f>
        <v>85.050000000000026</v>
      </c>
      <c r="W684" s="73">
        <v>55.6</v>
      </c>
      <c r="X684" s="43" cm="1">
        <f t="array" ref="X684">INDEX([1]!phvny[yphv], MATCH(1, (paper3[[#This Row],[id]]=[1]!phvny[id])*(paper3[[#This Row],[time]]=[1]!phvny[time]), 0))</f>
        <v>0.18213127164290321</v>
      </c>
      <c r="Y684" s="192"/>
      <c r="Z684" s="3"/>
      <c r="AA684" s="192"/>
      <c r="AB684" s="3"/>
      <c r="AC684" s="3"/>
      <c r="AD684" s="3"/>
      <c r="AE684" s="3"/>
      <c r="AF684" s="3"/>
      <c r="AG684" s="3"/>
      <c r="AH684" s="194">
        <v>2.1379999999999999</v>
      </c>
      <c r="AI684" s="193"/>
      <c r="AJ684" s="194">
        <v>5.0650000000000004</v>
      </c>
      <c r="AK684" s="130"/>
      <c r="AL684" s="3"/>
      <c r="AM684" s="3"/>
      <c r="AN684" s="3"/>
      <c r="AO684" s="3"/>
      <c r="AP684" s="137"/>
      <c r="AQ684" s="132"/>
      <c r="AR684" s="132"/>
      <c r="AS684" s="3"/>
      <c r="AT684" s="3"/>
      <c r="AU684" s="3"/>
      <c r="AV684" s="3"/>
      <c r="AW684" s="192"/>
      <c r="AX684" s="133">
        <v>28.46</v>
      </c>
      <c r="AY684" s="195"/>
      <c r="AZ684" s="40"/>
      <c r="BA684" s="40"/>
      <c r="BB684" s="40"/>
      <c r="BC684" s="40"/>
      <c r="BD684" s="135"/>
      <c r="BE684" s="135"/>
      <c r="BF684" s="40"/>
      <c r="BG684" s="135"/>
      <c r="BH684" s="135"/>
      <c r="BI684" s="49">
        <v>2755.8011506583362</v>
      </c>
      <c r="BJ684" s="49">
        <v>728.17266999098524</v>
      </c>
      <c r="BK684" s="66"/>
      <c r="BL684" s="66"/>
      <c r="BM684" s="51">
        <v>49.564768896732666</v>
      </c>
      <c r="BN684" s="51">
        <v>13.096630755233548</v>
      </c>
      <c r="BO684" s="136"/>
      <c r="BP684" s="40"/>
      <c r="BQ684" s="40"/>
      <c r="BR684" s="67"/>
      <c r="BS684" s="54"/>
      <c r="BT684" s="3"/>
      <c r="BU684" s="3"/>
      <c r="BV684" s="3"/>
      <c r="BW684" s="3"/>
      <c r="BX684" s="70"/>
      <c r="BY684" s="70"/>
      <c r="BZ684" s="59"/>
      <c r="CA684" s="59"/>
      <c r="CB684" s="59"/>
      <c r="CC684" s="59"/>
      <c r="CD684" s="60"/>
      <c r="CE684" s="60"/>
      <c r="CF684" s="61"/>
      <c r="CG684" s="61"/>
      <c r="CH684" s="61"/>
      <c r="CI684" s="41">
        <v>15.5</v>
      </c>
      <c r="CJ684" s="40">
        <v>960</v>
      </c>
      <c r="CK684" s="3"/>
      <c r="CL684" s="62"/>
      <c r="CM684" s="63"/>
      <c r="CN684" s="3"/>
      <c r="CO684" s="3"/>
      <c r="CP684" s="41">
        <v>14.272222222222222</v>
      </c>
      <c r="CQ684" s="3"/>
      <c r="CR684" s="40"/>
      <c r="CS684" s="40"/>
      <c r="CT684" s="40"/>
      <c r="CU684" s="40"/>
      <c r="CV684" s="40"/>
      <c r="CW684" s="40"/>
      <c r="CX684" s="40"/>
      <c r="CY684" s="40"/>
      <c r="CZ684" s="40"/>
      <c r="DA684" s="40"/>
    </row>
    <row r="685" spans="1:105" ht="18.95" customHeight="1">
      <c r="A685" s="3">
        <v>655</v>
      </c>
      <c r="B685" s="92" t="s">
        <v>199</v>
      </c>
      <c r="C685" s="3">
        <v>0</v>
      </c>
      <c r="D685" s="3" t="s">
        <v>215</v>
      </c>
      <c r="E685" s="39">
        <v>45273</v>
      </c>
      <c r="F685" s="3" t="s">
        <v>106</v>
      </c>
      <c r="G685" s="3" t="s">
        <v>122</v>
      </c>
      <c r="H685" s="3">
        <v>2009</v>
      </c>
      <c r="I685" s="40" t="s">
        <v>108</v>
      </c>
      <c r="J685" s="191" t="s">
        <v>123</v>
      </c>
      <c r="K685" s="3"/>
      <c r="L685" s="3"/>
      <c r="M685" s="3"/>
      <c r="N685" s="3"/>
      <c r="O685" s="3"/>
      <c r="P685" s="3"/>
      <c r="Q685" s="3"/>
      <c r="R685" s="3"/>
      <c r="S685" s="3"/>
      <c r="T685" s="42"/>
      <c r="U685" s="188"/>
      <c r="V685" s="12"/>
      <c r="W685" s="42"/>
      <c r="X685" s="43"/>
      <c r="Y685" s="192"/>
      <c r="Z685" s="3"/>
      <c r="AA685" s="192"/>
      <c r="AB685" s="3"/>
      <c r="AC685" s="3"/>
      <c r="AD685" s="3"/>
      <c r="AE685" s="3"/>
      <c r="AF685" s="3"/>
      <c r="AG685" s="3"/>
      <c r="AH685" s="194"/>
      <c r="AI685" s="193"/>
      <c r="AJ685" s="194"/>
      <c r="AK685" s="130"/>
      <c r="AL685" s="3"/>
      <c r="AM685" s="3"/>
      <c r="AN685" s="3"/>
      <c r="AO685" s="3"/>
      <c r="AP685" s="137"/>
      <c r="AQ685" s="132"/>
      <c r="AR685" s="132"/>
      <c r="AS685" s="3"/>
      <c r="AT685" s="3"/>
      <c r="AU685" s="3"/>
      <c r="AV685" s="3"/>
      <c r="AW685" s="192"/>
      <c r="AX685" s="133"/>
      <c r="AY685" s="195"/>
      <c r="AZ685" s="40"/>
      <c r="BA685" s="40"/>
      <c r="BB685" s="40"/>
      <c r="BC685" s="40"/>
      <c r="BD685" s="135"/>
      <c r="BE685" s="135"/>
      <c r="BF685" s="40"/>
      <c r="BG685" s="135"/>
      <c r="BH685" s="135"/>
      <c r="BI685" s="49"/>
      <c r="BJ685" s="49"/>
      <c r="BK685" s="66"/>
      <c r="BL685" s="66"/>
      <c r="BM685" s="51"/>
      <c r="BN685" s="51"/>
      <c r="BO685" s="136"/>
      <c r="BP685" s="40"/>
      <c r="BQ685" s="40"/>
      <c r="BR685" s="67"/>
      <c r="BS685" s="54"/>
      <c r="BT685" s="3"/>
      <c r="BU685" s="3"/>
      <c r="BV685" s="3"/>
      <c r="BW685" s="3"/>
      <c r="BX685" s="70"/>
      <c r="BY685" s="70"/>
      <c r="BZ685" s="59"/>
      <c r="CA685" s="59"/>
      <c r="CB685" s="59"/>
      <c r="CC685" s="59"/>
      <c r="CD685" s="60"/>
      <c r="CE685" s="60"/>
      <c r="CF685" s="61"/>
      <c r="CG685" s="61"/>
      <c r="CH685" s="61"/>
      <c r="CI685" s="41"/>
      <c r="CJ685" s="40"/>
      <c r="CK685" s="3"/>
      <c r="CL685" s="62"/>
      <c r="CM685" s="63"/>
      <c r="CN685" s="3"/>
      <c r="CO685" s="3"/>
      <c r="CP685" s="41">
        <v>14.758333333333333</v>
      </c>
      <c r="CQ685" s="3"/>
      <c r="CR685" s="40"/>
      <c r="CS685" s="40"/>
      <c r="CT685" s="40"/>
      <c r="CU685" s="40"/>
      <c r="CV685" s="40"/>
      <c r="CW685" s="40"/>
      <c r="CX685" s="40"/>
      <c r="CY685" s="40"/>
      <c r="CZ685" s="40"/>
      <c r="DA685" s="40"/>
    </row>
    <row r="686" spans="1:105" ht="18.95" customHeight="1">
      <c r="A686" s="3">
        <v>656</v>
      </c>
      <c r="B686" s="92" t="s">
        <v>199</v>
      </c>
      <c r="C686" s="3">
        <v>0</v>
      </c>
      <c r="D686" s="3" t="s">
        <v>215</v>
      </c>
      <c r="E686" s="39">
        <v>45273</v>
      </c>
      <c r="F686" s="3" t="s">
        <v>106</v>
      </c>
      <c r="G686" s="3" t="s">
        <v>122</v>
      </c>
      <c r="H686" s="3">
        <v>2009</v>
      </c>
      <c r="I686" s="40" t="s">
        <v>108</v>
      </c>
      <c r="J686" s="191" t="s">
        <v>123</v>
      </c>
      <c r="K686" s="3"/>
      <c r="L686" s="3"/>
      <c r="M686" s="3"/>
      <c r="N686" s="3"/>
      <c r="O686" s="3"/>
      <c r="P686" s="3"/>
      <c r="Q686" s="3"/>
      <c r="R686" s="3"/>
      <c r="S686" s="3"/>
      <c r="T686" s="42">
        <v>173</v>
      </c>
      <c r="U686" s="188">
        <v>88</v>
      </c>
      <c r="V686" s="12">
        <f>paper3[[#This Row],[height]]-paper3[[#This Row],[sittingheight]]</f>
        <v>85</v>
      </c>
      <c r="W686" s="73">
        <v>54.4</v>
      </c>
      <c r="X686" s="43" cm="1">
        <f t="array" ref="X686">INDEX([1]!phvny[yphv], MATCH(1, (paper3[[#This Row],[id]]=[1]!phvny[id])*(paper3[[#This Row],[time]]=[1]!phvny[time]), 0))</f>
        <v>0.5997109706165713</v>
      </c>
      <c r="Y686" s="192"/>
      <c r="Z686" s="3"/>
      <c r="AA686" s="192"/>
      <c r="AB686" s="3"/>
      <c r="AC686" s="3"/>
      <c r="AD686" s="3"/>
      <c r="AE686" s="3"/>
      <c r="AF686" s="3"/>
      <c r="AG686" s="3"/>
      <c r="AH686" s="194">
        <v>2.198</v>
      </c>
      <c r="AI686" s="193"/>
      <c r="AJ686" s="194">
        <v>5.3860000000000001</v>
      </c>
      <c r="AK686" s="130"/>
      <c r="AL686" s="3"/>
      <c r="AM686" s="3"/>
      <c r="AN686" s="3"/>
      <c r="AO686" s="3"/>
      <c r="AP686" s="137"/>
      <c r="AQ686" s="132"/>
      <c r="AR686" s="132"/>
      <c r="AS686" s="3"/>
      <c r="AT686" s="3"/>
      <c r="AU686" s="3"/>
      <c r="AV686" s="3"/>
      <c r="AW686" s="192"/>
      <c r="AX686" s="133">
        <v>25.66</v>
      </c>
      <c r="AY686" s="195"/>
      <c r="AZ686" s="40"/>
      <c r="BA686" s="40"/>
      <c r="BB686" s="40"/>
      <c r="BC686" s="40"/>
      <c r="BD686" s="135"/>
      <c r="BE686" s="135"/>
      <c r="BF686" s="40"/>
      <c r="BG686" s="135"/>
      <c r="BH686" s="135"/>
      <c r="BI686" s="49">
        <v>1718.8431358962234</v>
      </c>
      <c r="BJ686" s="49">
        <v>857.442990275748</v>
      </c>
      <c r="BK686" s="66"/>
      <c r="BL686" s="66"/>
      <c r="BM686" s="51">
        <v>31.596381174562932</v>
      </c>
      <c r="BN686" s="51">
        <v>15.761819674186544</v>
      </c>
      <c r="BO686" s="136"/>
      <c r="BP686" s="40"/>
      <c r="BQ686" s="40"/>
      <c r="BR686" s="67"/>
      <c r="BS686" s="54"/>
      <c r="BT686" s="3"/>
      <c r="BU686" s="3"/>
      <c r="BV686" s="3"/>
      <c r="BW686" s="3"/>
      <c r="BX686" s="70"/>
      <c r="BY686" s="70"/>
      <c r="BZ686" s="59"/>
      <c r="CA686" s="59"/>
      <c r="CB686" s="59"/>
      <c r="CC686" s="59"/>
      <c r="CD686" s="60"/>
      <c r="CE686" s="60"/>
      <c r="CF686" s="61"/>
      <c r="CG686" s="61"/>
      <c r="CH686" s="61"/>
      <c r="CI686" s="41">
        <v>14.6</v>
      </c>
      <c r="CJ686" s="40">
        <v>680</v>
      </c>
      <c r="CK686" s="3"/>
      <c r="CL686" s="62"/>
      <c r="CM686" s="63"/>
      <c r="CN686" s="3"/>
      <c r="CO686" s="3"/>
      <c r="CP686" s="41">
        <v>14.361111111111111</v>
      </c>
      <c r="CQ686" s="3"/>
      <c r="CR686" s="40"/>
      <c r="CS686" s="40"/>
      <c r="CT686" s="40"/>
      <c r="CU686" s="40"/>
      <c r="CV686" s="40"/>
      <c r="CW686" s="40"/>
      <c r="CX686" s="40"/>
      <c r="CY686" s="40"/>
      <c r="CZ686" s="40"/>
      <c r="DA686" s="40"/>
    </row>
    <row r="687" spans="1:105" ht="18.75">
      <c r="A687" s="3">
        <v>657</v>
      </c>
      <c r="B687" s="92" t="s">
        <v>199</v>
      </c>
      <c r="C687" s="3">
        <v>0</v>
      </c>
      <c r="D687" s="3" t="s">
        <v>215</v>
      </c>
      <c r="E687" s="39">
        <v>45273</v>
      </c>
      <c r="F687" s="3" t="s">
        <v>106</v>
      </c>
      <c r="G687" s="3" t="s">
        <v>122</v>
      </c>
      <c r="H687" s="3">
        <v>2009</v>
      </c>
      <c r="I687" s="40" t="s">
        <v>108</v>
      </c>
      <c r="J687" s="191" t="s">
        <v>123</v>
      </c>
      <c r="K687" s="3"/>
      <c r="L687" s="3"/>
      <c r="M687" s="3"/>
      <c r="N687" s="3"/>
      <c r="O687" s="3"/>
      <c r="P687" s="3"/>
      <c r="Q687" s="3"/>
      <c r="R687" s="3"/>
      <c r="S687" s="3"/>
      <c r="T687" s="42">
        <v>168.4</v>
      </c>
      <c r="U687" s="188">
        <v>86.2</v>
      </c>
      <c r="V687" s="12">
        <f>paper3[[#This Row],[height]]-paper3[[#This Row],[sittingheight]]</f>
        <v>82.2</v>
      </c>
      <c r="W687" s="73">
        <v>61.3</v>
      </c>
      <c r="X687" s="43" cm="1">
        <f t="array" ref="X687">INDEX([1]!phvny[yphv], MATCH(1, (paper3[[#This Row],[id]]=[1]!phvny[id])*(paper3[[#This Row],[time]]=[1]!phvny[time]), 0))</f>
        <v>0.45315221874980005</v>
      </c>
      <c r="Y687" s="192"/>
      <c r="Z687" s="3"/>
      <c r="AA687" s="192"/>
      <c r="AB687" s="3"/>
      <c r="AC687" s="3"/>
      <c r="AD687" s="3"/>
      <c r="AE687" s="3"/>
      <c r="AF687" s="3"/>
      <c r="AG687" s="3"/>
      <c r="AH687" s="194">
        <v>2.0859999999999999</v>
      </c>
      <c r="AI687" s="193"/>
      <c r="AJ687" s="194">
        <v>5.1120000000000001</v>
      </c>
      <c r="AK687" s="130"/>
      <c r="AL687" s="3"/>
      <c r="AM687" s="3"/>
      <c r="AN687" s="3"/>
      <c r="AO687" s="3"/>
      <c r="AP687" s="137"/>
      <c r="AQ687" s="132"/>
      <c r="AR687" s="132"/>
      <c r="AS687" s="3"/>
      <c r="AT687" s="3"/>
      <c r="AU687" s="3"/>
      <c r="AV687" s="3"/>
      <c r="AW687" s="192"/>
      <c r="AX687" s="133">
        <v>30.26</v>
      </c>
      <c r="AY687" s="195"/>
      <c r="AZ687" s="40"/>
      <c r="BA687" s="40"/>
      <c r="BB687" s="40"/>
      <c r="BC687" s="40"/>
      <c r="BD687" s="135"/>
      <c r="BE687" s="135"/>
      <c r="BF687" s="40"/>
      <c r="BG687" s="135"/>
      <c r="BH687" s="135"/>
      <c r="BI687" s="105"/>
      <c r="BJ687" s="49">
        <v>683.55392301996608</v>
      </c>
      <c r="BK687" s="66"/>
      <c r="BL687" s="66"/>
      <c r="BM687" s="51"/>
      <c r="BN687" s="51">
        <v>11.15096122381674</v>
      </c>
      <c r="BO687" s="136"/>
      <c r="BP687" s="40"/>
      <c r="BQ687" s="40"/>
      <c r="BR687" s="67"/>
      <c r="BS687" s="54"/>
      <c r="BT687" s="3"/>
      <c r="BU687" s="3"/>
      <c r="BV687" s="3"/>
      <c r="BW687" s="3"/>
      <c r="BX687" s="70"/>
      <c r="BY687" s="70"/>
      <c r="BZ687" s="59"/>
      <c r="CA687" s="59"/>
      <c r="CB687" s="59"/>
      <c r="CC687" s="59"/>
      <c r="CD687" s="60"/>
      <c r="CE687" s="60"/>
      <c r="CF687" s="61"/>
      <c r="CG687" s="61"/>
      <c r="CH687" s="61"/>
      <c r="CI687" s="41"/>
      <c r="CJ687" s="40"/>
      <c r="CK687" s="3"/>
      <c r="CL687" s="62"/>
      <c r="CM687" s="63"/>
      <c r="CN687" s="3"/>
      <c r="CO687" s="3"/>
      <c r="CP687" s="41">
        <v>14.291666666666666</v>
      </c>
      <c r="CQ687" s="3"/>
      <c r="CR687" s="40"/>
      <c r="CS687" s="40"/>
      <c r="CT687" s="40"/>
      <c r="CU687" s="40"/>
      <c r="CV687" s="40"/>
      <c r="CW687" s="40"/>
      <c r="CX687" s="40"/>
      <c r="CY687" s="40"/>
      <c r="CZ687" s="40"/>
      <c r="DA687" s="40"/>
    </row>
    <row r="688" spans="1:105" ht="18.95" customHeight="1">
      <c r="A688" s="3">
        <v>658</v>
      </c>
      <c r="B688" s="92" t="s">
        <v>199</v>
      </c>
      <c r="C688" s="3">
        <v>0</v>
      </c>
      <c r="D688" s="3" t="s">
        <v>215</v>
      </c>
      <c r="E688" s="39">
        <v>45273</v>
      </c>
      <c r="F688" s="3" t="s">
        <v>106</v>
      </c>
      <c r="G688" s="3" t="s">
        <v>122</v>
      </c>
      <c r="H688" s="3">
        <v>2009</v>
      </c>
      <c r="I688" s="40" t="s">
        <v>108</v>
      </c>
      <c r="J688" s="191" t="s">
        <v>123</v>
      </c>
      <c r="K688" s="3"/>
      <c r="L688" s="3"/>
      <c r="M688" s="3"/>
      <c r="N688" s="3"/>
      <c r="O688" s="3"/>
      <c r="P688" s="3"/>
      <c r="Q688" s="3"/>
      <c r="R688" s="3"/>
      <c r="S688" s="3"/>
      <c r="T688" s="42"/>
      <c r="U688" s="188"/>
      <c r="V688" s="12"/>
      <c r="W688" s="42"/>
      <c r="X688" s="43"/>
      <c r="Y688" s="192"/>
      <c r="Z688" s="3"/>
      <c r="AA688" s="192"/>
      <c r="AB688" s="3"/>
      <c r="AC688" s="3"/>
      <c r="AD688" s="3"/>
      <c r="AE688" s="3"/>
      <c r="AF688" s="3"/>
      <c r="AG688" s="3"/>
      <c r="AH688" s="194"/>
      <c r="AI688" s="193"/>
      <c r="AJ688" s="194"/>
      <c r="AK688" s="130"/>
      <c r="AL688" s="3"/>
      <c r="AM688" s="3"/>
      <c r="AN688" s="3"/>
      <c r="AO688" s="3"/>
      <c r="AP688" s="137"/>
      <c r="AQ688" s="132"/>
      <c r="AR688" s="132"/>
      <c r="AS688" s="3"/>
      <c r="AT688" s="3"/>
      <c r="AU688" s="3"/>
      <c r="AV688" s="3"/>
      <c r="AW688" s="192"/>
      <c r="AX688" s="133"/>
      <c r="AY688" s="195"/>
      <c r="AZ688" s="40"/>
      <c r="BA688" s="40"/>
      <c r="BB688" s="40"/>
      <c r="BC688" s="40"/>
      <c r="BD688" s="135"/>
      <c r="BE688" s="135"/>
      <c r="BF688" s="40"/>
      <c r="BG688" s="135"/>
      <c r="BH688" s="135"/>
      <c r="BI688" s="49"/>
      <c r="BJ688" s="49"/>
      <c r="BK688" s="66"/>
      <c r="BL688" s="66"/>
      <c r="BM688" s="51"/>
      <c r="BN688" s="51"/>
      <c r="BO688" s="136"/>
      <c r="BP688" s="40"/>
      <c r="BQ688" s="40"/>
      <c r="BR688" s="67"/>
      <c r="BS688" s="54"/>
      <c r="BT688" s="3"/>
      <c r="BU688" s="3"/>
      <c r="BV688" s="3"/>
      <c r="BW688" s="3"/>
      <c r="BX688" s="70"/>
      <c r="BY688" s="70"/>
      <c r="BZ688" s="59"/>
      <c r="CA688" s="59"/>
      <c r="CB688" s="59"/>
      <c r="CC688" s="59"/>
      <c r="CD688" s="60"/>
      <c r="CE688" s="60"/>
      <c r="CF688" s="61"/>
      <c r="CG688" s="61"/>
      <c r="CH688" s="61"/>
      <c r="CI688" s="41"/>
      <c r="CJ688" s="40"/>
      <c r="CK688" s="3"/>
      <c r="CL688" s="62"/>
      <c r="CM688" s="63"/>
      <c r="CN688" s="3"/>
      <c r="CO688" s="3"/>
      <c r="CP688" s="41">
        <v>14.547222222222222</v>
      </c>
      <c r="CQ688" s="3"/>
      <c r="CR688" s="40"/>
      <c r="CS688" s="40"/>
      <c r="CT688" s="40"/>
      <c r="CU688" s="40"/>
      <c r="CV688" s="40"/>
      <c r="CW688" s="40"/>
      <c r="CX688" s="40"/>
      <c r="CY688" s="40"/>
      <c r="CZ688" s="40"/>
      <c r="DA688" s="40"/>
    </row>
    <row r="689" spans="1:105" ht="18.95" customHeight="1">
      <c r="A689" s="3">
        <v>660</v>
      </c>
      <c r="B689" s="92" t="s">
        <v>199</v>
      </c>
      <c r="C689" s="3">
        <v>0</v>
      </c>
      <c r="D689" s="3" t="s">
        <v>215</v>
      </c>
      <c r="E689" s="39">
        <v>45273</v>
      </c>
      <c r="F689" s="3" t="s">
        <v>106</v>
      </c>
      <c r="G689" s="3" t="s">
        <v>122</v>
      </c>
      <c r="H689" s="3">
        <v>2009</v>
      </c>
      <c r="I689" s="40" t="s">
        <v>108</v>
      </c>
      <c r="J689" s="191" t="s">
        <v>123</v>
      </c>
      <c r="K689" s="3"/>
      <c r="L689" s="3"/>
      <c r="M689" s="3"/>
      <c r="N689" s="3"/>
      <c r="O689" s="3"/>
      <c r="P689" s="3"/>
      <c r="Q689" s="3"/>
      <c r="R689" s="3"/>
      <c r="S689" s="3"/>
      <c r="T689" s="42">
        <v>183</v>
      </c>
      <c r="U689" s="188">
        <v>92.8</v>
      </c>
      <c r="V689" s="12">
        <f>paper3[[#This Row],[height]]-paper3[[#This Row],[sittingheight]]</f>
        <v>90.2</v>
      </c>
      <c r="W689" s="73">
        <v>72.2</v>
      </c>
      <c r="X689" s="43" cm="1">
        <f t="array" ref="X689">INDEX([1]!phvny[yphv], MATCH(1, (paper3[[#This Row],[id]]=[1]!phvny[id])*(paper3[[#This Row],[time]]=[1]!phvny[time]), 0))</f>
        <v>1.6762483872805092</v>
      </c>
      <c r="Y689" s="192"/>
      <c r="Z689" s="3"/>
      <c r="AA689" s="192"/>
      <c r="AB689" s="3"/>
      <c r="AC689" s="3"/>
      <c r="AD689" s="3"/>
      <c r="AE689" s="3"/>
      <c r="AF689" s="3"/>
      <c r="AG689" s="3"/>
      <c r="AH689" s="194">
        <v>2.0740000000000003</v>
      </c>
      <c r="AI689" s="193"/>
      <c r="AJ689" s="194">
        <v>4.7569999999999997</v>
      </c>
      <c r="AK689" s="130"/>
      <c r="AL689" s="3"/>
      <c r="AM689" s="3"/>
      <c r="AN689" s="3"/>
      <c r="AO689" s="3"/>
      <c r="AP689" s="137"/>
      <c r="AQ689" s="132"/>
      <c r="AR689" s="132"/>
      <c r="AS689" s="3"/>
      <c r="AT689" s="3"/>
      <c r="AU689" s="3"/>
      <c r="AV689" s="3"/>
      <c r="AW689" s="192"/>
      <c r="AX689" s="133">
        <v>30.060000000000002</v>
      </c>
      <c r="AY689" s="195"/>
      <c r="AZ689" s="40"/>
      <c r="BA689" s="40"/>
      <c r="BB689" s="40"/>
      <c r="BC689" s="40"/>
      <c r="BD689" s="135"/>
      <c r="BE689" s="135"/>
      <c r="BF689" s="40"/>
      <c r="BG689" s="135"/>
      <c r="BH689" s="135"/>
      <c r="BI689" s="49">
        <v>2935.3240952547985</v>
      </c>
      <c r="BJ689" s="49">
        <v>1154.0720030939965</v>
      </c>
      <c r="BK689" s="66"/>
      <c r="BL689" s="66"/>
      <c r="BM689" s="51">
        <v>40.655458383030449</v>
      </c>
      <c r="BN689" s="51">
        <v>15.984376774155075</v>
      </c>
      <c r="BO689" s="136"/>
      <c r="BP689" s="40"/>
      <c r="BQ689" s="40"/>
      <c r="BR689" s="67"/>
      <c r="BS689" s="54"/>
      <c r="BT689" s="3"/>
      <c r="BU689" s="3"/>
      <c r="BV689" s="3"/>
      <c r="BW689" s="3"/>
      <c r="BX689" s="70"/>
      <c r="BY689" s="70"/>
      <c r="BZ689" s="59"/>
      <c r="CA689" s="59"/>
      <c r="CB689" s="59"/>
      <c r="CC689" s="59"/>
      <c r="CD689" s="60"/>
      <c r="CE689" s="60"/>
      <c r="CF689" s="61"/>
      <c r="CG689" s="61"/>
      <c r="CH689" s="61"/>
      <c r="CI689" s="41"/>
      <c r="CJ689" s="40"/>
      <c r="CK689" s="3"/>
      <c r="CL689" s="62"/>
      <c r="CM689" s="63"/>
      <c r="CN689" s="3"/>
      <c r="CO689" s="3"/>
      <c r="CP689" s="41">
        <v>14.897222222222222</v>
      </c>
      <c r="CQ689" s="3"/>
      <c r="CR689" s="40"/>
      <c r="CS689" s="40"/>
      <c r="CT689" s="40"/>
      <c r="CU689" s="40"/>
      <c r="CV689" s="40"/>
      <c r="CW689" s="40"/>
      <c r="CX689" s="40"/>
      <c r="CY689" s="40"/>
      <c r="CZ689" s="40"/>
      <c r="DA689" s="40"/>
    </row>
    <row r="690" spans="1:105" ht="18.75">
      <c r="A690" s="3">
        <v>661</v>
      </c>
      <c r="B690" s="92" t="s">
        <v>199</v>
      </c>
      <c r="C690" s="3">
        <v>0</v>
      </c>
      <c r="D690" s="3" t="s">
        <v>215</v>
      </c>
      <c r="E690" s="39">
        <v>45273</v>
      </c>
      <c r="F690" s="3" t="s">
        <v>106</v>
      </c>
      <c r="G690" s="3" t="s">
        <v>122</v>
      </c>
      <c r="H690" s="3">
        <v>2009</v>
      </c>
      <c r="I690" s="40" t="s">
        <v>108</v>
      </c>
      <c r="J690" s="191" t="s">
        <v>123</v>
      </c>
      <c r="K690" s="3"/>
      <c r="L690" s="3"/>
      <c r="M690" s="3"/>
      <c r="N690" s="3"/>
      <c r="O690" s="3"/>
      <c r="P690" s="3"/>
      <c r="Q690" s="3"/>
      <c r="R690" s="3"/>
      <c r="S690" s="3"/>
      <c r="T690" s="42">
        <v>162.30000000000001</v>
      </c>
      <c r="U690" s="188">
        <v>83</v>
      </c>
      <c r="V690" s="12">
        <f>paper3[[#This Row],[height]]-paper3[[#This Row],[sittingheight]]</f>
        <v>79.300000000000011</v>
      </c>
      <c r="W690" s="73">
        <v>52.5</v>
      </c>
      <c r="X690" s="43" cm="1">
        <f t="array" ref="X690">INDEX([1]!phvny[yphv], MATCH(1, (paper3[[#This Row],[id]]=[1]!phvny[id])*(paper3[[#This Row],[time]]=[1]!phvny[time]), 0))</f>
        <v>-3.596637797391633E-2</v>
      </c>
      <c r="Y690" s="192"/>
      <c r="Z690" s="3"/>
      <c r="AA690" s="192"/>
      <c r="AB690" s="3"/>
      <c r="AC690" s="3"/>
      <c r="AD690" s="3"/>
      <c r="AE690" s="3"/>
      <c r="AF690" s="3"/>
      <c r="AG690" s="3"/>
      <c r="AH690" s="194">
        <v>2.0070000000000001</v>
      </c>
      <c r="AI690" s="193"/>
      <c r="AJ690" s="194">
        <v>4.7039999999999997</v>
      </c>
      <c r="AK690" s="130"/>
      <c r="AL690" s="3"/>
      <c r="AM690" s="3"/>
      <c r="AN690" s="3"/>
      <c r="AO690" s="3"/>
      <c r="AP690" s="137"/>
      <c r="AQ690" s="132"/>
      <c r="AR690" s="132"/>
      <c r="AS690" s="3"/>
      <c r="AT690" s="3"/>
      <c r="AU690" s="3"/>
      <c r="AV690" s="3"/>
      <c r="AW690" s="192"/>
      <c r="AX690" s="133">
        <v>28.96</v>
      </c>
      <c r="AY690" s="195"/>
      <c r="AZ690" s="40"/>
      <c r="BA690" s="40"/>
      <c r="BB690" s="40"/>
      <c r="BC690" s="40"/>
      <c r="BD690" s="135"/>
      <c r="BE690" s="135"/>
      <c r="BF690" s="40"/>
      <c r="BG690" s="135"/>
      <c r="BH690" s="135"/>
      <c r="BI690" s="49">
        <v>2081.43351881537</v>
      </c>
      <c r="BJ690" s="49">
        <v>711.13790143767369</v>
      </c>
      <c r="BK690" s="66"/>
      <c r="BL690" s="66"/>
      <c r="BM690" s="51">
        <v>39.646352739340379</v>
      </c>
      <c r="BN690" s="51">
        <v>13.545483836908071</v>
      </c>
      <c r="BO690" s="136"/>
      <c r="BP690" s="40"/>
      <c r="BQ690" s="40"/>
      <c r="BR690" s="67"/>
      <c r="BS690" s="54"/>
      <c r="BT690" s="3"/>
      <c r="BU690" s="3"/>
      <c r="BV690" s="3"/>
      <c r="BW690" s="3"/>
      <c r="BX690" s="70"/>
      <c r="BY690" s="70"/>
      <c r="BZ690" s="59"/>
      <c r="CA690" s="59"/>
      <c r="CB690" s="59"/>
      <c r="CC690" s="59"/>
      <c r="CD690" s="60"/>
      <c r="CE690" s="60"/>
      <c r="CF690" s="61"/>
      <c r="CG690" s="61"/>
      <c r="CH690" s="61"/>
      <c r="CI690" s="41">
        <v>15.8</v>
      </c>
      <c r="CJ690" s="40">
        <v>1080</v>
      </c>
      <c r="CK690" s="3"/>
      <c r="CL690" s="62"/>
      <c r="CM690" s="63"/>
      <c r="CN690" s="3"/>
      <c r="CO690" s="3"/>
      <c r="CP690" s="41">
        <v>14.294444444444444</v>
      </c>
      <c r="CQ690" s="3"/>
      <c r="CR690" s="40"/>
      <c r="CS690" s="40"/>
      <c r="CT690" s="40"/>
      <c r="CU690" s="40"/>
      <c r="CV690" s="40"/>
      <c r="CW690" s="40"/>
      <c r="CX690" s="40"/>
      <c r="CY690" s="40"/>
      <c r="CZ690" s="40"/>
      <c r="DA690" s="40"/>
    </row>
    <row r="691" spans="1:105" ht="18.95" customHeight="1">
      <c r="A691" s="3">
        <v>662</v>
      </c>
      <c r="B691" s="92" t="s">
        <v>199</v>
      </c>
      <c r="C691" s="3">
        <v>0</v>
      </c>
      <c r="D691" s="3" t="s">
        <v>215</v>
      </c>
      <c r="E691" s="39">
        <v>45273</v>
      </c>
      <c r="F691" s="3" t="s">
        <v>106</v>
      </c>
      <c r="G691" s="3" t="s">
        <v>122</v>
      </c>
      <c r="H691" s="3">
        <v>2009</v>
      </c>
      <c r="I691" s="40" t="s">
        <v>108</v>
      </c>
      <c r="J691" s="191" t="s">
        <v>123</v>
      </c>
      <c r="K691" s="3"/>
      <c r="L691" s="3"/>
      <c r="M691" s="3"/>
      <c r="N691" s="3"/>
      <c r="O691" s="3"/>
      <c r="P691" s="3"/>
      <c r="Q691" s="3"/>
      <c r="R691" s="3"/>
      <c r="S691" s="3"/>
      <c r="T691" s="42">
        <v>162</v>
      </c>
      <c r="U691" s="188">
        <v>87.8</v>
      </c>
      <c r="V691" s="12">
        <f>paper3[[#This Row],[height]]-paper3[[#This Row],[sittingheight]]</f>
        <v>74.2</v>
      </c>
      <c r="W691" s="73">
        <v>52.5</v>
      </c>
      <c r="X691" s="43" cm="1">
        <f t="array" ref="X691">INDEX([1]!phvny[yphv], MATCH(1, (paper3[[#This Row],[id]]=[1]!phvny[id])*(paper3[[#This Row],[time]]=[1]!phvny[time]), 0))</f>
        <v>0.66985982522222109</v>
      </c>
      <c r="Y691" s="192"/>
      <c r="Z691" s="3"/>
      <c r="AA691" s="192"/>
      <c r="AB691" s="3"/>
      <c r="AC691" s="3"/>
      <c r="AD691" s="3"/>
      <c r="AE691" s="3"/>
      <c r="AF691" s="3"/>
      <c r="AG691" s="3"/>
      <c r="AH691" s="194">
        <v>1.956</v>
      </c>
      <c r="AI691" s="193"/>
      <c r="AJ691" s="194">
        <v>4.5110000000000001</v>
      </c>
      <c r="AK691" s="130"/>
      <c r="AL691" s="3"/>
      <c r="AM691" s="3"/>
      <c r="AN691" s="3"/>
      <c r="AO691" s="3"/>
      <c r="AP691" s="137"/>
      <c r="AQ691" s="132"/>
      <c r="AR691" s="132"/>
      <c r="AS691" s="3"/>
      <c r="AT691" s="3"/>
      <c r="AU691" s="3"/>
      <c r="AV691" s="3"/>
      <c r="AW691" s="192"/>
      <c r="AX691" s="133">
        <v>32.159999999999997</v>
      </c>
      <c r="AY691" s="195"/>
      <c r="AZ691" s="40"/>
      <c r="BA691" s="40"/>
      <c r="BB691" s="40"/>
      <c r="BC691" s="40"/>
      <c r="BD691" s="135"/>
      <c r="BE691" s="135"/>
      <c r="BF691" s="40"/>
      <c r="BG691" s="135"/>
      <c r="BH691" s="135"/>
      <c r="BI691" s="49">
        <v>2412.6407155327688</v>
      </c>
      <c r="BJ691" s="49">
        <v>999.20632276917036</v>
      </c>
      <c r="BK691" s="66"/>
      <c r="BL691" s="66"/>
      <c r="BM691" s="51">
        <v>45.955061248243219</v>
      </c>
      <c r="BN691" s="51">
        <v>19.032501386079435</v>
      </c>
      <c r="BO691" s="136"/>
      <c r="BP691" s="40"/>
      <c r="BQ691" s="40"/>
      <c r="BR691" s="67"/>
      <c r="BS691" s="54"/>
      <c r="BT691" s="3"/>
      <c r="BU691" s="3"/>
      <c r="BV691" s="3"/>
      <c r="BW691" s="3"/>
      <c r="BX691" s="70"/>
      <c r="BY691" s="70"/>
      <c r="BZ691" s="59"/>
      <c r="CA691" s="59"/>
      <c r="CB691" s="59"/>
      <c r="CC691" s="59"/>
      <c r="CD691" s="60"/>
      <c r="CE691" s="60"/>
      <c r="CF691" s="61"/>
      <c r="CG691" s="61"/>
      <c r="CH691" s="61"/>
      <c r="CI691" s="41">
        <v>17.600000000000001</v>
      </c>
      <c r="CJ691" s="40">
        <v>1640</v>
      </c>
      <c r="CK691" s="3"/>
      <c r="CL691" s="62"/>
      <c r="CM691" s="63"/>
      <c r="CN691" s="3"/>
      <c r="CO691" s="3"/>
      <c r="CP691" s="41">
        <v>14.502777777777778</v>
      </c>
      <c r="CQ691" s="3"/>
      <c r="CR691" s="40"/>
      <c r="CS691" s="40"/>
      <c r="CT691" s="40"/>
      <c r="CU691" s="40"/>
      <c r="CV691" s="40"/>
      <c r="CW691" s="40"/>
      <c r="CX691" s="40"/>
      <c r="CY691" s="40"/>
      <c r="CZ691" s="40"/>
      <c r="DA691" s="40"/>
    </row>
    <row r="692" spans="1:105" ht="18.95" customHeight="1">
      <c r="A692" s="3">
        <v>663</v>
      </c>
      <c r="B692" s="92" t="s">
        <v>199</v>
      </c>
      <c r="C692" s="3">
        <v>0</v>
      </c>
      <c r="D692" s="3" t="s">
        <v>215</v>
      </c>
      <c r="E692" s="39">
        <v>45273</v>
      </c>
      <c r="F692" s="3" t="s">
        <v>106</v>
      </c>
      <c r="G692" s="3" t="s">
        <v>122</v>
      </c>
      <c r="H692" s="3">
        <v>2009</v>
      </c>
      <c r="I692" s="40" t="s">
        <v>108</v>
      </c>
      <c r="J692" s="191" t="s">
        <v>123</v>
      </c>
      <c r="K692" s="3"/>
      <c r="L692" s="3"/>
      <c r="M692" s="3"/>
      <c r="N692" s="3"/>
      <c r="O692" s="3"/>
      <c r="P692" s="3"/>
      <c r="Q692" s="3"/>
      <c r="R692" s="3"/>
      <c r="S692" s="3"/>
      <c r="T692" s="42">
        <v>175.25</v>
      </c>
      <c r="U692" s="188">
        <v>91.3</v>
      </c>
      <c r="V692" s="12">
        <f>paper3[[#This Row],[height]]-paper3[[#This Row],[sittingheight]]</f>
        <v>83.95</v>
      </c>
      <c r="W692" s="73">
        <v>57</v>
      </c>
      <c r="X692" s="43" cm="1">
        <f t="array" ref="X692">INDEX([1]!phvny[yphv], MATCH(1, (paper3[[#This Row],[id]]=[1]!phvny[id])*(paper3[[#This Row],[time]]=[1]!phvny[time]), 0))</f>
        <v>1.0761299747629578</v>
      </c>
      <c r="Y692" s="192"/>
      <c r="Z692" s="3"/>
      <c r="AA692" s="192"/>
      <c r="AB692" s="3"/>
      <c r="AC692" s="3"/>
      <c r="AD692" s="3"/>
      <c r="AE692" s="3"/>
      <c r="AF692" s="3"/>
      <c r="AG692" s="3"/>
      <c r="AH692" s="194">
        <v>1.855</v>
      </c>
      <c r="AI692" s="193"/>
      <c r="AJ692" s="194">
        <v>4.4669999999999996</v>
      </c>
      <c r="AK692" s="130"/>
      <c r="AL692" s="3"/>
      <c r="AM692" s="3"/>
      <c r="AN692" s="3"/>
      <c r="AO692" s="3"/>
      <c r="AP692" s="137"/>
      <c r="AQ692" s="132"/>
      <c r="AR692" s="132"/>
      <c r="AS692" s="3"/>
      <c r="AT692" s="3"/>
      <c r="AU692" s="3"/>
      <c r="AV692" s="3"/>
      <c r="AW692" s="192"/>
      <c r="AX692" s="133">
        <v>28.060000000000002</v>
      </c>
      <c r="AY692" s="195"/>
      <c r="AZ692" s="40"/>
      <c r="BA692" s="40"/>
      <c r="BB692" s="40"/>
      <c r="BC692" s="40"/>
      <c r="BD692" s="135"/>
      <c r="BE692" s="135"/>
      <c r="BF692" s="40"/>
      <c r="BG692" s="135"/>
      <c r="BH692" s="135"/>
      <c r="BI692" s="49">
        <v>1717.3070008239297</v>
      </c>
      <c r="BJ692" s="49">
        <v>890.84004562132952</v>
      </c>
      <c r="BK692" s="66"/>
      <c r="BL692" s="66"/>
      <c r="BM692" s="51">
        <v>30.128192996911046</v>
      </c>
      <c r="BN692" s="51">
        <v>15.628772730198763</v>
      </c>
      <c r="BO692" s="136"/>
      <c r="BP692" s="40"/>
      <c r="BQ692" s="40"/>
      <c r="BR692" s="67"/>
      <c r="BS692" s="54"/>
      <c r="BT692" s="3"/>
      <c r="BU692" s="3"/>
      <c r="BV692" s="3"/>
      <c r="BW692" s="3"/>
      <c r="BX692" s="70"/>
      <c r="BY692" s="70"/>
      <c r="BZ692" s="59"/>
      <c r="CA692" s="59"/>
      <c r="CB692" s="59"/>
      <c r="CC692" s="59"/>
      <c r="CD692" s="60"/>
      <c r="CE692" s="60"/>
      <c r="CF692" s="61"/>
      <c r="CG692" s="61"/>
      <c r="CH692" s="61"/>
      <c r="CI692" s="41">
        <v>16.3</v>
      </c>
      <c r="CJ692" s="40">
        <v>1200</v>
      </c>
      <c r="CK692" s="3"/>
      <c r="CL692" s="62"/>
      <c r="CM692" s="63"/>
      <c r="CN692" s="3"/>
      <c r="CO692" s="3"/>
      <c r="CP692" s="41">
        <v>14.427777777777777</v>
      </c>
      <c r="CQ692" s="3"/>
      <c r="CR692" s="40"/>
      <c r="CS692" s="40"/>
      <c r="CT692" s="40"/>
      <c r="CU692" s="40"/>
      <c r="CV692" s="40"/>
      <c r="CW692" s="40"/>
      <c r="CX692" s="40"/>
      <c r="CY692" s="40"/>
      <c r="CZ692" s="40"/>
      <c r="DA692" s="40"/>
    </row>
    <row r="693" spans="1:105" ht="18.95" customHeight="1">
      <c r="A693" s="3">
        <v>664</v>
      </c>
      <c r="B693" s="92" t="s">
        <v>199</v>
      </c>
      <c r="C693" s="3">
        <v>0</v>
      </c>
      <c r="D693" s="3" t="s">
        <v>215</v>
      </c>
      <c r="E693" s="39">
        <v>45273</v>
      </c>
      <c r="F693" s="3" t="s">
        <v>106</v>
      </c>
      <c r="G693" s="3" t="s">
        <v>122</v>
      </c>
      <c r="H693" s="3">
        <v>2009</v>
      </c>
      <c r="I693" s="40" t="s">
        <v>108</v>
      </c>
      <c r="J693" s="191" t="s">
        <v>123</v>
      </c>
      <c r="K693" s="3"/>
      <c r="L693" s="3"/>
      <c r="M693" s="3"/>
      <c r="N693" s="3"/>
      <c r="O693" s="3"/>
      <c r="P693" s="3"/>
      <c r="Q693" s="3"/>
      <c r="R693" s="3"/>
      <c r="S693" s="3"/>
      <c r="T693" s="42"/>
      <c r="U693" s="188"/>
      <c r="V693" s="12"/>
      <c r="W693" s="42"/>
      <c r="X693" s="43"/>
      <c r="Y693" s="192"/>
      <c r="Z693" s="3"/>
      <c r="AA693" s="192"/>
      <c r="AB693" s="3"/>
      <c r="AC693" s="3"/>
      <c r="AD693" s="3"/>
      <c r="AE693" s="3"/>
      <c r="AF693" s="3"/>
      <c r="AG693" s="3"/>
      <c r="AH693" s="194"/>
      <c r="AI693" s="193"/>
      <c r="AJ693" s="194"/>
      <c r="AK693" s="130"/>
      <c r="AL693" s="3"/>
      <c r="AM693" s="3"/>
      <c r="AN693" s="3"/>
      <c r="AO693" s="3"/>
      <c r="AP693" s="137"/>
      <c r="AQ693" s="132"/>
      <c r="AR693" s="132"/>
      <c r="AS693" s="3"/>
      <c r="AT693" s="3"/>
      <c r="AU693" s="3"/>
      <c r="AV693" s="3"/>
      <c r="AW693" s="192"/>
      <c r="AX693" s="133"/>
      <c r="AY693" s="195"/>
      <c r="AZ693" s="40"/>
      <c r="BA693" s="40"/>
      <c r="BB693" s="40"/>
      <c r="BC693" s="40"/>
      <c r="BD693" s="135"/>
      <c r="BE693" s="135"/>
      <c r="BF693" s="40"/>
      <c r="BG693" s="135"/>
      <c r="BH693" s="135"/>
      <c r="BI693" s="49"/>
      <c r="BJ693" s="49"/>
      <c r="BK693" s="66"/>
      <c r="BL693" s="66"/>
      <c r="BM693" s="51"/>
      <c r="BN693" s="51"/>
      <c r="BO693" s="136"/>
      <c r="BP693" s="40"/>
      <c r="BQ693" s="40"/>
      <c r="BR693" s="67"/>
      <c r="BS693" s="54"/>
      <c r="BT693" s="3"/>
      <c r="BU693" s="3"/>
      <c r="BV693" s="3"/>
      <c r="BW693" s="3"/>
      <c r="BX693" s="70"/>
      <c r="BY693" s="70"/>
      <c r="BZ693" s="59"/>
      <c r="CA693" s="59"/>
      <c r="CB693" s="59"/>
      <c r="CC693" s="59"/>
      <c r="CD693" s="60"/>
      <c r="CE693" s="60"/>
      <c r="CF693" s="61"/>
      <c r="CG693" s="61"/>
      <c r="CH693" s="61"/>
      <c r="CI693" s="41"/>
      <c r="CJ693" s="40"/>
      <c r="CK693" s="3"/>
      <c r="CL693" s="62"/>
      <c r="CM693" s="63"/>
      <c r="CN693" s="3"/>
      <c r="CO693" s="3"/>
      <c r="CP693" s="41">
        <v>14.191666666666666</v>
      </c>
      <c r="CQ693" s="3"/>
      <c r="CR693" s="40"/>
      <c r="CS693" s="40"/>
      <c r="CT693" s="40"/>
      <c r="CU693" s="40"/>
      <c r="CV693" s="40"/>
      <c r="CW693" s="40"/>
      <c r="CX693" s="40"/>
      <c r="CY693" s="40"/>
      <c r="CZ693" s="40"/>
      <c r="DA693" s="40"/>
    </row>
    <row r="694" spans="1:105" ht="18.95" customHeight="1">
      <c r="A694" s="3">
        <v>665</v>
      </c>
      <c r="B694" s="92" t="s">
        <v>199</v>
      </c>
      <c r="C694" s="3">
        <v>0</v>
      </c>
      <c r="D694" s="3" t="s">
        <v>215</v>
      </c>
      <c r="E694" s="39">
        <v>45273</v>
      </c>
      <c r="F694" s="3" t="s">
        <v>106</v>
      </c>
      <c r="G694" s="3" t="s">
        <v>122</v>
      </c>
      <c r="H694" s="3">
        <v>2009</v>
      </c>
      <c r="I694" s="40" t="s">
        <v>108</v>
      </c>
      <c r="J694" s="191" t="s">
        <v>123</v>
      </c>
      <c r="K694" s="3"/>
      <c r="L694" s="3"/>
      <c r="M694" s="3"/>
      <c r="N694" s="3"/>
      <c r="O694" s="3"/>
      <c r="P694" s="3"/>
      <c r="Q694" s="3"/>
      <c r="R694" s="3"/>
      <c r="S694" s="3"/>
      <c r="T694" s="42">
        <v>185</v>
      </c>
      <c r="U694" s="188">
        <v>95.8</v>
      </c>
      <c r="V694" s="12">
        <f>paper3[[#This Row],[height]]-paper3[[#This Row],[sittingheight]]</f>
        <v>89.2</v>
      </c>
      <c r="W694" s="73">
        <v>75.5</v>
      </c>
      <c r="X694" s="43" cm="1">
        <f t="array" ref="X694">INDEX([1]!phvny[yphv], MATCH(1, (paper3[[#This Row],[id]]=[1]!phvny[id])*(paper3[[#This Row],[time]]=[1]!phvny[time]), 0))</f>
        <v>2.02051876845045</v>
      </c>
      <c r="Y694" s="192"/>
      <c r="Z694" s="3"/>
      <c r="AA694" s="192"/>
      <c r="AB694" s="3"/>
      <c r="AC694" s="3"/>
      <c r="AD694" s="3"/>
      <c r="AE694" s="3"/>
      <c r="AF694" s="3"/>
      <c r="AG694" s="3"/>
      <c r="AH694" s="194">
        <v>1.8839999999999999</v>
      </c>
      <c r="AI694" s="193"/>
      <c r="AJ694" s="194">
        <v>4.5449999999999999</v>
      </c>
      <c r="AK694" s="130"/>
      <c r="AL694" s="3"/>
      <c r="AM694" s="3"/>
      <c r="AN694" s="3"/>
      <c r="AO694" s="3"/>
      <c r="AP694" s="137"/>
      <c r="AQ694" s="132"/>
      <c r="AR694" s="132"/>
      <c r="AS694" s="3"/>
      <c r="AT694" s="3"/>
      <c r="AU694" s="3"/>
      <c r="AV694" s="3"/>
      <c r="AW694" s="192"/>
      <c r="AX694" s="133">
        <v>28.16</v>
      </c>
      <c r="AY694" s="195"/>
      <c r="AZ694" s="40"/>
      <c r="BA694" s="40"/>
      <c r="BB694" s="40"/>
      <c r="BC694" s="40"/>
      <c r="BD694" s="135"/>
      <c r="BE694" s="135"/>
      <c r="BF694" s="40"/>
      <c r="BG694" s="135"/>
      <c r="BH694" s="135"/>
      <c r="BI694" s="49">
        <v>3153.1250343356865</v>
      </c>
      <c r="BJ694" s="49">
        <v>859.9620271202491</v>
      </c>
      <c r="BK694" s="66"/>
      <c r="BL694" s="66"/>
      <c r="BM694" s="51">
        <v>41.76324548788989</v>
      </c>
      <c r="BN694" s="51">
        <v>11.390225524771511</v>
      </c>
      <c r="BO694" s="136"/>
      <c r="BP694" s="40"/>
      <c r="BQ694" s="40"/>
      <c r="BR694" s="67"/>
      <c r="BS694" s="54"/>
      <c r="BT694" s="3"/>
      <c r="BU694" s="3"/>
      <c r="BV694" s="3"/>
      <c r="BW694" s="3"/>
      <c r="BX694" s="70"/>
      <c r="BY694" s="70"/>
      <c r="BZ694" s="59"/>
      <c r="CA694" s="59"/>
      <c r="CB694" s="59"/>
      <c r="CC694" s="59"/>
      <c r="CD694" s="60"/>
      <c r="CE694" s="60"/>
      <c r="CF694" s="61"/>
      <c r="CG694" s="61"/>
      <c r="CH694" s="61"/>
      <c r="CI694" s="41"/>
      <c r="CJ694" s="40"/>
      <c r="CK694" s="3"/>
      <c r="CL694" s="62"/>
      <c r="CM694" s="63"/>
      <c r="CN694" s="3"/>
      <c r="CO694" s="3"/>
      <c r="CP694" s="41">
        <v>14.747222222222222</v>
      </c>
      <c r="CQ694" s="3"/>
      <c r="CR694" s="40"/>
      <c r="CS694" s="40"/>
      <c r="CT694" s="40"/>
      <c r="CU694" s="40"/>
      <c r="CV694" s="40"/>
      <c r="CW694" s="40"/>
      <c r="CX694" s="40"/>
      <c r="CY694" s="40"/>
      <c r="CZ694" s="40"/>
      <c r="DA694" s="40"/>
    </row>
    <row r="695" spans="1:105" ht="18.95" customHeight="1">
      <c r="A695" s="3">
        <v>666</v>
      </c>
      <c r="B695" s="92" t="s">
        <v>199</v>
      </c>
      <c r="C695" s="3">
        <v>0</v>
      </c>
      <c r="D695" s="3" t="s">
        <v>215</v>
      </c>
      <c r="E695" s="39">
        <v>45273</v>
      </c>
      <c r="F695" s="3" t="s">
        <v>106</v>
      </c>
      <c r="G695" s="3" t="s">
        <v>122</v>
      </c>
      <c r="H695" s="3">
        <v>2009</v>
      </c>
      <c r="I695" s="40" t="s">
        <v>108</v>
      </c>
      <c r="J695" s="191" t="s">
        <v>123</v>
      </c>
      <c r="K695" s="3"/>
      <c r="L695" s="3"/>
      <c r="M695" s="3"/>
      <c r="N695" s="3"/>
      <c r="O695" s="3"/>
      <c r="P695" s="3"/>
      <c r="Q695" s="3"/>
      <c r="R695" s="3"/>
      <c r="S695" s="3"/>
      <c r="T695" s="42">
        <v>156.25</v>
      </c>
      <c r="U695" s="188">
        <v>73.8</v>
      </c>
      <c r="V695" s="12">
        <f>paper3[[#This Row],[height]]-paper3[[#This Row],[sittingheight]]</f>
        <v>82.45</v>
      </c>
      <c r="W695" s="73">
        <v>36.299999999999997</v>
      </c>
      <c r="X695" s="43" cm="1">
        <f t="array" ref="X695">INDEX([1]!phvny[yphv], MATCH(1, (paper3[[#This Row],[id]]=[1]!phvny[id])*(paper3[[#This Row],[time]]=[1]!phvny[time]), 0))</f>
        <v>-1.2320031289444453</v>
      </c>
      <c r="Y695" s="192"/>
      <c r="Z695" s="3"/>
      <c r="AA695" s="192"/>
      <c r="AB695" s="3"/>
      <c r="AC695" s="3"/>
      <c r="AD695" s="3"/>
      <c r="AE695" s="3"/>
      <c r="AF695" s="3"/>
      <c r="AG695" s="3"/>
      <c r="AH695" s="194">
        <v>2.194</v>
      </c>
      <c r="AI695" s="193"/>
      <c r="AJ695" s="194">
        <v>5.36</v>
      </c>
      <c r="AK695" s="130"/>
      <c r="AL695" s="3"/>
      <c r="AM695" s="3"/>
      <c r="AN695" s="3"/>
      <c r="AO695" s="3"/>
      <c r="AP695" s="137"/>
      <c r="AQ695" s="132"/>
      <c r="AR695" s="132"/>
      <c r="AS695" s="3"/>
      <c r="AT695" s="3"/>
      <c r="AU695" s="3"/>
      <c r="AV695" s="3"/>
      <c r="AW695" s="192"/>
      <c r="AX695" s="133">
        <v>21.060000000000002</v>
      </c>
      <c r="AY695" s="195"/>
      <c r="AZ695" s="40"/>
      <c r="BA695" s="40"/>
      <c r="BB695" s="40"/>
      <c r="BC695" s="40"/>
      <c r="BD695" s="135"/>
      <c r="BE695" s="135"/>
      <c r="BF695" s="40"/>
      <c r="BG695" s="135"/>
      <c r="BH695" s="135"/>
      <c r="BI695" s="49">
        <v>1096.0185783044853</v>
      </c>
      <c r="BJ695" s="49">
        <v>411.29761805695273</v>
      </c>
      <c r="BK695" s="66"/>
      <c r="BL695" s="66"/>
      <c r="BM695" s="51">
        <v>30.193349264586377</v>
      </c>
      <c r="BN695" s="51">
        <v>11.33051289413093</v>
      </c>
      <c r="BO695" s="136"/>
      <c r="BP695" s="40"/>
      <c r="BQ695" s="40"/>
      <c r="BR695" s="67"/>
      <c r="BS695" s="54"/>
      <c r="BT695" s="3"/>
      <c r="BU695" s="3"/>
      <c r="BV695" s="3"/>
      <c r="BW695" s="3"/>
      <c r="BX695" s="70"/>
      <c r="BY695" s="70"/>
      <c r="BZ695" s="59"/>
      <c r="CA695" s="59"/>
      <c r="CB695" s="59"/>
      <c r="CC695" s="59"/>
      <c r="CD695" s="60"/>
      <c r="CE695" s="60"/>
      <c r="CF695" s="61"/>
      <c r="CG695" s="61"/>
      <c r="CH695" s="61"/>
      <c r="CI695" s="41">
        <v>15.3</v>
      </c>
      <c r="CJ695" s="40">
        <v>880</v>
      </c>
      <c r="CK695" s="3"/>
      <c r="CL695" s="62"/>
      <c r="CM695" s="63"/>
      <c r="CN695" s="3"/>
      <c r="CO695" s="3"/>
      <c r="CP695" s="41">
        <v>14.727777777777778</v>
      </c>
      <c r="CQ695" s="3"/>
      <c r="CR695" s="40"/>
      <c r="CS695" s="40"/>
      <c r="CT695" s="40"/>
      <c r="CU695" s="40"/>
      <c r="CV695" s="40"/>
      <c r="CW695" s="40"/>
      <c r="CX695" s="40"/>
      <c r="CY695" s="40"/>
      <c r="CZ695" s="40"/>
      <c r="DA695" s="40"/>
    </row>
    <row r="696" spans="1:105" ht="18.75">
      <c r="A696" s="3">
        <v>667</v>
      </c>
      <c r="B696" s="92" t="s">
        <v>199</v>
      </c>
      <c r="C696" s="3">
        <v>0</v>
      </c>
      <c r="D696" s="3" t="s">
        <v>215</v>
      </c>
      <c r="E696" s="39">
        <v>45273</v>
      </c>
      <c r="F696" s="3" t="s">
        <v>106</v>
      </c>
      <c r="G696" s="3" t="s">
        <v>122</v>
      </c>
      <c r="H696" s="3">
        <v>2009</v>
      </c>
      <c r="I696" s="40" t="s">
        <v>108</v>
      </c>
      <c r="J696" s="191" t="s">
        <v>123</v>
      </c>
      <c r="K696" s="3"/>
      <c r="L696" s="3"/>
      <c r="M696" s="3"/>
      <c r="N696" s="3"/>
      <c r="O696" s="3"/>
      <c r="P696" s="3"/>
      <c r="Q696" s="3"/>
      <c r="R696" s="3"/>
      <c r="S696" s="3"/>
      <c r="T696" s="42">
        <v>168.4</v>
      </c>
      <c r="U696" s="188">
        <v>88.8</v>
      </c>
      <c r="V696" s="12">
        <f>paper3[[#This Row],[height]]-paper3[[#This Row],[sittingheight]]</f>
        <v>79.600000000000009</v>
      </c>
      <c r="W696" s="73">
        <v>53.3</v>
      </c>
      <c r="X696" s="43" cm="1">
        <f t="array" ref="X696">INDEX([1]!phvny[yphv], MATCH(1, (paper3[[#This Row],[id]]=[1]!phvny[id])*(paper3[[#This Row],[time]]=[1]!phvny[time]), 0))</f>
        <v>0.95199829974293926</v>
      </c>
      <c r="Y696" s="192"/>
      <c r="Z696" s="3"/>
      <c r="AA696" s="192"/>
      <c r="AB696" s="3"/>
      <c r="AC696" s="3"/>
      <c r="AD696" s="3"/>
      <c r="AE696" s="3"/>
      <c r="AF696" s="3"/>
      <c r="AG696" s="3"/>
      <c r="AH696" s="194">
        <v>1.9909999999999999</v>
      </c>
      <c r="AI696" s="193"/>
      <c r="AJ696" s="194">
        <v>4.8170000000000002</v>
      </c>
      <c r="AK696" s="130"/>
      <c r="AL696" s="3"/>
      <c r="AM696" s="3"/>
      <c r="AN696" s="3"/>
      <c r="AO696" s="3"/>
      <c r="AP696" s="137"/>
      <c r="AQ696" s="132"/>
      <c r="AR696" s="132"/>
      <c r="AS696" s="3"/>
      <c r="AT696" s="3"/>
      <c r="AU696" s="3"/>
      <c r="AV696" s="3"/>
      <c r="AW696" s="192"/>
      <c r="AX696" s="133">
        <v>28.16</v>
      </c>
      <c r="AY696" s="195"/>
      <c r="AZ696" s="40"/>
      <c r="BA696" s="40"/>
      <c r="BB696" s="40"/>
      <c r="BC696" s="40"/>
      <c r="BD696" s="135"/>
      <c r="BE696" s="135"/>
      <c r="BF696" s="40"/>
      <c r="BG696" s="135"/>
      <c r="BH696" s="135"/>
      <c r="BI696" s="49">
        <v>2115.0138992607531</v>
      </c>
      <c r="BJ696" s="49">
        <v>811.59357538805466</v>
      </c>
      <c r="BK696" s="66"/>
      <c r="BL696" s="66"/>
      <c r="BM696" s="51">
        <v>39.68131143078336</v>
      </c>
      <c r="BN696" s="51">
        <v>15.22689634874399</v>
      </c>
      <c r="BO696" s="136"/>
      <c r="BP696" s="40"/>
      <c r="BQ696" s="40"/>
      <c r="BR696" s="67"/>
      <c r="BS696" s="54"/>
      <c r="BT696" s="3"/>
      <c r="BU696" s="3"/>
      <c r="BV696" s="3"/>
      <c r="BW696" s="3"/>
      <c r="BX696" s="70"/>
      <c r="BY696" s="70"/>
      <c r="BZ696" s="59"/>
      <c r="CA696" s="59"/>
      <c r="CB696" s="59"/>
      <c r="CC696" s="59"/>
      <c r="CD696" s="60"/>
      <c r="CE696" s="60"/>
      <c r="CF696" s="61"/>
      <c r="CG696" s="61"/>
      <c r="CH696" s="61"/>
      <c r="CI696" s="41"/>
      <c r="CJ696" s="40" t="s">
        <v>110</v>
      </c>
      <c r="CK696" s="3"/>
      <c r="CL696" s="62"/>
      <c r="CM696" s="63"/>
      <c r="CN696" s="3"/>
      <c r="CO696" s="3"/>
      <c r="CP696" s="41">
        <v>14.847222222222221</v>
      </c>
      <c r="CQ696" s="3"/>
      <c r="CR696" s="40"/>
      <c r="CS696" s="40"/>
      <c r="CT696" s="40"/>
      <c r="CU696" s="40"/>
      <c r="CV696" s="40"/>
      <c r="CW696" s="40"/>
      <c r="CX696" s="40"/>
      <c r="CY696" s="40"/>
      <c r="CZ696" s="40"/>
      <c r="DA696" s="40"/>
    </row>
    <row r="697" spans="1:105" ht="18.95" customHeight="1">
      <c r="A697" s="46">
        <v>668</v>
      </c>
      <c r="B697" s="145" t="s">
        <v>199</v>
      </c>
      <c r="C697" s="46">
        <v>0</v>
      </c>
      <c r="D697" s="46" t="s">
        <v>215</v>
      </c>
      <c r="E697" s="86">
        <v>45250</v>
      </c>
      <c r="F697" s="46" t="s">
        <v>106</v>
      </c>
      <c r="G697" s="46" t="s">
        <v>122</v>
      </c>
      <c r="H697" s="46">
        <v>2007</v>
      </c>
      <c r="I697" s="84" t="s">
        <v>116</v>
      </c>
      <c r="J697" s="198" t="s">
        <v>157</v>
      </c>
      <c r="K697" s="46"/>
      <c r="L697" s="46"/>
      <c r="M697" s="46"/>
      <c r="N697" s="46"/>
      <c r="O697" s="46"/>
      <c r="P697" s="46"/>
      <c r="Q697" s="46"/>
      <c r="R697" s="46"/>
      <c r="S697" s="46"/>
      <c r="T697" s="99">
        <v>181.6</v>
      </c>
      <c r="U697" s="199">
        <v>91.35</v>
      </c>
      <c r="V697" s="199">
        <f>paper3[[#This Row],[height]]-paper3[[#This Row],[sittingheight]]</f>
        <v>90.25</v>
      </c>
      <c r="W697" s="97">
        <v>60.6</v>
      </c>
      <c r="X697" s="100" cm="1">
        <f t="array" ref="X697">INDEX([1]!phvny[yphv], MATCH(1, (paper3[[#This Row],[id]]=[1]!phvny[id])*(paper3[[#This Row],[time]]=[1]!phvny[time]), 0))</f>
        <v>2.0412863428860724</v>
      </c>
      <c r="Y697" s="200"/>
      <c r="Z697" s="46"/>
      <c r="AA697" s="200"/>
      <c r="AB697" s="46"/>
      <c r="AC697" s="46"/>
      <c r="AD697" s="46"/>
      <c r="AE697" s="46"/>
      <c r="AF697" s="46"/>
      <c r="AG697" s="46"/>
      <c r="AH697" s="193">
        <v>1.9749999999999999</v>
      </c>
      <c r="AI697" s="193"/>
      <c r="AJ697" s="193">
        <v>4.7160000000000002</v>
      </c>
      <c r="AK697" s="150"/>
      <c r="AL697" s="46"/>
      <c r="AM697" s="46"/>
      <c r="AN697" s="46"/>
      <c r="AO697" s="46"/>
      <c r="AP697" s="151">
        <v>9.7200000000000006</v>
      </c>
      <c r="AQ697" s="152"/>
      <c r="AR697" s="152"/>
      <c r="AS697" s="46"/>
      <c r="AT697" s="46"/>
      <c r="AU697" s="46"/>
      <c r="AV697" s="46"/>
      <c r="AW697" s="200"/>
      <c r="AX697" s="153">
        <v>31.16</v>
      </c>
      <c r="AY697" s="201"/>
      <c r="AZ697" s="84"/>
      <c r="BA697" s="84"/>
      <c r="BB697" s="84"/>
      <c r="BC697" s="84"/>
      <c r="BD697" s="155"/>
      <c r="BE697" s="155"/>
      <c r="BF697" s="84"/>
      <c r="BG697" s="155"/>
      <c r="BH697" s="155"/>
      <c r="BI697" s="105">
        <v>1843.8263148387791</v>
      </c>
      <c r="BJ697" s="105">
        <v>850.09705217298165</v>
      </c>
      <c r="BK697" s="106"/>
      <c r="BL697" s="106"/>
      <c r="BM697" s="107">
        <v>30.426176812521106</v>
      </c>
      <c r="BN697" s="107">
        <v>14.028004161270324</v>
      </c>
      <c r="BO697" s="156"/>
      <c r="BP697" s="84"/>
      <c r="BQ697" s="84"/>
      <c r="BR697" s="109"/>
      <c r="BS697" s="110"/>
      <c r="BT697" s="46"/>
      <c r="BU697" s="46"/>
      <c r="BV697" s="46"/>
      <c r="BW697" s="46"/>
      <c r="BX697" s="111"/>
      <c r="BY697" s="111"/>
      <c r="BZ697" s="112"/>
      <c r="CA697" s="112"/>
      <c r="CB697" s="112"/>
      <c r="CC697" s="112"/>
      <c r="CD697" s="72"/>
      <c r="CE697" s="72"/>
      <c r="CF697" s="113"/>
      <c r="CG697" s="113"/>
      <c r="CH697" s="113"/>
      <c r="CI697" s="74">
        <v>17.2</v>
      </c>
      <c r="CJ697" s="84">
        <v>1480</v>
      </c>
      <c r="CK697" s="46"/>
      <c r="CL697" s="114"/>
      <c r="CM697" s="115"/>
      <c r="CN697" s="46"/>
      <c r="CO697" s="46"/>
      <c r="CP697" s="74">
        <v>16.263888888888889</v>
      </c>
      <c r="CQ697" s="46"/>
      <c r="CR697" s="84"/>
      <c r="CS697" s="84"/>
      <c r="CT697" s="84"/>
      <c r="CU697" s="84"/>
      <c r="CV697" s="84"/>
      <c r="CW697" s="84"/>
      <c r="CX697" s="84"/>
      <c r="CY697" s="84"/>
      <c r="CZ697" s="40"/>
      <c r="DA697" s="40"/>
    </row>
    <row r="698" spans="1:105" ht="18.95" customHeight="1">
      <c r="A698" s="46">
        <v>669</v>
      </c>
      <c r="B698" s="145" t="s">
        <v>199</v>
      </c>
      <c r="C698" s="46">
        <v>0</v>
      </c>
      <c r="D698" s="46" t="s">
        <v>215</v>
      </c>
      <c r="E698" s="86">
        <v>45250</v>
      </c>
      <c r="F698" s="46" t="s">
        <v>106</v>
      </c>
      <c r="G698" s="46" t="s">
        <v>122</v>
      </c>
      <c r="H698" s="46">
        <v>2007</v>
      </c>
      <c r="I698" s="84" t="s">
        <v>116</v>
      </c>
      <c r="J698" s="198" t="s">
        <v>157</v>
      </c>
      <c r="K698" s="46"/>
      <c r="L698" s="46"/>
      <c r="M698" s="46"/>
      <c r="N698" s="46"/>
      <c r="O698" s="46"/>
      <c r="P698" s="46"/>
      <c r="Q698" s="46"/>
      <c r="R698" s="46"/>
      <c r="S698" s="46"/>
      <c r="T698" s="99">
        <v>191</v>
      </c>
      <c r="U698" s="199">
        <v>97.8</v>
      </c>
      <c r="V698" s="199">
        <f>paper3[[#This Row],[height]]-paper3[[#This Row],[sittingheight]]</f>
        <v>93.2</v>
      </c>
      <c r="W698" s="97">
        <v>66</v>
      </c>
      <c r="X698" s="100" cm="1">
        <f t="array" ref="X698">INDEX([1]!phvny[yphv], MATCH(1, (paper3[[#This Row],[id]]=[1]!phvny[id])*(paper3[[#This Row],[time]]=[1]!phvny[time]), 0))</f>
        <v>2.8788971724444448</v>
      </c>
      <c r="Y698" s="200"/>
      <c r="Z698" s="46"/>
      <c r="AA698" s="200"/>
      <c r="AB698" s="46"/>
      <c r="AC698" s="46"/>
      <c r="AD698" s="46"/>
      <c r="AE698" s="46"/>
      <c r="AF698" s="46"/>
      <c r="AG698" s="46"/>
      <c r="AH698" s="193">
        <v>1.806</v>
      </c>
      <c r="AI698" s="193"/>
      <c r="AJ698" s="193">
        <v>4.452</v>
      </c>
      <c r="AK698" s="150"/>
      <c r="AL698" s="46"/>
      <c r="AM698" s="46"/>
      <c r="AN698" s="46"/>
      <c r="AO698" s="46"/>
      <c r="AP698" s="151">
        <v>10.23</v>
      </c>
      <c r="AQ698" s="152"/>
      <c r="AR698" s="152"/>
      <c r="AS698" s="46"/>
      <c r="AT698" s="46"/>
      <c r="AU698" s="46"/>
      <c r="AV698" s="46"/>
      <c r="AW698" s="200"/>
      <c r="AX698" s="153">
        <v>37.96</v>
      </c>
      <c r="AY698" s="201"/>
      <c r="AZ698" s="84"/>
      <c r="BA698" s="84"/>
      <c r="BB698" s="84"/>
      <c r="BC698" s="84"/>
      <c r="BD698" s="155"/>
      <c r="BE698" s="155"/>
      <c r="BF698" s="84"/>
      <c r="BG698" s="155"/>
      <c r="BH698" s="155"/>
      <c r="BI698" s="105">
        <v>1917.050814565494</v>
      </c>
      <c r="BJ698" s="105">
        <v>1033.5829271314237</v>
      </c>
      <c r="BK698" s="106"/>
      <c r="BL698" s="106"/>
      <c r="BM698" s="107">
        <v>29.046224463113546</v>
      </c>
      <c r="BN698" s="107">
        <v>15.660347380779147</v>
      </c>
      <c r="BO698" s="156"/>
      <c r="BP698" s="84"/>
      <c r="BQ698" s="84"/>
      <c r="BR698" s="109"/>
      <c r="BS698" s="110"/>
      <c r="BT698" s="46"/>
      <c r="BU698" s="46"/>
      <c r="BV698" s="46"/>
      <c r="BW698" s="46"/>
      <c r="BX698" s="111"/>
      <c r="BY698" s="111"/>
      <c r="BZ698" s="112"/>
      <c r="CA698" s="112"/>
      <c r="CB698" s="112"/>
      <c r="CC698" s="112"/>
      <c r="CD698" s="72"/>
      <c r="CE698" s="72"/>
      <c r="CF698" s="113"/>
      <c r="CG698" s="113"/>
      <c r="CH698" s="113"/>
      <c r="CI698" s="74"/>
      <c r="CJ698" s="84"/>
      <c r="CK698" s="46"/>
      <c r="CL698" s="114"/>
      <c r="CM698" s="115"/>
      <c r="CN698" s="46"/>
      <c r="CO698" s="46"/>
      <c r="CP698" s="74">
        <v>16.077777777777779</v>
      </c>
      <c r="CQ698" s="46"/>
      <c r="CR698" s="84"/>
      <c r="CS698" s="84"/>
      <c r="CT698" s="84"/>
      <c r="CU698" s="84"/>
      <c r="CV698" s="84"/>
      <c r="CW698" s="84"/>
      <c r="CX698" s="84"/>
      <c r="CY698" s="84"/>
      <c r="CZ698" s="40"/>
      <c r="DA698" s="40"/>
    </row>
    <row r="699" spans="1:105" ht="18.75">
      <c r="A699" s="46">
        <v>670</v>
      </c>
      <c r="B699" s="145" t="s">
        <v>199</v>
      </c>
      <c r="C699" s="46">
        <v>0</v>
      </c>
      <c r="D699" s="46" t="s">
        <v>215</v>
      </c>
      <c r="E699" s="86">
        <v>45250</v>
      </c>
      <c r="F699" s="46" t="s">
        <v>106</v>
      </c>
      <c r="G699" s="46" t="s">
        <v>122</v>
      </c>
      <c r="H699" s="46">
        <v>2007</v>
      </c>
      <c r="I699" s="84" t="s">
        <v>116</v>
      </c>
      <c r="J699" s="198" t="s">
        <v>157</v>
      </c>
      <c r="K699" s="46"/>
      <c r="L699" s="46"/>
      <c r="M699" s="46"/>
      <c r="N699" s="46"/>
      <c r="O699" s="46"/>
      <c r="P699" s="46"/>
      <c r="Q699" s="46"/>
      <c r="R699" s="46"/>
      <c r="S699" s="46"/>
      <c r="T699" s="99"/>
      <c r="U699" s="199"/>
      <c r="V699" s="199"/>
      <c r="W699" s="99"/>
      <c r="X699" s="100"/>
      <c r="Y699" s="200"/>
      <c r="Z699" s="46"/>
      <c r="AA699" s="200"/>
      <c r="AB699" s="46"/>
      <c r="AC699" s="46"/>
      <c r="AD699" s="46"/>
      <c r="AE699" s="46"/>
      <c r="AF699" s="46"/>
      <c r="AG699" s="46"/>
      <c r="AH699" s="193"/>
      <c r="AI699" s="193"/>
      <c r="AJ699" s="193"/>
      <c r="AK699" s="150"/>
      <c r="AL699" s="46"/>
      <c r="AM699" s="46"/>
      <c r="AN699" s="46"/>
      <c r="AO699" s="46"/>
      <c r="AP699" s="151"/>
      <c r="AQ699" s="152"/>
      <c r="AR699" s="152"/>
      <c r="AS699" s="46"/>
      <c r="AT699" s="46"/>
      <c r="AU699" s="46"/>
      <c r="AV699" s="46"/>
      <c r="AW699" s="200"/>
      <c r="AX699" s="153"/>
      <c r="AY699" s="201"/>
      <c r="AZ699" s="84"/>
      <c r="BA699" s="84"/>
      <c r="BB699" s="84"/>
      <c r="BC699" s="84"/>
      <c r="BD699" s="155"/>
      <c r="BE699" s="155"/>
      <c r="BF699" s="84"/>
      <c r="BG699" s="155"/>
      <c r="BH699" s="155"/>
      <c r="BI699" s="105"/>
      <c r="BJ699" s="105"/>
      <c r="BK699" s="106"/>
      <c r="BL699" s="106"/>
      <c r="BM699" s="107" t="s">
        <v>110</v>
      </c>
      <c r="BN699" s="107" t="s">
        <v>110</v>
      </c>
      <c r="BO699" s="156"/>
      <c r="BP699" s="84"/>
      <c r="BQ699" s="84"/>
      <c r="BR699" s="109"/>
      <c r="BS699" s="110"/>
      <c r="BT699" s="46"/>
      <c r="BU699" s="46"/>
      <c r="BV699" s="46"/>
      <c r="BW699" s="46"/>
      <c r="BX699" s="111"/>
      <c r="BY699" s="111"/>
      <c r="BZ699" s="112"/>
      <c r="CA699" s="112"/>
      <c r="CB699" s="112"/>
      <c r="CC699" s="112"/>
      <c r="CD699" s="72"/>
      <c r="CE699" s="72"/>
      <c r="CF699" s="113"/>
      <c r="CG699" s="113"/>
      <c r="CH699" s="113"/>
      <c r="CI699" s="74">
        <v>15.1</v>
      </c>
      <c r="CJ699" s="84">
        <v>800</v>
      </c>
      <c r="CK699" s="46"/>
      <c r="CL699" s="114"/>
      <c r="CM699" s="115"/>
      <c r="CN699" s="46"/>
      <c r="CO699" s="46"/>
      <c r="CP699" s="74">
        <v>15.986111111111111</v>
      </c>
      <c r="CQ699" s="46"/>
      <c r="CR699" s="84"/>
      <c r="CS699" s="84"/>
      <c r="CT699" s="84"/>
      <c r="CU699" s="84"/>
      <c r="CV699" s="84"/>
      <c r="CW699" s="84"/>
      <c r="CX699" s="84"/>
      <c r="CY699" s="84"/>
      <c r="CZ699" s="40"/>
      <c r="DA699" s="40"/>
    </row>
    <row r="700" spans="1:105" ht="18.95" customHeight="1">
      <c r="A700" s="46">
        <v>671</v>
      </c>
      <c r="B700" s="145" t="s">
        <v>199</v>
      </c>
      <c r="C700" s="46">
        <v>0</v>
      </c>
      <c r="D700" s="46" t="s">
        <v>215</v>
      </c>
      <c r="E700" s="86">
        <v>45250</v>
      </c>
      <c r="F700" s="46" t="s">
        <v>106</v>
      </c>
      <c r="G700" s="46" t="s">
        <v>122</v>
      </c>
      <c r="H700" s="46">
        <v>2007</v>
      </c>
      <c r="I700" s="84" t="s">
        <v>116</v>
      </c>
      <c r="J700" s="198" t="s">
        <v>157</v>
      </c>
      <c r="K700" s="46"/>
      <c r="L700" s="46"/>
      <c r="M700" s="46"/>
      <c r="N700" s="46"/>
      <c r="O700" s="46"/>
      <c r="P700" s="46"/>
      <c r="Q700" s="46"/>
      <c r="R700" s="46"/>
      <c r="S700" s="46"/>
      <c r="T700" s="99">
        <v>175.5</v>
      </c>
      <c r="U700" s="199">
        <v>91.8</v>
      </c>
      <c r="V700" s="199">
        <f>paper3[[#This Row],[height]]-paper3[[#This Row],[sittingheight]]</f>
        <v>83.7</v>
      </c>
      <c r="W700" s="97">
        <v>56</v>
      </c>
      <c r="X700" s="100" cm="1">
        <f t="array" ref="X700">INDEX([1]!phvny[yphv], MATCH(1, (paper3[[#This Row],[id]]=[1]!phvny[id])*(paper3[[#This Row],[time]]=[1]!phvny[time]), 0))</f>
        <v>2.2269157953504286</v>
      </c>
      <c r="Y700" s="200"/>
      <c r="Z700" s="46"/>
      <c r="AA700" s="200"/>
      <c r="AB700" s="46"/>
      <c r="AC700" s="46"/>
      <c r="AD700" s="46"/>
      <c r="AE700" s="46"/>
      <c r="AF700" s="46"/>
      <c r="AG700" s="46"/>
      <c r="AH700" s="193">
        <v>1.8009999999999999</v>
      </c>
      <c r="AI700" s="193"/>
      <c r="AJ700" s="193">
        <v>4.298</v>
      </c>
      <c r="AK700" s="150"/>
      <c r="AL700" s="46"/>
      <c r="AM700" s="46"/>
      <c r="AN700" s="46"/>
      <c r="AO700" s="46"/>
      <c r="AP700" s="151">
        <v>9.49</v>
      </c>
      <c r="AQ700" s="152"/>
      <c r="AR700" s="152"/>
      <c r="AS700" s="46"/>
      <c r="AT700" s="46"/>
      <c r="AU700" s="46"/>
      <c r="AV700" s="46"/>
      <c r="AW700" s="200"/>
      <c r="AX700" s="153">
        <v>38.06</v>
      </c>
      <c r="AY700" s="201"/>
      <c r="AZ700" s="84"/>
      <c r="BA700" s="84"/>
      <c r="BB700" s="84"/>
      <c r="BC700" s="84"/>
      <c r="BD700" s="155"/>
      <c r="BE700" s="155"/>
      <c r="BF700" s="84"/>
      <c r="BG700" s="155"/>
      <c r="BH700" s="155"/>
      <c r="BI700" s="105">
        <v>1822.5555420013079</v>
      </c>
      <c r="BJ700" s="105">
        <v>959.85423124044041</v>
      </c>
      <c r="BK700" s="106"/>
      <c r="BL700" s="106"/>
      <c r="BM700" s="107">
        <v>32.545634678594787</v>
      </c>
      <c r="BN700" s="107">
        <v>17.140254129293577</v>
      </c>
      <c r="BO700" s="156"/>
      <c r="BP700" s="84"/>
      <c r="BQ700" s="84"/>
      <c r="BR700" s="109"/>
      <c r="BS700" s="110"/>
      <c r="BT700" s="46"/>
      <c r="BU700" s="46"/>
      <c r="BV700" s="46"/>
      <c r="BW700" s="46"/>
      <c r="BX700" s="111"/>
      <c r="BY700" s="111"/>
      <c r="BZ700" s="112"/>
      <c r="CA700" s="112"/>
      <c r="CB700" s="112"/>
      <c r="CC700" s="112"/>
      <c r="CD700" s="72"/>
      <c r="CE700" s="72"/>
      <c r="CF700" s="113"/>
      <c r="CG700" s="113"/>
      <c r="CH700" s="113"/>
      <c r="CI700" s="74">
        <v>17.2</v>
      </c>
      <c r="CJ700" s="84">
        <v>1480</v>
      </c>
      <c r="CK700" s="46"/>
      <c r="CL700" s="114"/>
      <c r="CM700" s="115"/>
      <c r="CN700" s="46"/>
      <c r="CO700" s="46"/>
      <c r="CP700" s="74">
        <v>16.533333333333335</v>
      </c>
      <c r="CQ700" s="46"/>
      <c r="CR700" s="84"/>
      <c r="CS700" s="84"/>
      <c r="CT700" s="84"/>
      <c r="CU700" s="84"/>
      <c r="CV700" s="84"/>
      <c r="CW700" s="84"/>
      <c r="CX700" s="84"/>
      <c r="CY700" s="84"/>
      <c r="CZ700" s="40"/>
      <c r="DA700" s="40"/>
    </row>
    <row r="701" spans="1:105" ht="18.95" customHeight="1">
      <c r="A701" s="46">
        <v>672</v>
      </c>
      <c r="B701" s="145" t="s">
        <v>199</v>
      </c>
      <c r="C701" s="46">
        <v>0</v>
      </c>
      <c r="D701" s="46" t="s">
        <v>215</v>
      </c>
      <c r="E701" s="86">
        <v>45250</v>
      </c>
      <c r="F701" s="46" t="s">
        <v>106</v>
      </c>
      <c r="G701" s="46" t="s">
        <v>122</v>
      </c>
      <c r="H701" s="46">
        <v>2007</v>
      </c>
      <c r="I701" s="84" t="s">
        <v>116</v>
      </c>
      <c r="J701" s="198" t="s">
        <v>157</v>
      </c>
      <c r="K701" s="46"/>
      <c r="L701" s="46"/>
      <c r="M701" s="46"/>
      <c r="N701" s="46"/>
      <c r="O701" s="46"/>
      <c r="P701" s="46"/>
      <c r="Q701" s="46"/>
      <c r="R701" s="46"/>
      <c r="S701" s="46"/>
      <c r="T701" s="99">
        <v>190.64999999999998</v>
      </c>
      <c r="U701" s="199">
        <v>94.85</v>
      </c>
      <c r="V701" s="199">
        <f>paper3[[#This Row],[height]]-paper3[[#This Row],[sittingheight]]</f>
        <v>95.799999999999983</v>
      </c>
      <c r="W701" s="97">
        <v>61</v>
      </c>
      <c r="X701" s="100" cm="1">
        <f t="array" ref="X701">INDEX([1]!phvny[yphv], MATCH(1, (paper3[[#This Row],[id]]=[1]!phvny[id])*(paper3[[#This Row],[time]]=[1]!phvny[time]), 0))</f>
        <v>2.4124706477608173</v>
      </c>
      <c r="Y701" s="200"/>
      <c r="Z701" s="46"/>
      <c r="AA701" s="200"/>
      <c r="AB701" s="46"/>
      <c r="AC701" s="46"/>
      <c r="AD701" s="46"/>
      <c r="AE701" s="46"/>
      <c r="AF701" s="46"/>
      <c r="AG701" s="46"/>
      <c r="AH701" s="193">
        <v>1.8399999999999999</v>
      </c>
      <c r="AI701" s="193"/>
      <c r="AJ701" s="193">
        <v>4.4409999999999998</v>
      </c>
      <c r="AK701" s="150"/>
      <c r="AL701" s="46"/>
      <c r="AM701" s="46"/>
      <c r="AN701" s="46"/>
      <c r="AO701" s="46"/>
      <c r="AP701" s="151">
        <v>9.7800000000000011</v>
      </c>
      <c r="AQ701" s="152"/>
      <c r="AR701" s="152"/>
      <c r="AS701" s="46"/>
      <c r="AT701" s="46"/>
      <c r="AU701" s="46"/>
      <c r="AV701" s="46"/>
      <c r="AW701" s="200"/>
      <c r="AX701" s="153">
        <v>40.96</v>
      </c>
      <c r="AY701" s="201"/>
      <c r="AZ701" s="84"/>
      <c r="BA701" s="84"/>
      <c r="BB701" s="84"/>
      <c r="BC701" s="84"/>
      <c r="BD701" s="155"/>
      <c r="BE701" s="155"/>
      <c r="BF701" s="84"/>
      <c r="BG701" s="155"/>
      <c r="BH701" s="155"/>
      <c r="BI701" s="105">
        <v>1981.2001478943171</v>
      </c>
      <c r="BJ701" s="105">
        <v>1081.1118348167145</v>
      </c>
      <c r="BK701" s="106"/>
      <c r="BL701" s="106"/>
      <c r="BM701" s="107">
        <v>32.478690949087166</v>
      </c>
      <c r="BN701" s="107">
        <v>17.723144833060893</v>
      </c>
      <c r="BO701" s="156"/>
      <c r="BP701" s="84"/>
      <c r="BQ701" s="84"/>
      <c r="BR701" s="109"/>
      <c r="BS701" s="110"/>
      <c r="BT701" s="46"/>
      <c r="BU701" s="46"/>
      <c r="BV701" s="46"/>
      <c r="BW701" s="46"/>
      <c r="BX701" s="111"/>
      <c r="BY701" s="111"/>
      <c r="BZ701" s="112"/>
      <c r="CA701" s="112"/>
      <c r="CB701" s="112"/>
      <c r="CC701" s="112"/>
      <c r="CD701" s="72"/>
      <c r="CE701" s="72"/>
      <c r="CF701" s="113"/>
      <c r="CG701" s="113"/>
      <c r="CH701" s="113"/>
      <c r="CI701" s="74">
        <v>15.1</v>
      </c>
      <c r="CJ701" s="84">
        <v>800</v>
      </c>
      <c r="CK701" s="46"/>
      <c r="CL701" s="114"/>
      <c r="CM701" s="115"/>
      <c r="CN701" s="46"/>
      <c r="CO701" s="46"/>
      <c r="CP701" s="74">
        <v>16.100000000000001</v>
      </c>
      <c r="CQ701" s="46"/>
      <c r="CR701" s="84"/>
      <c r="CS701" s="84"/>
      <c r="CT701" s="84"/>
      <c r="CU701" s="84"/>
      <c r="CV701" s="84"/>
      <c r="CW701" s="84"/>
      <c r="CX701" s="84"/>
      <c r="CY701" s="84"/>
      <c r="CZ701" s="40"/>
      <c r="DA701" s="40"/>
    </row>
    <row r="702" spans="1:105" ht="18.95" customHeight="1">
      <c r="A702" s="46">
        <v>673</v>
      </c>
      <c r="B702" s="145" t="s">
        <v>199</v>
      </c>
      <c r="C702" s="46">
        <v>0</v>
      </c>
      <c r="D702" s="46" t="s">
        <v>215</v>
      </c>
      <c r="E702" s="86">
        <v>45250</v>
      </c>
      <c r="F702" s="46" t="s">
        <v>106</v>
      </c>
      <c r="G702" s="46" t="s">
        <v>122</v>
      </c>
      <c r="H702" s="46">
        <v>2007</v>
      </c>
      <c r="I702" s="84" t="s">
        <v>116</v>
      </c>
      <c r="J702" s="198" t="s">
        <v>157</v>
      </c>
      <c r="K702" s="46"/>
      <c r="L702" s="46"/>
      <c r="M702" s="46"/>
      <c r="N702" s="46"/>
      <c r="O702" s="46"/>
      <c r="P702" s="46"/>
      <c r="Q702" s="46"/>
      <c r="R702" s="46"/>
      <c r="S702" s="46"/>
      <c r="T702" s="99"/>
      <c r="U702" s="199"/>
      <c r="V702" s="199"/>
      <c r="W702" s="99"/>
      <c r="X702" s="100"/>
      <c r="Y702" s="200"/>
      <c r="Z702" s="46"/>
      <c r="AA702" s="200"/>
      <c r="AB702" s="46"/>
      <c r="AC702" s="46"/>
      <c r="AD702" s="46"/>
      <c r="AE702" s="46"/>
      <c r="AF702" s="46"/>
      <c r="AG702" s="46"/>
      <c r="AH702" s="193"/>
      <c r="AI702" s="193"/>
      <c r="AJ702" s="193"/>
      <c r="AK702" s="150"/>
      <c r="AL702" s="46"/>
      <c r="AM702" s="46"/>
      <c r="AN702" s="46"/>
      <c r="AO702" s="46"/>
      <c r="AP702" s="151"/>
      <c r="AQ702" s="152"/>
      <c r="AR702" s="152"/>
      <c r="AS702" s="46"/>
      <c r="AT702" s="46"/>
      <c r="AU702" s="46"/>
      <c r="AV702" s="46"/>
      <c r="AW702" s="200"/>
      <c r="AX702" s="153"/>
      <c r="AY702" s="201"/>
      <c r="AZ702" s="84"/>
      <c r="BA702" s="84"/>
      <c r="BB702" s="84"/>
      <c r="BC702" s="84"/>
      <c r="BD702" s="155"/>
      <c r="BE702" s="155"/>
      <c r="BF702" s="84"/>
      <c r="BG702" s="155"/>
      <c r="BH702" s="155"/>
      <c r="BI702" s="105"/>
      <c r="BJ702" s="105"/>
      <c r="BK702" s="106"/>
      <c r="BL702" s="106"/>
      <c r="BM702" s="107"/>
      <c r="BN702" s="107"/>
      <c r="BO702" s="156"/>
      <c r="BP702" s="84"/>
      <c r="BQ702" s="84"/>
      <c r="BR702" s="109"/>
      <c r="BS702" s="110"/>
      <c r="BT702" s="46"/>
      <c r="BU702" s="46"/>
      <c r="BV702" s="46"/>
      <c r="BW702" s="46"/>
      <c r="BX702" s="111"/>
      <c r="BY702" s="111"/>
      <c r="BZ702" s="112"/>
      <c r="CA702" s="112"/>
      <c r="CB702" s="112"/>
      <c r="CC702" s="112"/>
      <c r="CD702" s="72"/>
      <c r="CE702" s="72"/>
      <c r="CF702" s="113"/>
      <c r="CG702" s="113"/>
      <c r="CH702" s="113"/>
      <c r="CI702" s="74"/>
      <c r="CJ702" s="84"/>
      <c r="CK702" s="46"/>
      <c r="CL702" s="114"/>
      <c r="CM702" s="115"/>
      <c r="CN702" s="46"/>
      <c r="CO702" s="46"/>
      <c r="CP702" s="74">
        <v>16.138888888888889</v>
      </c>
      <c r="CQ702" s="46"/>
      <c r="CR702" s="84"/>
      <c r="CS702" s="84"/>
      <c r="CT702" s="84"/>
      <c r="CU702" s="84"/>
      <c r="CV702" s="84"/>
      <c r="CW702" s="84"/>
      <c r="CX702" s="84"/>
      <c r="CY702" s="84"/>
      <c r="CZ702" s="40"/>
      <c r="DA702" s="40"/>
    </row>
    <row r="703" spans="1:105" ht="18.95" customHeight="1">
      <c r="A703" s="46">
        <v>674</v>
      </c>
      <c r="B703" s="145" t="s">
        <v>199</v>
      </c>
      <c r="C703" s="46">
        <v>0</v>
      </c>
      <c r="D703" s="46" t="s">
        <v>215</v>
      </c>
      <c r="E703" s="86">
        <v>45250</v>
      </c>
      <c r="F703" s="46" t="s">
        <v>106</v>
      </c>
      <c r="G703" s="46" t="s">
        <v>122</v>
      </c>
      <c r="H703" s="46">
        <v>2007</v>
      </c>
      <c r="I703" s="84" t="s">
        <v>116</v>
      </c>
      <c r="J703" s="198" t="s">
        <v>157</v>
      </c>
      <c r="K703" s="46"/>
      <c r="L703" s="46"/>
      <c r="M703" s="46"/>
      <c r="N703" s="46"/>
      <c r="O703" s="46"/>
      <c r="P703" s="46"/>
      <c r="Q703" s="46"/>
      <c r="R703" s="46"/>
      <c r="S703" s="46"/>
      <c r="T703" s="99">
        <v>185.3</v>
      </c>
      <c r="U703" s="199">
        <v>94.699999999999989</v>
      </c>
      <c r="V703" s="199">
        <f>paper3[[#This Row],[height]]-paper3[[#This Row],[sittingheight]]</f>
        <v>90.600000000000023</v>
      </c>
      <c r="W703" s="97">
        <v>73</v>
      </c>
      <c r="X703" s="100" cm="1">
        <f t="array" ref="X703">INDEX([1]!phvny[yphv], MATCH(1, (paper3[[#This Row],[id]]=[1]!phvny[id])*(paper3[[#This Row],[time]]=[1]!phvny[time]), 0))</f>
        <v>2.9365507746802155</v>
      </c>
      <c r="Y703" s="200"/>
      <c r="Z703" s="46"/>
      <c r="AA703" s="200"/>
      <c r="AB703" s="46"/>
      <c r="AC703" s="46"/>
      <c r="AD703" s="46"/>
      <c r="AE703" s="46"/>
      <c r="AF703" s="46"/>
      <c r="AG703" s="46"/>
      <c r="AH703" s="193">
        <v>1.9729999999999999</v>
      </c>
      <c r="AI703" s="193"/>
      <c r="AJ703" s="193">
        <v>4.8280000000000003</v>
      </c>
      <c r="AK703" s="150"/>
      <c r="AL703" s="46"/>
      <c r="AM703" s="46"/>
      <c r="AN703" s="46"/>
      <c r="AO703" s="46"/>
      <c r="AP703" s="151">
        <v>10.220000000000001</v>
      </c>
      <c r="AQ703" s="152"/>
      <c r="AR703" s="152"/>
      <c r="AS703" s="46"/>
      <c r="AT703" s="46"/>
      <c r="AU703" s="46"/>
      <c r="AV703" s="46"/>
      <c r="AW703" s="200"/>
      <c r="AX703" s="153">
        <v>29.560000000000002</v>
      </c>
      <c r="AY703" s="201"/>
      <c r="AZ703" s="84"/>
      <c r="BA703" s="84"/>
      <c r="BB703" s="84"/>
      <c r="BC703" s="84"/>
      <c r="BD703" s="155"/>
      <c r="BE703" s="155"/>
      <c r="BF703" s="84"/>
      <c r="BG703" s="155"/>
      <c r="BH703" s="155"/>
      <c r="BI703" s="105">
        <v>2168.897797122926</v>
      </c>
      <c r="BJ703" s="105">
        <v>1083.5217288867357</v>
      </c>
      <c r="BK703" s="106"/>
      <c r="BL703" s="106"/>
      <c r="BM703" s="107">
        <v>29.710928727711316</v>
      </c>
      <c r="BN703" s="107">
        <v>14.842763409407338</v>
      </c>
      <c r="BO703" s="156"/>
      <c r="BP703" s="84"/>
      <c r="BQ703" s="84"/>
      <c r="BR703" s="109"/>
      <c r="BS703" s="110"/>
      <c r="BT703" s="46"/>
      <c r="BU703" s="46"/>
      <c r="BV703" s="46"/>
      <c r="BW703" s="46"/>
      <c r="BX703" s="111"/>
      <c r="BY703" s="111"/>
      <c r="BZ703" s="112"/>
      <c r="CA703" s="112"/>
      <c r="CB703" s="112"/>
      <c r="CC703" s="112"/>
      <c r="CD703" s="72"/>
      <c r="CE703" s="72"/>
      <c r="CF703" s="113"/>
      <c r="CG703" s="113"/>
      <c r="CH703" s="113"/>
      <c r="CI703" s="74">
        <v>17.5</v>
      </c>
      <c r="CJ703" s="84">
        <v>1600</v>
      </c>
      <c r="CK703" s="46"/>
      <c r="CL703" s="114"/>
      <c r="CM703" s="115"/>
      <c r="CN703" s="46"/>
      <c r="CO703" s="46"/>
      <c r="CP703" s="74">
        <v>16.794444444444444</v>
      </c>
      <c r="CQ703" s="46"/>
      <c r="CR703" s="84"/>
      <c r="CS703" s="84"/>
      <c r="CT703" s="84"/>
      <c r="CU703" s="84"/>
      <c r="CV703" s="84"/>
      <c r="CW703" s="84"/>
      <c r="CX703" s="84"/>
      <c r="CY703" s="84"/>
      <c r="CZ703" s="40"/>
      <c r="DA703" s="40"/>
    </row>
    <row r="704" spans="1:105" ht="18.95" customHeight="1">
      <c r="A704" s="46">
        <v>675</v>
      </c>
      <c r="B704" s="145" t="s">
        <v>199</v>
      </c>
      <c r="C704" s="46">
        <v>0</v>
      </c>
      <c r="D704" s="46" t="s">
        <v>215</v>
      </c>
      <c r="E704" s="86">
        <v>45250</v>
      </c>
      <c r="F704" s="46" t="s">
        <v>106</v>
      </c>
      <c r="G704" s="46" t="s">
        <v>122</v>
      </c>
      <c r="H704" s="46">
        <v>2007</v>
      </c>
      <c r="I704" s="84" t="s">
        <v>116</v>
      </c>
      <c r="J704" s="198" t="s">
        <v>157</v>
      </c>
      <c r="K704" s="46"/>
      <c r="L704" s="46"/>
      <c r="M704" s="46"/>
      <c r="N704" s="46"/>
      <c r="O704" s="46"/>
      <c r="P704" s="46"/>
      <c r="Q704" s="46"/>
      <c r="R704" s="46"/>
      <c r="S704" s="46"/>
      <c r="T704" s="99">
        <v>184.4</v>
      </c>
      <c r="U704" s="199">
        <v>95.35</v>
      </c>
      <c r="V704" s="199">
        <f>paper3[[#This Row],[height]]-paper3[[#This Row],[sittingheight]]</f>
        <v>89.050000000000011</v>
      </c>
      <c r="W704" s="97">
        <v>54</v>
      </c>
      <c r="X704" s="100" cm="1">
        <f t="array" ref="X704">INDEX([1]!phvny[yphv], MATCH(1, (paper3[[#This Row],[id]]=[1]!phvny[id])*(paper3[[#This Row],[time]]=[1]!phvny[time]), 0))</f>
        <v>2.4383153963183291</v>
      </c>
      <c r="Y704" s="200"/>
      <c r="Z704" s="46"/>
      <c r="AA704" s="200"/>
      <c r="AB704" s="46"/>
      <c r="AC704" s="46"/>
      <c r="AD704" s="46"/>
      <c r="AE704" s="46"/>
      <c r="AF704" s="46"/>
      <c r="AG704" s="46"/>
      <c r="AH704" s="193">
        <v>1.877</v>
      </c>
      <c r="AI704" s="193"/>
      <c r="AJ704" s="193">
        <v>4.5090000000000003</v>
      </c>
      <c r="AK704" s="150"/>
      <c r="AL704" s="46"/>
      <c r="AM704" s="46"/>
      <c r="AN704" s="46"/>
      <c r="AO704" s="46"/>
      <c r="AP704" s="151">
        <v>10.200000000000001</v>
      </c>
      <c r="AQ704" s="152"/>
      <c r="AR704" s="152"/>
      <c r="AS704" s="46"/>
      <c r="AT704" s="46"/>
      <c r="AU704" s="46"/>
      <c r="AV704" s="46"/>
      <c r="AW704" s="200"/>
      <c r="AX704" s="153">
        <v>32.659999999999997</v>
      </c>
      <c r="AY704" s="201"/>
      <c r="AZ704" s="84"/>
      <c r="BA704" s="84"/>
      <c r="BB704" s="84"/>
      <c r="BC704" s="84"/>
      <c r="BD704" s="155"/>
      <c r="BE704" s="155"/>
      <c r="BF704" s="84"/>
      <c r="BG704" s="155"/>
      <c r="BH704" s="155"/>
      <c r="BI704" s="105">
        <v>2046.4646954590387</v>
      </c>
      <c r="BJ704" s="105">
        <v>962.46858959149131</v>
      </c>
      <c r="BK704" s="106"/>
      <c r="BL704" s="106"/>
      <c r="BM704" s="107">
        <v>37.897494360352567</v>
      </c>
      <c r="BN704" s="107">
        <v>17.823492399842433</v>
      </c>
      <c r="BO704" s="156"/>
      <c r="BP704" s="84"/>
      <c r="BQ704" s="84"/>
      <c r="BR704" s="109"/>
      <c r="BS704" s="110"/>
      <c r="BT704" s="46"/>
      <c r="BU704" s="46"/>
      <c r="BV704" s="46"/>
      <c r="BW704" s="46"/>
      <c r="BX704" s="111"/>
      <c r="BY704" s="111"/>
      <c r="BZ704" s="112"/>
      <c r="CA704" s="112"/>
      <c r="CB704" s="112"/>
      <c r="CC704" s="112"/>
      <c r="CD704" s="72"/>
      <c r="CE704" s="72"/>
      <c r="CF704" s="113"/>
      <c r="CG704" s="113"/>
      <c r="CH704" s="113"/>
      <c r="CI704" s="74">
        <v>15.7</v>
      </c>
      <c r="CJ704" s="84">
        <v>1040</v>
      </c>
      <c r="CK704" s="46"/>
      <c r="CL704" s="114"/>
      <c r="CM704" s="115"/>
      <c r="CN704" s="46"/>
      <c r="CO704" s="46"/>
      <c r="CP704" s="74">
        <v>16.119444444444444</v>
      </c>
      <c r="CQ704" s="46"/>
      <c r="CR704" s="84"/>
      <c r="CS704" s="84"/>
      <c r="CT704" s="84"/>
      <c r="CU704" s="84"/>
      <c r="CV704" s="84"/>
      <c r="CW704" s="84"/>
      <c r="CX704" s="84"/>
      <c r="CY704" s="84"/>
      <c r="CZ704" s="40"/>
      <c r="DA704" s="40"/>
    </row>
    <row r="705" spans="1:105" ht="18.75">
      <c r="A705" s="46">
        <v>676</v>
      </c>
      <c r="B705" s="145" t="s">
        <v>199</v>
      </c>
      <c r="C705" s="46">
        <v>0</v>
      </c>
      <c r="D705" s="46" t="s">
        <v>215</v>
      </c>
      <c r="E705" s="86">
        <v>45250</v>
      </c>
      <c r="F705" s="46" t="s">
        <v>106</v>
      </c>
      <c r="G705" s="46" t="s">
        <v>122</v>
      </c>
      <c r="H705" s="46">
        <v>2007</v>
      </c>
      <c r="I705" s="84" t="s">
        <v>116</v>
      </c>
      <c r="J705" s="198" t="s">
        <v>157</v>
      </c>
      <c r="K705" s="46"/>
      <c r="L705" s="46"/>
      <c r="M705" s="46"/>
      <c r="N705" s="46"/>
      <c r="O705" s="46"/>
      <c r="P705" s="46"/>
      <c r="Q705" s="46"/>
      <c r="R705" s="46"/>
      <c r="S705" s="46"/>
      <c r="T705" s="99"/>
      <c r="U705" s="199"/>
      <c r="V705" s="199"/>
      <c r="W705" s="99"/>
      <c r="X705" s="100"/>
      <c r="Y705" s="200"/>
      <c r="Z705" s="46"/>
      <c r="AA705" s="200"/>
      <c r="AB705" s="46"/>
      <c r="AC705" s="46"/>
      <c r="AD705" s="46"/>
      <c r="AE705" s="46"/>
      <c r="AF705" s="46"/>
      <c r="AG705" s="46"/>
      <c r="AH705" s="193"/>
      <c r="AI705" s="193"/>
      <c r="AJ705" s="193"/>
      <c r="AK705" s="150"/>
      <c r="AL705" s="46"/>
      <c r="AM705" s="46"/>
      <c r="AN705" s="46"/>
      <c r="AO705" s="46"/>
      <c r="AP705" s="151"/>
      <c r="AQ705" s="152"/>
      <c r="AR705" s="152"/>
      <c r="AS705" s="46"/>
      <c r="AT705" s="46"/>
      <c r="AU705" s="46"/>
      <c r="AV705" s="46"/>
      <c r="AW705" s="200"/>
      <c r="AX705" s="153"/>
      <c r="AY705" s="201"/>
      <c r="AZ705" s="84"/>
      <c r="BA705" s="84"/>
      <c r="BB705" s="84"/>
      <c r="BC705" s="84"/>
      <c r="BD705" s="155"/>
      <c r="BE705" s="155"/>
      <c r="BF705" s="84"/>
      <c r="BG705" s="155"/>
      <c r="BH705" s="155"/>
      <c r="BI705" s="105"/>
      <c r="BJ705" s="105"/>
      <c r="BK705" s="106"/>
      <c r="BL705" s="106"/>
      <c r="BM705" s="107"/>
      <c r="BN705" s="107"/>
      <c r="BO705" s="156"/>
      <c r="BP705" s="84"/>
      <c r="BQ705" s="84"/>
      <c r="BR705" s="109"/>
      <c r="BS705" s="110"/>
      <c r="BT705" s="46"/>
      <c r="BU705" s="46"/>
      <c r="BV705" s="46"/>
      <c r="BW705" s="46"/>
      <c r="BX705" s="111"/>
      <c r="BY705" s="111"/>
      <c r="BZ705" s="112"/>
      <c r="CA705" s="112"/>
      <c r="CB705" s="112"/>
      <c r="CC705" s="112"/>
      <c r="CD705" s="72"/>
      <c r="CE705" s="72"/>
      <c r="CF705" s="113"/>
      <c r="CG705" s="113"/>
      <c r="CH705" s="113"/>
      <c r="CI705" s="74"/>
      <c r="CJ705" s="84"/>
      <c r="CK705" s="46"/>
      <c r="CL705" s="114"/>
      <c r="CM705" s="115"/>
      <c r="CN705" s="46"/>
      <c r="CO705" s="46"/>
      <c r="CP705" s="74">
        <v>15.919444444444444</v>
      </c>
      <c r="CQ705" s="46"/>
      <c r="CR705" s="84"/>
      <c r="CS705" s="84"/>
      <c r="CT705" s="84"/>
      <c r="CU705" s="84"/>
      <c r="CV705" s="84"/>
      <c r="CW705" s="84"/>
      <c r="CX705" s="84"/>
      <c r="CY705" s="84"/>
      <c r="CZ705" s="40"/>
      <c r="DA705" s="40"/>
    </row>
    <row r="706" spans="1:105" ht="18.95" customHeight="1">
      <c r="A706" s="3">
        <v>683</v>
      </c>
      <c r="B706" s="92" t="s">
        <v>199</v>
      </c>
      <c r="C706" s="3">
        <v>0</v>
      </c>
      <c r="D706" s="3" t="s">
        <v>215</v>
      </c>
      <c r="E706" s="39">
        <v>45268</v>
      </c>
      <c r="F706" s="3" t="s">
        <v>106</v>
      </c>
      <c r="G706" s="3" t="s">
        <v>122</v>
      </c>
      <c r="H706" s="3">
        <v>2007</v>
      </c>
      <c r="I706" s="40" t="s">
        <v>116</v>
      </c>
      <c r="J706" s="191" t="s">
        <v>157</v>
      </c>
      <c r="K706" s="3"/>
      <c r="L706" s="3"/>
      <c r="M706" s="3"/>
      <c r="N706" s="3"/>
      <c r="O706" s="3"/>
      <c r="P706" s="3"/>
      <c r="Q706" s="3"/>
      <c r="R706" s="3"/>
      <c r="S706" s="3"/>
      <c r="T706" s="42">
        <v>187.7</v>
      </c>
      <c r="U706" s="188">
        <v>99.3</v>
      </c>
      <c r="V706" s="12">
        <f>paper3[[#This Row],[height]]-paper3[[#This Row],[sittingheight]]</f>
        <v>88.399999999999991</v>
      </c>
      <c r="W706" s="73">
        <v>75.5</v>
      </c>
      <c r="X706" s="43" cm="1">
        <f t="array" ref="X706">INDEX([1]!phvny[yphv], MATCH(1, (paper3[[#This Row],[id]]=[1]!phvny[id])*(paper3[[#This Row],[time]]=[1]!phvny[time]), 0))</f>
        <v>3.2547798277054403</v>
      </c>
      <c r="Y706" s="192"/>
      <c r="Z706" s="3"/>
      <c r="AA706" s="192"/>
      <c r="AB706" s="3"/>
      <c r="AC706" s="3"/>
      <c r="AD706" s="3"/>
      <c r="AE706" s="3"/>
      <c r="AF706" s="3"/>
      <c r="AG706" s="3"/>
      <c r="AH706" s="194">
        <v>1.8619999999999999</v>
      </c>
      <c r="AI706" s="193"/>
      <c r="AJ706" s="194">
        <v>4.3760000000000003</v>
      </c>
      <c r="AK706" s="130"/>
      <c r="AL706" s="3"/>
      <c r="AM706" s="3"/>
      <c r="AN706" s="3"/>
      <c r="AO706" s="3"/>
      <c r="AP706" s="137"/>
      <c r="AQ706" s="132"/>
      <c r="AR706" s="132"/>
      <c r="AS706" s="3"/>
      <c r="AT706" s="3"/>
      <c r="AU706" s="3"/>
      <c r="AV706" s="3"/>
      <c r="AW706" s="192"/>
      <c r="AX706" s="133">
        <v>34.56</v>
      </c>
      <c r="AY706" s="195"/>
      <c r="AZ706" s="40"/>
      <c r="BA706" s="40"/>
      <c r="BB706" s="40"/>
      <c r="BC706" s="40"/>
      <c r="BD706" s="135"/>
      <c r="BE706" s="135"/>
      <c r="BF706" s="40"/>
      <c r="BG706" s="135"/>
      <c r="BH706" s="135"/>
      <c r="BI706" s="49">
        <v>3364.9290792938118</v>
      </c>
      <c r="BJ706" s="49">
        <v>1312.9069824865992</v>
      </c>
      <c r="BK706" s="66"/>
      <c r="BL706" s="66"/>
      <c r="BM706" s="51">
        <v>44.568597076739231</v>
      </c>
      <c r="BN706" s="51">
        <v>17.389496456776147</v>
      </c>
      <c r="BO706" s="136"/>
      <c r="BP706" s="40"/>
      <c r="BQ706" s="40"/>
      <c r="BR706" s="67"/>
      <c r="BS706" s="54"/>
      <c r="BT706" s="3"/>
      <c r="BU706" s="3"/>
      <c r="BV706" s="3"/>
      <c r="BW706" s="3"/>
      <c r="BX706" s="70"/>
      <c r="BY706" s="70"/>
      <c r="BZ706" s="59"/>
      <c r="CA706" s="59"/>
      <c r="CB706" s="59"/>
      <c r="CC706" s="59"/>
      <c r="CD706" s="60"/>
      <c r="CE706" s="60"/>
      <c r="CF706" s="61"/>
      <c r="CG706" s="61"/>
      <c r="CH706" s="61"/>
      <c r="CI706" s="41"/>
      <c r="CJ706" s="40"/>
      <c r="CK706" s="3"/>
      <c r="CL706" s="62"/>
      <c r="CM706" s="63"/>
      <c r="CN706" s="3"/>
      <c r="CO706" s="3"/>
      <c r="CP706" s="41">
        <v>16.138888888888889</v>
      </c>
      <c r="CQ706" s="3"/>
      <c r="CR706" s="40"/>
      <c r="CS706" s="40"/>
      <c r="CT706" s="40"/>
      <c r="CU706" s="40"/>
      <c r="CV706" s="40"/>
      <c r="CW706" s="40"/>
      <c r="CX706" s="40"/>
      <c r="CY706" s="40"/>
      <c r="CZ706" s="40"/>
      <c r="DA706" s="40"/>
    </row>
    <row r="707" spans="1:105" ht="18.95" customHeight="1">
      <c r="A707" s="3">
        <v>684</v>
      </c>
      <c r="B707" s="92" t="s">
        <v>199</v>
      </c>
      <c r="C707" s="3">
        <v>0</v>
      </c>
      <c r="D707" s="3" t="s">
        <v>215</v>
      </c>
      <c r="E707" s="39">
        <v>45268</v>
      </c>
      <c r="F707" s="3" t="s">
        <v>106</v>
      </c>
      <c r="G707" s="3" t="s">
        <v>122</v>
      </c>
      <c r="H707" s="3">
        <v>2007</v>
      </c>
      <c r="I707" s="40" t="s">
        <v>116</v>
      </c>
      <c r="J707" s="191" t="s">
        <v>157</v>
      </c>
      <c r="K707" s="3"/>
      <c r="L707" s="3"/>
      <c r="M707" s="3"/>
      <c r="N707" s="3"/>
      <c r="O707" s="3"/>
      <c r="P707" s="3"/>
      <c r="Q707" s="3"/>
      <c r="R707" s="3"/>
      <c r="S707" s="3"/>
      <c r="T707" s="42"/>
      <c r="U707" s="188"/>
      <c r="V707" s="12"/>
      <c r="W707" s="42"/>
      <c r="X707" s="43"/>
      <c r="Y707" s="192"/>
      <c r="Z707" s="3"/>
      <c r="AA707" s="192"/>
      <c r="AB707" s="3"/>
      <c r="AC707" s="3"/>
      <c r="AD707" s="3"/>
      <c r="AE707" s="3"/>
      <c r="AF707" s="3"/>
      <c r="AG707" s="3"/>
      <c r="AH707" s="194"/>
      <c r="AI707" s="193"/>
      <c r="AJ707" s="194"/>
      <c r="AK707" s="130"/>
      <c r="AL707" s="3"/>
      <c r="AM707" s="3"/>
      <c r="AN707" s="3"/>
      <c r="AO707" s="3"/>
      <c r="AP707" s="137"/>
      <c r="AQ707" s="132"/>
      <c r="AR707" s="132"/>
      <c r="AS707" s="3"/>
      <c r="AT707" s="3"/>
      <c r="AU707" s="3"/>
      <c r="AV707" s="3"/>
      <c r="AW707" s="192"/>
      <c r="AX707" s="133"/>
      <c r="AY707" s="195"/>
      <c r="AZ707" s="40"/>
      <c r="BA707" s="40"/>
      <c r="BB707" s="40"/>
      <c r="BC707" s="40"/>
      <c r="BD707" s="135"/>
      <c r="BE707" s="135"/>
      <c r="BF707" s="40"/>
      <c r="BG707" s="135"/>
      <c r="BH707" s="135"/>
      <c r="BI707" s="49"/>
      <c r="BJ707" s="49"/>
      <c r="BK707" s="66"/>
      <c r="BL707" s="66"/>
      <c r="BM707" s="51"/>
      <c r="BN707" s="51"/>
      <c r="BO707" s="136"/>
      <c r="BP707" s="40"/>
      <c r="BQ707" s="40"/>
      <c r="BR707" s="67"/>
      <c r="BS707" s="54"/>
      <c r="BT707" s="3"/>
      <c r="BU707" s="3"/>
      <c r="BV707" s="3"/>
      <c r="BW707" s="3"/>
      <c r="BX707" s="70"/>
      <c r="BY707" s="70"/>
      <c r="BZ707" s="59"/>
      <c r="CA707" s="59"/>
      <c r="CB707" s="59"/>
      <c r="CC707" s="59"/>
      <c r="CD707" s="60"/>
      <c r="CE707" s="60"/>
      <c r="CF707" s="61"/>
      <c r="CG707" s="61"/>
      <c r="CH707" s="61"/>
      <c r="CI707" s="41"/>
      <c r="CJ707" s="40"/>
      <c r="CK707" s="3"/>
      <c r="CL707" s="62"/>
      <c r="CM707" s="63"/>
      <c r="CN707" s="3"/>
      <c r="CO707" s="3"/>
      <c r="CP707" s="41">
        <v>16.866666666666667</v>
      </c>
      <c r="CQ707" s="3"/>
      <c r="CR707" s="40"/>
      <c r="CS707" s="40"/>
      <c r="CT707" s="40"/>
      <c r="CU707" s="40"/>
      <c r="CV707" s="40"/>
      <c r="CW707" s="40"/>
      <c r="CX707" s="40"/>
      <c r="CY707" s="40"/>
      <c r="CZ707" s="40"/>
      <c r="DA707" s="40"/>
    </row>
    <row r="708" spans="1:105" ht="18.75">
      <c r="A708" s="3">
        <v>685</v>
      </c>
      <c r="B708" s="92" t="s">
        <v>199</v>
      </c>
      <c r="C708" s="3">
        <v>0</v>
      </c>
      <c r="D708" s="3" t="s">
        <v>215</v>
      </c>
      <c r="E708" s="39">
        <v>45268</v>
      </c>
      <c r="F708" s="3" t="s">
        <v>106</v>
      </c>
      <c r="G708" s="3" t="s">
        <v>122</v>
      </c>
      <c r="H708" s="3">
        <v>2007</v>
      </c>
      <c r="I708" s="40" t="s">
        <v>116</v>
      </c>
      <c r="J708" s="191" t="s">
        <v>157</v>
      </c>
      <c r="K708" s="3"/>
      <c r="L708" s="3"/>
      <c r="M708" s="3"/>
      <c r="N708" s="3"/>
      <c r="O708" s="3"/>
      <c r="P708" s="3"/>
      <c r="Q708" s="3"/>
      <c r="R708" s="3"/>
      <c r="S708" s="3"/>
      <c r="T708" s="42">
        <v>177.5</v>
      </c>
      <c r="U708" s="188">
        <v>94.8</v>
      </c>
      <c r="V708" s="12">
        <f>paper3[[#This Row],[height]]-paper3[[#This Row],[sittingheight]]</f>
        <v>82.7</v>
      </c>
      <c r="W708" s="73">
        <v>69.2</v>
      </c>
      <c r="X708" s="43" cm="1">
        <f t="array" ref="X708">INDEX([1]!phvny[yphv], MATCH(1, (paper3[[#This Row],[id]]=[1]!phvny[id])*(paper3[[#This Row],[time]]=[1]!phvny[time]), 0))</f>
        <v>2.9823393197097015</v>
      </c>
      <c r="Y708" s="192"/>
      <c r="Z708" s="3"/>
      <c r="AA708" s="192"/>
      <c r="AB708" s="3"/>
      <c r="AC708" s="3"/>
      <c r="AD708" s="3"/>
      <c r="AE708" s="3"/>
      <c r="AF708" s="3"/>
      <c r="AG708" s="3"/>
      <c r="AH708" s="194">
        <v>1.8959999999999999</v>
      </c>
      <c r="AI708" s="193"/>
      <c r="AJ708" s="194">
        <v>4.532</v>
      </c>
      <c r="AK708" s="130"/>
      <c r="AL708" s="3"/>
      <c r="AM708" s="3"/>
      <c r="AN708" s="3"/>
      <c r="AO708" s="3"/>
      <c r="AP708" s="137"/>
      <c r="AQ708" s="132"/>
      <c r="AR708" s="132"/>
      <c r="AS708" s="3"/>
      <c r="AT708" s="3"/>
      <c r="AU708" s="3"/>
      <c r="AV708" s="3"/>
      <c r="AW708" s="192"/>
      <c r="AX708" s="133">
        <v>32.46</v>
      </c>
      <c r="AY708" s="195"/>
      <c r="AZ708" s="40"/>
      <c r="BA708" s="40"/>
      <c r="BB708" s="40"/>
      <c r="BC708" s="40"/>
      <c r="BD708" s="135"/>
      <c r="BE708" s="135"/>
      <c r="BF708" s="40"/>
      <c r="BG708" s="135"/>
      <c r="BH708" s="135"/>
      <c r="BI708" s="49">
        <v>3205.0460732810284</v>
      </c>
      <c r="BJ708" s="49">
        <v>1220.5615348761448</v>
      </c>
      <c r="BK708" s="66"/>
      <c r="BL708" s="66"/>
      <c r="BM708" s="51">
        <v>46.315694700592893</v>
      </c>
      <c r="BN708" s="51">
        <v>17.638172469308451</v>
      </c>
      <c r="BO708" s="136"/>
      <c r="BP708" s="40"/>
      <c r="BQ708" s="40"/>
      <c r="BR708" s="67"/>
      <c r="BS708" s="54"/>
      <c r="BT708" s="3"/>
      <c r="BU708" s="3"/>
      <c r="BV708" s="3"/>
      <c r="BW708" s="3"/>
      <c r="BX708" s="70"/>
      <c r="BY708" s="70"/>
      <c r="BZ708" s="59"/>
      <c r="CA708" s="59"/>
      <c r="CB708" s="59"/>
      <c r="CC708" s="59"/>
      <c r="CD708" s="60"/>
      <c r="CE708" s="60"/>
      <c r="CF708" s="61"/>
      <c r="CG708" s="61"/>
      <c r="CH708" s="61"/>
      <c r="CI708" s="41"/>
      <c r="CJ708" s="40"/>
      <c r="CK708" s="3"/>
      <c r="CL708" s="62"/>
      <c r="CM708" s="63"/>
      <c r="CN708" s="3"/>
      <c r="CO708" s="3"/>
      <c r="CP708" s="41">
        <v>16.836111111111112</v>
      </c>
      <c r="CQ708" s="3"/>
      <c r="CR708" s="40"/>
      <c r="CS708" s="40"/>
      <c r="CT708" s="40"/>
      <c r="CU708" s="40"/>
      <c r="CV708" s="40"/>
      <c r="CW708" s="40"/>
      <c r="CX708" s="40"/>
      <c r="CY708" s="40"/>
      <c r="CZ708" s="40"/>
      <c r="DA708" s="40"/>
    </row>
    <row r="709" spans="1:105" ht="18.95" customHeight="1">
      <c r="A709" s="3">
        <v>686</v>
      </c>
      <c r="B709" s="92" t="s">
        <v>199</v>
      </c>
      <c r="C709" s="3">
        <v>0</v>
      </c>
      <c r="D709" s="3" t="s">
        <v>215</v>
      </c>
      <c r="E709" s="39">
        <v>45268</v>
      </c>
      <c r="F709" s="3" t="s">
        <v>106</v>
      </c>
      <c r="G709" s="3" t="s">
        <v>122</v>
      </c>
      <c r="H709" s="3">
        <v>2007</v>
      </c>
      <c r="I709" s="40" t="s">
        <v>116</v>
      </c>
      <c r="J709" s="191" t="s">
        <v>157</v>
      </c>
      <c r="K709" s="3"/>
      <c r="L709" s="3"/>
      <c r="M709" s="3"/>
      <c r="N709" s="3"/>
      <c r="O709" s="3"/>
      <c r="P709" s="3"/>
      <c r="Q709" s="3"/>
      <c r="R709" s="3"/>
      <c r="S709" s="3"/>
      <c r="T709" s="42">
        <v>170.3</v>
      </c>
      <c r="U709" s="188">
        <v>89.8</v>
      </c>
      <c r="V709" s="12">
        <f>paper3[[#This Row],[height]]-paper3[[#This Row],[sittingheight]]</f>
        <v>80.500000000000014</v>
      </c>
      <c r="W709" s="73">
        <v>66.099999999999994</v>
      </c>
      <c r="X709" s="43" cm="1">
        <f t="array" ref="X709">INDEX([1]!phvny[yphv], MATCH(1, (paper3[[#This Row],[id]]=[1]!phvny[id])*(paper3[[#This Row],[time]]=[1]!phvny[time]), 0))</f>
        <v>2.2684985446848689</v>
      </c>
      <c r="Y709" s="192"/>
      <c r="Z709" s="3"/>
      <c r="AA709" s="192"/>
      <c r="AB709" s="3"/>
      <c r="AC709" s="3"/>
      <c r="AD709" s="3"/>
      <c r="AE709" s="3"/>
      <c r="AF709" s="3"/>
      <c r="AG709" s="3"/>
      <c r="AH709" s="194"/>
      <c r="AI709" s="193"/>
      <c r="AJ709" s="194"/>
      <c r="AK709" s="130"/>
      <c r="AL709" s="3"/>
      <c r="AM709" s="3"/>
      <c r="AN709" s="3"/>
      <c r="AO709" s="3"/>
      <c r="AP709" s="137"/>
      <c r="AQ709" s="132"/>
      <c r="AR709" s="132"/>
      <c r="AS709" s="3"/>
      <c r="AT709" s="3"/>
      <c r="AU709" s="3"/>
      <c r="AV709" s="3"/>
      <c r="AW709" s="192"/>
      <c r="AX709" s="133"/>
      <c r="AY709" s="195"/>
      <c r="AZ709" s="40"/>
      <c r="BA709" s="40"/>
      <c r="BB709" s="40"/>
      <c r="BC709" s="40"/>
      <c r="BD709" s="135"/>
      <c r="BE709" s="135"/>
      <c r="BF709" s="40"/>
      <c r="BG709" s="135"/>
      <c r="BH709" s="135"/>
      <c r="BI709" s="49"/>
      <c r="BJ709" s="49"/>
      <c r="BK709" s="66"/>
      <c r="BL709" s="66"/>
      <c r="BM709" s="51"/>
      <c r="BN709" s="51"/>
      <c r="BO709" s="136"/>
      <c r="BP709" s="40"/>
      <c r="BQ709" s="40"/>
      <c r="BR709" s="67"/>
      <c r="BS709" s="54"/>
      <c r="BT709" s="3"/>
      <c r="BU709" s="3"/>
      <c r="BV709" s="3"/>
      <c r="BW709" s="3"/>
      <c r="BX709" s="70"/>
      <c r="BY709" s="70"/>
      <c r="BZ709" s="59"/>
      <c r="CA709" s="59"/>
      <c r="CB709" s="59"/>
      <c r="CC709" s="59"/>
      <c r="CD709" s="60"/>
      <c r="CE709" s="60"/>
      <c r="CF709" s="61"/>
      <c r="CG709" s="61"/>
      <c r="CH709" s="61"/>
      <c r="CI709" s="41"/>
      <c r="CJ709" s="40"/>
      <c r="CK709" s="3"/>
      <c r="CL709" s="62"/>
      <c r="CM709" s="63"/>
      <c r="CN709" s="3"/>
      <c r="CO709" s="3"/>
      <c r="CP709" s="41">
        <v>16.838888888888889</v>
      </c>
      <c r="CQ709" s="3"/>
      <c r="CR709" s="40"/>
      <c r="CS709" s="40"/>
      <c r="CT709" s="40"/>
      <c r="CU709" s="40"/>
      <c r="CV709" s="40"/>
      <c r="CW709" s="40"/>
      <c r="CX709" s="40"/>
      <c r="CY709" s="40"/>
      <c r="CZ709" s="40"/>
      <c r="DA709" s="40"/>
    </row>
    <row r="710" spans="1:105" ht="18.95" customHeight="1">
      <c r="A710" s="3">
        <v>687</v>
      </c>
      <c r="B710" s="92" t="s">
        <v>199</v>
      </c>
      <c r="C710" s="3">
        <v>0</v>
      </c>
      <c r="D710" s="3" t="s">
        <v>215</v>
      </c>
      <c r="E710" s="39">
        <v>45268</v>
      </c>
      <c r="F710" s="3" t="s">
        <v>106</v>
      </c>
      <c r="G710" s="3" t="s">
        <v>122</v>
      </c>
      <c r="H710" s="3">
        <v>2007</v>
      </c>
      <c r="I710" s="40" t="s">
        <v>116</v>
      </c>
      <c r="J710" s="191" t="s">
        <v>157</v>
      </c>
      <c r="K710" s="3"/>
      <c r="L710" s="3"/>
      <c r="M710" s="3"/>
      <c r="N710" s="3"/>
      <c r="O710" s="3"/>
      <c r="P710" s="3"/>
      <c r="Q710" s="3"/>
      <c r="R710" s="3"/>
      <c r="S710" s="3"/>
      <c r="T710" s="42"/>
      <c r="U710" s="188"/>
      <c r="V710" s="12"/>
      <c r="W710" s="42"/>
      <c r="X710" s="43"/>
      <c r="Y710" s="192"/>
      <c r="Z710" s="3"/>
      <c r="AA710" s="192"/>
      <c r="AB710" s="3"/>
      <c r="AC710" s="3"/>
      <c r="AD710" s="3"/>
      <c r="AE710" s="3"/>
      <c r="AF710" s="3"/>
      <c r="AG710" s="3"/>
      <c r="AH710" s="194"/>
      <c r="AI710" s="193"/>
      <c r="AJ710" s="194"/>
      <c r="AK710" s="130"/>
      <c r="AL710" s="3"/>
      <c r="AM710" s="3"/>
      <c r="AN710" s="3"/>
      <c r="AO710" s="3"/>
      <c r="AP710" s="137"/>
      <c r="AQ710" s="132"/>
      <c r="AR710" s="132"/>
      <c r="AS710" s="3"/>
      <c r="AT710" s="3"/>
      <c r="AU710" s="3"/>
      <c r="AV710" s="3"/>
      <c r="AW710" s="192"/>
      <c r="AX710" s="133">
        <v>29.46</v>
      </c>
      <c r="AY710" s="195"/>
      <c r="AZ710" s="40"/>
      <c r="BA710" s="40"/>
      <c r="BB710" s="40"/>
      <c r="BC710" s="40"/>
      <c r="BD710" s="135"/>
      <c r="BE710" s="135"/>
      <c r="BF710" s="40"/>
      <c r="BG710" s="135"/>
      <c r="BH710" s="135"/>
      <c r="BI710" s="49"/>
      <c r="BJ710" s="49"/>
      <c r="BK710" s="66"/>
      <c r="BL710" s="66"/>
      <c r="BM710" s="51"/>
      <c r="BN710" s="51"/>
      <c r="BO710" s="136"/>
      <c r="BP710" s="40"/>
      <c r="BQ710" s="40"/>
      <c r="BR710" s="67"/>
      <c r="BS710" s="54"/>
      <c r="BT710" s="3"/>
      <c r="BU710" s="3"/>
      <c r="BV710" s="3"/>
      <c r="BW710" s="3"/>
      <c r="BX710" s="70"/>
      <c r="BY710" s="70"/>
      <c r="BZ710" s="59"/>
      <c r="CA710" s="59"/>
      <c r="CB710" s="59"/>
      <c r="CC710" s="59"/>
      <c r="CD710" s="60"/>
      <c r="CE710" s="60"/>
      <c r="CF710" s="61"/>
      <c r="CG710" s="61"/>
      <c r="CH710" s="61"/>
      <c r="CI710" s="41"/>
      <c r="CJ710" s="40" t="s">
        <v>110</v>
      </c>
      <c r="CK710" s="3"/>
      <c r="CL710" s="62"/>
      <c r="CM710" s="63"/>
      <c r="CN710" s="3"/>
      <c r="CO710" s="3"/>
      <c r="CP710" s="41">
        <v>16.172222222222221</v>
      </c>
      <c r="CQ710" s="3"/>
      <c r="CR710" s="40"/>
      <c r="CS710" s="40"/>
      <c r="CT710" s="40"/>
      <c r="CU710" s="40"/>
      <c r="CV710" s="40"/>
      <c r="CW710" s="40"/>
      <c r="CX710" s="40"/>
      <c r="CY710" s="40"/>
      <c r="CZ710" s="40"/>
      <c r="DA710" s="40"/>
    </row>
    <row r="711" spans="1:105" ht="18.75">
      <c r="A711" s="3">
        <v>688</v>
      </c>
      <c r="B711" s="92" t="s">
        <v>199</v>
      </c>
      <c r="C711" s="3">
        <v>0</v>
      </c>
      <c r="D711" s="3" t="s">
        <v>215</v>
      </c>
      <c r="E711" s="39">
        <v>45268</v>
      </c>
      <c r="F711" s="3" t="s">
        <v>106</v>
      </c>
      <c r="G711" s="3" t="s">
        <v>122</v>
      </c>
      <c r="H711" s="3">
        <v>2007</v>
      </c>
      <c r="I711" s="40" t="s">
        <v>116</v>
      </c>
      <c r="J711" s="191" t="s">
        <v>157</v>
      </c>
      <c r="K711" s="3"/>
      <c r="L711" s="3"/>
      <c r="M711" s="3"/>
      <c r="N711" s="3"/>
      <c r="O711" s="3"/>
      <c r="P711" s="3"/>
      <c r="Q711" s="3"/>
      <c r="R711" s="3"/>
      <c r="S711" s="3"/>
      <c r="T711" s="42">
        <v>171.6</v>
      </c>
      <c r="U711" s="188">
        <v>90.3</v>
      </c>
      <c r="V711" s="12">
        <f>paper3[[#This Row],[height]]-paper3[[#This Row],[sittingheight]]</f>
        <v>81.3</v>
      </c>
      <c r="W711" s="73">
        <v>58.5</v>
      </c>
      <c r="X711" s="43" cm="1">
        <f t="array" ref="X711">INDEX([1]!phvny[yphv], MATCH(1, (paper3[[#This Row],[id]]=[1]!phvny[id])*(paper3[[#This Row],[time]]=[1]!phvny[time]), 0))</f>
        <v>1.8345886658636346</v>
      </c>
      <c r="Y711" s="192"/>
      <c r="Z711" s="3"/>
      <c r="AA711" s="192"/>
      <c r="AB711" s="3"/>
      <c r="AC711" s="3"/>
      <c r="AD711" s="3"/>
      <c r="AE711" s="3"/>
      <c r="AF711" s="3"/>
      <c r="AG711" s="3"/>
      <c r="AH711" s="194">
        <v>1.8839999999999999</v>
      </c>
      <c r="AI711" s="193"/>
      <c r="AJ711" s="194">
        <v>4.4459999999999997</v>
      </c>
      <c r="AK711" s="130"/>
      <c r="AL711" s="3"/>
      <c r="AM711" s="3"/>
      <c r="AN711" s="3"/>
      <c r="AO711" s="3"/>
      <c r="AP711" s="137"/>
      <c r="AQ711" s="132"/>
      <c r="AR711" s="132"/>
      <c r="AS711" s="3"/>
      <c r="AT711" s="3"/>
      <c r="AU711" s="3"/>
      <c r="AV711" s="3"/>
      <c r="AW711" s="192"/>
      <c r="AX711" s="133">
        <v>34.06</v>
      </c>
      <c r="AY711" s="195"/>
      <c r="AZ711" s="40"/>
      <c r="BA711" s="40"/>
      <c r="BB711" s="40"/>
      <c r="BC711" s="40"/>
      <c r="BD711" s="135"/>
      <c r="BE711" s="135"/>
      <c r="BF711" s="40"/>
      <c r="BG711" s="135"/>
      <c r="BH711" s="135"/>
      <c r="BI711" s="49">
        <v>2232</v>
      </c>
      <c r="BJ711" s="49">
        <v>961</v>
      </c>
      <c r="BK711" s="66"/>
      <c r="BL711" s="66"/>
      <c r="BM711" s="51">
        <v>38.153846153846153</v>
      </c>
      <c r="BN711" s="51">
        <v>16.427350427350426</v>
      </c>
      <c r="BO711" s="136"/>
      <c r="BP711" s="40"/>
      <c r="BQ711" s="40"/>
      <c r="BR711" s="67"/>
      <c r="BS711" s="54"/>
      <c r="BT711" s="3"/>
      <c r="BU711" s="3"/>
      <c r="BV711" s="3"/>
      <c r="BW711" s="3"/>
      <c r="BX711" s="70"/>
      <c r="BY711" s="70"/>
      <c r="BZ711" s="59"/>
      <c r="CA711" s="59"/>
      <c r="CB711" s="59"/>
      <c r="CC711" s="59"/>
      <c r="CD711" s="60"/>
      <c r="CE711" s="60"/>
      <c r="CF711" s="61"/>
      <c r="CG711" s="61"/>
      <c r="CH711" s="61"/>
      <c r="CI711" s="41"/>
      <c r="CJ711" s="40" t="s">
        <v>110</v>
      </c>
      <c r="CK711" s="3"/>
      <c r="CL711" s="62"/>
      <c r="CM711" s="63"/>
      <c r="CN711" s="3"/>
      <c r="CO711" s="3"/>
      <c r="CP711" s="41">
        <v>16.074999999999999</v>
      </c>
      <c r="CQ711" s="3"/>
      <c r="CR711" s="40"/>
      <c r="CS711" s="40"/>
      <c r="CT711" s="40"/>
      <c r="CU711" s="40"/>
      <c r="CV711" s="40"/>
      <c r="CW711" s="40"/>
      <c r="CX711" s="40"/>
      <c r="CY711" s="40"/>
      <c r="CZ711" s="40"/>
      <c r="DA711" s="40"/>
    </row>
    <row r="712" spans="1:105" ht="18.95" customHeight="1">
      <c r="A712" s="3">
        <v>689</v>
      </c>
      <c r="B712" s="92" t="s">
        <v>199</v>
      </c>
      <c r="C712" s="3">
        <v>0</v>
      </c>
      <c r="D712" s="3" t="s">
        <v>215</v>
      </c>
      <c r="E712" s="39">
        <v>45268</v>
      </c>
      <c r="F712" s="3" t="s">
        <v>106</v>
      </c>
      <c r="G712" s="3" t="s">
        <v>122</v>
      </c>
      <c r="H712" s="3">
        <v>2007</v>
      </c>
      <c r="I712" s="40" t="s">
        <v>116</v>
      </c>
      <c r="J712" s="191" t="s">
        <v>157</v>
      </c>
      <c r="K712" s="3"/>
      <c r="L712" s="3"/>
      <c r="M712" s="3"/>
      <c r="N712" s="3"/>
      <c r="O712" s="3"/>
      <c r="P712" s="3"/>
      <c r="Q712" s="3"/>
      <c r="R712" s="3"/>
      <c r="S712" s="3"/>
      <c r="T712" s="42">
        <v>187.5</v>
      </c>
      <c r="U712" s="188">
        <v>98.2</v>
      </c>
      <c r="V712" s="12">
        <f>paper3[[#This Row],[height]]-paper3[[#This Row],[sittingheight]]</f>
        <v>89.3</v>
      </c>
      <c r="W712" s="73">
        <v>70.8</v>
      </c>
      <c r="X712" s="43" cm="1">
        <f t="array" ref="X712">INDEX([1]!phvny[yphv], MATCH(1, (paper3[[#This Row],[id]]=[1]!phvny[id])*(paper3[[#This Row],[time]]=[1]!phvny[time]), 0))</f>
        <v>3.2443564099444462</v>
      </c>
      <c r="Y712" s="192"/>
      <c r="Z712" s="3"/>
      <c r="AA712" s="192"/>
      <c r="AB712" s="3"/>
      <c r="AC712" s="3"/>
      <c r="AD712" s="3"/>
      <c r="AE712" s="3"/>
      <c r="AF712" s="3"/>
      <c r="AG712" s="3"/>
      <c r="AH712" s="194">
        <v>1.9059999999999999</v>
      </c>
      <c r="AI712" s="193"/>
      <c r="AJ712" s="194">
        <v>4.3929999999999998</v>
      </c>
      <c r="AK712" s="130"/>
      <c r="AL712" s="3"/>
      <c r="AM712" s="3"/>
      <c r="AN712" s="3"/>
      <c r="AO712" s="3"/>
      <c r="AP712" s="137"/>
      <c r="AQ712" s="132"/>
      <c r="AR712" s="132"/>
      <c r="AS712" s="3"/>
      <c r="AT712" s="3"/>
      <c r="AU712" s="3"/>
      <c r="AV712" s="3"/>
      <c r="AW712" s="192"/>
      <c r="AX712" s="133">
        <v>30.66</v>
      </c>
      <c r="AY712" s="195"/>
      <c r="AZ712" s="40"/>
      <c r="BA712" s="40"/>
      <c r="BB712" s="40"/>
      <c r="BC712" s="40"/>
      <c r="BD712" s="135"/>
      <c r="BE712" s="135"/>
      <c r="BF712" s="40"/>
      <c r="BG712" s="135"/>
      <c r="BH712" s="135"/>
      <c r="BI712" s="49">
        <v>2321.9407068927112</v>
      </c>
      <c r="BJ712" s="49">
        <v>1121.563118306804</v>
      </c>
      <c r="BK712" s="66"/>
      <c r="BL712" s="66"/>
      <c r="BM712" s="51">
        <v>32.795772696224738</v>
      </c>
      <c r="BN712" s="51">
        <v>15.84128698173452</v>
      </c>
      <c r="BO712" s="136"/>
      <c r="BP712" s="40"/>
      <c r="BQ712" s="40"/>
      <c r="BR712" s="67"/>
      <c r="BS712" s="54"/>
      <c r="BT712" s="3"/>
      <c r="BU712" s="3"/>
      <c r="BV712" s="3"/>
      <c r="BW712" s="3"/>
      <c r="BX712" s="70"/>
      <c r="BY712" s="70"/>
      <c r="BZ712" s="59"/>
      <c r="CA712" s="59"/>
      <c r="CB712" s="59"/>
      <c r="CC712" s="59"/>
      <c r="CD712" s="60"/>
      <c r="CE712" s="60"/>
      <c r="CF712" s="61"/>
      <c r="CG712" s="61"/>
      <c r="CH712" s="61"/>
      <c r="CI712" s="41"/>
      <c r="CJ712" s="40" t="s">
        <v>110</v>
      </c>
      <c r="CK712" s="3"/>
      <c r="CL712" s="62"/>
      <c r="CM712" s="63"/>
      <c r="CN712" s="3"/>
      <c r="CO712" s="3"/>
      <c r="CP712" s="41">
        <v>16.497222222222224</v>
      </c>
      <c r="CQ712" s="3"/>
      <c r="CR712" s="40"/>
      <c r="CS712" s="40"/>
      <c r="CT712" s="40"/>
      <c r="CU712" s="40"/>
      <c r="CV712" s="40"/>
      <c r="CW712" s="40"/>
      <c r="CX712" s="40"/>
      <c r="CY712" s="40"/>
      <c r="CZ712" s="40"/>
      <c r="DA712" s="40"/>
    </row>
    <row r="713" spans="1:105" ht="18.95" customHeight="1">
      <c r="A713" s="3">
        <v>690</v>
      </c>
      <c r="B713" s="92" t="s">
        <v>199</v>
      </c>
      <c r="C713" s="3">
        <v>0</v>
      </c>
      <c r="D713" s="3" t="s">
        <v>215</v>
      </c>
      <c r="E713" s="39">
        <v>45268</v>
      </c>
      <c r="F713" s="3" t="s">
        <v>106</v>
      </c>
      <c r="G713" s="3" t="s">
        <v>122</v>
      </c>
      <c r="H713" s="3">
        <v>2007</v>
      </c>
      <c r="I713" s="40" t="s">
        <v>116</v>
      </c>
      <c r="J713" s="191" t="s">
        <v>157</v>
      </c>
      <c r="K713" s="3"/>
      <c r="L713" s="3"/>
      <c r="M713" s="3"/>
      <c r="N713" s="3"/>
      <c r="O713" s="3"/>
      <c r="P713" s="3"/>
      <c r="Q713" s="3"/>
      <c r="R713" s="3"/>
      <c r="S713" s="3"/>
      <c r="T713" s="42">
        <v>174.5</v>
      </c>
      <c r="U713" s="188">
        <v>89.5</v>
      </c>
      <c r="V713" s="12">
        <f>paper3[[#This Row],[height]]-paper3[[#This Row],[sittingheight]]</f>
        <v>85</v>
      </c>
      <c r="W713" s="73">
        <v>69.7</v>
      </c>
      <c r="X713" s="43" cm="1">
        <f t="array" ref="X713">INDEX([1]!phvny[yphv], MATCH(1, (paper3[[#This Row],[id]]=[1]!phvny[id])*(paper3[[#This Row],[time]]=[1]!phvny[time]), 0))</f>
        <v>2.0032110579512898</v>
      </c>
      <c r="Y713" s="192"/>
      <c r="Z713" s="3"/>
      <c r="AA713" s="192"/>
      <c r="AB713" s="3"/>
      <c r="AC713" s="3"/>
      <c r="AD713" s="3"/>
      <c r="AE713" s="3"/>
      <c r="AF713" s="3"/>
      <c r="AG713" s="3"/>
      <c r="AH713" s="194">
        <v>2.024</v>
      </c>
      <c r="AI713" s="193"/>
      <c r="AJ713" s="194">
        <v>4.7779999999999996</v>
      </c>
      <c r="AK713" s="130"/>
      <c r="AL713" s="3"/>
      <c r="AM713" s="3"/>
      <c r="AN713" s="3"/>
      <c r="AO713" s="3"/>
      <c r="AP713" s="137"/>
      <c r="AQ713" s="132"/>
      <c r="AR713" s="132"/>
      <c r="AS713" s="3"/>
      <c r="AT713" s="3"/>
      <c r="AU713" s="3"/>
      <c r="AV713" s="3"/>
      <c r="AW713" s="192"/>
      <c r="AX713" s="133"/>
      <c r="AY713" s="195"/>
      <c r="AZ713" s="40"/>
      <c r="BA713" s="40"/>
      <c r="BB713" s="40"/>
      <c r="BC713" s="40"/>
      <c r="BD713" s="135"/>
      <c r="BE713" s="135"/>
      <c r="BF713" s="40"/>
      <c r="BG713" s="135"/>
      <c r="BH713" s="135"/>
      <c r="BI713" s="49">
        <v>2093.8657284927222</v>
      </c>
      <c r="BJ713" s="49">
        <v>818.50594439903762</v>
      </c>
      <c r="BK713" s="66"/>
      <c r="BL713" s="66"/>
      <c r="BM713" s="51">
        <v>30.041115186409211</v>
      </c>
      <c r="BN713" s="51">
        <v>11.743270364405131</v>
      </c>
      <c r="BO713" s="136"/>
      <c r="BP713" s="40"/>
      <c r="BQ713" s="40"/>
      <c r="BR713" s="67"/>
      <c r="BS713" s="54"/>
      <c r="BT713" s="3"/>
      <c r="BU713" s="3"/>
      <c r="BV713" s="3"/>
      <c r="BW713" s="3"/>
      <c r="BX713" s="70"/>
      <c r="BY713" s="70"/>
      <c r="BZ713" s="59"/>
      <c r="CA713" s="59"/>
      <c r="CB713" s="59"/>
      <c r="CC713" s="59"/>
      <c r="CD713" s="60"/>
      <c r="CE713" s="60"/>
      <c r="CF713" s="61"/>
      <c r="CG713" s="61"/>
      <c r="CH713" s="61"/>
      <c r="CI713" s="41"/>
      <c r="CJ713" s="40" t="s">
        <v>110</v>
      </c>
      <c r="CK713" s="3"/>
      <c r="CL713" s="62"/>
      <c r="CM713" s="63"/>
      <c r="CN713" s="3"/>
      <c r="CO713" s="3"/>
      <c r="CP713" s="41">
        <v>16.380555555555556</v>
      </c>
      <c r="CQ713" s="3"/>
      <c r="CR713" s="40"/>
      <c r="CS713" s="40"/>
      <c r="CT713" s="40"/>
      <c r="CU713" s="40"/>
      <c r="CV713" s="40"/>
      <c r="CW713" s="40"/>
      <c r="CX713" s="40"/>
      <c r="CY713" s="40"/>
      <c r="CZ713" s="40"/>
      <c r="DA713" s="40"/>
    </row>
    <row r="714" spans="1:105" ht="18.75">
      <c r="A714" s="3">
        <v>691</v>
      </c>
      <c r="B714" s="92" t="s">
        <v>199</v>
      </c>
      <c r="C714" s="3">
        <v>0</v>
      </c>
      <c r="D714" s="3" t="s">
        <v>215</v>
      </c>
      <c r="E714" s="39">
        <v>45268</v>
      </c>
      <c r="F714" s="3" t="s">
        <v>106</v>
      </c>
      <c r="G714" s="3" t="s">
        <v>122</v>
      </c>
      <c r="H714" s="3">
        <v>2007</v>
      </c>
      <c r="I714" s="40" t="s">
        <v>116</v>
      </c>
      <c r="J714" s="191" t="s">
        <v>157</v>
      </c>
      <c r="K714" s="3"/>
      <c r="L714" s="3"/>
      <c r="M714" s="3"/>
      <c r="N714" s="3"/>
      <c r="O714" s="3"/>
      <c r="P714" s="3"/>
      <c r="Q714" s="3"/>
      <c r="R714" s="3"/>
      <c r="S714" s="3"/>
      <c r="T714" s="42"/>
      <c r="U714" s="188"/>
      <c r="V714" s="12"/>
      <c r="W714" s="42"/>
      <c r="X714" s="43"/>
      <c r="Y714" s="192"/>
      <c r="Z714" s="3"/>
      <c r="AA714" s="192"/>
      <c r="AB714" s="3"/>
      <c r="AC714" s="3"/>
      <c r="AD714" s="3"/>
      <c r="AE714" s="3"/>
      <c r="AF714" s="3"/>
      <c r="AG714" s="3"/>
      <c r="AH714" s="194"/>
      <c r="AI714" s="193"/>
      <c r="AJ714" s="194"/>
      <c r="AK714" s="130"/>
      <c r="AL714" s="3"/>
      <c r="AM714" s="3"/>
      <c r="AN714" s="3"/>
      <c r="AO714" s="3"/>
      <c r="AP714" s="137"/>
      <c r="AQ714" s="132"/>
      <c r="AR714" s="132"/>
      <c r="AS714" s="3"/>
      <c r="AT714" s="3"/>
      <c r="AU714" s="3"/>
      <c r="AV714" s="3"/>
      <c r="AW714" s="192"/>
      <c r="AX714" s="133"/>
      <c r="AY714" s="195"/>
      <c r="AZ714" s="40"/>
      <c r="BA714" s="40"/>
      <c r="BB714" s="40"/>
      <c r="BC714" s="40"/>
      <c r="BD714" s="135"/>
      <c r="BE714" s="135"/>
      <c r="BF714" s="40"/>
      <c r="BG714" s="135"/>
      <c r="BH714" s="135"/>
      <c r="BI714" s="49"/>
      <c r="BJ714" s="49"/>
      <c r="BK714" s="66"/>
      <c r="BL714" s="66"/>
      <c r="BM714" s="51"/>
      <c r="BN714" s="51"/>
      <c r="BO714" s="136"/>
      <c r="BP714" s="40"/>
      <c r="BQ714" s="40"/>
      <c r="BR714" s="67"/>
      <c r="BS714" s="54"/>
      <c r="BT714" s="3"/>
      <c r="BU714" s="3"/>
      <c r="BV714" s="3"/>
      <c r="BW714" s="3"/>
      <c r="BX714" s="70"/>
      <c r="BY714" s="70"/>
      <c r="BZ714" s="59"/>
      <c r="CA714" s="59"/>
      <c r="CB714" s="59"/>
      <c r="CC714" s="59"/>
      <c r="CD714" s="60"/>
      <c r="CE714" s="60"/>
      <c r="CF714" s="61"/>
      <c r="CG714" s="61"/>
      <c r="CH714" s="61"/>
      <c r="CI714" s="41"/>
      <c r="CJ714" s="40" t="s">
        <v>110</v>
      </c>
      <c r="CK714" s="3"/>
      <c r="CL714" s="62"/>
      <c r="CM714" s="63"/>
      <c r="CN714" s="3"/>
      <c r="CO714" s="3"/>
      <c r="CP714" s="41">
        <v>16.227777777777778</v>
      </c>
      <c r="CQ714" s="3"/>
      <c r="CR714" s="40"/>
      <c r="CS714" s="40"/>
      <c r="CT714" s="40"/>
      <c r="CU714" s="40"/>
      <c r="CV714" s="40"/>
      <c r="CW714" s="40"/>
      <c r="CX714" s="40"/>
      <c r="CY714" s="40"/>
      <c r="CZ714" s="40"/>
      <c r="DA714" s="40"/>
    </row>
    <row r="715" spans="1:105" ht="18.95" customHeight="1">
      <c r="A715" s="46">
        <v>693</v>
      </c>
      <c r="B715" s="145" t="s">
        <v>199</v>
      </c>
      <c r="C715" s="46">
        <v>0</v>
      </c>
      <c r="D715" s="46" t="s">
        <v>215</v>
      </c>
      <c r="E715" s="86">
        <v>45250</v>
      </c>
      <c r="F715" s="46" t="s">
        <v>106</v>
      </c>
      <c r="G715" s="46" t="s">
        <v>122</v>
      </c>
      <c r="H715" s="46">
        <v>2007</v>
      </c>
      <c r="I715" s="84" t="s">
        <v>116</v>
      </c>
      <c r="J715" s="198" t="s">
        <v>157</v>
      </c>
      <c r="K715" s="46"/>
      <c r="L715" s="46"/>
      <c r="M715" s="46"/>
      <c r="N715" s="46"/>
      <c r="O715" s="46"/>
      <c r="P715" s="46"/>
      <c r="Q715" s="46"/>
      <c r="R715" s="46"/>
      <c r="S715" s="46"/>
      <c r="T715" s="99"/>
      <c r="U715" s="199"/>
      <c r="V715" s="199"/>
      <c r="W715" s="99"/>
      <c r="X715" s="100"/>
      <c r="Y715" s="200"/>
      <c r="Z715" s="46"/>
      <c r="AA715" s="200"/>
      <c r="AB715" s="46"/>
      <c r="AC715" s="46"/>
      <c r="AD715" s="46"/>
      <c r="AE715" s="46"/>
      <c r="AF715" s="46"/>
      <c r="AG715" s="46"/>
      <c r="AH715" s="193"/>
      <c r="AI715" s="193"/>
      <c r="AJ715" s="193"/>
      <c r="AK715" s="150"/>
      <c r="AL715" s="46"/>
      <c r="AM715" s="46"/>
      <c r="AN715" s="46"/>
      <c r="AO715" s="46"/>
      <c r="AP715" s="151">
        <v>9.2100000000000009</v>
      </c>
      <c r="AQ715" s="152"/>
      <c r="AR715" s="152"/>
      <c r="AS715" s="46"/>
      <c r="AT715" s="46"/>
      <c r="AU715" s="46"/>
      <c r="AV715" s="46"/>
      <c r="AW715" s="200"/>
      <c r="AX715" s="153"/>
      <c r="AY715" s="201"/>
      <c r="AZ715" s="84"/>
      <c r="BA715" s="84"/>
      <c r="BB715" s="84"/>
      <c r="BC715" s="84"/>
      <c r="BD715" s="155"/>
      <c r="BE715" s="155"/>
      <c r="BF715" s="84"/>
      <c r="BG715" s="155"/>
      <c r="BH715" s="155"/>
      <c r="BI715" s="105"/>
      <c r="BJ715" s="105"/>
      <c r="BK715" s="106"/>
      <c r="BL715" s="106"/>
      <c r="BM715" s="107" t="s">
        <v>110</v>
      </c>
      <c r="BN715" s="107" t="s">
        <v>110</v>
      </c>
      <c r="BO715" s="156"/>
      <c r="BP715" s="84"/>
      <c r="BQ715" s="84"/>
      <c r="BR715" s="109"/>
      <c r="BS715" s="110"/>
      <c r="BT715" s="46"/>
      <c r="BU715" s="46"/>
      <c r="BV715" s="46"/>
      <c r="BW715" s="46"/>
      <c r="BX715" s="111"/>
      <c r="BY715" s="111"/>
      <c r="BZ715" s="112"/>
      <c r="CA715" s="112"/>
      <c r="CB715" s="112"/>
      <c r="CC715" s="112"/>
      <c r="CD715" s="72"/>
      <c r="CE715" s="72"/>
      <c r="CF715" s="113"/>
      <c r="CG715" s="113"/>
      <c r="CH715" s="113"/>
      <c r="CI715" s="74">
        <v>15.6</v>
      </c>
      <c r="CJ715" s="84">
        <v>1000</v>
      </c>
      <c r="CK715" s="46"/>
      <c r="CL715" s="114"/>
      <c r="CM715" s="115"/>
      <c r="CN715" s="46"/>
      <c r="CO715" s="46"/>
      <c r="CP715" s="74">
        <v>16.394444444444446</v>
      </c>
      <c r="CQ715" s="46"/>
      <c r="CR715" s="84"/>
      <c r="CS715" s="84"/>
      <c r="CT715" s="84"/>
      <c r="CU715" s="84"/>
      <c r="CV715" s="84"/>
      <c r="CW715" s="84"/>
      <c r="CX715" s="84"/>
      <c r="CY715" s="84"/>
      <c r="CZ715" s="40"/>
      <c r="DA715" s="40"/>
    </row>
    <row r="716" spans="1:105" ht="18.95" customHeight="1">
      <c r="A716" s="46">
        <v>694</v>
      </c>
      <c r="B716" s="145" t="s">
        <v>199</v>
      </c>
      <c r="C716" s="46">
        <v>0</v>
      </c>
      <c r="D716" s="46" t="s">
        <v>215</v>
      </c>
      <c r="E716" s="86">
        <v>45250</v>
      </c>
      <c r="F716" s="46" t="s">
        <v>106</v>
      </c>
      <c r="G716" s="46" t="s">
        <v>122</v>
      </c>
      <c r="H716" s="46">
        <v>2007</v>
      </c>
      <c r="I716" s="84" t="s">
        <v>116</v>
      </c>
      <c r="J716" s="198" t="s">
        <v>157</v>
      </c>
      <c r="K716" s="46"/>
      <c r="L716" s="46"/>
      <c r="M716" s="46"/>
      <c r="N716" s="46"/>
      <c r="O716" s="46"/>
      <c r="P716" s="46"/>
      <c r="Q716" s="46"/>
      <c r="R716" s="46"/>
      <c r="S716" s="46"/>
      <c r="T716" s="99"/>
      <c r="U716" s="199"/>
      <c r="V716" s="199"/>
      <c r="W716" s="99"/>
      <c r="X716" s="100"/>
      <c r="Y716" s="200"/>
      <c r="Z716" s="46"/>
      <c r="AA716" s="200"/>
      <c r="AB716" s="46"/>
      <c r="AC716" s="46"/>
      <c r="AD716" s="46"/>
      <c r="AE716" s="46"/>
      <c r="AF716" s="46"/>
      <c r="AG716" s="46"/>
      <c r="AH716" s="193"/>
      <c r="AI716" s="193"/>
      <c r="AJ716" s="193"/>
      <c r="AK716" s="150"/>
      <c r="AL716" s="46"/>
      <c r="AM716" s="46"/>
      <c r="AN716" s="46"/>
      <c r="AO716" s="46"/>
      <c r="AP716" s="151"/>
      <c r="AQ716" s="152"/>
      <c r="AR716" s="152"/>
      <c r="AS716" s="46"/>
      <c r="AT716" s="46"/>
      <c r="AU716" s="46"/>
      <c r="AV716" s="46"/>
      <c r="AW716" s="200"/>
      <c r="AX716" s="153"/>
      <c r="AY716" s="201"/>
      <c r="AZ716" s="84"/>
      <c r="BA716" s="84"/>
      <c r="BB716" s="84"/>
      <c r="BC716" s="84"/>
      <c r="BD716" s="155"/>
      <c r="BE716" s="155"/>
      <c r="BF716" s="84"/>
      <c r="BG716" s="155"/>
      <c r="BH716" s="155"/>
      <c r="BI716" s="105"/>
      <c r="BJ716" s="105"/>
      <c r="BK716" s="106"/>
      <c r="BL716" s="106"/>
      <c r="BM716" s="107"/>
      <c r="BN716" s="107"/>
      <c r="BO716" s="156"/>
      <c r="BP716" s="84"/>
      <c r="BQ716" s="84"/>
      <c r="BR716" s="109"/>
      <c r="BS716" s="110"/>
      <c r="BT716" s="46"/>
      <c r="BU716" s="46"/>
      <c r="BV716" s="46"/>
      <c r="BW716" s="46"/>
      <c r="BX716" s="111"/>
      <c r="BY716" s="111"/>
      <c r="BZ716" s="112"/>
      <c r="CA716" s="112"/>
      <c r="CB716" s="112"/>
      <c r="CC716" s="112"/>
      <c r="CD716" s="72"/>
      <c r="CE716" s="72"/>
      <c r="CF716" s="113"/>
      <c r="CG716" s="113"/>
      <c r="CH716" s="113"/>
      <c r="CI716" s="74"/>
      <c r="CJ716" s="84"/>
      <c r="CK716" s="46"/>
      <c r="CL716" s="114"/>
      <c r="CM716" s="115"/>
      <c r="CN716" s="46"/>
      <c r="CO716" s="46"/>
      <c r="CP716" s="74">
        <v>16.708333333333332</v>
      </c>
      <c r="CQ716" s="46"/>
      <c r="CR716" s="84"/>
      <c r="CS716" s="84"/>
      <c r="CT716" s="84"/>
      <c r="CU716" s="84"/>
      <c r="CV716" s="84"/>
      <c r="CW716" s="84"/>
      <c r="CX716" s="84"/>
      <c r="CY716" s="84"/>
      <c r="CZ716" s="40"/>
      <c r="DA716" s="40"/>
    </row>
    <row r="717" spans="1:105" ht="18.75">
      <c r="A717" s="46">
        <v>695</v>
      </c>
      <c r="B717" s="145" t="s">
        <v>199</v>
      </c>
      <c r="C717" s="46">
        <v>0</v>
      </c>
      <c r="D717" s="46" t="s">
        <v>215</v>
      </c>
      <c r="E717" s="86">
        <v>45250</v>
      </c>
      <c r="F717" s="46" t="s">
        <v>106</v>
      </c>
      <c r="G717" s="46" t="s">
        <v>122</v>
      </c>
      <c r="H717" s="46">
        <v>2007</v>
      </c>
      <c r="I717" s="84" t="s">
        <v>116</v>
      </c>
      <c r="J717" s="198" t="s">
        <v>157</v>
      </c>
      <c r="K717" s="46"/>
      <c r="L717" s="46"/>
      <c r="M717" s="46"/>
      <c r="N717" s="46"/>
      <c r="O717" s="46"/>
      <c r="P717" s="46"/>
      <c r="Q717" s="46"/>
      <c r="R717" s="46"/>
      <c r="S717" s="46"/>
      <c r="T717" s="99"/>
      <c r="U717" s="199"/>
      <c r="V717" s="199"/>
      <c r="W717" s="99"/>
      <c r="X717" s="100"/>
      <c r="Y717" s="200"/>
      <c r="Z717" s="46"/>
      <c r="AA717" s="200"/>
      <c r="AB717" s="46"/>
      <c r="AC717" s="46"/>
      <c r="AD717" s="46"/>
      <c r="AE717" s="46"/>
      <c r="AF717" s="46"/>
      <c r="AG717" s="46"/>
      <c r="AH717" s="193"/>
      <c r="AI717" s="193"/>
      <c r="AJ717" s="193"/>
      <c r="AK717" s="150"/>
      <c r="AL717" s="46"/>
      <c r="AM717" s="46"/>
      <c r="AN717" s="46"/>
      <c r="AO717" s="46"/>
      <c r="AP717" s="151"/>
      <c r="AQ717" s="152"/>
      <c r="AR717" s="152"/>
      <c r="AS717" s="46"/>
      <c r="AT717" s="46"/>
      <c r="AU717" s="46"/>
      <c r="AV717" s="46"/>
      <c r="AW717" s="200"/>
      <c r="AX717" s="153"/>
      <c r="AY717" s="201"/>
      <c r="AZ717" s="84"/>
      <c r="BA717" s="84"/>
      <c r="BB717" s="84"/>
      <c r="BC717" s="84"/>
      <c r="BD717" s="155"/>
      <c r="BE717" s="155"/>
      <c r="BF717" s="84"/>
      <c r="BG717" s="155"/>
      <c r="BH717" s="155"/>
      <c r="BI717" s="105"/>
      <c r="BJ717" s="105"/>
      <c r="BK717" s="106"/>
      <c r="BL717" s="106"/>
      <c r="BM717" s="107"/>
      <c r="BN717" s="107"/>
      <c r="BO717" s="156"/>
      <c r="BP717" s="84"/>
      <c r="BQ717" s="84"/>
      <c r="BR717" s="109"/>
      <c r="BS717" s="110"/>
      <c r="BT717" s="46"/>
      <c r="BU717" s="46"/>
      <c r="BV717" s="46"/>
      <c r="BW717" s="46"/>
      <c r="BX717" s="111"/>
      <c r="BY717" s="111"/>
      <c r="BZ717" s="112"/>
      <c r="CA717" s="112"/>
      <c r="CB717" s="112"/>
      <c r="CC717" s="112"/>
      <c r="CD717" s="72"/>
      <c r="CE717" s="72"/>
      <c r="CF717" s="113"/>
      <c r="CG717" s="113"/>
      <c r="CH717" s="113"/>
      <c r="CI717" s="74"/>
      <c r="CJ717" s="84"/>
      <c r="CK717" s="46"/>
      <c r="CL717" s="114"/>
      <c r="CM717" s="115"/>
      <c r="CN717" s="46"/>
      <c r="CO717" s="46"/>
      <c r="CP717" s="74">
        <v>16.675000000000001</v>
      </c>
      <c r="CQ717" s="46"/>
      <c r="CR717" s="84"/>
      <c r="CS717" s="84"/>
      <c r="CT717" s="84"/>
      <c r="CU717" s="84"/>
      <c r="CV717" s="84"/>
      <c r="CW717" s="84"/>
      <c r="CX717" s="84"/>
      <c r="CY717" s="84"/>
      <c r="CZ717" s="40"/>
      <c r="DA717" s="40"/>
    </row>
    <row r="718" spans="1:105" ht="18.95" customHeight="1">
      <c r="A718" s="3">
        <v>800</v>
      </c>
      <c r="B718" s="92" t="s">
        <v>199</v>
      </c>
      <c r="C718" s="3" t="s">
        <v>104</v>
      </c>
      <c r="D718" s="202" t="s">
        <v>215</v>
      </c>
      <c r="E718" s="39">
        <v>45453</v>
      </c>
      <c r="F718" s="3" t="s">
        <v>186</v>
      </c>
      <c r="G718" s="3" t="s">
        <v>107</v>
      </c>
      <c r="H718" s="3">
        <v>2008</v>
      </c>
      <c r="I718" s="40" t="str">
        <f t="shared" ref="I718:I723" si="0">RIGHT(J718,3)</f>
        <v>U16</v>
      </c>
      <c r="J718" s="40" t="s">
        <v>117</v>
      </c>
      <c r="K718" s="3"/>
      <c r="L718" s="3"/>
      <c r="M718" s="3"/>
      <c r="N718" s="3"/>
      <c r="O718" s="3"/>
      <c r="P718" s="3"/>
      <c r="Q718" s="3"/>
      <c r="R718" s="3"/>
      <c r="S718" s="3"/>
      <c r="T718" s="42"/>
      <c r="U718" s="188"/>
      <c r="V718" s="199"/>
      <c r="W718" s="73"/>
      <c r="X718" s="43"/>
      <c r="Y718" s="192"/>
      <c r="Z718" s="3"/>
      <c r="AA718" s="192"/>
      <c r="AB718" s="3"/>
      <c r="AC718" s="3"/>
      <c r="AD718" s="3"/>
      <c r="AE718" s="3"/>
      <c r="AF718" s="3"/>
      <c r="AG718" s="3"/>
      <c r="AH718" s="194"/>
      <c r="AI718" s="193"/>
      <c r="AJ718" s="194"/>
      <c r="AK718" s="130"/>
      <c r="AL718" s="203"/>
      <c r="AM718" s="203"/>
      <c r="AN718" s="3"/>
      <c r="AO718" s="3"/>
      <c r="AP718" s="137"/>
      <c r="AQ718" s="132"/>
      <c r="AR718" s="132"/>
      <c r="AS718" s="3"/>
      <c r="AT718" s="3"/>
      <c r="AU718" s="3"/>
      <c r="AV718" s="3"/>
      <c r="AW718" s="192"/>
      <c r="AX718" s="133"/>
      <c r="AY718" s="195"/>
      <c r="AZ718" s="40"/>
      <c r="BA718" s="40"/>
      <c r="BB718" s="40"/>
      <c r="BC718" s="40"/>
      <c r="BD718" s="135"/>
      <c r="BE718" s="135"/>
      <c r="BF718" s="40"/>
      <c r="BG718" s="135"/>
      <c r="BH718" s="135"/>
      <c r="BI718" s="49"/>
      <c r="BJ718" s="49"/>
      <c r="BK718" s="66"/>
      <c r="BL718" s="66"/>
      <c r="BM718" s="51"/>
      <c r="BN718" s="51"/>
      <c r="BO718" s="136"/>
      <c r="BP718" s="40"/>
      <c r="BQ718" s="40"/>
      <c r="BR718" s="67"/>
      <c r="BS718" s="54"/>
      <c r="BT718" s="3"/>
      <c r="BU718" s="3"/>
      <c r="BV718" s="3"/>
      <c r="BW718" s="3"/>
      <c r="BX718" s="70"/>
      <c r="BY718" s="70"/>
      <c r="BZ718" s="59"/>
      <c r="CA718" s="59"/>
      <c r="CB718" s="59"/>
      <c r="CC718" s="59"/>
      <c r="CD718" s="60"/>
      <c r="CE718" s="60"/>
      <c r="CF718" s="61"/>
      <c r="CG718" s="61"/>
      <c r="CH718" s="61"/>
      <c r="CI718" s="41"/>
      <c r="CJ718" s="40"/>
      <c r="CK718" s="3"/>
      <c r="CL718" s="62"/>
      <c r="CM718" s="63"/>
      <c r="CN718" s="3"/>
      <c r="CO718" s="3"/>
      <c r="CP718" s="41"/>
      <c r="CQ718" s="3"/>
      <c r="CR718" s="40"/>
      <c r="CS718" s="40"/>
      <c r="CT718" s="40"/>
      <c r="CU718" s="40"/>
      <c r="CV718" s="40"/>
      <c r="CW718" s="40"/>
      <c r="CX718" s="40"/>
      <c r="CY718" s="40"/>
      <c r="CZ718" s="40"/>
      <c r="DA718" s="40"/>
    </row>
    <row r="719" spans="1:105" ht="18.95" customHeight="1">
      <c r="A719" s="3">
        <v>801</v>
      </c>
      <c r="B719" s="92" t="s">
        <v>199</v>
      </c>
      <c r="C719" s="3" t="s">
        <v>104</v>
      </c>
      <c r="D719" s="202" t="s">
        <v>215</v>
      </c>
      <c r="E719" s="39">
        <v>45453</v>
      </c>
      <c r="F719" s="3" t="s">
        <v>186</v>
      </c>
      <c r="G719" s="3" t="s">
        <v>107</v>
      </c>
      <c r="H719" s="3">
        <v>2008</v>
      </c>
      <c r="I719" s="40" t="str">
        <f t="shared" si="0"/>
        <v>U16</v>
      </c>
      <c r="J719" s="40" t="s">
        <v>117</v>
      </c>
      <c r="K719" s="3"/>
      <c r="L719" s="3"/>
      <c r="M719" s="3"/>
      <c r="N719" s="3"/>
      <c r="O719" s="3"/>
      <c r="P719" s="3"/>
      <c r="Q719" s="3"/>
      <c r="R719" s="3"/>
      <c r="S719" s="3"/>
      <c r="T719" s="42"/>
      <c r="U719" s="188"/>
      <c r="V719" s="199"/>
      <c r="W719" s="73"/>
      <c r="X719" s="43"/>
      <c r="Y719" s="192"/>
      <c r="Z719" s="3"/>
      <c r="AA719" s="192"/>
      <c r="AB719" s="3"/>
      <c r="AC719" s="3"/>
      <c r="AD719" s="3"/>
      <c r="AE719" s="3"/>
      <c r="AF719" s="3"/>
      <c r="AG719" s="3"/>
      <c r="AH719" s="194"/>
      <c r="AI719" s="193"/>
      <c r="AJ719" s="194"/>
      <c r="AK719" s="130"/>
      <c r="AL719" s="203"/>
      <c r="AM719" s="203"/>
      <c r="AN719" s="3"/>
      <c r="AO719" s="3"/>
      <c r="AP719" s="137"/>
      <c r="AQ719" s="132"/>
      <c r="AR719" s="132"/>
      <c r="AS719" s="3"/>
      <c r="AT719" s="3"/>
      <c r="AU719" s="3"/>
      <c r="AV719" s="3"/>
      <c r="AW719" s="192"/>
      <c r="AX719" s="133"/>
      <c r="AY719" s="195"/>
      <c r="AZ719" s="40"/>
      <c r="BA719" s="40"/>
      <c r="BB719" s="40"/>
      <c r="BC719" s="40"/>
      <c r="BD719" s="135"/>
      <c r="BE719" s="135"/>
      <c r="BF719" s="40"/>
      <c r="BG719" s="135"/>
      <c r="BH719" s="135"/>
      <c r="BI719" s="49"/>
      <c r="BJ719" s="49"/>
      <c r="BK719" s="66"/>
      <c r="BL719" s="66"/>
      <c r="BM719" s="51"/>
      <c r="BN719" s="51"/>
      <c r="BO719" s="136"/>
      <c r="BP719" s="40"/>
      <c r="BQ719" s="40"/>
      <c r="BR719" s="67"/>
      <c r="BS719" s="54"/>
      <c r="BT719" s="3"/>
      <c r="BU719" s="3"/>
      <c r="BV719" s="3"/>
      <c r="BW719" s="3"/>
      <c r="BX719" s="70"/>
      <c r="BY719" s="70"/>
      <c r="BZ719" s="59"/>
      <c r="CA719" s="59"/>
      <c r="CB719" s="59"/>
      <c r="CC719" s="59"/>
      <c r="CD719" s="60"/>
      <c r="CE719" s="60"/>
      <c r="CF719" s="61"/>
      <c r="CG719" s="61"/>
      <c r="CH719" s="61"/>
      <c r="CI719" s="41"/>
      <c r="CJ719" s="40"/>
      <c r="CK719" s="3"/>
      <c r="CL719" s="62"/>
      <c r="CM719" s="63"/>
      <c r="CN719" s="3"/>
      <c r="CO719" s="3"/>
      <c r="CP719" s="41"/>
      <c r="CQ719" s="3"/>
      <c r="CR719" s="40"/>
      <c r="CS719" s="40"/>
      <c r="CT719" s="40"/>
      <c r="CU719" s="40"/>
      <c r="CV719" s="40"/>
      <c r="CW719" s="40"/>
      <c r="CX719" s="40"/>
      <c r="CY719" s="40"/>
      <c r="CZ719" s="40"/>
      <c r="DA719" s="40"/>
    </row>
    <row r="720" spans="1:105" ht="18.95" customHeight="1">
      <c r="A720" s="3">
        <v>802</v>
      </c>
      <c r="B720" s="92" t="s">
        <v>199</v>
      </c>
      <c r="C720" s="3"/>
      <c r="D720" s="202" t="s">
        <v>215</v>
      </c>
      <c r="E720" s="39">
        <v>45453</v>
      </c>
      <c r="F720" s="3" t="s">
        <v>186</v>
      </c>
      <c r="G720" s="3" t="s">
        <v>107</v>
      </c>
      <c r="H720" s="3">
        <v>2008</v>
      </c>
      <c r="I720" s="40" t="str">
        <f t="shared" si="0"/>
        <v>U16</v>
      </c>
      <c r="J720" s="40" t="s">
        <v>117</v>
      </c>
      <c r="K720" s="3"/>
      <c r="L720" s="3"/>
      <c r="M720" s="3"/>
      <c r="N720" s="3"/>
      <c r="O720" s="3"/>
      <c r="P720" s="3"/>
      <c r="Q720" s="3"/>
      <c r="R720" s="3"/>
      <c r="S720" s="3"/>
      <c r="T720" s="42"/>
      <c r="U720" s="188"/>
      <c r="V720" s="199"/>
      <c r="W720" s="73"/>
      <c r="X720" s="43"/>
      <c r="Y720" s="192"/>
      <c r="Z720" s="3"/>
      <c r="AA720" s="192"/>
      <c r="AB720" s="3"/>
      <c r="AC720" s="3"/>
      <c r="AD720" s="3"/>
      <c r="AE720" s="3"/>
      <c r="AF720" s="3"/>
      <c r="AG720" s="3"/>
      <c r="AH720" s="194"/>
      <c r="AI720" s="193"/>
      <c r="AJ720" s="194"/>
      <c r="AK720" s="130"/>
      <c r="AL720" s="203"/>
      <c r="AM720" s="203"/>
      <c r="AN720" s="3"/>
      <c r="AO720" s="3"/>
      <c r="AP720" s="137"/>
      <c r="AQ720" s="132"/>
      <c r="AR720" s="132"/>
      <c r="AS720" s="3"/>
      <c r="AT720" s="3"/>
      <c r="AU720" s="3"/>
      <c r="AV720" s="3"/>
      <c r="AW720" s="192"/>
      <c r="AX720" s="133"/>
      <c r="AY720" s="195"/>
      <c r="AZ720" s="40"/>
      <c r="BA720" s="40"/>
      <c r="BB720" s="40"/>
      <c r="BC720" s="40"/>
      <c r="BD720" s="135"/>
      <c r="BE720" s="135"/>
      <c r="BF720" s="40"/>
      <c r="BG720" s="135"/>
      <c r="BH720" s="135"/>
      <c r="BI720" s="49"/>
      <c r="BJ720" s="49"/>
      <c r="BK720" s="66"/>
      <c r="BL720" s="66"/>
      <c r="BM720" s="51"/>
      <c r="BN720" s="51"/>
      <c r="BO720" s="136"/>
      <c r="BP720" s="40"/>
      <c r="BQ720" s="40"/>
      <c r="BR720" s="67"/>
      <c r="BS720" s="54"/>
      <c r="BT720" s="3"/>
      <c r="BU720" s="3"/>
      <c r="BV720" s="3"/>
      <c r="BW720" s="3"/>
      <c r="BX720" s="70"/>
      <c r="BY720" s="70"/>
      <c r="BZ720" s="59"/>
      <c r="CA720" s="59"/>
      <c r="CB720" s="59"/>
      <c r="CC720" s="59"/>
      <c r="CD720" s="60"/>
      <c r="CE720" s="60"/>
      <c r="CF720" s="61"/>
      <c r="CG720" s="61"/>
      <c r="CH720" s="61"/>
      <c r="CI720" s="41"/>
      <c r="CJ720" s="40"/>
      <c r="CK720" s="3"/>
      <c r="CL720" s="62"/>
      <c r="CM720" s="63"/>
      <c r="CN720" s="3"/>
      <c r="CO720" s="3"/>
      <c r="CP720" s="41"/>
      <c r="CQ720" s="3"/>
      <c r="CR720" s="40"/>
      <c r="CS720" s="40"/>
      <c r="CT720" s="40"/>
      <c r="CU720" s="40"/>
      <c r="CV720" s="40"/>
      <c r="CW720" s="40"/>
      <c r="CX720" s="40"/>
      <c r="CY720" s="40"/>
      <c r="CZ720" s="40"/>
      <c r="DA720" s="40"/>
    </row>
    <row r="721" spans="1:105" ht="18.95" customHeight="1">
      <c r="A721" s="3">
        <v>803</v>
      </c>
      <c r="B721" s="92" t="s">
        <v>199</v>
      </c>
      <c r="C721" s="3"/>
      <c r="D721" s="202" t="s">
        <v>215</v>
      </c>
      <c r="E721" s="39">
        <v>45453</v>
      </c>
      <c r="F721" s="3" t="s">
        <v>186</v>
      </c>
      <c r="G721" s="3" t="s">
        <v>107</v>
      </c>
      <c r="H721" s="3">
        <v>2008</v>
      </c>
      <c r="I721" s="40" t="str">
        <f t="shared" si="0"/>
        <v>U16</v>
      </c>
      <c r="J721" s="40" t="s">
        <v>117</v>
      </c>
      <c r="K721" s="3"/>
      <c r="L721" s="3"/>
      <c r="M721" s="3"/>
      <c r="N721" s="3"/>
      <c r="O721" s="3"/>
      <c r="P721" s="3"/>
      <c r="Q721" s="3"/>
      <c r="R721" s="3"/>
      <c r="S721" s="3"/>
      <c r="T721" s="42"/>
      <c r="U721" s="188"/>
      <c r="V721" s="199"/>
      <c r="W721" s="73"/>
      <c r="X721" s="43"/>
      <c r="Y721" s="192"/>
      <c r="Z721" s="3"/>
      <c r="AA721" s="192"/>
      <c r="AB721" s="3"/>
      <c r="AC721" s="3"/>
      <c r="AD721" s="3"/>
      <c r="AE721" s="3"/>
      <c r="AF721" s="3"/>
      <c r="AG721" s="3"/>
      <c r="AH721" s="194"/>
      <c r="AI721" s="193"/>
      <c r="AJ721" s="194"/>
      <c r="AK721" s="130"/>
      <c r="AL721" s="203"/>
      <c r="AM721" s="203"/>
      <c r="AN721" s="3"/>
      <c r="AO721" s="3"/>
      <c r="AP721" s="137"/>
      <c r="AQ721" s="132"/>
      <c r="AR721" s="132"/>
      <c r="AS721" s="3"/>
      <c r="AT721" s="3"/>
      <c r="AU721" s="3"/>
      <c r="AV721" s="3"/>
      <c r="AW721" s="192"/>
      <c r="AX721" s="133"/>
      <c r="AY721" s="195"/>
      <c r="AZ721" s="40"/>
      <c r="BA721" s="40"/>
      <c r="BB721" s="40"/>
      <c r="BC721" s="40"/>
      <c r="BD721" s="135"/>
      <c r="BE721" s="135"/>
      <c r="BF721" s="40"/>
      <c r="BG721" s="135"/>
      <c r="BH721" s="135"/>
      <c r="BI721" s="49"/>
      <c r="BJ721" s="49"/>
      <c r="BK721" s="66"/>
      <c r="BL721" s="66"/>
      <c r="BM721" s="51"/>
      <c r="BN721" s="51"/>
      <c r="BO721" s="136"/>
      <c r="BP721" s="40"/>
      <c r="BQ721" s="40"/>
      <c r="BR721" s="67"/>
      <c r="BS721" s="54"/>
      <c r="BT721" s="3"/>
      <c r="BU721" s="3"/>
      <c r="BV721" s="3"/>
      <c r="BW721" s="3"/>
      <c r="BX721" s="70"/>
      <c r="BY721" s="70"/>
      <c r="BZ721" s="59"/>
      <c r="CA721" s="59"/>
      <c r="CB721" s="59"/>
      <c r="CC721" s="59"/>
      <c r="CD721" s="60"/>
      <c r="CE721" s="60"/>
      <c r="CF721" s="61"/>
      <c r="CG721" s="61"/>
      <c r="CH721" s="61"/>
      <c r="CI721" s="41"/>
      <c r="CJ721" s="40"/>
      <c r="CK721" s="3"/>
      <c r="CL721" s="62"/>
      <c r="CM721" s="63"/>
      <c r="CN721" s="3"/>
      <c r="CO721" s="3"/>
      <c r="CP721" s="41"/>
      <c r="CQ721" s="3"/>
      <c r="CR721" s="40"/>
      <c r="CS721" s="40"/>
      <c r="CT721" s="40"/>
      <c r="CU721" s="40"/>
      <c r="CV721" s="40"/>
      <c r="CW721" s="40"/>
      <c r="CX721" s="40"/>
      <c r="CY721" s="40"/>
      <c r="CZ721" s="40"/>
      <c r="DA721" s="40"/>
    </row>
    <row r="722" spans="1:105" ht="18.75">
      <c r="A722" s="3">
        <v>804</v>
      </c>
      <c r="B722" s="92" t="s">
        <v>199</v>
      </c>
      <c r="C722" s="3"/>
      <c r="D722" s="202" t="s">
        <v>215</v>
      </c>
      <c r="E722" s="39">
        <v>45453</v>
      </c>
      <c r="F722" s="3" t="s">
        <v>186</v>
      </c>
      <c r="G722" s="3" t="s">
        <v>107</v>
      </c>
      <c r="H722" s="3">
        <v>2008</v>
      </c>
      <c r="I722" s="40" t="str">
        <f t="shared" si="0"/>
        <v>U16</v>
      </c>
      <c r="J722" s="40" t="s">
        <v>117</v>
      </c>
      <c r="K722" s="3"/>
      <c r="L722" s="3"/>
      <c r="M722" s="3"/>
      <c r="N722" s="3"/>
      <c r="O722" s="3"/>
      <c r="P722" s="3"/>
      <c r="Q722" s="3"/>
      <c r="R722" s="3"/>
      <c r="S722" s="3"/>
      <c r="T722" s="42"/>
      <c r="U722" s="188"/>
      <c r="V722" s="199"/>
      <c r="W722" s="73"/>
      <c r="X722" s="43"/>
      <c r="Y722" s="192"/>
      <c r="Z722" s="3"/>
      <c r="AA722" s="192"/>
      <c r="AB722" s="3"/>
      <c r="AC722" s="3"/>
      <c r="AD722" s="3"/>
      <c r="AE722" s="3"/>
      <c r="AF722" s="3"/>
      <c r="AG722" s="3"/>
      <c r="AH722" s="194"/>
      <c r="AI722" s="193"/>
      <c r="AJ722" s="194"/>
      <c r="AK722" s="130"/>
      <c r="AL722" s="203"/>
      <c r="AM722" s="203"/>
      <c r="AN722" s="3"/>
      <c r="AO722" s="3"/>
      <c r="AP722" s="137"/>
      <c r="AQ722" s="132"/>
      <c r="AR722" s="132"/>
      <c r="AS722" s="3"/>
      <c r="AT722" s="3"/>
      <c r="AU722" s="3"/>
      <c r="AV722" s="3"/>
      <c r="AW722" s="192"/>
      <c r="AX722" s="133"/>
      <c r="AY722" s="195"/>
      <c r="AZ722" s="40"/>
      <c r="BA722" s="40"/>
      <c r="BB722" s="40"/>
      <c r="BC722" s="40"/>
      <c r="BD722" s="135"/>
      <c r="BE722" s="135"/>
      <c r="BF722" s="40"/>
      <c r="BG722" s="135"/>
      <c r="BH722" s="135"/>
      <c r="BI722" s="49"/>
      <c r="BJ722" s="49"/>
      <c r="BK722" s="66"/>
      <c r="BL722" s="66"/>
      <c r="BM722" s="51"/>
      <c r="BN722" s="51"/>
      <c r="BO722" s="136"/>
      <c r="BP722" s="40"/>
      <c r="BQ722" s="40"/>
      <c r="BR722" s="67"/>
      <c r="BS722" s="54"/>
      <c r="BT722" s="3"/>
      <c r="BU722" s="3"/>
      <c r="BV722" s="3"/>
      <c r="BW722" s="3"/>
      <c r="BX722" s="70"/>
      <c r="BY722" s="70"/>
      <c r="BZ722" s="59"/>
      <c r="CA722" s="59"/>
      <c r="CB722" s="59"/>
      <c r="CC722" s="59"/>
      <c r="CD722" s="60"/>
      <c r="CE722" s="60"/>
      <c r="CF722" s="61"/>
      <c r="CG722" s="61"/>
      <c r="CH722" s="61"/>
      <c r="CI722" s="41"/>
      <c r="CJ722" s="40"/>
      <c r="CK722" s="3"/>
      <c r="CL722" s="62"/>
      <c r="CM722" s="63"/>
      <c r="CN722" s="3"/>
      <c r="CO722" s="3"/>
      <c r="CP722" s="41"/>
      <c r="CQ722" s="3"/>
      <c r="CR722" s="40"/>
      <c r="CS722" s="40"/>
      <c r="CT722" s="40"/>
      <c r="CU722" s="40"/>
      <c r="CV722" s="40"/>
      <c r="CW722" s="40"/>
      <c r="CX722" s="40"/>
      <c r="CY722" s="40"/>
      <c r="CZ722" s="40"/>
      <c r="DA722" s="40"/>
    </row>
    <row r="723" spans="1:105" ht="18.95" customHeight="1">
      <c r="A723" s="3">
        <v>805</v>
      </c>
      <c r="B723" s="92" t="s">
        <v>199</v>
      </c>
      <c r="C723" s="3"/>
      <c r="D723" s="202" t="s">
        <v>215</v>
      </c>
      <c r="E723" s="39">
        <v>45453</v>
      </c>
      <c r="F723" s="3" t="s">
        <v>186</v>
      </c>
      <c r="G723" s="3" t="s">
        <v>107</v>
      </c>
      <c r="H723" s="3">
        <v>2008</v>
      </c>
      <c r="I723" s="40" t="str">
        <f t="shared" si="0"/>
        <v>U16</v>
      </c>
      <c r="J723" s="40" t="s">
        <v>117</v>
      </c>
      <c r="K723" s="3"/>
      <c r="L723" s="3"/>
      <c r="M723" s="3"/>
      <c r="N723" s="3"/>
      <c r="O723" s="3"/>
      <c r="P723" s="3"/>
      <c r="Q723" s="3"/>
      <c r="R723" s="3"/>
      <c r="S723" s="3"/>
      <c r="T723" s="42"/>
      <c r="U723" s="188"/>
      <c r="V723" s="199"/>
      <c r="W723" s="73"/>
      <c r="X723" s="43"/>
      <c r="Y723" s="192"/>
      <c r="Z723" s="3"/>
      <c r="AA723" s="192"/>
      <c r="AB723" s="3"/>
      <c r="AC723" s="3"/>
      <c r="AD723" s="3"/>
      <c r="AE723" s="3"/>
      <c r="AF723" s="3"/>
      <c r="AG723" s="3"/>
      <c r="AH723" s="194"/>
      <c r="AI723" s="193"/>
      <c r="AJ723" s="194"/>
      <c r="AK723" s="130"/>
      <c r="AL723" s="203"/>
      <c r="AM723" s="203"/>
      <c r="AN723" s="3"/>
      <c r="AO723" s="3"/>
      <c r="AP723" s="137"/>
      <c r="AQ723" s="132"/>
      <c r="AR723" s="132"/>
      <c r="AS723" s="3"/>
      <c r="AT723" s="3"/>
      <c r="AU723" s="3"/>
      <c r="AV723" s="3"/>
      <c r="AW723" s="192"/>
      <c r="AX723" s="133"/>
      <c r="AY723" s="195"/>
      <c r="AZ723" s="40"/>
      <c r="BA723" s="40"/>
      <c r="BB723" s="40"/>
      <c r="BC723" s="40"/>
      <c r="BD723" s="135"/>
      <c r="BE723" s="135"/>
      <c r="BF723" s="40"/>
      <c r="BG723" s="135"/>
      <c r="BH723" s="135"/>
      <c r="BI723" s="49"/>
      <c r="BJ723" s="49"/>
      <c r="BK723" s="66"/>
      <c r="BL723" s="66"/>
      <c r="BM723" s="51"/>
      <c r="BN723" s="51"/>
      <c r="BO723" s="136"/>
      <c r="BP723" s="40"/>
      <c r="BQ723" s="40"/>
      <c r="BR723" s="67"/>
      <c r="BS723" s="54"/>
      <c r="BT723" s="3"/>
      <c r="BU723" s="3"/>
      <c r="BV723" s="3"/>
      <c r="BW723" s="3"/>
      <c r="BX723" s="70"/>
      <c r="BY723" s="70"/>
      <c r="BZ723" s="59"/>
      <c r="CA723" s="59"/>
      <c r="CB723" s="59"/>
      <c r="CC723" s="59"/>
      <c r="CD723" s="60"/>
      <c r="CE723" s="60"/>
      <c r="CF723" s="61"/>
      <c r="CG723" s="61"/>
      <c r="CH723" s="61"/>
      <c r="CI723" s="41"/>
      <c r="CJ723" s="40"/>
      <c r="CK723" s="3"/>
      <c r="CL723" s="62"/>
      <c r="CM723" s="63"/>
      <c r="CN723" s="3"/>
      <c r="CO723" s="3"/>
      <c r="CP723" s="41"/>
      <c r="CQ723" s="3"/>
      <c r="CR723" s="40"/>
      <c r="CS723" s="40"/>
      <c r="CT723" s="40"/>
      <c r="CU723" s="40"/>
      <c r="CV723" s="40"/>
      <c r="CW723" s="40"/>
      <c r="CX723" s="40"/>
      <c r="CY723" s="40"/>
      <c r="CZ723" s="40"/>
      <c r="DA723" s="40"/>
    </row>
    <row r="724" spans="1:105" ht="18.95" customHeight="1">
      <c r="A724" s="3">
        <v>806</v>
      </c>
      <c r="B724" s="92" t="s">
        <v>199</v>
      </c>
      <c r="C724" s="3"/>
      <c r="D724" s="202" t="s">
        <v>215</v>
      </c>
      <c r="E724" s="39">
        <v>45453</v>
      </c>
      <c r="F724" s="3" t="s">
        <v>186</v>
      </c>
      <c r="G724" s="3" t="s">
        <v>107</v>
      </c>
      <c r="H724" s="3"/>
      <c r="I724" s="40"/>
      <c r="J724" s="40"/>
      <c r="K724" s="3"/>
      <c r="L724" s="3"/>
      <c r="M724" s="3"/>
      <c r="N724" s="3"/>
      <c r="O724" s="3"/>
      <c r="P724" s="3"/>
      <c r="Q724" s="3"/>
      <c r="R724" s="3"/>
      <c r="S724" s="3"/>
      <c r="T724" s="42"/>
      <c r="U724" s="188"/>
      <c r="V724" s="199"/>
      <c r="W724" s="73"/>
      <c r="X724" s="43"/>
      <c r="Y724" s="192"/>
      <c r="Z724" s="3"/>
      <c r="AA724" s="192"/>
      <c r="AB724" s="3"/>
      <c r="AC724" s="3"/>
      <c r="AD724" s="3"/>
      <c r="AE724" s="3"/>
      <c r="AF724" s="3"/>
      <c r="AG724" s="3"/>
      <c r="AH724" s="194"/>
      <c r="AI724" s="193"/>
      <c r="AJ724" s="194"/>
      <c r="AK724" s="130"/>
      <c r="AL724" s="203"/>
      <c r="AM724" s="203"/>
      <c r="AN724" s="3"/>
      <c r="AO724" s="3"/>
      <c r="AP724" s="137"/>
      <c r="AQ724" s="132"/>
      <c r="AR724" s="132"/>
      <c r="AS724" s="3"/>
      <c r="AT724" s="3"/>
      <c r="AU724" s="3"/>
      <c r="AV724" s="3"/>
      <c r="AW724" s="192"/>
      <c r="AX724" s="133"/>
      <c r="AY724" s="195"/>
      <c r="AZ724" s="40"/>
      <c r="BA724" s="40"/>
      <c r="BB724" s="40"/>
      <c r="BC724" s="40"/>
      <c r="BD724" s="135"/>
      <c r="BE724" s="135"/>
      <c r="BF724" s="40"/>
      <c r="BG724" s="135"/>
      <c r="BH724" s="135"/>
      <c r="BI724" s="49"/>
      <c r="BJ724" s="49"/>
      <c r="BK724" s="66"/>
      <c r="BL724" s="66"/>
      <c r="BM724" s="51"/>
      <c r="BN724" s="51"/>
      <c r="BO724" s="136"/>
      <c r="BP724" s="40"/>
      <c r="BQ724" s="40"/>
      <c r="BR724" s="67"/>
      <c r="BS724" s="54"/>
      <c r="BT724" s="3"/>
      <c r="BU724" s="3"/>
      <c r="BV724" s="3"/>
      <c r="BW724" s="3"/>
      <c r="BX724" s="70"/>
      <c r="BY724" s="70"/>
      <c r="BZ724" s="59"/>
      <c r="CA724" s="59"/>
      <c r="CB724" s="59"/>
      <c r="CC724" s="59"/>
      <c r="CD724" s="60"/>
      <c r="CE724" s="60"/>
      <c r="CF724" s="61"/>
      <c r="CG724" s="61"/>
      <c r="CH724" s="61"/>
      <c r="CI724" s="41"/>
      <c r="CJ724" s="40"/>
      <c r="CK724" s="3"/>
      <c r="CL724" s="62"/>
      <c r="CM724" s="63"/>
      <c r="CN724" s="3"/>
      <c r="CO724" s="3"/>
      <c r="CP724" s="41"/>
      <c r="CQ724" s="3"/>
      <c r="CR724" s="40"/>
      <c r="CS724" s="40"/>
      <c r="CT724" s="40"/>
      <c r="CU724" s="40"/>
      <c r="CV724" s="40"/>
      <c r="CW724" s="40"/>
      <c r="CX724" s="40"/>
      <c r="CY724" s="40"/>
      <c r="CZ724" s="40"/>
      <c r="DA724" s="40"/>
    </row>
    <row r="725" spans="1:105" ht="18.75">
      <c r="A725" s="3">
        <v>807</v>
      </c>
      <c r="B725" s="92" t="s">
        <v>199</v>
      </c>
      <c r="C725" s="3"/>
      <c r="D725" s="202" t="s">
        <v>215</v>
      </c>
      <c r="E725" s="39">
        <v>45453</v>
      </c>
      <c r="F725" s="3" t="s">
        <v>186</v>
      </c>
      <c r="G725" s="3" t="s">
        <v>107</v>
      </c>
      <c r="H725" s="3">
        <v>2008</v>
      </c>
      <c r="I725" s="40" t="str">
        <f t="shared" ref="I725:I738" si="1">RIGHT(J725,3)</f>
        <v>U16</v>
      </c>
      <c r="J725" s="40" t="s">
        <v>117</v>
      </c>
      <c r="K725" s="3"/>
      <c r="L725" s="3"/>
      <c r="M725" s="3"/>
      <c r="N725" s="3"/>
      <c r="O725" s="3"/>
      <c r="P725" s="3"/>
      <c r="Q725" s="3"/>
      <c r="R725" s="3"/>
      <c r="S725" s="3"/>
      <c r="T725" s="42"/>
      <c r="U725" s="188"/>
      <c r="V725" s="199"/>
      <c r="W725" s="73"/>
      <c r="X725" s="43"/>
      <c r="Y725" s="192"/>
      <c r="Z725" s="3"/>
      <c r="AA725" s="192"/>
      <c r="AB725" s="3"/>
      <c r="AC725" s="3"/>
      <c r="AD725" s="3"/>
      <c r="AE725" s="3"/>
      <c r="AF725" s="3"/>
      <c r="AG725" s="3"/>
      <c r="AH725" s="194"/>
      <c r="AI725" s="193"/>
      <c r="AJ725" s="194"/>
      <c r="AK725" s="130"/>
      <c r="AL725" s="203"/>
      <c r="AM725" s="203"/>
      <c r="AN725" s="3"/>
      <c r="AO725" s="3"/>
      <c r="AP725" s="137"/>
      <c r="AQ725" s="132"/>
      <c r="AR725" s="132"/>
      <c r="AS725" s="3"/>
      <c r="AT725" s="3"/>
      <c r="AU725" s="3"/>
      <c r="AV725" s="3"/>
      <c r="AW725" s="192"/>
      <c r="AX725" s="133"/>
      <c r="AY725" s="195"/>
      <c r="AZ725" s="40"/>
      <c r="BA725" s="40"/>
      <c r="BB725" s="40"/>
      <c r="BC725" s="40"/>
      <c r="BD725" s="135"/>
      <c r="BE725" s="135"/>
      <c r="BF725" s="40"/>
      <c r="BG725" s="135"/>
      <c r="BH725" s="135"/>
      <c r="BI725" s="49"/>
      <c r="BJ725" s="49"/>
      <c r="BK725" s="66"/>
      <c r="BL725" s="66"/>
      <c r="BM725" s="51"/>
      <c r="BN725" s="51"/>
      <c r="BO725" s="136"/>
      <c r="BP725" s="40"/>
      <c r="BQ725" s="40"/>
      <c r="BR725" s="67"/>
      <c r="BS725" s="54"/>
      <c r="BT725" s="3"/>
      <c r="BU725" s="3"/>
      <c r="BV725" s="3"/>
      <c r="BW725" s="3"/>
      <c r="BX725" s="70"/>
      <c r="BY725" s="70"/>
      <c r="BZ725" s="59"/>
      <c r="CA725" s="59"/>
      <c r="CB725" s="59"/>
      <c r="CC725" s="59"/>
      <c r="CD725" s="60"/>
      <c r="CE725" s="60"/>
      <c r="CF725" s="61"/>
      <c r="CG725" s="61"/>
      <c r="CH725" s="61"/>
      <c r="CI725" s="41"/>
      <c r="CJ725" s="40"/>
      <c r="CK725" s="3"/>
      <c r="CL725" s="62"/>
      <c r="CM725" s="63"/>
      <c r="CN725" s="3"/>
      <c r="CO725" s="3"/>
      <c r="CP725" s="41"/>
      <c r="CQ725" s="3"/>
      <c r="CR725" s="40"/>
      <c r="CS725" s="40"/>
      <c r="CT725" s="40"/>
      <c r="CU725" s="40"/>
      <c r="CV725" s="40"/>
      <c r="CW725" s="40"/>
      <c r="CX725" s="40"/>
      <c r="CY725" s="40"/>
      <c r="CZ725" s="40"/>
      <c r="DA725" s="40"/>
    </row>
    <row r="726" spans="1:105" ht="18.95" customHeight="1">
      <c r="A726" s="3">
        <v>808</v>
      </c>
      <c r="B726" s="92" t="s">
        <v>199</v>
      </c>
      <c r="C726" s="3"/>
      <c r="D726" s="202" t="s">
        <v>215</v>
      </c>
      <c r="E726" s="39">
        <v>45453</v>
      </c>
      <c r="F726" s="3" t="s">
        <v>186</v>
      </c>
      <c r="G726" s="3" t="s">
        <v>107</v>
      </c>
      <c r="H726" s="3">
        <v>2008</v>
      </c>
      <c r="I726" s="40" t="str">
        <f t="shared" si="1"/>
        <v>U16</v>
      </c>
      <c r="J726" s="40" t="s">
        <v>117</v>
      </c>
      <c r="K726" s="3"/>
      <c r="L726" s="3"/>
      <c r="M726" s="3"/>
      <c r="N726" s="3"/>
      <c r="O726" s="3"/>
      <c r="P726" s="3"/>
      <c r="Q726" s="3"/>
      <c r="R726" s="3"/>
      <c r="S726" s="3"/>
      <c r="T726" s="42"/>
      <c r="U726" s="188"/>
      <c r="V726" s="199"/>
      <c r="W726" s="73"/>
      <c r="X726" s="43"/>
      <c r="Y726" s="192"/>
      <c r="Z726" s="3"/>
      <c r="AA726" s="192"/>
      <c r="AB726" s="3"/>
      <c r="AC726" s="3"/>
      <c r="AD726" s="3"/>
      <c r="AE726" s="3"/>
      <c r="AF726" s="3"/>
      <c r="AG726" s="3"/>
      <c r="AH726" s="194"/>
      <c r="AI726" s="193"/>
      <c r="AJ726" s="194"/>
      <c r="AK726" s="130"/>
      <c r="AL726" s="203"/>
      <c r="AM726" s="203"/>
      <c r="AN726" s="3"/>
      <c r="AO726" s="3"/>
      <c r="AP726" s="137"/>
      <c r="AQ726" s="132"/>
      <c r="AR726" s="132"/>
      <c r="AS726" s="3"/>
      <c r="AT726" s="3"/>
      <c r="AU726" s="3"/>
      <c r="AV726" s="3"/>
      <c r="AW726" s="192"/>
      <c r="AX726" s="133"/>
      <c r="AY726" s="195"/>
      <c r="AZ726" s="40"/>
      <c r="BA726" s="40"/>
      <c r="BB726" s="40"/>
      <c r="BC726" s="40"/>
      <c r="BD726" s="135"/>
      <c r="BE726" s="135"/>
      <c r="BF726" s="40"/>
      <c r="BG726" s="135"/>
      <c r="BH726" s="135"/>
      <c r="BI726" s="49"/>
      <c r="BJ726" s="49"/>
      <c r="BK726" s="66"/>
      <c r="BL726" s="66"/>
      <c r="BM726" s="51"/>
      <c r="BN726" s="51"/>
      <c r="BO726" s="136"/>
      <c r="BP726" s="40"/>
      <c r="BQ726" s="40"/>
      <c r="BR726" s="67"/>
      <c r="BS726" s="54"/>
      <c r="BT726" s="3"/>
      <c r="BU726" s="3"/>
      <c r="BV726" s="3"/>
      <c r="BW726" s="3"/>
      <c r="BX726" s="70"/>
      <c r="BY726" s="70"/>
      <c r="BZ726" s="59"/>
      <c r="CA726" s="59"/>
      <c r="CB726" s="59"/>
      <c r="CC726" s="59"/>
      <c r="CD726" s="60"/>
      <c r="CE726" s="60"/>
      <c r="CF726" s="61"/>
      <c r="CG726" s="61"/>
      <c r="CH726" s="61"/>
      <c r="CI726" s="41"/>
      <c r="CJ726" s="40"/>
      <c r="CK726" s="3"/>
      <c r="CL726" s="62"/>
      <c r="CM726" s="63"/>
      <c r="CN726" s="3"/>
      <c r="CO726" s="3"/>
      <c r="CP726" s="41"/>
      <c r="CQ726" s="3"/>
      <c r="CR726" s="40"/>
      <c r="CS726" s="40"/>
      <c r="CT726" s="40"/>
      <c r="CU726" s="40"/>
      <c r="CV726" s="40"/>
      <c r="CW726" s="40"/>
      <c r="CX726" s="40"/>
      <c r="CY726" s="40"/>
      <c r="CZ726" s="40"/>
      <c r="DA726" s="40"/>
    </row>
    <row r="727" spans="1:105" ht="18.95" customHeight="1">
      <c r="A727" s="3">
        <v>810</v>
      </c>
      <c r="B727" s="92" t="s">
        <v>199</v>
      </c>
      <c r="C727" s="3" t="s">
        <v>104</v>
      </c>
      <c r="D727" s="202" t="s">
        <v>215</v>
      </c>
      <c r="E727" s="39">
        <v>45453</v>
      </c>
      <c r="F727" s="3" t="s">
        <v>186</v>
      </c>
      <c r="G727" s="3" t="s">
        <v>107</v>
      </c>
      <c r="H727" s="3">
        <v>2008</v>
      </c>
      <c r="I727" s="40" t="str">
        <f t="shared" si="1"/>
        <v>U16</v>
      </c>
      <c r="J727" s="40" t="s">
        <v>117</v>
      </c>
      <c r="K727" s="3">
        <v>162.5</v>
      </c>
      <c r="L727" s="3">
        <v>162.4</v>
      </c>
      <c r="M727" s="3"/>
      <c r="N727" s="3">
        <v>155</v>
      </c>
      <c r="O727" s="3">
        <v>155</v>
      </c>
      <c r="P727" s="3"/>
      <c r="Q727" s="3">
        <v>64.900000000000006</v>
      </c>
      <c r="R727" s="3">
        <v>64.900000000000006</v>
      </c>
      <c r="S727" s="3"/>
      <c r="T727" s="42">
        <v>162.44999999999999</v>
      </c>
      <c r="U727" s="188" cm="1">
        <f t="array" ref="U727">AVERAGE(paper3[[#This Row],[Sittende høyde 1]:[Sittende høyde 2]]-70.2)</f>
        <v>84.8</v>
      </c>
      <c r="V727" s="12">
        <f>paper3[[#This Row],[height]]-paper3[[#This Row],[sittingheight]]</f>
        <v>77.649999999999991</v>
      </c>
      <c r="W727" s="73">
        <v>64.900000000000006</v>
      </c>
      <c r="X727" s="43" cm="1">
        <f t="array" ref="X727">INDEX([1]!phvny[yphv], MATCH(1, (paper3[[#This Row],[id]]=[1]!phvny[id])*(paper3[[#This Row],[time]]=[1]!phvny[time]), 0))</f>
        <v>2.9089838052342247</v>
      </c>
      <c r="Y727" s="192">
        <v>1.9710000000000001</v>
      </c>
      <c r="Z727" s="3">
        <v>3.6309999999999998</v>
      </c>
      <c r="AA727" s="192">
        <v>5.2469999999999999</v>
      </c>
      <c r="AB727" s="3">
        <v>1.9850000000000001</v>
      </c>
      <c r="AC727" s="3">
        <v>3.649</v>
      </c>
      <c r="AD727" s="3">
        <v>5.2869999999999999</v>
      </c>
      <c r="AE727" s="3">
        <v>1.946</v>
      </c>
      <c r="AF727" s="3">
        <v>3.593</v>
      </c>
      <c r="AG727" s="3">
        <v>5.2249999999999996</v>
      </c>
      <c r="AH727" s="194">
        <v>1.946</v>
      </c>
      <c r="AI727" s="193">
        <v>3.593</v>
      </c>
      <c r="AJ727" s="194">
        <v>5.2249999999999996</v>
      </c>
      <c r="AK727" s="130"/>
      <c r="AL727" s="203">
        <v>11.05</v>
      </c>
      <c r="AM727" s="203">
        <v>13.72</v>
      </c>
      <c r="AN727" s="3">
        <v>11.72</v>
      </c>
      <c r="AO727" s="3">
        <v>10.9</v>
      </c>
      <c r="AP727" s="137">
        <f>MIN(AQ727:AR727)</f>
        <v>10.9</v>
      </c>
      <c r="AQ727" s="132">
        <v>11.05</v>
      </c>
      <c r="AR727" s="132">
        <v>10.9</v>
      </c>
      <c r="AS727" s="3"/>
      <c r="AT727" s="3"/>
      <c r="AU727" s="3"/>
      <c r="AV727" s="3"/>
      <c r="AW727" s="192"/>
      <c r="AX727" s="133">
        <v>19.399999999999999</v>
      </c>
      <c r="AY727" s="195" t="s">
        <v>245</v>
      </c>
      <c r="AZ727" s="40">
        <v>9</v>
      </c>
      <c r="BA727" s="40"/>
      <c r="BB727" s="40"/>
      <c r="BC727" s="40"/>
      <c r="BD727" s="135">
        <v>1126.1065835588497</v>
      </c>
      <c r="BE727" s="135">
        <v>1094.7231015173077</v>
      </c>
      <c r="BF727" s="40"/>
      <c r="BG727" s="135">
        <v>405.22545375642653</v>
      </c>
      <c r="BH727" s="135">
        <v>393.69222638421741</v>
      </c>
      <c r="BI727" s="49">
        <f>IFERROR(SUM(paper3[[#This Row],[Kraft ikke-dominant]:[Kraft dominant]]),"")</f>
        <v>2220.8296850761571</v>
      </c>
      <c r="BJ727" s="49">
        <f>IFERROR(SUM(paper3[[#This Row],[Pwr ikke-dominant]:[Pwr dominant]]),"")</f>
        <v>798.91768014064394</v>
      </c>
      <c r="BK727" s="66"/>
      <c r="BL727" s="66"/>
      <c r="BM727" s="51">
        <f>IFERROR(paper3[[#This Row],[totforce]]/paper3[[#This Row],[bodymass]],"")</f>
        <v>34.219255548168832</v>
      </c>
      <c r="BN727" s="51">
        <f>IFERROR(paper3[[#This Row],[totpwr]]/paper3[[#This Row],[bodymass]],"")</f>
        <v>12.309979663184034</v>
      </c>
      <c r="BO727" s="136"/>
      <c r="BP727" s="40"/>
      <c r="BQ727" s="40"/>
      <c r="BR727" s="67"/>
      <c r="BS727" s="54"/>
      <c r="BT727" s="3"/>
      <c r="BU727" s="3"/>
      <c r="BV727" s="3"/>
      <c r="BW727" s="3"/>
      <c r="BX727" s="70"/>
      <c r="BY727" s="70"/>
      <c r="BZ727" s="59"/>
      <c r="CA727" s="59"/>
      <c r="CB727" s="59"/>
      <c r="CC727" s="59"/>
      <c r="CD727" s="60"/>
      <c r="CE727" s="60"/>
      <c r="CF727" s="61"/>
      <c r="CG727" s="61"/>
      <c r="CH727" s="61"/>
      <c r="CI727" s="41">
        <v>14.1</v>
      </c>
      <c r="CJ727" s="40">
        <f>VLOOKUP(CI727,$DB:$DC,2)</f>
        <v>480</v>
      </c>
      <c r="CK727" s="3"/>
      <c r="CL727" s="62"/>
      <c r="CM727" s="63"/>
      <c r="CN727" s="3"/>
      <c r="CO727" s="3"/>
      <c r="CP727" s="41">
        <v>15.083333333333334</v>
      </c>
      <c r="CQ727" s="3"/>
      <c r="CR727" s="40"/>
      <c r="CS727" s="40"/>
      <c r="CT727" s="40"/>
      <c r="CU727" s="40"/>
      <c r="CV727" s="40"/>
      <c r="CW727" s="40"/>
      <c r="CX727" s="40"/>
      <c r="CY727" s="40"/>
      <c r="CZ727" s="40"/>
      <c r="DA727" s="40"/>
    </row>
    <row r="728" spans="1:105" ht="18.95" customHeight="1">
      <c r="A728" s="3">
        <v>811</v>
      </c>
      <c r="B728" s="92" t="s">
        <v>199</v>
      </c>
      <c r="C728" s="3" t="s">
        <v>104</v>
      </c>
      <c r="D728" s="202" t="s">
        <v>215</v>
      </c>
      <c r="E728" s="39">
        <v>45453</v>
      </c>
      <c r="F728" s="3" t="s">
        <v>186</v>
      </c>
      <c r="G728" s="3" t="s">
        <v>107</v>
      </c>
      <c r="H728" s="3">
        <v>2008</v>
      </c>
      <c r="I728" s="40" t="str">
        <f t="shared" si="1"/>
        <v>U16</v>
      </c>
      <c r="J728" s="40" t="s">
        <v>117</v>
      </c>
      <c r="K728" s="3">
        <v>177.3</v>
      </c>
      <c r="L728" s="3">
        <v>177.3</v>
      </c>
      <c r="M728" s="3"/>
      <c r="N728" s="3">
        <v>162.19999999999999</v>
      </c>
      <c r="O728" s="3">
        <v>162.19999999999999</v>
      </c>
      <c r="P728" s="3"/>
      <c r="Q728" s="3">
        <v>79.2</v>
      </c>
      <c r="R728" s="3">
        <v>79.2</v>
      </c>
      <c r="S728" s="3"/>
      <c r="T728" s="42">
        <v>177.3</v>
      </c>
      <c r="U728" s="188" cm="1">
        <f t="array" ref="U728">AVERAGE(paper3[[#This Row],[Sittende høyde 1]:[Sittende høyde 2]]-70.2)</f>
        <v>91.999999999999986</v>
      </c>
      <c r="V728" s="12">
        <f>paper3[[#This Row],[height]]-paper3[[#This Row],[sittingheight]]</f>
        <v>85.300000000000026</v>
      </c>
      <c r="W728" s="73">
        <v>79.2</v>
      </c>
      <c r="X728" s="43" cm="1">
        <f t="array" ref="X728">INDEX([1]!phvny[yphv], MATCH(1, (paper3[[#This Row],[id]]=[1]!phvny[id])*(paper3[[#This Row],[time]]=[1]!phvny[time]), 0))</f>
        <v>3.5267127028539198</v>
      </c>
      <c r="Y728" s="192">
        <v>1.9259999999999999</v>
      </c>
      <c r="Z728" s="3">
        <v>3.5259999999999998</v>
      </c>
      <c r="AA728" s="192">
        <v>5.109</v>
      </c>
      <c r="AB728" s="3">
        <v>1.9279999999999999</v>
      </c>
      <c r="AC728" s="3">
        <v>3.5489999999999999</v>
      </c>
      <c r="AD728" s="3">
        <v>5.16</v>
      </c>
      <c r="AE728" s="3">
        <v>1.9490000000000001</v>
      </c>
      <c r="AF728" s="3">
        <v>3.6320000000000001</v>
      </c>
      <c r="AG728" s="3">
        <v>5.2560000000000002</v>
      </c>
      <c r="AH728" s="194">
        <v>1.9259999999999999</v>
      </c>
      <c r="AI728" s="193">
        <v>3.5259999999999998</v>
      </c>
      <c r="AJ728" s="194">
        <v>5.109</v>
      </c>
      <c r="AK728" s="130"/>
      <c r="AL728" s="203"/>
      <c r="AM728" s="203"/>
      <c r="AN728" s="3"/>
      <c r="AO728" s="3"/>
      <c r="AP728" s="137"/>
      <c r="AQ728" s="132"/>
      <c r="AR728" s="132"/>
      <c r="AS728" s="3"/>
      <c r="AT728" s="3"/>
      <c r="AU728" s="3"/>
      <c r="AV728" s="3"/>
      <c r="AW728" s="192"/>
      <c r="AX728" s="133">
        <v>19.600000000000001</v>
      </c>
      <c r="AY728" s="195" t="s">
        <v>245</v>
      </c>
      <c r="AZ728" s="40">
        <v>11</v>
      </c>
      <c r="BA728" s="40"/>
      <c r="BB728" s="40"/>
      <c r="BC728" s="40"/>
      <c r="BD728" s="135">
        <v>1236.7486355865237</v>
      </c>
      <c r="BE728" s="135">
        <v>1209.251877769178</v>
      </c>
      <c r="BF728" s="40"/>
      <c r="BG728" s="135">
        <v>473.75594002076434</v>
      </c>
      <c r="BH728" s="135">
        <v>470.31152818069165</v>
      </c>
      <c r="BI728" s="49">
        <f>IFERROR(SUM(paper3[[#This Row],[Kraft ikke-dominant]:[Kraft dominant]]),"")</f>
        <v>2446.0005133557015</v>
      </c>
      <c r="BJ728" s="49">
        <f>IFERROR(SUM(paper3[[#This Row],[Pwr ikke-dominant]:[Pwr dominant]]),"")</f>
        <v>944.06746820145599</v>
      </c>
      <c r="BK728" s="66"/>
      <c r="BL728" s="66"/>
      <c r="BM728" s="51">
        <f>IFERROR(paper3[[#This Row],[totforce]]/paper3[[#This Row],[bodymass]],"")</f>
        <v>30.883844865602292</v>
      </c>
      <c r="BN728" s="51">
        <f>IFERROR(paper3[[#This Row],[totpwr]]/paper3[[#This Row],[bodymass]],"")</f>
        <v>11.920043790422424</v>
      </c>
      <c r="BO728" s="136"/>
      <c r="BP728" s="40"/>
      <c r="BQ728" s="40"/>
      <c r="BR728" s="67"/>
      <c r="BS728" s="54"/>
      <c r="BT728" s="3"/>
      <c r="BU728" s="3"/>
      <c r="BV728" s="3"/>
      <c r="BW728" s="3"/>
      <c r="BX728" s="70"/>
      <c r="BY728" s="70"/>
      <c r="BZ728" s="59"/>
      <c r="CA728" s="59"/>
      <c r="CB728" s="59"/>
      <c r="CC728" s="59"/>
      <c r="CD728" s="60"/>
      <c r="CE728" s="60"/>
      <c r="CF728" s="61"/>
      <c r="CG728" s="61"/>
      <c r="CH728" s="61"/>
      <c r="CI728" s="41"/>
      <c r="CJ728" s="40"/>
      <c r="CK728" s="3"/>
      <c r="CL728" s="62"/>
      <c r="CM728" s="63"/>
      <c r="CN728" s="3"/>
      <c r="CO728" s="3"/>
      <c r="CP728" s="41">
        <v>14.46111111111111</v>
      </c>
      <c r="CQ728" s="3"/>
      <c r="CR728" s="40"/>
      <c r="CS728" s="40"/>
      <c r="CT728" s="40"/>
      <c r="CU728" s="40"/>
      <c r="CV728" s="40"/>
      <c r="CW728" s="40"/>
      <c r="CX728" s="40"/>
      <c r="CY728" s="40"/>
      <c r="CZ728" s="40"/>
      <c r="DA728" s="40"/>
    </row>
    <row r="729" spans="1:105" ht="18.75">
      <c r="A729" s="3">
        <v>812</v>
      </c>
      <c r="B729" s="92" t="s">
        <v>199</v>
      </c>
      <c r="C729" s="3" t="s">
        <v>171</v>
      </c>
      <c r="D729" s="202" t="s">
        <v>215</v>
      </c>
      <c r="E729" s="39">
        <v>45453</v>
      </c>
      <c r="F729" s="3" t="s">
        <v>186</v>
      </c>
      <c r="G729" s="3" t="s">
        <v>107</v>
      </c>
      <c r="H729" s="3">
        <v>2008</v>
      </c>
      <c r="I729" s="40" t="str">
        <f t="shared" si="1"/>
        <v>U16</v>
      </c>
      <c r="J729" s="40" t="s">
        <v>117</v>
      </c>
      <c r="K729" s="3"/>
      <c r="L729" s="3"/>
      <c r="M729" s="3"/>
      <c r="N729" s="3"/>
      <c r="O729" s="3"/>
      <c r="P729" s="3"/>
      <c r="Q729" s="3"/>
      <c r="R729" s="3"/>
      <c r="S729" s="3"/>
      <c r="T729" s="42"/>
      <c r="U729" s="188"/>
      <c r="V729" s="199"/>
      <c r="W729" s="73"/>
      <c r="X729" s="43"/>
      <c r="Y729" s="192"/>
      <c r="Z729" s="3"/>
      <c r="AA729" s="192"/>
      <c r="AB729" s="3"/>
      <c r="AC729" s="3"/>
      <c r="AD729" s="3"/>
      <c r="AE729" s="3"/>
      <c r="AF729" s="3"/>
      <c r="AG729" s="3"/>
      <c r="AH729" s="194"/>
      <c r="AI729" s="193"/>
      <c r="AJ729" s="194"/>
      <c r="AK729" s="130"/>
      <c r="AL729" s="203">
        <v>10.210000000000001</v>
      </c>
      <c r="AM729" s="203">
        <v>9.98</v>
      </c>
      <c r="AN729" s="3">
        <v>10.09</v>
      </c>
      <c r="AO729" s="3">
        <v>10.14</v>
      </c>
      <c r="AP729" s="137">
        <f>MIN(AQ729:AR729)</f>
        <v>10.09</v>
      </c>
      <c r="AQ729" s="132"/>
      <c r="AR729" s="132">
        <v>10.09</v>
      </c>
      <c r="AS729" s="3"/>
      <c r="AT729" s="3"/>
      <c r="AU729" s="3"/>
      <c r="AV729" s="3"/>
      <c r="AW729" s="192"/>
      <c r="AX729" s="133"/>
      <c r="AY729" s="195"/>
      <c r="AZ729" s="40"/>
      <c r="BA729" s="40"/>
      <c r="BB729" s="40"/>
      <c r="BC729" s="40"/>
      <c r="BD729" s="135"/>
      <c r="BE729" s="135"/>
      <c r="BF729" s="40"/>
      <c r="BG729" s="135"/>
      <c r="BH729" s="135"/>
      <c r="BI729" s="49"/>
      <c r="BJ729" s="49"/>
      <c r="BK729" s="66"/>
      <c r="BL729" s="66"/>
      <c r="BM729" s="51"/>
      <c r="BN729" s="51"/>
      <c r="BO729" s="136"/>
      <c r="BP729" s="40"/>
      <c r="BQ729" s="40"/>
      <c r="BR729" s="67"/>
      <c r="BS729" s="54"/>
      <c r="BT729" s="3"/>
      <c r="BU729" s="3"/>
      <c r="BV729" s="3"/>
      <c r="BW729" s="3"/>
      <c r="BX729" s="70"/>
      <c r="BY729" s="70"/>
      <c r="BZ729" s="59"/>
      <c r="CA729" s="59"/>
      <c r="CB729" s="59"/>
      <c r="CC729" s="59"/>
      <c r="CD729" s="60"/>
      <c r="CE729" s="60"/>
      <c r="CF729" s="61"/>
      <c r="CG729" s="61"/>
      <c r="CH729" s="61"/>
      <c r="CI729" s="41">
        <v>16.8</v>
      </c>
      <c r="CJ729" s="40">
        <f>VLOOKUP(CI729,$DB:$DC,2)</f>
        <v>1400</v>
      </c>
      <c r="CK729" s="3"/>
      <c r="CL729" s="62"/>
      <c r="CM729" s="63"/>
      <c r="CN729" s="3"/>
      <c r="CO729" s="3"/>
      <c r="CP729" s="41">
        <v>14.994444444444444</v>
      </c>
      <c r="CQ729" s="3"/>
      <c r="CR729" s="40"/>
      <c r="CS729" s="40"/>
      <c r="CT729" s="40"/>
      <c r="CU729" s="40"/>
      <c r="CV729" s="40"/>
      <c r="CW729" s="40"/>
      <c r="CX729" s="40"/>
      <c r="CY729" s="40"/>
      <c r="CZ729" s="40"/>
      <c r="DA729" s="40"/>
    </row>
    <row r="730" spans="1:105" ht="18.95" customHeight="1">
      <c r="A730" s="3">
        <v>813</v>
      </c>
      <c r="B730" s="92" t="s">
        <v>199</v>
      </c>
      <c r="C730" s="3" t="s">
        <v>104</v>
      </c>
      <c r="D730" s="202" t="s">
        <v>215</v>
      </c>
      <c r="E730" s="39">
        <v>45453</v>
      </c>
      <c r="F730" s="3" t="s">
        <v>186</v>
      </c>
      <c r="G730" s="3" t="s">
        <v>107</v>
      </c>
      <c r="H730" s="3">
        <v>2008</v>
      </c>
      <c r="I730" s="40" t="str">
        <f t="shared" si="1"/>
        <v>U16</v>
      </c>
      <c r="J730" s="40" t="s">
        <v>117</v>
      </c>
      <c r="K730" s="3"/>
      <c r="L730" s="3"/>
      <c r="M730" s="3"/>
      <c r="N730" s="3"/>
      <c r="O730" s="3"/>
      <c r="P730" s="3"/>
      <c r="Q730" s="3"/>
      <c r="R730" s="3"/>
      <c r="S730" s="3"/>
      <c r="T730" s="42"/>
      <c r="U730" s="188"/>
      <c r="V730" s="199"/>
      <c r="W730" s="73"/>
      <c r="X730" s="43"/>
      <c r="Y730" s="192"/>
      <c r="Z730" s="3"/>
      <c r="AA730" s="192"/>
      <c r="AB730" s="3"/>
      <c r="AC730" s="3"/>
      <c r="AD730" s="3"/>
      <c r="AE730" s="3"/>
      <c r="AF730" s="3"/>
      <c r="AG730" s="3"/>
      <c r="AH730" s="194"/>
      <c r="AI730" s="193"/>
      <c r="AJ730" s="194"/>
      <c r="AK730" s="130"/>
      <c r="AL730" s="203">
        <v>11.09</v>
      </c>
      <c r="AM730" s="203">
        <v>11.04</v>
      </c>
      <c r="AN730" s="3" t="s">
        <v>246</v>
      </c>
      <c r="AO730" s="3">
        <v>11.1</v>
      </c>
      <c r="AP730" s="137">
        <f>MIN(AQ730:AR730)</f>
        <v>11.04</v>
      </c>
      <c r="AQ730" s="132">
        <v>11.04</v>
      </c>
      <c r="AR730" s="132">
        <v>11.1</v>
      </c>
      <c r="AS730" s="3"/>
      <c r="AT730" s="3"/>
      <c r="AU730" s="3"/>
      <c r="AV730" s="3"/>
      <c r="AW730" s="192"/>
      <c r="AX730" s="133"/>
      <c r="AY730" s="195"/>
      <c r="AZ730" s="40"/>
      <c r="BA730" s="40"/>
      <c r="BB730" s="40"/>
      <c r="BC730" s="40"/>
      <c r="BD730" s="135"/>
      <c r="BE730" s="135"/>
      <c r="BF730" s="40"/>
      <c r="BG730" s="135"/>
      <c r="BH730" s="135"/>
      <c r="BI730" s="49"/>
      <c r="BJ730" s="49"/>
      <c r="BK730" s="66"/>
      <c r="BL730" s="66"/>
      <c r="BM730" s="51"/>
      <c r="BN730" s="51"/>
      <c r="BO730" s="136"/>
      <c r="BP730" s="40"/>
      <c r="BQ730" s="40"/>
      <c r="BR730" s="67"/>
      <c r="BS730" s="54"/>
      <c r="BT730" s="3"/>
      <c r="BU730" s="3"/>
      <c r="BV730" s="3"/>
      <c r="BW730" s="3"/>
      <c r="BX730" s="70"/>
      <c r="BY730" s="70"/>
      <c r="BZ730" s="59"/>
      <c r="CA730" s="59"/>
      <c r="CB730" s="59"/>
      <c r="CC730" s="59"/>
      <c r="CD730" s="60"/>
      <c r="CE730" s="60"/>
      <c r="CF730" s="61"/>
      <c r="CG730" s="61"/>
      <c r="CH730" s="61"/>
      <c r="CI730" s="41">
        <v>13.4</v>
      </c>
      <c r="CJ730" s="40">
        <f>VLOOKUP(CI730,$DB:$DC,2)</f>
        <v>440</v>
      </c>
      <c r="CK730" s="3"/>
      <c r="CL730" s="62"/>
      <c r="CM730" s="63"/>
      <c r="CN730" s="3"/>
      <c r="CO730" s="3"/>
      <c r="CP730" s="41">
        <v>14.383333333333333</v>
      </c>
      <c r="CQ730" s="3"/>
      <c r="CR730" s="40"/>
      <c r="CS730" s="40"/>
      <c r="CT730" s="40"/>
      <c r="CU730" s="40"/>
      <c r="CV730" s="40"/>
      <c r="CW730" s="40"/>
      <c r="CX730" s="40"/>
      <c r="CY730" s="40"/>
      <c r="CZ730" s="40"/>
      <c r="DA730" s="40"/>
    </row>
    <row r="731" spans="1:105" ht="18.95" customHeight="1">
      <c r="A731" s="3">
        <v>814</v>
      </c>
      <c r="B731" s="92" t="s">
        <v>199</v>
      </c>
      <c r="C731" s="3" t="s">
        <v>104</v>
      </c>
      <c r="D731" s="202" t="s">
        <v>215</v>
      </c>
      <c r="E731" s="39">
        <v>45453</v>
      </c>
      <c r="F731" s="3" t="s">
        <v>186</v>
      </c>
      <c r="G731" s="3" t="s">
        <v>107</v>
      </c>
      <c r="H731" s="3">
        <v>2008</v>
      </c>
      <c r="I731" s="40" t="str">
        <f t="shared" si="1"/>
        <v>U16</v>
      </c>
      <c r="J731" s="40" t="s">
        <v>117</v>
      </c>
      <c r="K731" s="3">
        <v>168.2</v>
      </c>
      <c r="L731" s="3">
        <v>168.2</v>
      </c>
      <c r="M731" s="3"/>
      <c r="N731" s="3">
        <v>164.2</v>
      </c>
      <c r="O731" s="3">
        <v>164.3</v>
      </c>
      <c r="P731" s="3"/>
      <c r="Q731" s="3">
        <v>64</v>
      </c>
      <c r="R731" s="3">
        <v>64</v>
      </c>
      <c r="S731" s="3"/>
      <c r="T731" s="42">
        <v>168.2</v>
      </c>
      <c r="U731" s="188" cm="1">
        <f t="array" ref="U731">AVERAGE(paper3[[#This Row],[Sittende høyde 1]:[Sittende høyde 2]]-70.2)</f>
        <v>94.05</v>
      </c>
      <c r="V731" s="12">
        <f>paper3[[#This Row],[height]]-paper3[[#This Row],[sittingheight]]</f>
        <v>74.149999999999991</v>
      </c>
      <c r="W731" s="73">
        <v>64</v>
      </c>
      <c r="X731" s="43" cm="1">
        <f t="array" ref="X731">INDEX([1]!phvny[yphv], MATCH(1, (paper3[[#This Row],[id]]=[1]!phvny[id])*(paper3[[#This Row],[time]]=[1]!phvny[time]), 0))</f>
        <v>3.7132259136115735</v>
      </c>
      <c r="Y731" s="204"/>
      <c r="Z731" s="205"/>
      <c r="AA731" s="204"/>
      <c r="AB731" s="3">
        <v>1.8879999999999999</v>
      </c>
      <c r="AC731" s="3">
        <v>3.5179999999999998</v>
      </c>
      <c r="AD731" s="3">
        <v>5.1239999999999997</v>
      </c>
      <c r="AE731" s="3">
        <v>1.921</v>
      </c>
      <c r="AF731" s="3">
        <v>3.5619999999999998</v>
      </c>
      <c r="AG731" s="3">
        <v>5.1740000000000004</v>
      </c>
      <c r="AH731" s="130">
        <f>MIN(AE731,AB731,Y731)</f>
        <v>1.8879999999999999</v>
      </c>
      <c r="AI731" s="194">
        <f>MIN(AF731,AC731,Z731)</f>
        <v>3.5179999999999998</v>
      </c>
      <c r="AJ731" s="194">
        <f>MIN(AG731,AD731,AA731)</f>
        <v>5.1239999999999997</v>
      </c>
      <c r="AK731" s="130"/>
      <c r="AL731" s="203">
        <v>11.61</v>
      </c>
      <c r="AM731" s="203">
        <v>11.74</v>
      </c>
      <c r="AN731" s="3">
        <v>11.94</v>
      </c>
      <c r="AO731" s="3">
        <v>11.91</v>
      </c>
      <c r="AP731" s="137">
        <f>MIN(AQ731:AR731)</f>
        <v>11.61</v>
      </c>
      <c r="AQ731" s="132">
        <v>11.61</v>
      </c>
      <c r="AR731" s="132">
        <v>11.91</v>
      </c>
      <c r="AS731" s="3"/>
      <c r="AT731" s="3"/>
      <c r="AU731" s="3"/>
      <c r="AV731" s="3"/>
      <c r="AW731" s="192"/>
      <c r="AX731" s="133">
        <v>21.1</v>
      </c>
      <c r="AY731" s="195" t="s">
        <v>245</v>
      </c>
      <c r="AZ731" s="40">
        <v>8</v>
      </c>
      <c r="BA731" s="40"/>
      <c r="BB731" s="40"/>
      <c r="BC731" s="40"/>
      <c r="BD731" s="135">
        <v>989.22837220144527</v>
      </c>
      <c r="BE731" s="135">
        <v>958.21877785076992</v>
      </c>
      <c r="BF731" s="40"/>
      <c r="BG731" s="135">
        <v>324.30051013531067</v>
      </c>
      <c r="BH731" s="135">
        <v>367.52989906965735</v>
      </c>
      <c r="BI731" s="49">
        <f>IFERROR(SUM(paper3[[#This Row],[Kraft ikke-dominant]:[Kraft dominant]]),"")</f>
        <v>1947.4471500522152</v>
      </c>
      <c r="BJ731" s="49">
        <f>IFERROR(SUM(paper3[[#This Row],[Pwr ikke-dominant]:[Pwr dominant]]),"")</f>
        <v>691.83040920496796</v>
      </c>
      <c r="BK731" s="66"/>
      <c r="BL731" s="66"/>
      <c r="BM731" s="51">
        <f>IFERROR(paper3[[#This Row],[totforce]]/paper3[[#This Row],[bodymass]],"")</f>
        <v>30.428861719565862</v>
      </c>
      <c r="BN731" s="51">
        <f>IFERROR(paper3[[#This Row],[totpwr]]/paper3[[#This Row],[bodymass]],"")</f>
        <v>10.809850143827624</v>
      </c>
      <c r="BO731" s="136"/>
      <c r="BP731" s="40"/>
      <c r="BQ731" s="40"/>
      <c r="BR731" s="67"/>
      <c r="BS731" s="54"/>
      <c r="BT731" s="3"/>
      <c r="BU731" s="3"/>
      <c r="BV731" s="3"/>
      <c r="BW731" s="3"/>
      <c r="BX731" s="70"/>
      <c r="BY731" s="70"/>
      <c r="BZ731" s="59"/>
      <c r="CA731" s="59"/>
      <c r="CB731" s="59"/>
      <c r="CC731" s="59"/>
      <c r="CD731" s="60"/>
      <c r="CE731" s="60"/>
      <c r="CF731" s="61"/>
      <c r="CG731" s="61"/>
      <c r="CH731" s="61"/>
      <c r="CI731" s="41"/>
      <c r="CJ731" s="40"/>
      <c r="CK731" s="3"/>
      <c r="CL731" s="62"/>
      <c r="CM731" s="63"/>
      <c r="CN731" s="3"/>
      <c r="CO731" s="3"/>
      <c r="CP731" s="41">
        <v>15.25</v>
      </c>
      <c r="CQ731" s="3"/>
      <c r="CR731" s="40"/>
      <c r="CS731" s="40"/>
      <c r="CT731" s="40"/>
      <c r="CU731" s="40"/>
      <c r="CV731" s="40"/>
      <c r="CW731" s="40"/>
      <c r="CX731" s="40"/>
      <c r="CY731" s="40"/>
      <c r="CZ731" s="40"/>
      <c r="DA731" s="40"/>
    </row>
    <row r="732" spans="1:105" ht="18.75">
      <c r="A732" s="3">
        <v>815</v>
      </c>
      <c r="B732" s="92" t="s">
        <v>199</v>
      </c>
      <c r="C732" s="3"/>
      <c r="D732" s="202" t="s">
        <v>215</v>
      </c>
      <c r="E732" s="39">
        <v>45453</v>
      </c>
      <c r="F732" s="3" t="s">
        <v>186</v>
      </c>
      <c r="G732" s="3" t="s">
        <v>107</v>
      </c>
      <c r="H732" s="3">
        <v>2008</v>
      </c>
      <c r="I732" s="40" t="str">
        <f t="shared" si="1"/>
        <v>U16</v>
      </c>
      <c r="J732" s="40" t="s">
        <v>117</v>
      </c>
      <c r="K732" s="3"/>
      <c r="L732" s="3"/>
      <c r="M732" s="3"/>
      <c r="N732" s="3"/>
      <c r="O732" s="3"/>
      <c r="P732" s="3"/>
      <c r="Q732" s="3"/>
      <c r="R732" s="3"/>
      <c r="S732" s="3"/>
      <c r="T732" s="42"/>
      <c r="U732" s="188"/>
      <c r="V732" s="199"/>
      <c r="W732" s="73"/>
      <c r="X732" s="43"/>
      <c r="Y732" s="192"/>
      <c r="Z732" s="3"/>
      <c r="AA732" s="192"/>
      <c r="AB732" s="3"/>
      <c r="AC732" s="3"/>
      <c r="AD732" s="3"/>
      <c r="AE732" s="3"/>
      <c r="AF732" s="3"/>
      <c r="AG732" s="3"/>
      <c r="AH732" s="194"/>
      <c r="AI732" s="193"/>
      <c r="AJ732" s="194"/>
      <c r="AK732" s="130"/>
      <c r="AL732" s="203"/>
      <c r="AM732" s="203"/>
      <c r="AN732" s="3"/>
      <c r="AO732" s="3"/>
      <c r="AP732" s="137"/>
      <c r="AQ732" s="132"/>
      <c r="AR732" s="132"/>
      <c r="AS732" s="3"/>
      <c r="AT732" s="3"/>
      <c r="AU732" s="3"/>
      <c r="AV732" s="3"/>
      <c r="AW732" s="192"/>
      <c r="AX732" s="133"/>
      <c r="AY732" s="195"/>
      <c r="AZ732" s="40"/>
      <c r="BA732" s="40"/>
      <c r="BB732" s="40"/>
      <c r="BC732" s="40"/>
      <c r="BD732" s="135"/>
      <c r="BE732" s="135"/>
      <c r="BF732" s="40"/>
      <c r="BG732" s="135"/>
      <c r="BH732" s="135"/>
      <c r="BI732" s="49"/>
      <c r="BJ732" s="49"/>
      <c r="BK732" s="66"/>
      <c r="BL732" s="66"/>
      <c r="BM732" s="51"/>
      <c r="BN732" s="51"/>
      <c r="BO732" s="136"/>
      <c r="BP732" s="40"/>
      <c r="BQ732" s="40"/>
      <c r="BR732" s="67"/>
      <c r="BS732" s="54"/>
      <c r="BT732" s="3"/>
      <c r="BU732" s="3"/>
      <c r="BV732" s="3"/>
      <c r="BW732" s="3"/>
      <c r="BX732" s="70"/>
      <c r="BY732" s="70"/>
      <c r="BZ732" s="59"/>
      <c r="CA732" s="59"/>
      <c r="CB732" s="59"/>
      <c r="CC732" s="59"/>
      <c r="CD732" s="60"/>
      <c r="CE732" s="60"/>
      <c r="CF732" s="61"/>
      <c r="CG732" s="61"/>
      <c r="CH732" s="61"/>
      <c r="CI732" s="41"/>
      <c r="CJ732" s="40"/>
      <c r="CK732" s="3"/>
      <c r="CL732" s="62"/>
      <c r="CM732" s="63"/>
      <c r="CN732" s="3"/>
      <c r="CO732" s="3"/>
      <c r="CP732" s="41"/>
      <c r="CQ732" s="3"/>
      <c r="CR732" s="40"/>
      <c r="CS732" s="40"/>
      <c r="CT732" s="40"/>
      <c r="CU732" s="40"/>
      <c r="CV732" s="40"/>
      <c r="CW732" s="40"/>
      <c r="CX732" s="40"/>
      <c r="CY732" s="40"/>
      <c r="CZ732" s="40"/>
      <c r="DA732" s="40"/>
    </row>
    <row r="733" spans="1:105" ht="18.95" customHeight="1">
      <c r="A733" s="3">
        <v>816</v>
      </c>
      <c r="B733" s="92" t="s">
        <v>199</v>
      </c>
      <c r="C733" s="3"/>
      <c r="D733" s="202" t="s">
        <v>215</v>
      </c>
      <c r="E733" s="39">
        <v>45453</v>
      </c>
      <c r="F733" s="3" t="s">
        <v>186</v>
      </c>
      <c r="G733" s="3" t="s">
        <v>107</v>
      </c>
      <c r="H733" s="3">
        <v>2008</v>
      </c>
      <c r="I733" s="40" t="str">
        <f t="shared" si="1"/>
        <v>U16</v>
      </c>
      <c r="J733" s="40" t="s">
        <v>117</v>
      </c>
      <c r="K733" s="3"/>
      <c r="L733" s="3"/>
      <c r="M733" s="3"/>
      <c r="N733" s="3"/>
      <c r="O733" s="3"/>
      <c r="P733" s="3"/>
      <c r="Q733" s="3"/>
      <c r="R733" s="3"/>
      <c r="S733" s="3"/>
      <c r="T733" s="42"/>
      <c r="U733" s="188"/>
      <c r="V733" s="199"/>
      <c r="W733" s="73"/>
      <c r="X733" s="43"/>
      <c r="Y733" s="192"/>
      <c r="Z733" s="3"/>
      <c r="AA733" s="192"/>
      <c r="AB733" s="3"/>
      <c r="AC733" s="3"/>
      <c r="AD733" s="3"/>
      <c r="AE733" s="3"/>
      <c r="AF733" s="3"/>
      <c r="AG733" s="3"/>
      <c r="AH733" s="194"/>
      <c r="AI733" s="193"/>
      <c r="AJ733" s="194"/>
      <c r="AK733" s="130"/>
      <c r="AL733" s="203">
        <v>10.45</v>
      </c>
      <c r="AM733" s="203">
        <v>10.26</v>
      </c>
      <c r="AN733" s="3">
        <v>10.14</v>
      </c>
      <c r="AO733" s="3">
        <v>10.17</v>
      </c>
      <c r="AP733" s="137">
        <f>MIN(AQ733:AR733)</f>
        <v>10.14</v>
      </c>
      <c r="AQ733" s="132">
        <v>10.26</v>
      </c>
      <c r="AR733" s="132">
        <v>10.14</v>
      </c>
      <c r="AS733" s="3"/>
      <c r="AT733" s="3"/>
      <c r="AU733" s="3"/>
      <c r="AV733" s="3"/>
      <c r="AW733" s="192"/>
      <c r="AX733" s="133"/>
      <c r="AY733" s="195"/>
      <c r="AZ733" s="40"/>
      <c r="BA733" s="40"/>
      <c r="BB733" s="40"/>
      <c r="BC733" s="40"/>
      <c r="BD733" s="135"/>
      <c r="BE733" s="135"/>
      <c r="BF733" s="40"/>
      <c r="BG733" s="135"/>
      <c r="BH733" s="135"/>
      <c r="BI733" s="49"/>
      <c r="BJ733" s="49"/>
      <c r="BK733" s="66"/>
      <c r="BL733" s="66"/>
      <c r="BM733" s="51"/>
      <c r="BN733" s="51"/>
      <c r="BO733" s="136"/>
      <c r="BP733" s="40"/>
      <c r="BQ733" s="40"/>
      <c r="BR733" s="67"/>
      <c r="BS733" s="54"/>
      <c r="BT733" s="3"/>
      <c r="BU733" s="3"/>
      <c r="BV733" s="3"/>
      <c r="BW733" s="3"/>
      <c r="BX733" s="70"/>
      <c r="BY733" s="70"/>
      <c r="BZ733" s="59"/>
      <c r="CA733" s="59"/>
      <c r="CB733" s="59"/>
      <c r="CC733" s="59"/>
      <c r="CD733" s="60"/>
      <c r="CE733" s="60"/>
      <c r="CF733" s="61"/>
      <c r="CG733" s="61"/>
      <c r="CH733" s="61"/>
      <c r="CI733" s="41">
        <v>13.4</v>
      </c>
      <c r="CJ733" s="40">
        <f>VLOOKUP(CI733,$DB:$DC,2)</f>
        <v>440</v>
      </c>
      <c r="CK733" s="3"/>
      <c r="CL733" s="62"/>
      <c r="CM733" s="63"/>
      <c r="CN733" s="3"/>
      <c r="CO733" s="3"/>
      <c r="CP733" s="41">
        <v>15.361111111111111</v>
      </c>
      <c r="CQ733" s="3"/>
      <c r="CR733" s="40"/>
      <c r="CS733" s="40"/>
      <c r="CT733" s="40"/>
      <c r="CU733" s="40"/>
      <c r="CV733" s="40"/>
      <c r="CW733" s="40"/>
      <c r="CX733" s="40"/>
      <c r="CY733" s="40"/>
      <c r="CZ733" s="40"/>
      <c r="DA733" s="40"/>
    </row>
    <row r="734" spans="1:105" ht="18.95" customHeight="1">
      <c r="A734" s="3">
        <v>817</v>
      </c>
      <c r="B734" s="92" t="s">
        <v>199</v>
      </c>
      <c r="C734" s="3" t="s">
        <v>104</v>
      </c>
      <c r="D734" s="202" t="s">
        <v>215</v>
      </c>
      <c r="E734" s="39">
        <v>45453</v>
      </c>
      <c r="F734" s="3" t="s">
        <v>186</v>
      </c>
      <c r="G734" s="3" t="s">
        <v>107</v>
      </c>
      <c r="H734" s="3">
        <v>2008</v>
      </c>
      <c r="I734" s="40" t="str">
        <f t="shared" si="1"/>
        <v>U16</v>
      </c>
      <c r="J734" s="40" t="s">
        <v>117</v>
      </c>
      <c r="K734" s="3"/>
      <c r="L734" s="3"/>
      <c r="M734" s="3"/>
      <c r="N734" s="3"/>
      <c r="O734" s="3"/>
      <c r="P734" s="3"/>
      <c r="Q734" s="3"/>
      <c r="R734" s="3"/>
      <c r="S734" s="3"/>
      <c r="T734" s="42"/>
      <c r="U734" s="188"/>
      <c r="V734" s="199"/>
      <c r="W734" s="73"/>
      <c r="X734" s="43"/>
      <c r="Y734" s="192"/>
      <c r="Z734" s="3"/>
      <c r="AA734" s="192"/>
      <c r="AB734" s="3"/>
      <c r="AC734" s="3"/>
      <c r="AD734" s="3"/>
      <c r="AE734" s="3"/>
      <c r="AF734" s="3"/>
      <c r="AG734" s="3"/>
      <c r="AH734" s="194"/>
      <c r="AI734" s="193"/>
      <c r="AJ734" s="194"/>
      <c r="AK734" s="130"/>
      <c r="AL734" s="203"/>
      <c r="AM734" s="203"/>
      <c r="AN734" s="3"/>
      <c r="AO734" s="3"/>
      <c r="AP734" s="137"/>
      <c r="AQ734" s="132"/>
      <c r="AR734" s="132"/>
      <c r="AS734" s="3"/>
      <c r="AT734" s="3"/>
      <c r="AU734" s="3"/>
      <c r="AV734" s="3"/>
      <c r="AW734" s="192"/>
      <c r="AX734" s="133"/>
      <c r="AY734" s="195"/>
      <c r="AZ734" s="40"/>
      <c r="BA734" s="40"/>
      <c r="BB734" s="40"/>
      <c r="BC734" s="40"/>
      <c r="BD734" s="135"/>
      <c r="BE734" s="135"/>
      <c r="BF734" s="40"/>
      <c r="BG734" s="135"/>
      <c r="BH734" s="135"/>
      <c r="BI734" s="49"/>
      <c r="BJ734" s="49"/>
      <c r="BK734" s="66"/>
      <c r="BL734" s="66"/>
      <c r="BM734" s="51"/>
      <c r="BN734" s="51"/>
      <c r="BO734" s="136"/>
      <c r="BP734" s="40"/>
      <c r="BQ734" s="40"/>
      <c r="BR734" s="67"/>
      <c r="BS734" s="54"/>
      <c r="BT734" s="3"/>
      <c r="BU734" s="3"/>
      <c r="BV734" s="3"/>
      <c r="BW734" s="3"/>
      <c r="BX734" s="70"/>
      <c r="BY734" s="70"/>
      <c r="BZ734" s="59"/>
      <c r="CA734" s="59"/>
      <c r="CB734" s="59"/>
      <c r="CC734" s="59"/>
      <c r="CD734" s="60"/>
      <c r="CE734" s="60"/>
      <c r="CF734" s="61"/>
      <c r="CG734" s="61"/>
      <c r="CH734" s="61"/>
      <c r="CI734" s="41"/>
      <c r="CJ734" s="40"/>
      <c r="CK734" s="3"/>
      <c r="CL734" s="62"/>
      <c r="CM734" s="63"/>
      <c r="CN734" s="3"/>
      <c r="CO734" s="3"/>
      <c r="CP734" s="41"/>
      <c r="CQ734" s="3"/>
      <c r="CR734" s="40"/>
      <c r="CS734" s="40"/>
      <c r="CT734" s="40"/>
      <c r="CU734" s="40"/>
      <c r="CV734" s="40"/>
      <c r="CW734" s="40"/>
      <c r="CX734" s="40"/>
      <c r="CY734" s="40"/>
      <c r="CZ734" s="40"/>
      <c r="DA734" s="40"/>
    </row>
    <row r="735" spans="1:105" ht="18.75">
      <c r="A735" s="3">
        <v>818</v>
      </c>
      <c r="B735" s="92" t="s">
        <v>199</v>
      </c>
      <c r="C735" s="3" t="s">
        <v>104</v>
      </c>
      <c r="D735" s="202" t="s">
        <v>215</v>
      </c>
      <c r="E735" s="39">
        <v>45453</v>
      </c>
      <c r="F735" s="3" t="s">
        <v>186</v>
      </c>
      <c r="G735" s="3" t="s">
        <v>107</v>
      </c>
      <c r="H735" s="3">
        <v>2008</v>
      </c>
      <c r="I735" s="40" t="str">
        <f t="shared" si="1"/>
        <v>U16</v>
      </c>
      <c r="J735" s="40" t="s">
        <v>117</v>
      </c>
      <c r="K735" s="3"/>
      <c r="L735" s="3"/>
      <c r="M735" s="3"/>
      <c r="N735" s="3"/>
      <c r="O735" s="3"/>
      <c r="P735" s="3"/>
      <c r="Q735" s="3"/>
      <c r="R735" s="3"/>
      <c r="S735" s="3"/>
      <c r="T735" s="42"/>
      <c r="U735" s="188"/>
      <c r="V735" s="199"/>
      <c r="W735" s="73"/>
      <c r="X735" s="43"/>
      <c r="Y735" s="192"/>
      <c r="Z735" s="3"/>
      <c r="AA735" s="192"/>
      <c r="AB735" s="3"/>
      <c r="AC735" s="3"/>
      <c r="AD735" s="3"/>
      <c r="AE735" s="3"/>
      <c r="AF735" s="3"/>
      <c r="AG735" s="3"/>
      <c r="AH735" s="194"/>
      <c r="AI735" s="193"/>
      <c r="AJ735" s="194"/>
      <c r="AK735" s="130"/>
      <c r="AL735" s="203"/>
      <c r="AM735" s="203"/>
      <c r="AN735" s="3"/>
      <c r="AO735" s="3"/>
      <c r="AP735" s="137"/>
      <c r="AQ735" s="132"/>
      <c r="AR735" s="132"/>
      <c r="AS735" s="3"/>
      <c r="AT735" s="3"/>
      <c r="AU735" s="3"/>
      <c r="AV735" s="3"/>
      <c r="AW735" s="192"/>
      <c r="AX735" s="133"/>
      <c r="AY735" s="195"/>
      <c r="AZ735" s="40"/>
      <c r="BA735" s="40"/>
      <c r="BB735" s="40"/>
      <c r="BC735" s="40"/>
      <c r="BD735" s="135"/>
      <c r="BE735" s="135"/>
      <c r="BF735" s="40"/>
      <c r="BG735" s="135"/>
      <c r="BH735" s="135"/>
      <c r="BI735" s="49"/>
      <c r="BJ735" s="49"/>
      <c r="BK735" s="66"/>
      <c r="BL735" s="66"/>
      <c r="BM735" s="51"/>
      <c r="BN735" s="51"/>
      <c r="BO735" s="136"/>
      <c r="BP735" s="40"/>
      <c r="BQ735" s="40"/>
      <c r="BR735" s="67"/>
      <c r="BS735" s="54"/>
      <c r="BT735" s="3"/>
      <c r="BU735" s="3"/>
      <c r="BV735" s="3"/>
      <c r="BW735" s="3"/>
      <c r="BX735" s="70"/>
      <c r="BY735" s="70"/>
      <c r="BZ735" s="59"/>
      <c r="CA735" s="59"/>
      <c r="CB735" s="59"/>
      <c r="CC735" s="59"/>
      <c r="CD735" s="60"/>
      <c r="CE735" s="60"/>
      <c r="CF735" s="61"/>
      <c r="CG735" s="61"/>
      <c r="CH735" s="61"/>
      <c r="CI735" s="41"/>
      <c r="CJ735" s="40"/>
      <c r="CK735" s="3"/>
      <c r="CL735" s="62"/>
      <c r="CM735" s="63"/>
      <c r="CN735" s="3"/>
      <c r="CO735" s="3"/>
      <c r="CP735" s="41"/>
      <c r="CQ735" s="3"/>
      <c r="CR735" s="40"/>
      <c r="CS735" s="40"/>
      <c r="CT735" s="40"/>
      <c r="CU735" s="40"/>
      <c r="CV735" s="40"/>
      <c r="CW735" s="40"/>
      <c r="CX735" s="40"/>
      <c r="CY735" s="40"/>
      <c r="CZ735" s="40"/>
      <c r="DA735" s="40"/>
    </row>
    <row r="736" spans="1:105" ht="18.95" customHeight="1">
      <c r="A736" s="3">
        <v>819</v>
      </c>
      <c r="B736" s="92" t="s">
        <v>199</v>
      </c>
      <c r="C736" s="3" t="s">
        <v>104</v>
      </c>
      <c r="D736" s="202" t="s">
        <v>215</v>
      </c>
      <c r="E736" s="39">
        <v>45453</v>
      </c>
      <c r="F736" s="3" t="s">
        <v>186</v>
      </c>
      <c r="G736" s="3" t="s">
        <v>107</v>
      </c>
      <c r="H736" s="3">
        <v>2008</v>
      </c>
      <c r="I736" s="40" t="str">
        <f t="shared" si="1"/>
        <v>U16</v>
      </c>
      <c r="J736" s="40" t="s">
        <v>117</v>
      </c>
      <c r="K736" s="3">
        <v>164.1</v>
      </c>
      <c r="L736" s="3">
        <v>164.1</v>
      </c>
      <c r="M736" s="3"/>
      <c r="N736" s="3">
        <v>157.9</v>
      </c>
      <c r="O736" s="3">
        <v>157.9</v>
      </c>
      <c r="P736" s="3"/>
      <c r="Q736" s="3">
        <v>56.1</v>
      </c>
      <c r="R736" s="3">
        <v>56.1</v>
      </c>
      <c r="S736" s="3"/>
      <c r="T736" s="42">
        <v>164.1</v>
      </c>
      <c r="U736" s="188" cm="1">
        <f t="array" ref="U736">AVERAGE(paper3[[#This Row],[Sittende høyde 1]:[Sittende høyde 2]]-70.2)</f>
        <v>87.7</v>
      </c>
      <c r="V736" s="12">
        <f>paper3[[#This Row],[height]]-paper3[[#This Row],[sittingheight]]</f>
        <v>76.399999999999991</v>
      </c>
      <c r="W736" s="73">
        <v>56.1</v>
      </c>
      <c r="X736" s="43" cm="1">
        <f t="array" ref="X736">INDEX([1]!phvny[yphv], MATCH(1, (paper3[[#This Row],[id]]=[1]!phvny[id])*(paper3[[#This Row],[time]]=[1]!phvny[time]), 0))</f>
        <v>2.8817028860822682</v>
      </c>
      <c r="Y736" s="192">
        <v>1.859</v>
      </c>
      <c r="Z736" s="3">
        <v>3.4279999999999999</v>
      </c>
      <c r="AA736" s="192">
        <v>4.9459999999999997</v>
      </c>
      <c r="AB736" s="3">
        <v>1.8660000000000001</v>
      </c>
      <c r="AC736" s="3">
        <v>3.44</v>
      </c>
      <c r="AD736" s="3">
        <v>4.9889999999999999</v>
      </c>
      <c r="AE736" s="3">
        <v>1.871</v>
      </c>
      <c r="AF736" s="3">
        <v>3.47</v>
      </c>
      <c r="AG736" s="3">
        <v>5.0410000000000004</v>
      </c>
      <c r="AH736" s="194">
        <v>1.859</v>
      </c>
      <c r="AI736" s="193">
        <v>3.4279999999999999</v>
      </c>
      <c r="AJ736" s="194">
        <v>4.9459999999999997</v>
      </c>
      <c r="AK736" s="130"/>
      <c r="AL736" s="203">
        <v>10.23</v>
      </c>
      <c r="AM736" s="203">
        <v>10.4</v>
      </c>
      <c r="AN736" s="3">
        <v>10.51</v>
      </c>
      <c r="AO736" s="3">
        <v>10.55</v>
      </c>
      <c r="AP736" s="137">
        <f>MIN(AQ736:AR736)</f>
        <v>10.23</v>
      </c>
      <c r="AQ736" s="132">
        <v>10.23</v>
      </c>
      <c r="AR736" s="132">
        <v>10.51</v>
      </c>
      <c r="AS736" s="3"/>
      <c r="AT736" s="3"/>
      <c r="AU736" s="3"/>
      <c r="AV736" s="3"/>
      <c r="AW736" s="192"/>
      <c r="AX736" s="133">
        <v>22.2</v>
      </c>
      <c r="AY736" s="195" t="s">
        <v>247</v>
      </c>
      <c r="AZ736" s="40">
        <v>9</v>
      </c>
      <c r="BA736" s="40"/>
      <c r="BB736" s="40"/>
      <c r="BC736" s="40"/>
      <c r="BD736" s="135">
        <v>1017.2139416486957</v>
      </c>
      <c r="BE736" s="135">
        <v>986.73128262510022</v>
      </c>
      <c r="BF736" s="40"/>
      <c r="BG736" s="135">
        <v>438.37259442409663</v>
      </c>
      <c r="BH736" s="135">
        <v>439.15468487300268</v>
      </c>
      <c r="BI736" s="49">
        <f>IFERROR(SUM(paper3[[#This Row],[Kraft ikke-dominant]:[Kraft dominant]]),"")</f>
        <v>2003.9452242737959</v>
      </c>
      <c r="BJ736" s="49">
        <f>IFERROR(SUM(paper3[[#This Row],[Pwr ikke-dominant]:[Pwr dominant]]),"")</f>
        <v>877.52727929709931</v>
      </c>
      <c r="BK736" s="66"/>
      <c r="BL736" s="66"/>
      <c r="BM736" s="51">
        <f>IFERROR(paper3[[#This Row],[totforce]]/paper3[[#This Row],[bodymass]],"")</f>
        <v>35.720948739283351</v>
      </c>
      <c r="BN736" s="51">
        <f>IFERROR(paper3[[#This Row],[totpwr]]/paper3[[#This Row],[bodymass]],"")</f>
        <v>15.642197491926904</v>
      </c>
      <c r="BO736" s="136"/>
      <c r="BP736" s="40"/>
      <c r="BQ736" s="40"/>
      <c r="BR736" s="67"/>
      <c r="BS736" s="54"/>
      <c r="BT736" s="3"/>
      <c r="BU736" s="3"/>
      <c r="BV736" s="3"/>
      <c r="BW736" s="3"/>
      <c r="BX736" s="70"/>
      <c r="BY736" s="70"/>
      <c r="BZ736" s="59"/>
      <c r="CA736" s="59"/>
      <c r="CB736" s="59"/>
      <c r="CC736" s="59"/>
      <c r="CD736" s="60"/>
      <c r="CE736" s="60"/>
      <c r="CF736" s="61"/>
      <c r="CG736" s="61"/>
      <c r="CH736" s="61"/>
      <c r="CI736" s="41">
        <v>14.4</v>
      </c>
      <c r="CJ736" s="40">
        <f>VLOOKUP(CI736,$DB:$DC,2)</f>
        <v>600</v>
      </c>
      <c r="CK736" s="3"/>
      <c r="CL736" s="62"/>
      <c r="CM736" s="63"/>
      <c r="CN736" s="3"/>
      <c r="CO736" s="3"/>
      <c r="CP736" s="41">
        <v>14.683333333333334</v>
      </c>
      <c r="CQ736" s="3"/>
      <c r="CR736" s="40"/>
      <c r="CS736" s="40"/>
      <c r="CT736" s="40"/>
      <c r="CU736" s="40"/>
      <c r="CV736" s="40"/>
      <c r="CW736" s="40"/>
      <c r="CX736" s="40"/>
      <c r="CY736" s="40"/>
      <c r="CZ736" s="40"/>
      <c r="DA736" s="40"/>
    </row>
    <row r="737" spans="1:105" ht="18.75" customHeight="1">
      <c r="A737" s="3">
        <v>820</v>
      </c>
      <c r="B737" s="92" t="s">
        <v>199</v>
      </c>
      <c r="C737" s="3" t="s">
        <v>104</v>
      </c>
      <c r="D737" s="202" t="s">
        <v>215</v>
      </c>
      <c r="E737" s="39">
        <v>45453</v>
      </c>
      <c r="F737" s="3" t="s">
        <v>186</v>
      </c>
      <c r="G737" s="3" t="s">
        <v>107</v>
      </c>
      <c r="H737" s="3">
        <v>2008</v>
      </c>
      <c r="I737" s="40" t="str">
        <f t="shared" si="1"/>
        <v>U16</v>
      </c>
      <c r="J737" s="40" t="s">
        <v>117</v>
      </c>
      <c r="K737" s="3"/>
      <c r="L737" s="3"/>
      <c r="M737" s="3"/>
      <c r="N737" s="3"/>
      <c r="O737" s="3"/>
      <c r="P737" s="3"/>
      <c r="Q737" s="3"/>
      <c r="R737" s="3"/>
      <c r="S737" s="3"/>
      <c r="T737" s="42"/>
      <c r="U737" s="188"/>
      <c r="V737" s="199"/>
      <c r="W737" s="73"/>
      <c r="X737" s="43"/>
      <c r="Y737" s="192"/>
      <c r="Z737" s="3"/>
      <c r="AA737" s="192"/>
      <c r="AB737" s="3"/>
      <c r="AC737" s="3"/>
      <c r="AD737" s="3"/>
      <c r="AE737" s="3"/>
      <c r="AF737" s="3"/>
      <c r="AG737" s="3"/>
      <c r="AH737" s="194"/>
      <c r="AI737" s="193"/>
      <c r="AJ737" s="194"/>
      <c r="AK737" s="130"/>
      <c r="AL737" s="203"/>
      <c r="AM737" s="203"/>
      <c r="AN737" s="3"/>
      <c r="AO737" s="3"/>
      <c r="AP737" s="137"/>
      <c r="AQ737" s="132"/>
      <c r="AR737" s="132"/>
      <c r="AS737" s="3"/>
      <c r="AT737" s="3"/>
      <c r="AU737" s="3"/>
      <c r="AV737" s="3"/>
      <c r="AW737" s="192"/>
      <c r="AX737" s="133"/>
      <c r="AY737" s="195"/>
      <c r="AZ737" s="40"/>
      <c r="BA737" s="40"/>
      <c r="BB737" s="40"/>
      <c r="BC737" s="40"/>
      <c r="BD737" s="135"/>
      <c r="BE737" s="135"/>
      <c r="BF737" s="40"/>
      <c r="BG737" s="135"/>
      <c r="BH737" s="135"/>
      <c r="BI737" s="49"/>
      <c r="BJ737" s="49"/>
      <c r="BK737" s="66"/>
      <c r="BL737" s="66"/>
      <c r="BM737" s="51"/>
      <c r="BN737" s="51"/>
      <c r="BO737" s="136"/>
      <c r="BP737" s="40"/>
      <c r="BQ737" s="40"/>
      <c r="BR737" s="67"/>
      <c r="BS737" s="54"/>
      <c r="BT737" s="3"/>
      <c r="BU737" s="3"/>
      <c r="BV737" s="3"/>
      <c r="BW737" s="3"/>
      <c r="BX737" s="70"/>
      <c r="BY737" s="70"/>
      <c r="BZ737" s="59"/>
      <c r="CA737" s="59"/>
      <c r="CB737" s="59"/>
      <c r="CC737" s="59"/>
      <c r="CD737" s="60"/>
      <c r="CE737" s="60"/>
      <c r="CF737" s="61"/>
      <c r="CG737" s="61"/>
      <c r="CH737" s="61"/>
      <c r="CI737" s="41"/>
      <c r="CJ737" s="40"/>
      <c r="CK737" s="3"/>
      <c r="CL737" s="62"/>
      <c r="CM737" s="63"/>
      <c r="CN737" s="3"/>
      <c r="CO737" s="3"/>
      <c r="CP737" s="41"/>
      <c r="CQ737" s="3"/>
      <c r="CR737" s="40"/>
      <c r="CS737" s="40"/>
      <c r="CT737" s="40"/>
      <c r="CU737" s="40"/>
      <c r="CV737" s="40"/>
      <c r="CW737" s="40"/>
      <c r="CX737" s="40"/>
      <c r="CY737" s="40"/>
      <c r="CZ737" s="40"/>
      <c r="DA737" s="40"/>
    </row>
    <row r="738" spans="1:105" ht="18.75" customHeight="1">
      <c r="A738" s="3">
        <v>821</v>
      </c>
      <c r="B738" s="92" t="s">
        <v>199</v>
      </c>
      <c r="C738" s="3" t="s">
        <v>104</v>
      </c>
      <c r="D738" s="202" t="s">
        <v>215</v>
      </c>
      <c r="E738" s="39">
        <v>45453</v>
      </c>
      <c r="F738" s="3" t="s">
        <v>186</v>
      </c>
      <c r="G738" s="3" t="s">
        <v>107</v>
      </c>
      <c r="H738" s="3">
        <v>2008</v>
      </c>
      <c r="I738" s="40" t="str">
        <f t="shared" si="1"/>
        <v>U16</v>
      </c>
      <c r="J738" s="40" t="s">
        <v>117</v>
      </c>
      <c r="K738" s="3"/>
      <c r="L738" s="3"/>
      <c r="M738" s="3"/>
      <c r="N738" s="3"/>
      <c r="O738" s="3"/>
      <c r="P738" s="3"/>
      <c r="Q738" s="3"/>
      <c r="R738" s="3"/>
      <c r="S738" s="3"/>
      <c r="T738" s="42"/>
      <c r="U738" s="188"/>
      <c r="V738" s="199"/>
      <c r="W738" s="73"/>
      <c r="X738" s="43"/>
      <c r="Y738" s="192"/>
      <c r="Z738" s="3"/>
      <c r="AA738" s="192"/>
      <c r="AB738" s="3"/>
      <c r="AC738" s="3"/>
      <c r="AD738" s="3"/>
      <c r="AE738" s="3"/>
      <c r="AF738" s="3"/>
      <c r="AG738" s="3"/>
      <c r="AH738" s="194"/>
      <c r="AI738" s="193"/>
      <c r="AJ738" s="194"/>
      <c r="AK738" s="130"/>
      <c r="AL738" s="203"/>
      <c r="AM738" s="203"/>
      <c r="AN738" s="3"/>
      <c r="AO738" s="3"/>
      <c r="AP738" s="137"/>
      <c r="AQ738" s="132"/>
      <c r="AR738" s="132"/>
      <c r="AS738" s="3"/>
      <c r="AT738" s="3"/>
      <c r="AU738" s="3"/>
      <c r="AV738" s="3"/>
      <c r="AW738" s="192"/>
      <c r="AX738" s="133"/>
      <c r="AY738" s="195"/>
      <c r="AZ738" s="40"/>
      <c r="BA738" s="40"/>
      <c r="BB738" s="40"/>
      <c r="BC738" s="40"/>
      <c r="BD738" s="135"/>
      <c r="BE738" s="135"/>
      <c r="BF738" s="40"/>
      <c r="BG738" s="135"/>
      <c r="BH738" s="135"/>
      <c r="BI738" s="49"/>
      <c r="BJ738" s="49"/>
      <c r="BK738" s="66"/>
      <c r="BL738" s="66"/>
      <c r="BM738" s="51"/>
      <c r="BN738" s="51"/>
      <c r="BO738" s="136"/>
      <c r="BP738" s="40"/>
      <c r="BQ738" s="40"/>
      <c r="BR738" s="67"/>
      <c r="BS738" s="54"/>
      <c r="BT738" s="3"/>
      <c r="BU738" s="3"/>
      <c r="BV738" s="3"/>
      <c r="BW738" s="3"/>
      <c r="BX738" s="70"/>
      <c r="BY738" s="70"/>
      <c r="BZ738" s="59"/>
      <c r="CA738" s="59"/>
      <c r="CB738" s="59"/>
      <c r="CC738" s="59"/>
      <c r="CD738" s="60"/>
      <c r="CE738" s="60"/>
      <c r="CF738" s="61"/>
      <c r="CG738" s="61"/>
      <c r="CH738" s="61"/>
      <c r="CI738" s="41"/>
      <c r="CJ738" s="40"/>
      <c r="CK738" s="3"/>
      <c r="CL738" s="62"/>
      <c r="CM738" s="63"/>
      <c r="CN738" s="3"/>
      <c r="CO738" s="3"/>
      <c r="CP738" s="41"/>
      <c r="CQ738" s="3"/>
      <c r="CR738" s="40"/>
      <c r="CS738" s="40"/>
      <c r="CT738" s="40"/>
      <c r="CU738" s="40"/>
      <c r="CV738" s="40"/>
      <c r="CW738" s="40"/>
      <c r="CX738" s="40"/>
      <c r="CY738" s="40"/>
      <c r="CZ738" s="40"/>
      <c r="DA738" s="40"/>
    </row>
    <row r="739" spans="1:105" ht="18.95" customHeight="1">
      <c r="A739" s="3">
        <v>822</v>
      </c>
      <c r="B739" s="92" t="s">
        <v>199</v>
      </c>
      <c r="C739" s="3"/>
      <c r="D739" s="202" t="s">
        <v>215</v>
      </c>
      <c r="E739" s="39">
        <v>45453</v>
      </c>
      <c r="F739" s="3"/>
      <c r="G739" s="3"/>
      <c r="H739" s="3"/>
      <c r="I739" s="40"/>
      <c r="J739" s="40"/>
      <c r="K739" s="3"/>
      <c r="L739" s="3"/>
      <c r="M739" s="3"/>
      <c r="N739" s="3"/>
      <c r="O739" s="3"/>
      <c r="P739" s="3"/>
      <c r="Q739" s="3"/>
      <c r="R739" s="3"/>
      <c r="S739" s="3"/>
      <c r="T739" s="42"/>
      <c r="U739" s="188"/>
      <c r="V739" s="199"/>
      <c r="W739" s="73"/>
      <c r="X739" s="43"/>
      <c r="Y739" s="192"/>
      <c r="Z739" s="3"/>
      <c r="AA739" s="192"/>
      <c r="AB739" s="3"/>
      <c r="AC739" s="3"/>
      <c r="AD739" s="3"/>
      <c r="AE739" s="3"/>
      <c r="AF739" s="3"/>
      <c r="AG739" s="3"/>
      <c r="AH739" s="194"/>
      <c r="AI739" s="193"/>
      <c r="AJ739" s="194"/>
      <c r="AK739" s="130"/>
      <c r="AL739" s="203">
        <v>10.68</v>
      </c>
      <c r="AM739" s="203">
        <v>10.56</v>
      </c>
      <c r="AN739" s="3">
        <v>11.01</v>
      </c>
      <c r="AO739" s="3">
        <v>10.74</v>
      </c>
      <c r="AP739" s="137">
        <f>MIN(AQ739:AR739)</f>
        <v>10.56</v>
      </c>
      <c r="AQ739" s="132">
        <v>10.56</v>
      </c>
      <c r="AR739" s="132">
        <v>10.74</v>
      </c>
      <c r="AS739" s="3"/>
      <c r="AT739" s="3"/>
      <c r="AU739" s="3"/>
      <c r="AV739" s="3"/>
      <c r="AW739" s="192"/>
      <c r="AX739" s="133"/>
      <c r="AY739" s="195"/>
      <c r="AZ739" s="40"/>
      <c r="BA739" s="40"/>
      <c r="BB739" s="40"/>
      <c r="BC739" s="40"/>
      <c r="BD739" s="135"/>
      <c r="BE739" s="135"/>
      <c r="BF739" s="40"/>
      <c r="BG739" s="135"/>
      <c r="BH739" s="135"/>
      <c r="BI739" s="49"/>
      <c r="BJ739" s="49"/>
      <c r="BK739" s="66"/>
      <c r="BL739" s="66"/>
      <c r="BM739" s="51"/>
      <c r="BN739" s="51"/>
      <c r="BO739" s="136"/>
      <c r="BP739" s="40"/>
      <c r="BQ739" s="40"/>
      <c r="BR739" s="67"/>
      <c r="BS739" s="54"/>
      <c r="BT739" s="3"/>
      <c r="BU739" s="3"/>
      <c r="BV739" s="3"/>
      <c r="BW739" s="3"/>
      <c r="BX739" s="70"/>
      <c r="BY739" s="70"/>
      <c r="BZ739" s="59"/>
      <c r="CA739" s="59"/>
      <c r="CB739" s="59"/>
      <c r="CC739" s="59"/>
      <c r="CD739" s="60"/>
      <c r="CE739" s="60"/>
      <c r="CF739" s="61"/>
      <c r="CG739" s="61"/>
      <c r="CH739" s="61"/>
      <c r="CI739" s="41">
        <v>14.3</v>
      </c>
      <c r="CJ739" s="40">
        <f>VLOOKUP(CI739,$DB:$DC,2)</f>
        <v>560</v>
      </c>
      <c r="CK739" s="3"/>
      <c r="CL739" s="62"/>
      <c r="CM739" s="63"/>
      <c r="CN739" s="3"/>
      <c r="CO739" s="3"/>
      <c r="CP739" s="41"/>
      <c r="CQ739" s="3"/>
      <c r="CR739" s="40"/>
      <c r="CS739" s="40"/>
      <c r="CT739" s="40"/>
      <c r="CU739" s="40"/>
      <c r="CV739" s="40"/>
      <c r="CW739" s="40"/>
      <c r="CX739" s="40"/>
      <c r="CY739" s="40"/>
      <c r="CZ739" s="40"/>
      <c r="DA739" s="40"/>
    </row>
    <row r="740" spans="1:105" ht="18.95" customHeight="1">
      <c r="A740" s="3">
        <v>823</v>
      </c>
      <c r="B740" s="92" t="s">
        <v>199</v>
      </c>
      <c r="C740" s="3" t="s">
        <v>104</v>
      </c>
      <c r="D740" s="202" t="s">
        <v>215</v>
      </c>
      <c r="E740" s="39">
        <v>45453</v>
      </c>
      <c r="F740" s="3" t="s">
        <v>186</v>
      </c>
      <c r="G740" s="3" t="s">
        <v>107</v>
      </c>
      <c r="H740" s="3">
        <v>2008</v>
      </c>
      <c r="I740" s="40" t="str">
        <f>RIGHT(J740,3)</f>
        <v>U16</v>
      </c>
      <c r="J740" s="40" t="s">
        <v>117</v>
      </c>
      <c r="K740" s="3">
        <v>173</v>
      </c>
      <c r="L740" s="3">
        <v>173</v>
      </c>
      <c r="M740" s="3"/>
      <c r="N740" s="3">
        <v>161.5</v>
      </c>
      <c r="O740" s="3">
        <v>161.5</v>
      </c>
      <c r="P740" s="3"/>
      <c r="Q740" s="3">
        <v>73.2</v>
      </c>
      <c r="R740" s="3">
        <v>73.2</v>
      </c>
      <c r="S740" s="3"/>
      <c r="T740" s="42">
        <v>173</v>
      </c>
      <c r="U740" s="188" cm="1">
        <f t="array" ref="U740">AVERAGE(paper3[[#This Row],[Sittende høyde 1]:[Sittende høyde 2]]-70.2)</f>
        <v>91.3</v>
      </c>
      <c r="V740" s="12">
        <f>paper3[[#This Row],[height]]-paper3[[#This Row],[sittingheight]]</f>
        <v>81.7</v>
      </c>
      <c r="W740" s="73">
        <v>73.2</v>
      </c>
      <c r="X740" s="43" cm="1">
        <f t="array" ref="X740">INDEX([1]!phvny[yphv], MATCH(1, (paper3[[#This Row],[id]]=[1]!phvny[id])*(paper3[[#This Row],[time]]=[1]!phvny[time]), 0))</f>
        <v>3.752478747981054</v>
      </c>
      <c r="Y740" s="192">
        <v>1.5860000000000001</v>
      </c>
      <c r="Z740" s="3">
        <v>3.3069999999999999</v>
      </c>
      <c r="AA740" s="192">
        <v>4.9279999999999999</v>
      </c>
      <c r="AB740" s="3">
        <v>1.5820000000000001</v>
      </c>
      <c r="AC740" s="3">
        <v>3.3069999999999999</v>
      </c>
      <c r="AD740" s="3">
        <v>4.9649999999999999</v>
      </c>
      <c r="AE740" s="3">
        <v>1.857</v>
      </c>
      <c r="AF740" s="3">
        <v>3.4820000000000002</v>
      </c>
      <c r="AG740" s="3">
        <v>5.0670000000000002</v>
      </c>
      <c r="AH740" s="194">
        <v>1.5820000000000001</v>
      </c>
      <c r="AI740" s="193">
        <v>3.3069999999999999</v>
      </c>
      <c r="AJ740" s="194">
        <v>4.9279999999999999</v>
      </c>
      <c r="AK740" s="130"/>
      <c r="AL740" s="203">
        <v>10.35</v>
      </c>
      <c r="AM740" s="203">
        <v>10.52</v>
      </c>
      <c r="AN740" s="3">
        <v>11.05</v>
      </c>
      <c r="AO740" s="3">
        <v>11.08</v>
      </c>
      <c r="AP740" s="137">
        <f>MIN(AQ740:AR740)</f>
        <v>10.35</v>
      </c>
      <c r="AQ740" s="132">
        <v>10.35</v>
      </c>
      <c r="AR740" s="132">
        <v>11.05</v>
      </c>
      <c r="AS740" s="3"/>
      <c r="AT740" s="3"/>
      <c r="AU740" s="3"/>
      <c r="AV740" s="3"/>
      <c r="AW740" s="192"/>
      <c r="AX740" s="133">
        <v>24.6</v>
      </c>
      <c r="AY740" s="195" t="s">
        <v>245</v>
      </c>
      <c r="AZ740" s="40">
        <v>11</v>
      </c>
      <c r="BA740" s="40"/>
      <c r="BB740" s="40"/>
      <c r="BC740" s="40"/>
      <c r="BD740" s="155">
        <v>1582.6664924889697</v>
      </c>
      <c r="BE740" s="155">
        <v>1605.8739873257623</v>
      </c>
      <c r="BF740" s="40"/>
      <c r="BG740" s="135">
        <v>607.32604212617503</v>
      </c>
      <c r="BH740" s="135">
        <v>636.72603771055162</v>
      </c>
      <c r="BI740" s="49"/>
      <c r="BJ740" s="49">
        <f>IFERROR(SUM(paper3[[#This Row],[Pwr ikke-dominant]:[Pwr dominant]]),"")</f>
        <v>1244.0520798367265</v>
      </c>
      <c r="BK740" s="66"/>
      <c r="BL740" s="66"/>
      <c r="BM740" s="51"/>
      <c r="BN740" s="51">
        <f>IFERROR(paper3[[#This Row],[totpwr]]/paper3[[#This Row],[bodymass]],"")</f>
        <v>16.995246992305006</v>
      </c>
      <c r="BO740" s="136"/>
      <c r="BP740" s="40"/>
      <c r="BQ740" s="40"/>
      <c r="BR740" s="67"/>
      <c r="BS740" s="54"/>
      <c r="BT740" s="3"/>
      <c r="BU740" s="3"/>
      <c r="BV740" s="3"/>
      <c r="BW740" s="3"/>
      <c r="BX740" s="70"/>
      <c r="BY740" s="70"/>
      <c r="BZ740" s="59"/>
      <c r="CA740" s="59"/>
      <c r="CB740" s="59"/>
      <c r="CC740" s="59"/>
      <c r="CD740" s="60"/>
      <c r="CE740" s="60"/>
      <c r="CF740" s="61"/>
      <c r="CG740" s="61"/>
      <c r="CH740" s="61"/>
      <c r="CI740" s="41">
        <v>14.3</v>
      </c>
      <c r="CJ740" s="40">
        <f>VLOOKUP(CI740,$DB:$DC,2)</f>
        <v>560</v>
      </c>
      <c r="CK740" s="3"/>
      <c r="CL740" s="62"/>
      <c r="CM740" s="63"/>
      <c r="CN740" s="3"/>
      <c r="CO740" s="3"/>
      <c r="CP740" s="41">
        <v>15.308333333333334</v>
      </c>
      <c r="CQ740" s="3"/>
      <c r="CR740" s="40"/>
      <c r="CS740" s="40"/>
      <c r="CT740" s="40"/>
      <c r="CU740" s="40"/>
      <c r="CV740" s="40"/>
      <c r="CW740" s="40"/>
      <c r="CX740" s="40"/>
      <c r="CY740" s="40"/>
      <c r="CZ740" s="40"/>
      <c r="DA740" s="40"/>
    </row>
    <row r="741" spans="1:105" ht="18.75">
      <c r="A741" s="3">
        <v>824</v>
      </c>
      <c r="B741" s="92" t="s">
        <v>199</v>
      </c>
      <c r="C741" s="3"/>
      <c r="D741" s="202" t="s">
        <v>215</v>
      </c>
      <c r="E741" s="39">
        <v>45453</v>
      </c>
      <c r="F741" s="3" t="s">
        <v>186</v>
      </c>
      <c r="G741" s="3" t="s">
        <v>107</v>
      </c>
      <c r="H741" s="3">
        <v>0</v>
      </c>
      <c r="I741" s="40"/>
      <c r="J741" s="40"/>
      <c r="K741" s="3"/>
      <c r="L741" s="3"/>
      <c r="M741" s="3"/>
      <c r="N741" s="3"/>
      <c r="O741" s="3"/>
      <c r="P741" s="3"/>
      <c r="Q741" s="3"/>
      <c r="R741" s="3"/>
      <c r="S741" s="3"/>
      <c r="T741" s="42"/>
      <c r="U741" s="188"/>
      <c r="V741" s="199"/>
      <c r="W741" s="73"/>
      <c r="X741" s="43"/>
      <c r="Y741" s="192"/>
      <c r="Z741" s="3"/>
      <c r="AA741" s="192"/>
      <c r="AB741" s="3"/>
      <c r="AC741" s="3"/>
      <c r="AD741" s="3"/>
      <c r="AE741" s="3"/>
      <c r="AF741" s="3"/>
      <c r="AG741" s="3"/>
      <c r="AH741" s="194"/>
      <c r="AI741" s="193"/>
      <c r="AJ741" s="194"/>
      <c r="AK741" s="130"/>
      <c r="AL741" s="203"/>
      <c r="AM741" s="203"/>
      <c r="AN741" s="3"/>
      <c r="AO741" s="3"/>
      <c r="AP741" s="137"/>
      <c r="AQ741" s="132"/>
      <c r="AR741" s="132"/>
      <c r="AS741" s="3"/>
      <c r="AT741" s="3"/>
      <c r="AU741" s="3"/>
      <c r="AV741" s="3"/>
      <c r="AW741" s="192"/>
      <c r="AX741" s="133"/>
      <c r="AY741" s="195"/>
      <c r="AZ741" s="40"/>
      <c r="BA741" s="40"/>
      <c r="BB741" s="40"/>
      <c r="BC741" s="40"/>
      <c r="BD741" s="135"/>
      <c r="BE741" s="135"/>
      <c r="BF741" s="40"/>
      <c r="BG741" s="135"/>
      <c r="BH741" s="135"/>
      <c r="BI741" s="49"/>
      <c r="BJ741" s="49"/>
      <c r="BK741" s="66"/>
      <c r="BL741" s="66"/>
      <c r="BM741" s="51"/>
      <c r="BN741" s="51"/>
      <c r="BO741" s="136"/>
      <c r="BP741" s="40"/>
      <c r="BQ741" s="40"/>
      <c r="BR741" s="67"/>
      <c r="BS741" s="54"/>
      <c r="BT741" s="3"/>
      <c r="BU741" s="3"/>
      <c r="BV741" s="3"/>
      <c r="BW741" s="3"/>
      <c r="BX741" s="70"/>
      <c r="BY741" s="70"/>
      <c r="BZ741" s="59"/>
      <c r="CA741" s="59"/>
      <c r="CB741" s="59"/>
      <c r="CC741" s="59"/>
      <c r="CD741" s="60"/>
      <c r="CE741" s="60"/>
      <c r="CF741" s="61"/>
      <c r="CG741" s="61"/>
      <c r="CH741" s="61"/>
      <c r="CI741" s="41"/>
      <c r="CJ741" s="40"/>
      <c r="CK741" s="3"/>
      <c r="CL741" s="62"/>
      <c r="CM741" s="63"/>
      <c r="CN741" s="3"/>
      <c r="CO741" s="3"/>
      <c r="CP741" s="41"/>
      <c r="CQ741" s="3"/>
      <c r="CR741" s="40"/>
      <c r="CS741" s="40"/>
      <c r="CT741" s="40"/>
      <c r="CU741" s="40"/>
      <c r="CV741" s="40"/>
      <c r="CW741" s="40"/>
      <c r="CX741" s="40"/>
      <c r="CY741" s="40"/>
      <c r="CZ741" s="40"/>
      <c r="DA741" s="40"/>
    </row>
    <row r="742" spans="1:105" ht="18.95" customHeight="1">
      <c r="A742" s="3">
        <v>825</v>
      </c>
      <c r="B742" s="92" t="s">
        <v>199</v>
      </c>
      <c r="C742" s="3" t="s">
        <v>104</v>
      </c>
      <c r="D742" s="202" t="s">
        <v>215</v>
      </c>
      <c r="E742" s="39">
        <v>45453</v>
      </c>
      <c r="F742" s="3" t="s">
        <v>186</v>
      </c>
      <c r="G742" s="3" t="s">
        <v>107</v>
      </c>
      <c r="H742" s="3">
        <v>2008</v>
      </c>
      <c r="I742" s="40" t="str">
        <f>RIGHT(J742,3)</f>
        <v>U16</v>
      </c>
      <c r="J742" s="40" t="s">
        <v>117</v>
      </c>
      <c r="K742" s="3"/>
      <c r="L742" s="3"/>
      <c r="M742" s="3"/>
      <c r="N742" s="3"/>
      <c r="O742" s="3"/>
      <c r="P742" s="3"/>
      <c r="Q742" s="3"/>
      <c r="R742" s="3"/>
      <c r="S742" s="3"/>
      <c r="T742" s="42"/>
      <c r="U742" s="188"/>
      <c r="V742" s="199"/>
      <c r="W742" s="73"/>
      <c r="X742" s="43"/>
      <c r="Y742" s="192"/>
      <c r="Z742" s="3"/>
      <c r="AA742" s="192"/>
      <c r="AB742" s="3"/>
      <c r="AC742" s="3"/>
      <c r="AD742" s="3"/>
      <c r="AE742" s="3"/>
      <c r="AF742" s="3"/>
      <c r="AG742" s="3"/>
      <c r="AH742" s="194"/>
      <c r="AI742" s="193"/>
      <c r="AJ742" s="194"/>
      <c r="AK742" s="130"/>
      <c r="AL742" s="203"/>
      <c r="AM742" s="203"/>
      <c r="AN742" s="3"/>
      <c r="AO742" s="3"/>
      <c r="AP742" s="137"/>
      <c r="AQ742" s="132"/>
      <c r="AR742" s="132"/>
      <c r="AS742" s="3"/>
      <c r="AT742" s="3"/>
      <c r="AU742" s="3"/>
      <c r="AV742" s="3"/>
      <c r="AW742" s="192"/>
      <c r="AX742" s="133"/>
      <c r="AY742" s="195"/>
      <c r="AZ742" s="40"/>
      <c r="BA742" s="40"/>
      <c r="BB742" s="40"/>
      <c r="BC742" s="40"/>
      <c r="BD742" s="135"/>
      <c r="BE742" s="135"/>
      <c r="BF742" s="40"/>
      <c r="BG742" s="135"/>
      <c r="BH742" s="135"/>
      <c r="BI742" s="49"/>
      <c r="BJ742" s="49"/>
      <c r="BK742" s="66"/>
      <c r="BL742" s="66"/>
      <c r="BM742" s="51"/>
      <c r="BN742" s="51"/>
      <c r="BO742" s="136"/>
      <c r="BP742" s="40"/>
      <c r="BQ742" s="40"/>
      <c r="BR742" s="67"/>
      <c r="BS742" s="54"/>
      <c r="BT742" s="3"/>
      <c r="BU742" s="3"/>
      <c r="BV742" s="3"/>
      <c r="BW742" s="3"/>
      <c r="BX742" s="70"/>
      <c r="BY742" s="70"/>
      <c r="BZ742" s="59"/>
      <c r="CA742" s="59"/>
      <c r="CB742" s="59"/>
      <c r="CC742" s="59"/>
      <c r="CD742" s="60"/>
      <c r="CE742" s="60"/>
      <c r="CF742" s="61"/>
      <c r="CG742" s="61"/>
      <c r="CH742" s="61"/>
      <c r="CI742" s="41"/>
      <c r="CJ742" s="40"/>
      <c r="CK742" s="3"/>
      <c r="CL742" s="62"/>
      <c r="CM742" s="63"/>
      <c r="CN742" s="3"/>
      <c r="CO742" s="3"/>
      <c r="CP742" s="41">
        <v>15.019444444444444</v>
      </c>
      <c r="CQ742" s="3"/>
      <c r="CR742" s="40"/>
      <c r="CS742" s="40"/>
      <c r="CT742" s="40"/>
      <c r="CU742" s="40"/>
      <c r="CV742" s="40"/>
      <c r="CW742" s="40"/>
      <c r="CX742" s="40"/>
      <c r="CY742" s="40"/>
      <c r="CZ742" s="40"/>
      <c r="DA742" s="40"/>
    </row>
    <row r="743" spans="1:105" ht="18.95" customHeight="1">
      <c r="A743" s="3">
        <v>826</v>
      </c>
      <c r="B743" s="92" t="s">
        <v>199</v>
      </c>
      <c r="C743" s="3"/>
      <c r="D743" s="202" t="s">
        <v>215</v>
      </c>
      <c r="E743" s="39">
        <v>45453</v>
      </c>
      <c r="F743" s="3"/>
      <c r="G743" s="3"/>
      <c r="H743" s="3"/>
      <c r="I743" s="40"/>
      <c r="J743" s="40"/>
      <c r="K743" s="3"/>
      <c r="L743" s="3"/>
      <c r="M743" s="3"/>
      <c r="N743" s="3"/>
      <c r="O743" s="3"/>
      <c r="P743" s="3"/>
      <c r="Q743" s="3"/>
      <c r="R743" s="3"/>
      <c r="S743" s="3"/>
      <c r="T743" s="42"/>
      <c r="U743" s="188"/>
      <c r="V743" s="199"/>
      <c r="W743" s="73"/>
      <c r="X743" s="43"/>
      <c r="Y743" s="192"/>
      <c r="Z743" s="3"/>
      <c r="AA743" s="192"/>
      <c r="AB743" s="3"/>
      <c r="AC743" s="3"/>
      <c r="AD743" s="3"/>
      <c r="AE743" s="3"/>
      <c r="AF743" s="3"/>
      <c r="AG743" s="3"/>
      <c r="AH743" s="194"/>
      <c r="AI743" s="193"/>
      <c r="AJ743" s="194"/>
      <c r="AK743" s="130"/>
      <c r="AL743" s="203">
        <v>10.59</v>
      </c>
      <c r="AM743" s="203">
        <v>10.55</v>
      </c>
      <c r="AN743" s="3">
        <v>10.73</v>
      </c>
      <c r="AO743" s="3">
        <v>10.63</v>
      </c>
      <c r="AP743" s="137">
        <f>MIN(AQ743:AR743)</f>
        <v>10.55</v>
      </c>
      <c r="AQ743" s="132">
        <v>10.55</v>
      </c>
      <c r="AR743" s="132">
        <v>10.63</v>
      </c>
      <c r="AS743" s="3"/>
      <c r="AT743" s="3"/>
      <c r="AU743" s="3"/>
      <c r="AV743" s="3"/>
      <c r="AW743" s="192"/>
      <c r="AX743" s="133"/>
      <c r="AY743" s="195"/>
      <c r="AZ743" s="40"/>
      <c r="BA743" s="40"/>
      <c r="BB743" s="40"/>
      <c r="BC743" s="40"/>
      <c r="BD743" s="135"/>
      <c r="BE743" s="135"/>
      <c r="BF743" s="40"/>
      <c r="BG743" s="135"/>
      <c r="BH743" s="135"/>
      <c r="BI743" s="49"/>
      <c r="BJ743" s="49"/>
      <c r="BK743" s="66"/>
      <c r="BL743" s="66"/>
      <c r="BM743" s="51"/>
      <c r="BN743" s="51"/>
      <c r="BO743" s="136"/>
      <c r="BP743" s="40"/>
      <c r="BQ743" s="40"/>
      <c r="BR743" s="67"/>
      <c r="BS743" s="54"/>
      <c r="BT743" s="3"/>
      <c r="BU743" s="3"/>
      <c r="BV743" s="3"/>
      <c r="BW743" s="3"/>
      <c r="BX743" s="70"/>
      <c r="BY743" s="70"/>
      <c r="BZ743" s="59"/>
      <c r="CA743" s="59"/>
      <c r="CB743" s="59"/>
      <c r="CC743" s="59"/>
      <c r="CD743" s="60"/>
      <c r="CE743" s="60"/>
      <c r="CF743" s="61"/>
      <c r="CG743" s="61"/>
      <c r="CH743" s="61"/>
      <c r="CI743" s="41">
        <v>14.8</v>
      </c>
      <c r="CJ743" s="40">
        <f>VLOOKUP(CI743,$DB:$DC,2)</f>
        <v>760</v>
      </c>
      <c r="CK743" s="3"/>
      <c r="CL743" s="62"/>
      <c r="CM743" s="63"/>
      <c r="CN743" s="3"/>
      <c r="CO743" s="3"/>
      <c r="CP743" s="41"/>
      <c r="CQ743" s="3"/>
      <c r="CR743" s="40"/>
      <c r="CS743" s="40"/>
      <c r="CT743" s="40"/>
      <c r="CU743" s="40"/>
      <c r="CV743" s="40"/>
      <c r="CW743" s="40"/>
      <c r="CX743" s="40"/>
      <c r="CY743" s="40"/>
      <c r="CZ743" s="40"/>
      <c r="DA743" s="40"/>
    </row>
    <row r="744" spans="1:105" ht="18.95" customHeight="1">
      <c r="A744" s="3">
        <v>827</v>
      </c>
      <c r="B744" s="92" t="s">
        <v>199</v>
      </c>
      <c r="C744" s="3" t="s">
        <v>104</v>
      </c>
      <c r="D744" s="202" t="s">
        <v>215</v>
      </c>
      <c r="E744" s="39">
        <v>45453</v>
      </c>
      <c r="F744" s="3" t="s">
        <v>186</v>
      </c>
      <c r="G744" s="3" t="s">
        <v>107</v>
      </c>
      <c r="H744" s="3">
        <v>2008</v>
      </c>
      <c r="I744" s="40" t="str">
        <f t="shared" ref="I744:I807" si="2">RIGHT(J744,3)</f>
        <v>U16</v>
      </c>
      <c r="J744" s="40" t="s">
        <v>117</v>
      </c>
      <c r="K744" s="3">
        <v>170.9</v>
      </c>
      <c r="L744" s="3">
        <v>170.8</v>
      </c>
      <c r="M744" s="3"/>
      <c r="N744" s="3">
        <v>159.5</v>
      </c>
      <c r="O744" s="3">
        <v>159.5</v>
      </c>
      <c r="P744" s="3"/>
      <c r="Q744" s="3">
        <v>63.7</v>
      </c>
      <c r="R744" s="3">
        <v>63.7</v>
      </c>
      <c r="S744" s="3"/>
      <c r="T744" s="42">
        <v>170.85000000000002</v>
      </c>
      <c r="U744" s="188" cm="1">
        <f t="array" ref="U744">AVERAGE(paper3[[#This Row],[Sittende høyde 1]:[Sittende høyde 2]]-70.2)</f>
        <v>89.3</v>
      </c>
      <c r="V744" s="12">
        <f>paper3[[#This Row],[height]]-paper3[[#This Row],[sittingheight]]</f>
        <v>81.550000000000026</v>
      </c>
      <c r="W744" s="73">
        <v>63.7</v>
      </c>
      <c r="X744" s="43" cm="1">
        <f t="array" ref="X744">INDEX([1]!phvny[yphv], MATCH(1, (paper3[[#This Row],[id]]=[1]!phvny[id])*(paper3[[#This Row],[time]]=[1]!phvny[time]), 0))</f>
        <v>3.5723088340069773</v>
      </c>
      <c r="Y744" s="192">
        <v>1.85</v>
      </c>
      <c r="Z744" s="3">
        <v>3.4350000000000001</v>
      </c>
      <c r="AA744" s="192">
        <v>4.9729999999999999</v>
      </c>
      <c r="AB744" s="3">
        <v>1.861</v>
      </c>
      <c r="AC744" s="3">
        <v>3.4620000000000002</v>
      </c>
      <c r="AD744" s="3">
        <v>5.01</v>
      </c>
      <c r="AE744" s="3">
        <v>1.835</v>
      </c>
      <c r="AF744" s="3">
        <v>3.4380000000000002</v>
      </c>
      <c r="AG744" s="3">
        <v>4.9829999999999997</v>
      </c>
      <c r="AH744" s="194">
        <v>1.835</v>
      </c>
      <c r="AI744" s="193">
        <v>3.4350000000000001</v>
      </c>
      <c r="AJ744" s="194">
        <v>4.9729999999999999</v>
      </c>
      <c r="AK744" s="130"/>
      <c r="AL744" s="203"/>
      <c r="AM744" s="203"/>
      <c r="AN744" s="3"/>
      <c r="AO744" s="3"/>
      <c r="AP744" s="137"/>
      <c r="AQ744" s="132"/>
      <c r="AR744" s="132"/>
      <c r="AS744" s="3"/>
      <c r="AT744" s="3"/>
      <c r="AU744" s="3"/>
      <c r="AV744" s="3"/>
      <c r="AW744" s="192"/>
      <c r="AX744" s="133">
        <v>23.4</v>
      </c>
      <c r="AY744" s="195" t="s">
        <v>245</v>
      </c>
      <c r="AZ744" s="40">
        <v>8</v>
      </c>
      <c r="BA744" s="40"/>
      <c r="BB744" s="40"/>
      <c r="BC744" s="40"/>
      <c r="BD744" s="135">
        <v>822.75282879586143</v>
      </c>
      <c r="BE744" s="135">
        <v>815.52928323470906</v>
      </c>
      <c r="BF744" s="40"/>
      <c r="BG744" s="135">
        <v>371.73556294878188</v>
      </c>
      <c r="BH744" s="135">
        <v>382.31275064762764</v>
      </c>
      <c r="BI744" s="49">
        <f>IFERROR(SUM(paper3[[#This Row],[Kraft ikke-dominant]:[Kraft dominant]]),"")</f>
        <v>1638.2821120305705</v>
      </c>
      <c r="BJ744" s="49">
        <f>IFERROR(SUM(paper3[[#This Row],[Pwr ikke-dominant]:[Pwr dominant]]),"")</f>
        <v>754.04831359640957</v>
      </c>
      <c r="BK744" s="66"/>
      <c r="BL744" s="66"/>
      <c r="BM744" s="51">
        <f>IFERROR(paper3[[#This Row],[totforce]]/paper3[[#This Row],[bodymass]],"")</f>
        <v>25.718714474577244</v>
      </c>
      <c r="BN744" s="51">
        <f>IFERROR(paper3[[#This Row],[totpwr]]/paper3[[#This Row],[bodymass]],"")</f>
        <v>11.837493149080213</v>
      </c>
      <c r="BO744" s="136"/>
      <c r="BP744" s="40"/>
      <c r="BQ744" s="40"/>
      <c r="BR744" s="67"/>
      <c r="BS744" s="54"/>
      <c r="BT744" s="3"/>
      <c r="BU744" s="3"/>
      <c r="BV744" s="3"/>
      <c r="BW744" s="3"/>
      <c r="BX744" s="70"/>
      <c r="BY744" s="70"/>
      <c r="BZ744" s="59"/>
      <c r="CA744" s="59"/>
      <c r="CB744" s="59"/>
      <c r="CC744" s="59"/>
      <c r="CD744" s="60"/>
      <c r="CE744" s="60"/>
      <c r="CF744" s="61"/>
      <c r="CG744" s="61"/>
      <c r="CH744" s="61"/>
      <c r="CI744" s="41"/>
      <c r="CJ744" s="40"/>
      <c r="CK744" s="3"/>
      <c r="CL744" s="62"/>
      <c r="CM744" s="63"/>
      <c r="CN744" s="3"/>
      <c r="CO744" s="3"/>
      <c r="CP744" s="41">
        <v>15.352777777777778</v>
      </c>
      <c r="CQ744" s="3"/>
      <c r="CR744" s="40"/>
      <c r="CS744" s="40"/>
      <c r="CT744" s="40"/>
      <c r="CU744" s="40"/>
      <c r="CV744" s="40"/>
      <c r="CW744" s="40"/>
      <c r="CX744" s="40"/>
      <c r="CY744" s="40"/>
      <c r="CZ744" s="40"/>
      <c r="DA744" s="40"/>
    </row>
    <row r="745" spans="1:105" ht="18.75">
      <c r="A745" s="3">
        <v>828</v>
      </c>
      <c r="B745" s="92" t="s">
        <v>199</v>
      </c>
      <c r="C745" s="3"/>
      <c r="D745" s="202" t="s">
        <v>215</v>
      </c>
      <c r="E745" s="39">
        <v>45453</v>
      </c>
      <c r="F745" s="3" t="s">
        <v>186</v>
      </c>
      <c r="G745" s="3" t="s">
        <v>107</v>
      </c>
      <c r="H745" s="3">
        <v>2008</v>
      </c>
      <c r="I745" s="40" t="str">
        <f t="shared" si="2"/>
        <v>U16</v>
      </c>
      <c r="J745" s="40" t="s">
        <v>117</v>
      </c>
      <c r="K745" s="3"/>
      <c r="L745" s="3"/>
      <c r="M745" s="3"/>
      <c r="N745" s="3"/>
      <c r="O745" s="3"/>
      <c r="P745" s="3"/>
      <c r="Q745" s="3"/>
      <c r="R745" s="3"/>
      <c r="S745" s="3"/>
      <c r="T745" s="42"/>
      <c r="U745" s="188"/>
      <c r="V745" s="199"/>
      <c r="W745" s="73"/>
      <c r="X745" s="43"/>
      <c r="Y745" s="192"/>
      <c r="Z745" s="3"/>
      <c r="AA745" s="192"/>
      <c r="AB745" s="3"/>
      <c r="AC745" s="3"/>
      <c r="AD745" s="3"/>
      <c r="AE745" s="3"/>
      <c r="AF745" s="3"/>
      <c r="AG745" s="3"/>
      <c r="AH745" s="194"/>
      <c r="AI745" s="193"/>
      <c r="AJ745" s="194"/>
      <c r="AK745" s="130"/>
      <c r="AL745" s="203"/>
      <c r="AM745" s="203"/>
      <c r="AN745" s="3"/>
      <c r="AO745" s="3"/>
      <c r="AP745" s="137"/>
      <c r="AQ745" s="132"/>
      <c r="AR745" s="132"/>
      <c r="AS745" s="3"/>
      <c r="AT745" s="3"/>
      <c r="AU745" s="3"/>
      <c r="AV745" s="3"/>
      <c r="AW745" s="192"/>
      <c r="AX745" s="133"/>
      <c r="AY745" s="195"/>
      <c r="AZ745" s="40"/>
      <c r="BA745" s="40"/>
      <c r="BB745" s="40"/>
      <c r="BC745" s="40"/>
      <c r="BD745" s="135"/>
      <c r="BE745" s="135"/>
      <c r="BF745" s="40"/>
      <c r="BG745" s="135"/>
      <c r="BH745" s="135"/>
      <c r="BI745" s="49"/>
      <c r="BJ745" s="49"/>
      <c r="BK745" s="66"/>
      <c r="BL745" s="66"/>
      <c r="BM745" s="51"/>
      <c r="BN745" s="51"/>
      <c r="BO745" s="136"/>
      <c r="BP745" s="40"/>
      <c r="BQ745" s="40"/>
      <c r="BR745" s="67"/>
      <c r="BS745" s="54"/>
      <c r="BT745" s="3"/>
      <c r="BU745" s="3"/>
      <c r="BV745" s="3"/>
      <c r="BW745" s="3"/>
      <c r="BX745" s="70"/>
      <c r="BY745" s="70"/>
      <c r="BZ745" s="59"/>
      <c r="CA745" s="59"/>
      <c r="CB745" s="59"/>
      <c r="CC745" s="59"/>
      <c r="CD745" s="60"/>
      <c r="CE745" s="60"/>
      <c r="CF745" s="61"/>
      <c r="CG745" s="61"/>
      <c r="CH745" s="61"/>
      <c r="CI745" s="41"/>
      <c r="CJ745" s="40"/>
      <c r="CK745" s="3"/>
      <c r="CL745" s="62"/>
      <c r="CM745" s="63"/>
      <c r="CN745" s="3"/>
      <c r="CO745" s="3"/>
      <c r="CP745" s="41"/>
      <c r="CQ745" s="3"/>
      <c r="CR745" s="40"/>
      <c r="CS745" s="40"/>
      <c r="CT745" s="40"/>
      <c r="CU745" s="40"/>
      <c r="CV745" s="40"/>
      <c r="CW745" s="40"/>
      <c r="CX745" s="40"/>
      <c r="CY745" s="40"/>
      <c r="CZ745" s="40"/>
      <c r="DA745" s="40"/>
    </row>
    <row r="746" spans="1:105" ht="18.75">
      <c r="A746" s="3">
        <v>829</v>
      </c>
      <c r="B746" s="92" t="s">
        <v>199</v>
      </c>
      <c r="C746" s="3" t="s">
        <v>104</v>
      </c>
      <c r="D746" s="202" t="s">
        <v>215</v>
      </c>
      <c r="E746" s="39">
        <v>45453</v>
      </c>
      <c r="F746" s="3" t="s">
        <v>186</v>
      </c>
      <c r="G746" s="3" t="s">
        <v>107</v>
      </c>
      <c r="H746" s="3">
        <v>2008</v>
      </c>
      <c r="I746" s="40" t="str">
        <f t="shared" si="2"/>
        <v>U16</v>
      </c>
      <c r="J746" s="40" t="s">
        <v>117</v>
      </c>
      <c r="K746" s="3">
        <v>179.5</v>
      </c>
      <c r="L746" s="3">
        <v>179.5</v>
      </c>
      <c r="M746" s="3"/>
      <c r="N746" s="3">
        <v>165.2</v>
      </c>
      <c r="O746" s="3">
        <v>165.2</v>
      </c>
      <c r="P746" s="3"/>
      <c r="Q746" s="3">
        <v>72.599999999999994</v>
      </c>
      <c r="R746" s="3">
        <v>72.599999999999994</v>
      </c>
      <c r="S746" s="3"/>
      <c r="T746" s="42">
        <v>179.5</v>
      </c>
      <c r="U746" s="188" cm="1">
        <f t="array" ref="U746">AVERAGE(paper3[[#This Row],[Sittende høyde 1]:[Sittende høyde 2]]-70.2)</f>
        <v>94.999999999999986</v>
      </c>
      <c r="V746" s="12">
        <f>paper3[[#This Row],[height]]-paper3[[#This Row],[sittingheight]]</f>
        <v>84.500000000000014</v>
      </c>
      <c r="W746" s="73">
        <v>72.599999999999994</v>
      </c>
      <c r="X746" s="43" cm="1">
        <f t="array" ref="X746">INDEX([1]!phvny[yphv], MATCH(1, (paper3[[#This Row],[id]]=[1]!phvny[id])*(paper3[[#This Row],[time]]=[1]!phvny[time]), 0))</f>
        <v>3.8227540487527074</v>
      </c>
      <c r="Y746" s="192">
        <v>1.89</v>
      </c>
      <c r="Z746" s="3">
        <v>3.3740000000000001</v>
      </c>
      <c r="AA746" s="192">
        <v>4.7679999999999998</v>
      </c>
      <c r="AB746" s="3">
        <v>1.823</v>
      </c>
      <c r="AC746" s="3">
        <v>3.3359999999999999</v>
      </c>
      <c r="AD746" s="3">
        <v>4.7549999999999999</v>
      </c>
      <c r="AE746" s="3">
        <v>2.0169999999999999</v>
      </c>
      <c r="AF746" s="3">
        <v>3.5350000000000001</v>
      </c>
      <c r="AG746" s="3">
        <v>4.9690000000000003</v>
      </c>
      <c r="AH746" s="194">
        <v>1.823</v>
      </c>
      <c r="AI746" s="193">
        <v>3.3359999999999999</v>
      </c>
      <c r="AJ746" s="194">
        <v>4.7549999999999999</v>
      </c>
      <c r="AK746" s="130"/>
      <c r="AL746" s="203">
        <v>10.41</v>
      </c>
      <c r="AM746" s="203">
        <v>10.34</v>
      </c>
      <c r="AN746" s="3">
        <v>10.23</v>
      </c>
      <c r="AO746" s="3">
        <v>10.25</v>
      </c>
      <c r="AP746" s="137">
        <f t="shared" ref="AP746:AP751" si="3">MIN(AQ746:AR746)</f>
        <v>10.23</v>
      </c>
      <c r="AQ746" s="132">
        <v>10.34</v>
      </c>
      <c r="AR746" s="132">
        <v>10.23</v>
      </c>
      <c r="AS746" s="3"/>
      <c r="AT746" s="3"/>
      <c r="AU746" s="3"/>
      <c r="AV746" s="3"/>
      <c r="AW746" s="192"/>
      <c r="AX746" s="133">
        <v>20.9</v>
      </c>
      <c r="AY746" s="195" t="s">
        <v>248</v>
      </c>
      <c r="AZ746" s="40">
        <v>10</v>
      </c>
      <c r="BA746" s="40"/>
      <c r="BB746" s="40"/>
      <c r="BC746" s="40"/>
      <c r="BD746" s="135">
        <v>1276.6046479599736</v>
      </c>
      <c r="BE746" s="135">
        <v>1264.4228831581579</v>
      </c>
      <c r="BF746" s="40"/>
      <c r="BG746" s="135">
        <v>517.35256215780259</v>
      </c>
      <c r="BH746" s="135">
        <v>494.37913062425946</v>
      </c>
      <c r="BI746" s="49">
        <f>IFERROR(SUM(paper3[[#This Row],[Kraft ikke-dominant]:[Kraft dominant]]),"")</f>
        <v>2541.0275311181313</v>
      </c>
      <c r="BJ746" s="49">
        <f>IFERROR(SUM(paper3[[#This Row],[Pwr ikke-dominant]:[Pwr dominant]]),"")</f>
        <v>1011.7316927820621</v>
      </c>
      <c r="BK746" s="66"/>
      <c r="BL746" s="66"/>
      <c r="BM746" s="51">
        <f>IFERROR(paper3[[#This Row],[totforce]]/paper3[[#This Row],[bodymass]],"")</f>
        <v>35.000379216503191</v>
      </c>
      <c r="BN746" s="51">
        <f>IFERROR(paper3[[#This Row],[totpwr]]/paper3[[#This Row],[bodymass]],"")</f>
        <v>13.935698247686807</v>
      </c>
      <c r="BO746" s="136"/>
      <c r="BP746" s="40"/>
      <c r="BQ746" s="40"/>
      <c r="BR746" s="67"/>
      <c r="BS746" s="54"/>
      <c r="BT746" s="3"/>
      <c r="BU746" s="3"/>
      <c r="BV746" s="3"/>
      <c r="BW746" s="3"/>
      <c r="BX746" s="70"/>
      <c r="BY746" s="70"/>
      <c r="BZ746" s="59"/>
      <c r="CA746" s="59"/>
      <c r="CB746" s="59"/>
      <c r="CC746" s="59"/>
      <c r="CD746" s="60"/>
      <c r="CE746" s="60"/>
      <c r="CF746" s="61"/>
      <c r="CG746" s="61"/>
      <c r="CH746" s="61"/>
      <c r="CI746" s="41">
        <v>15.2</v>
      </c>
      <c r="CJ746" s="40">
        <f t="shared" ref="CJ746:CJ751" si="4">VLOOKUP(CI746,$DB:$DC,2)</f>
        <v>840</v>
      </c>
      <c r="CK746" s="3"/>
      <c r="CL746" s="62"/>
      <c r="CM746" s="63"/>
      <c r="CN746" s="3"/>
      <c r="CO746" s="3"/>
      <c r="CP746" s="41">
        <v>14.627777777777778</v>
      </c>
      <c r="CQ746" s="3"/>
      <c r="CR746" s="40"/>
      <c r="CS746" s="40"/>
      <c r="CT746" s="40"/>
      <c r="CU746" s="40"/>
      <c r="CV746" s="40"/>
      <c r="CW746" s="40"/>
      <c r="CX746" s="40"/>
      <c r="CY746" s="40"/>
      <c r="CZ746" s="40"/>
      <c r="DA746" s="40"/>
    </row>
    <row r="747" spans="1:105" ht="18.95" customHeight="1">
      <c r="A747" s="3">
        <v>830</v>
      </c>
      <c r="B747" s="92" t="s">
        <v>199</v>
      </c>
      <c r="C747" s="3" t="s">
        <v>104</v>
      </c>
      <c r="D747" s="202" t="s">
        <v>215</v>
      </c>
      <c r="E747" s="39">
        <v>45453</v>
      </c>
      <c r="F747" s="3" t="s">
        <v>186</v>
      </c>
      <c r="G747" s="3" t="s">
        <v>107</v>
      </c>
      <c r="H747" s="3">
        <v>2008</v>
      </c>
      <c r="I747" s="40" t="str">
        <f t="shared" si="2"/>
        <v>U16</v>
      </c>
      <c r="J747" s="40" t="s">
        <v>117</v>
      </c>
      <c r="K747" s="3">
        <v>164.3</v>
      </c>
      <c r="L747" s="3">
        <v>164.3</v>
      </c>
      <c r="M747" s="3"/>
      <c r="N747" s="3">
        <v>154.80000000000001</v>
      </c>
      <c r="O747" s="3">
        <v>154.9</v>
      </c>
      <c r="P747" s="3"/>
      <c r="Q747" s="3">
        <v>58.8</v>
      </c>
      <c r="R747" s="3">
        <v>58.8</v>
      </c>
      <c r="S747" s="3"/>
      <c r="T747" s="42">
        <v>164.3</v>
      </c>
      <c r="U747" s="188" cm="1">
        <f t="array" ref="U747">AVERAGE(paper3[[#This Row],[Sittende høyde 1]:[Sittende høyde 2]]-70.2)</f>
        <v>84.65</v>
      </c>
      <c r="V747" s="12">
        <f>paper3[[#This Row],[height]]-paper3[[#This Row],[sittingheight]]</f>
        <v>79.650000000000006</v>
      </c>
      <c r="W747" s="73">
        <v>58.8</v>
      </c>
      <c r="X747" s="43" cm="1">
        <f t="array" ref="X747">INDEX([1]!phvny[yphv], MATCH(1, (paper3[[#This Row],[id]]=[1]!phvny[id])*(paper3[[#This Row],[time]]=[1]!phvny[time]), 0))</f>
        <v>3.0769446905316475</v>
      </c>
      <c r="Y747" s="192">
        <v>1.893</v>
      </c>
      <c r="Z747" s="3">
        <v>3.4649999999999999</v>
      </c>
      <c r="AA747" s="192">
        <v>4.9790000000000001</v>
      </c>
      <c r="AB747" s="3"/>
      <c r="AC747" s="3"/>
      <c r="AD747" s="3"/>
      <c r="AE747" s="3">
        <v>1.915</v>
      </c>
      <c r="AF747" s="3">
        <v>3.5019999999999998</v>
      </c>
      <c r="AG747" s="3">
        <v>5.03</v>
      </c>
      <c r="AH747" s="194">
        <v>1.893</v>
      </c>
      <c r="AI747" s="193">
        <v>3.4649999999999999</v>
      </c>
      <c r="AJ747" s="194">
        <v>4.9790000000000001</v>
      </c>
      <c r="AK747" s="130"/>
      <c r="AL747" s="203">
        <v>10.87</v>
      </c>
      <c r="AM747" s="203">
        <v>10.36</v>
      </c>
      <c r="AN747" s="3">
        <v>10.47</v>
      </c>
      <c r="AO747" s="3">
        <v>10.72</v>
      </c>
      <c r="AP747" s="137">
        <f t="shared" si="3"/>
        <v>10.36</v>
      </c>
      <c r="AQ747" s="132">
        <v>10.36</v>
      </c>
      <c r="AR747" s="132">
        <v>10.47</v>
      </c>
      <c r="AS747" s="3"/>
      <c r="AT747" s="3"/>
      <c r="AU747" s="3"/>
      <c r="AV747" s="3"/>
      <c r="AW747" s="192"/>
      <c r="AX747" s="133">
        <v>19.899999999999999</v>
      </c>
      <c r="AY747" s="195" t="s">
        <v>247</v>
      </c>
      <c r="AZ747" s="40">
        <v>9</v>
      </c>
      <c r="BA747" s="40"/>
      <c r="BB747" s="40"/>
      <c r="BC747" s="40"/>
      <c r="BD747" s="135">
        <v>1049.5525727886709</v>
      </c>
      <c r="BE747" s="135">
        <v>1069.0415060805492</v>
      </c>
      <c r="BF747" s="40"/>
      <c r="BG747" s="135">
        <v>391.11436682936517</v>
      </c>
      <c r="BH747" s="135">
        <v>384.45142206160637</v>
      </c>
      <c r="BI747" s="49"/>
      <c r="BJ747" s="49">
        <f>IFERROR(SUM(paper3[[#This Row],[Pwr ikke-dominant]:[Pwr dominant]]),"")</f>
        <v>775.56578889097159</v>
      </c>
      <c r="BK747" s="66"/>
      <c r="BL747" s="66"/>
      <c r="BM747" s="51"/>
      <c r="BN747" s="51">
        <f>IFERROR(paper3[[#This Row],[totpwr]]/paper3[[#This Row],[bodymass]],"")</f>
        <v>13.189894368894075</v>
      </c>
      <c r="BO747" s="136"/>
      <c r="BP747" s="40"/>
      <c r="BQ747" s="40"/>
      <c r="BR747" s="67"/>
      <c r="BS747" s="54"/>
      <c r="BT747" s="3"/>
      <c r="BU747" s="3"/>
      <c r="BV747" s="3"/>
      <c r="BW747" s="3"/>
      <c r="BX747" s="70"/>
      <c r="BY747" s="70"/>
      <c r="BZ747" s="59"/>
      <c r="CA747" s="59"/>
      <c r="CB747" s="59"/>
      <c r="CC747" s="59"/>
      <c r="CD747" s="60"/>
      <c r="CE747" s="60"/>
      <c r="CF747" s="61"/>
      <c r="CG747" s="61"/>
      <c r="CH747" s="61"/>
      <c r="CI747" s="41">
        <v>14.6</v>
      </c>
      <c r="CJ747" s="40">
        <f t="shared" si="4"/>
        <v>680</v>
      </c>
      <c r="CK747" s="3"/>
      <c r="CL747" s="62"/>
      <c r="CM747" s="63"/>
      <c r="CN747" s="3"/>
      <c r="CO747" s="3"/>
      <c r="CP747" s="41">
        <v>15.394444444444444</v>
      </c>
      <c r="CQ747" s="3"/>
      <c r="CR747" s="40"/>
      <c r="CS747" s="40"/>
      <c r="CT747" s="40"/>
      <c r="CU747" s="40"/>
      <c r="CV747" s="40"/>
      <c r="CW747" s="40"/>
      <c r="CX747" s="40"/>
      <c r="CY747" s="40"/>
      <c r="CZ747" s="40"/>
      <c r="DA747" s="40"/>
    </row>
    <row r="748" spans="1:105" ht="18.95" customHeight="1">
      <c r="A748" s="3">
        <v>835</v>
      </c>
      <c r="B748" s="92" t="s">
        <v>199</v>
      </c>
      <c r="C748" s="3" t="s">
        <v>104</v>
      </c>
      <c r="D748" s="202" t="s">
        <v>215</v>
      </c>
      <c r="E748" s="39">
        <v>45412</v>
      </c>
      <c r="F748" s="3" t="s">
        <v>186</v>
      </c>
      <c r="G748" s="3" t="s">
        <v>107</v>
      </c>
      <c r="H748" s="3">
        <v>2010</v>
      </c>
      <c r="I748" s="40" t="str">
        <f t="shared" si="2"/>
        <v>U14</v>
      </c>
      <c r="J748" s="40" t="s">
        <v>109</v>
      </c>
      <c r="K748" s="3">
        <v>167.2</v>
      </c>
      <c r="L748" s="3">
        <v>167.3</v>
      </c>
      <c r="M748" s="3"/>
      <c r="N748" s="3">
        <v>159</v>
      </c>
      <c r="O748" s="3">
        <v>159</v>
      </c>
      <c r="P748" s="3"/>
      <c r="Q748" s="3">
        <v>62.2</v>
      </c>
      <c r="R748" s="3">
        <v>62.2</v>
      </c>
      <c r="S748" s="3"/>
      <c r="T748" s="42">
        <v>167.25</v>
      </c>
      <c r="U748" s="188" cm="1">
        <f t="array" ref="U748">AVERAGE(paper3[[#This Row],[Sittende høyde 1]:[Sittende høyde 2]]-70.2)</f>
        <v>88.8</v>
      </c>
      <c r="V748" s="12">
        <f>paper3[[#This Row],[height]]-paper3[[#This Row],[sittingheight]]</f>
        <v>78.45</v>
      </c>
      <c r="W748" s="73">
        <v>62.2</v>
      </c>
      <c r="X748" s="43" cm="1">
        <f t="array" ref="X748">INDEX([1]!phvny[yphv], MATCH(1, (paper3[[#This Row],[id]]=[1]!phvny[id])*(paper3[[#This Row],[time]]=[1]!phvny[time]), 0))</f>
        <v>2.0730915561554548</v>
      </c>
      <c r="Y748" s="204"/>
      <c r="Z748" s="205"/>
      <c r="AA748" s="204"/>
      <c r="AB748" s="3"/>
      <c r="AC748" s="3"/>
      <c r="AD748" s="3"/>
      <c r="AE748" s="3">
        <v>2.0179999999999998</v>
      </c>
      <c r="AF748" s="3">
        <v>3.7250000000000001</v>
      </c>
      <c r="AG748" s="3">
        <v>5.4480000000000004</v>
      </c>
      <c r="AH748" s="130">
        <f>MIN(AE748,AB748,Y748)</f>
        <v>2.0179999999999998</v>
      </c>
      <c r="AI748" s="194">
        <f>MIN(AF748,AC748,Z748)</f>
        <v>3.7250000000000001</v>
      </c>
      <c r="AJ748" s="194">
        <f>MIN(AG748,AD748,AA748)</f>
        <v>5.4480000000000004</v>
      </c>
      <c r="AK748" s="130"/>
      <c r="AL748" s="203">
        <v>11.56</v>
      </c>
      <c r="AM748" s="203">
        <v>11.12</v>
      </c>
      <c r="AN748" s="3">
        <v>11.14</v>
      </c>
      <c r="AO748" s="3">
        <v>11.49</v>
      </c>
      <c r="AP748" s="137">
        <f t="shared" si="3"/>
        <v>11.12</v>
      </c>
      <c r="AQ748" s="132">
        <v>11.12</v>
      </c>
      <c r="AR748" s="132">
        <v>11.14</v>
      </c>
      <c r="AS748" s="3"/>
      <c r="AT748" s="3"/>
      <c r="AU748" s="3"/>
      <c r="AV748" s="3"/>
      <c r="AW748" s="192"/>
      <c r="AX748" s="133">
        <v>16</v>
      </c>
      <c r="AY748" s="195" t="s">
        <v>249</v>
      </c>
      <c r="AZ748" s="40">
        <v>7</v>
      </c>
      <c r="BA748" s="40"/>
      <c r="BB748" s="40"/>
      <c r="BC748" s="40"/>
      <c r="BD748" s="135">
        <v>1071.882361967824</v>
      </c>
      <c r="BE748" s="135">
        <v>1032.5055623627843</v>
      </c>
      <c r="BF748" s="40"/>
      <c r="BG748" s="135">
        <v>325.24511803190381</v>
      </c>
      <c r="BH748" s="135">
        <v>320.11739334980064</v>
      </c>
      <c r="BI748" s="49"/>
      <c r="BJ748" s="49">
        <f>IFERROR(SUM(paper3[[#This Row],[Pwr ikke-dominant]:[Pwr dominant]]),"")</f>
        <v>645.36251138170451</v>
      </c>
      <c r="BK748" s="66"/>
      <c r="BL748" s="66"/>
      <c r="BM748" s="51"/>
      <c r="BN748" s="51">
        <f>IFERROR(paper3[[#This Row],[totpwr]]/paper3[[#This Row],[bodymass]],"")</f>
        <v>10.375603076876278</v>
      </c>
      <c r="BO748" s="136"/>
      <c r="BP748" s="40"/>
      <c r="BQ748" s="40"/>
      <c r="BR748" s="67"/>
      <c r="BS748" s="54"/>
      <c r="BT748" s="3"/>
      <c r="BU748" s="3"/>
      <c r="BV748" s="3"/>
      <c r="BW748" s="3"/>
      <c r="BX748" s="70"/>
      <c r="BY748" s="70"/>
      <c r="BZ748" s="59"/>
      <c r="CA748" s="59"/>
      <c r="CB748" s="59"/>
      <c r="CC748" s="59"/>
      <c r="CD748" s="60"/>
      <c r="CE748" s="60"/>
      <c r="CF748" s="61"/>
      <c r="CG748" s="61"/>
      <c r="CH748" s="61"/>
      <c r="CI748" s="41">
        <v>13.3</v>
      </c>
      <c r="CJ748" s="40">
        <f t="shared" si="4"/>
        <v>400</v>
      </c>
      <c r="CK748" s="3"/>
      <c r="CL748" s="62"/>
      <c r="CM748" s="63"/>
      <c r="CN748" s="3"/>
      <c r="CO748" s="3"/>
      <c r="CP748" s="41">
        <v>12.919444444444444</v>
      </c>
      <c r="CQ748" s="3"/>
      <c r="CR748" s="40"/>
      <c r="CS748" s="40"/>
      <c r="CT748" s="40"/>
      <c r="CU748" s="40"/>
      <c r="CV748" s="40"/>
      <c r="CW748" s="40"/>
      <c r="CX748" s="40"/>
      <c r="CY748" s="40"/>
      <c r="CZ748" s="40"/>
      <c r="DA748" s="40"/>
    </row>
    <row r="749" spans="1:105" ht="18.75">
      <c r="A749" s="3">
        <v>836</v>
      </c>
      <c r="B749" s="92" t="s">
        <v>199</v>
      </c>
      <c r="C749" s="3" t="s">
        <v>104</v>
      </c>
      <c r="D749" s="202" t="s">
        <v>215</v>
      </c>
      <c r="E749" s="39">
        <v>45412</v>
      </c>
      <c r="F749" s="3" t="s">
        <v>186</v>
      </c>
      <c r="G749" s="3" t="s">
        <v>107</v>
      </c>
      <c r="H749" s="3">
        <v>2010</v>
      </c>
      <c r="I749" s="40" t="str">
        <f t="shared" si="2"/>
        <v>U14</v>
      </c>
      <c r="J749" s="40" t="s">
        <v>109</v>
      </c>
      <c r="K749" s="3">
        <v>156.19999999999999</v>
      </c>
      <c r="L749" s="3">
        <v>156.19999999999999</v>
      </c>
      <c r="M749" s="3"/>
      <c r="N749" s="3">
        <v>150</v>
      </c>
      <c r="O749" s="3">
        <v>150</v>
      </c>
      <c r="P749" s="3"/>
      <c r="Q749" s="3">
        <v>48.2</v>
      </c>
      <c r="R749" s="3">
        <v>48.2</v>
      </c>
      <c r="S749" s="3"/>
      <c r="T749" s="42">
        <v>156.19999999999999</v>
      </c>
      <c r="U749" s="188" cm="1">
        <f t="array" ref="U749">AVERAGE(paper3[[#This Row],[Sittende høyde 1]:[Sittende høyde 2]]-70.2)</f>
        <v>79.8</v>
      </c>
      <c r="V749" s="12">
        <f>paper3[[#This Row],[height]]-paper3[[#This Row],[sittingheight]]</f>
        <v>76.399999999999991</v>
      </c>
      <c r="W749" s="73">
        <v>48.2</v>
      </c>
      <c r="X749" s="43" cm="1">
        <f t="array" ref="X749">INDEX([1]!phvny[yphv], MATCH(1, (paper3[[#This Row],[id]]=[1]!phvny[id])*(paper3[[#This Row],[time]]=[1]!phvny[time]), 0))</f>
        <v>1.2880022469228893</v>
      </c>
      <c r="Y749" s="192">
        <v>1.903</v>
      </c>
      <c r="Z749" s="3">
        <v>3.452</v>
      </c>
      <c r="AA749" s="192">
        <v>4.9710000000000001</v>
      </c>
      <c r="AB749" s="3">
        <v>1.8720000000000001</v>
      </c>
      <c r="AC749" s="3">
        <v>3.4350000000000001</v>
      </c>
      <c r="AD749" s="3">
        <v>4.9539999999999997</v>
      </c>
      <c r="AE749" s="3">
        <v>1.8919999999999999</v>
      </c>
      <c r="AF749" s="3">
        <v>3.4769999999999999</v>
      </c>
      <c r="AG749" s="3">
        <v>5.0250000000000004</v>
      </c>
      <c r="AH749" s="194">
        <v>1.8720000000000001</v>
      </c>
      <c r="AI749" s="193">
        <v>3.4350000000000001</v>
      </c>
      <c r="AJ749" s="194">
        <v>4.9539999999999997</v>
      </c>
      <c r="AK749" s="130"/>
      <c r="AL749" s="203">
        <v>10.87</v>
      </c>
      <c r="AM749" s="203">
        <v>10.7</v>
      </c>
      <c r="AN749" s="3">
        <v>10.42</v>
      </c>
      <c r="AO749" s="3">
        <v>11.01</v>
      </c>
      <c r="AP749" s="137">
        <f t="shared" si="3"/>
        <v>10.42</v>
      </c>
      <c r="AQ749" s="132">
        <v>10.7</v>
      </c>
      <c r="AR749" s="132">
        <v>10.42</v>
      </c>
      <c r="AS749" s="3"/>
      <c r="AT749" s="3"/>
      <c r="AU749" s="3"/>
      <c r="AV749" s="3"/>
      <c r="AW749" s="192"/>
      <c r="AX749" s="133">
        <v>23.5</v>
      </c>
      <c r="AY749" s="195" t="s">
        <v>249</v>
      </c>
      <c r="AZ749" s="40">
        <v>7</v>
      </c>
      <c r="BA749" s="40"/>
      <c r="BB749" s="40"/>
      <c r="BC749" s="40"/>
      <c r="BD749" s="135">
        <v>1058.4936417854449</v>
      </c>
      <c r="BE749" s="135">
        <v>963.1997351683267</v>
      </c>
      <c r="BF749" s="40"/>
      <c r="BG749" s="135">
        <v>270.94102279347521</v>
      </c>
      <c r="BH749" s="135">
        <v>347.57642838011566</v>
      </c>
      <c r="BI749" s="49"/>
      <c r="BJ749" s="49">
        <f>IFERROR(SUM(paper3[[#This Row],[Pwr ikke-dominant]:[Pwr dominant]]),"")</f>
        <v>618.51745117359087</v>
      </c>
      <c r="BK749" s="66"/>
      <c r="BL749" s="66"/>
      <c r="BM749" s="51"/>
      <c r="BN749" s="51">
        <f>IFERROR(paper3[[#This Row],[totpwr]]/paper3[[#This Row],[bodymass]],"")</f>
        <v>12.832312265012257</v>
      </c>
      <c r="BO749" s="136"/>
      <c r="BP749" s="40"/>
      <c r="BQ749" s="40"/>
      <c r="BR749" s="67"/>
      <c r="BS749" s="54"/>
      <c r="BT749" s="3"/>
      <c r="BU749" s="3"/>
      <c r="BV749" s="3"/>
      <c r="BW749" s="3"/>
      <c r="BX749" s="70"/>
      <c r="BY749" s="70"/>
      <c r="BZ749" s="59"/>
      <c r="CA749" s="59"/>
      <c r="CB749" s="59"/>
      <c r="CC749" s="59"/>
      <c r="CD749" s="60"/>
      <c r="CE749" s="60"/>
      <c r="CF749" s="61"/>
      <c r="CG749" s="61"/>
      <c r="CH749" s="61"/>
      <c r="CI749" s="41">
        <v>15.4</v>
      </c>
      <c r="CJ749" s="40">
        <f t="shared" si="4"/>
        <v>920</v>
      </c>
      <c r="CK749" s="3"/>
      <c r="CL749" s="62"/>
      <c r="CM749" s="63"/>
      <c r="CN749" s="3"/>
      <c r="CO749" s="3"/>
      <c r="CP749" s="41">
        <v>13.197222222222223</v>
      </c>
      <c r="CQ749" s="3"/>
      <c r="CR749" s="40"/>
      <c r="CS749" s="40"/>
      <c r="CT749" s="40"/>
      <c r="CU749" s="40"/>
      <c r="CV749" s="40"/>
      <c r="CW749" s="40"/>
      <c r="CX749" s="40"/>
      <c r="CY749" s="40"/>
      <c r="CZ749" s="40"/>
      <c r="DA749" s="40"/>
    </row>
    <row r="750" spans="1:105" ht="18.75" customHeight="1">
      <c r="A750" s="3">
        <v>837</v>
      </c>
      <c r="B750" s="92" t="s">
        <v>199</v>
      </c>
      <c r="C750" s="3" t="s">
        <v>104</v>
      </c>
      <c r="D750" s="202" t="s">
        <v>215</v>
      </c>
      <c r="E750" s="39">
        <v>45412</v>
      </c>
      <c r="F750" s="3" t="s">
        <v>186</v>
      </c>
      <c r="G750" s="3" t="s">
        <v>107</v>
      </c>
      <c r="H750" s="3">
        <v>2010</v>
      </c>
      <c r="I750" s="40" t="str">
        <f t="shared" si="2"/>
        <v>U14</v>
      </c>
      <c r="J750" s="40" t="s">
        <v>109</v>
      </c>
      <c r="K750" s="3">
        <v>160.30000000000001</v>
      </c>
      <c r="L750" s="3">
        <v>160.19999999999999</v>
      </c>
      <c r="M750" s="3"/>
      <c r="N750" s="3">
        <v>154</v>
      </c>
      <c r="O750" s="3">
        <v>154</v>
      </c>
      <c r="P750" s="3"/>
      <c r="Q750" s="3">
        <v>46</v>
      </c>
      <c r="R750" s="3">
        <v>46</v>
      </c>
      <c r="S750" s="3"/>
      <c r="T750" s="42">
        <v>160.25</v>
      </c>
      <c r="U750" s="188" cm="1">
        <f t="array" ref="U750">AVERAGE(paper3[[#This Row],[Sittende høyde 1]:[Sittende høyde 2]]-70.2)</f>
        <v>83.8</v>
      </c>
      <c r="V750" s="12">
        <f>paper3[[#This Row],[height]]-paper3[[#This Row],[sittingheight]]</f>
        <v>76.45</v>
      </c>
      <c r="W750" s="73">
        <v>46</v>
      </c>
      <c r="X750" s="43" cm="1">
        <f t="array" ref="X750">INDEX([1]!phvny[yphv], MATCH(1, (paper3[[#This Row],[id]]=[1]!phvny[id])*(paper3[[#This Row],[time]]=[1]!phvny[time]), 0))</f>
        <v>1.3030429362598397</v>
      </c>
      <c r="Y750" s="192">
        <v>1.8160000000000001</v>
      </c>
      <c r="Z750" s="3">
        <v>3.39</v>
      </c>
      <c r="AA750" s="192">
        <v>4.9169999999999998</v>
      </c>
      <c r="AB750" s="3">
        <v>1.8520000000000001</v>
      </c>
      <c r="AC750" s="3">
        <v>3.4529999999999998</v>
      </c>
      <c r="AD750" s="3">
        <v>5.0019999999999998</v>
      </c>
      <c r="AE750" s="3">
        <v>1.8740000000000001</v>
      </c>
      <c r="AF750" s="3">
        <v>3.4510000000000001</v>
      </c>
      <c r="AG750" s="3">
        <v>4.9649999999999999</v>
      </c>
      <c r="AH750" s="194">
        <v>1.8160000000000001</v>
      </c>
      <c r="AI750" s="193">
        <v>3.39</v>
      </c>
      <c r="AJ750" s="194">
        <v>4.9169999999999998</v>
      </c>
      <c r="AK750" s="130"/>
      <c r="AL750" s="203">
        <v>10.99</v>
      </c>
      <c r="AM750" s="203">
        <v>11.03</v>
      </c>
      <c r="AN750" s="3">
        <v>11.06</v>
      </c>
      <c r="AO750" s="3" t="s">
        <v>250</v>
      </c>
      <c r="AP750" s="137">
        <f t="shared" si="3"/>
        <v>10.99</v>
      </c>
      <c r="AQ750" s="132">
        <v>10.99</v>
      </c>
      <c r="AR750" s="132">
        <v>11.06</v>
      </c>
      <c r="AS750" s="3"/>
      <c r="AT750" s="3"/>
      <c r="AU750" s="3"/>
      <c r="AV750" s="3"/>
      <c r="AW750" s="192"/>
      <c r="AX750" s="133">
        <v>24.2</v>
      </c>
      <c r="AY750" s="195" t="s">
        <v>249</v>
      </c>
      <c r="AZ750" s="40">
        <v>7</v>
      </c>
      <c r="BA750" s="40"/>
      <c r="BB750" s="40"/>
      <c r="BC750" s="40"/>
      <c r="BD750" s="135">
        <v>899.40268598826947</v>
      </c>
      <c r="BE750" s="135">
        <v>890.07803438434757</v>
      </c>
      <c r="BF750" s="40"/>
      <c r="BG750" s="135">
        <v>307.70795970197389</v>
      </c>
      <c r="BH750" s="135">
        <v>303.0652696465383</v>
      </c>
      <c r="BI750" s="49"/>
      <c r="BJ750" s="49">
        <f>IFERROR(SUM(paper3[[#This Row],[Pwr ikke-dominant]:[Pwr dominant]]),"")</f>
        <v>610.77322934851213</v>
      </c>
      <c r="BK750" s="66"/>
      <c r="BL750" s="66"/>
      <c r="BM750" s="51"/>
      <c r="BN750" s="51">
        <f>IFERROR(paper3[[#This Row],[totpwr]]/paper3[[#This Row],[bodymass]],"")</f>
        <v>13.277678898880698</v>
      </c>
      <c r="BO750" s="136"/>
      <c r="BP750" s="40"/>
      <c r="BQ750" s="40"/>
      <c r="BR750" s="67"/>
      <c r="BS750" s="54"/>
      <c r="BT750" s="3"/>
      <c r="BU750" s="3"/>
      <c r="BV750" s="3"/>
      <c r="BW750" s="3"/>
      <c r="BX750" s="70"/>
      <c r="BY750" s="70"/>
      <c r="BZ750" s="59"/>
      <c r="CA750" s="59"/>
      <c r="CB750" s="59"/>
      <c r="CC750" s="59"/>
      <c r="CD750" s="60"/>
      <c r="CE750" s="60"/>
      <c r="CF750" s="61"/>
      <c r="CG750" s="61"/>
      <c r="CH750" s="61"/>
      <c r="CI750" s="41">
        <v>14.4</v>
      </c>
      <c r="CJ750" s="40">
        <f t="shared" si="4"/>
        <v>600</v>
      </c>
      <c r="CK750" s="3"/>
      <c r="CL750" s="62"/>
      <c r="CM750" s="63"/>
      <c r="CN750" s="3"/>
      <c r="CO750" s="3"/>
      <c r="CP750" s="41">
        <v>12.652777777777779</v>
      </c>
      <c r="CQ750" s="3"/>
      <c r="CR750" s="40"/>
      <c r="CS750" s="40"/>
      <c r="CT750" s="40"/>
      <c r="CU750" s="40"/>
      <c r="CV750" s="40"/>
      <c r="CW750" s="40"/>
      <c r="CX750" s="40"/>
      <c r="CY750" s="40"/>
      <c r="CZ750" s="40"/>
      <c r="DA750" s="40"/>
    </row>
    <row r="751" spans="1:105" ht="18.95" customHeight="1">
      <c r="A751" s="3">
        <v>838</v>
      </c>
      <c r="B751" s="92" t="s">
        <v>199</v>
      </c>
      <c r="C751" s="3" t="s">
        <v>104</v>
      </c>
      <c r="D751" s="202" t="s">
        <v>215</v>
      </c>
      <c r="E751" s="39">
        <v>45412</v>
      </c>
      <c r="F751" s="3" t="s">
        <v>186</v>
      </c>
      <c r="G751" s="3" t="s">
        <v>107</v>
      </c>
      <c r="H751" s="3">
        <v>2010</v>
      </c>
      <c r="I751" s="40" t="str">
        <f t="shared" si="2"/>
        <v>U14</v>
      </c>
      <c r="J751" s="40" t="s">
        <v>109</v>
      </c>
      <c r="K751" s="3">
        <v>160.4</v>
      </c>
      <c r="L751" s="3">
        <v>160.4</v>
      </c>
      <c r="M751" s="3"/>
      <c r="N751" s="3">
        <v>155</v>
      </c>
      <c r="O751" s="3">
        <v>155</v>
      </c>
      <c r="P751" s="3"/>
      <c r="Q751" s="3">
        <v>52</v>
      </c>
      <c r="R751" s="3">
        <v>52</v>
      </c>
      <c r="S751" s="3"/>
      <c r="T751" s="42">
        <v>160.4</v>
      </c>
      <c r="U751" s="188" cm="1">
        <f t="array" ref="U751">AVERAGE(paper3[[#This Row],[Sittende høyde 1]:[Sittende høyde 2]]-70.2)</f>
        <v>84.8</v>
      </c>
      <c r="V751" s="12">
        <f>paper3[[#This Row],[height]]-paper3[[#This Row],[sittingheight]]</f>
        <v>75.600000000000009</v>
      </c>
      <c r="W751" s="73">
        <v>52</v>
      </c>
      <c r="X751" s="43" cm="1">
        <f t="array" ref="X751">INDEX([1]!phvny[yphv], MATCH(1, (paper3[[#This Row],[id]]=[1]!phvny[id])*(paper3[[#This Row],[time]]=[1]!phvny[time]), 0))</f>
        <v>1.4270471076043243</v>
      </c>
      <c r="Y751" s="192">
        <v>1.8440000000000001</v>
      </c>
      <c r="Z751" s="3">
        <v>3.31</v>
      </c>
      <c r="AA751" s="192">
        <v>4.7249999999999996</v>
      </c>
      <c r="AB751" s="3">
        <v>1.839</v>
      </c>
      <c r="AC751" s="3">
        <v>3.335</v>
      </c>
      <c r="AD751" s="3">
        <v>4.7910000000000004</v>
      </c>
      <c r="AE751" s="3">
        <v>1.863</v>
      </c>
      <c r="AF751" s="3">
        <v>3.3919999999999999</v>
      </c>
      <c r="AG751" s="3">
        <v>4.8689999999999998</v>
      </c>
      <c r="AH751" s="194">
        <v>1.839</v>
      </c>
      <c r="AI751" s="193">
        <v>3.31</v>
      </c>
      <c r="AJ751" s="194">
        <v>4.7249999999999996</v>
      </c>
      <c r="AK751" s="130"/>
      <c r="AL751" s="203">
        <v>10.15</v>
      </c>
      <c r="AM751" s="203">
        <v>10.27</v>
      </c>
      <c r="AN751" s="3">
        <v>10.32</v>
      </c>
      <c r="AO751" s="3">
        <v>10.49</v>
      </c>
      <c r="AP751" s="137">
        <f t="shared" si="3"/>
        <v>10.15</v>
      </c>
      <c r="AQ751" s="132">
        <v>10.15</v>
      </c>
      <c r="AR751" s="132">
        <v>10.32</v>
      </c>
      <c r="AS751" s="3"/>
      <c r="AT751" s="3"/>
      <c r="AU751" s="3"/>
      <c r="AV751" s="3"/>
      <c r="AW751" s="192"/>
      <c r="AX751" s="133">
        <v>24.1</v>
      </c>
      <c r="AY751" s="195" t="s">
        <v>249</v>
      </c>
      <c r="AZ751" s="40">
        <v>7</v>
      </c>
      <c r="BA751" s="40"/>
      <c r="BB751" s="40"/>
      <c r="BC751" s="40"/>
      <c r="BD751" s="135">
        <v>1066.2632064273137</v>
      </c>
      <c r="BE751" s="135">
        <v>1074.4337351265299</v>
      </c>
      <c r="BF751" s="40"/>
      <c r="BG751" s="135">
        <v>356.9153427153916</v>
      </c>
      <c r="BH751" s="135">
        <v>380.82495796752329</v>
      </c>
      <c r="BI751" s="49">
        <f>IFERROR(SUM(paper3[[#This Row],[Kraft ikke-dominant]:[Kraft dominant]]),"")</f>
        <v>2140.6969415538433</v>
      </c>
      <c r="BJ751" s="49">
        <f>IFERROR(SUM(paper3[[#This Row],[Pwr ikke-dominant]:[Pwr dominant]]),"")</f>
        <v>737.74030068291495</v>
      </c>
      <c r="BK751" s="66"/>
      <c r="BL751" s="66"/>
      <c r="BM751" s="51">
        <f>IFERROR(paper3[[#This Row],[totforce]]/paper3[[#This Row],[bodymass]],"")</f>
        <v>41.167248876035451</v>
      </c>
      <c r="BN751" s="51">
        <f>IFERROR(paper3[[#This Row],[totpwr]]/paper3[[#This Row],[bodymass]],"")</f>
        <v>14.187313474671441</v>
      </c>
      <c r="BO751" s="136"/>
      <c r="BP751" s="40"/>
      <c r="BQ751" s="40"/>
      <c r="BR751" s="67"/>
      <c r="BS751" s="54"/>
      <c r="BT751" s="3"/>
      <c r="BU751" s="3"/>
      <c r="BV751" s="3"/>
      <c r="BW751" s="3"/>
      <c r="BX751" s="70"/>
      <c r="BY751" s="70"/>
      <c r="BZ751" s="59"/>
      <c r="CA751" s="59"/>
      <c r="CB751" s="59"/>
      <c r="CC751" s="59"/>
      <c r="CD751" s="60"/>
      <c r="CE751" s="60"/>
      <c r="CF751" s="61"/>
      <c r="CG751" s="61"/>
      <c r="CH751" s="61"/>
      <c r="CI751" s="41">
        <v>14.7</v>
      </c>
      <c r="CJ751" s="40">
        <f t="shared" si="4"/>
        <v>720</v>
      </c>
      <c r="CK751" s="3"/>
      <c r="CL751" s="62"/>
      <c r="CM751" s="63"/>
      <c r="CN751" s="3"/>
      <c r="CO751" s="3"/>
      <c r="CP751" s="41">
        <v>12.652777777777779</v>
      </c>
      <c r="CQ751" s="3"/>
      <c r="CR751" s="40"/>
      <c r="CS751" s="40"/>
      <c r="CT751" s="40"/>
      <c r="CU751" s="40"/>
      <c r="CV751" s="40"/>
      <c r="CW751" s="40"/>
      <c r="CX751" s="40"/>
      <c r="CY751" s="40"/>
      <c r="CZ751" s="40"/>
      <c r="DA751" s="40"/>
    </row>
    <row r="752" spans="1:105" ht="18.95" customHeight="1">
      <c r="A752" s="3">
        <v>839</v>
      </c>
      <c r="B752" s="92" t="s">
        <v>199</v>
      </c>
      <c r="C752" s="3"/>
      <c r="D752" s="202" t="s">
        <v>215</v>
      </c>
      <c r="E752" s="39">
        <v>45412</v>
      </c>
      <c r="F752" s="3" t="s">
        <v>186</v>
      </c>
      <c r="G752" s="3" t="s">
        <v>107</v>
      </c>
      <c r="H752" s="3">
        <v>2010</v>
      </c>
      <c r="I752" s="40" t="str">
        <f t="shared" si="2"/>
        <v>U14</v>
      </c>
      <c r="J752" s="40" t="s">
        <v>109</v>
      </c>
      <c r="K752" s="3"/>
      <c r="L752" s="3"/>
      <c r="M752" s="3"/>
      <c r="N752" s="3"/>
      <c r="O752" s="3"/>
      <c r="P752" s="3"/>
      <c r="Q752" s="3"/>
      <c r="R752" s="3"/>
      <c r="S752" s="3"/>
      <c r="T752" s="42"/>
      <c r="U752" s="188"/>
      <c r="V752" s="199"/>
      <c r="W752" s="73"/>
      <c r="X752" s="43"/>
      <c r="Y752" s="192"/>
      <c r="Z752" s="3"/>
      <c r="AA752" s="192"/>
      <c r="AB752" s="3"/>
      <c r="AC752" s="3"/>
      <c r="AD752" s="3"/>
      <c r="AE752" s="3"/>
      <c r="AF752" s="3"/>
      <c r="AG752" s="3"/>
      <c r="AH752" s="194"/>
      <c r="AI752" s="193"/>
      <c r="AJ752" s="194"/>
      <c r="AK752" s="130"/>
      <c r="AL752" s="203"/>
      <c r="AM752" s="203"/>
      <c r="AN752" s="3"/>
      <c r="AO752" s="3"/>
      <c r="AP752" s="137"/>
      <c r="AQ752" s="132"/>
      <c r="AR752" s="132"/>
      <c r="AS752" s="3"/>
      <c r="AT752" s="3"/>
      <c r="AU752" s="3"/>
      <c r="AV752" s="3"/>
      <c r="AW752" s="192"/>
      <c r="AX752" s="133"/>
      <c r="AY752" s="195" t="s">
        <v>249</v>
      </c>
      <c r="AZ752" s="40">
        <v>7</v>
      </c>
      <c r="BA752" s="40"/>
      <c r="BB752" s="40"/>
      <c r="BC752" s="40"/>
      <c r="BD752" s="135"/>
      <c r="BE752" s="135"/>
      <c r="BF752" s="40"/>
      <c r="BG752" s="135"/>
      <c r="BH752" s="135"/>
      <c r="BI752" s="49"/>
      <c r="BJ752" s="49"/>
      <c r="BK752" s="66"/>
      <c r="BL752" s="66"/>
      <c r="BM752" s="51"/>
      <c r="BN752" s="51"/>
      <c r="BO752" s="136"/>
      <c r="BP752" s="40"/>
      <c r="BQ752" s="40"/>
      <c r="BR752" s="67"/>
      <c r="BS752" s="54"/>
      <c r="BT752" s="3"/>
      <c r="BU752" s="3"/>
      <c r="BV752" s="3"/>
      <c r="BW752" s="3"/>
      <c r="BX752" s="70"/>
      <c r="BY752" s="70"/>
      <c r="BZ752" s="59"/>
      <c r="CA752" s="59"/>
      <c r="CB752" s="59"/>
      <c r="CC752" s="59"/>
      <c r="CD752" s="60"/>
      <c r="CE752" s="60"/>
      <c r="CF752" s="61"/>
      <c r="CG752" s="61"/>
      <c r="CH752" s="61"/>
      <c r="CI752" s="41"/>
      <c r="CJ752" s="40" t="s">
        <v>110</v>
      </c>
      <c r="CK752" s="3"/>
      <c r="CL752" s="62"/>
      <c r="CM752" s="63"/>
      <c r="CN752" s="3"/>
      <c r="CO752" s="3"/>
      <c r="CP752" s="41">
        <v>12.697222222222223</v>
      </c>
      <c r="CQ752" s="3"/>
      <c r="CR752" s="40"/>
      <c r="CS752" s="40"/>
      <c r="CT752" s="40"/>
      <c r="CU752" s="40"/>
      <c r="CV752" s="40"/>
      <c r="CW752" s="40"/>
      <c r="CX752" s="40"/>
      <c r="CY752" s="40"/>
      <c r="CZ752" s="40"/>
      <c r="DA752" s="40"/>
    </row>
    <row r="753" spans="1:105" ht="18.95" customHeight="1">
      <c r="A753" s="3">
        <v>840</v>
      </c>
      <c r="B753" s="92" t="s">
        <v>199</v>
      </c>
      <c r="C753" s="3" t="s">
        <v>104</v>
      </c>
      <c r="D753" s="202" t="s">
        <v>215</v>
      </c>
      <c r="E753" s="39">
        <v>45412</v>
      </c>
      <c r="F753" s="3" t="s">
        <v>186</v>
      </c>
      <c r="G753" s="3" t="s">
        <v>107</v>
      </c>
      <c r="H753" s="3">
        <v>2010</v>
      </c>
      <c r="I753" s="40" t="str">
        <f t="shared" si="2"/>
        <v>U14</v>
      </c>
      <c r="J753" s="40" t="s">
        <v>109</v>
      </c>
      <c r="K753" s="3">
        <v>174.5</v>
      </c>
      <c r="L753" s="3">
        <v>174.5</v>
      </c>
      <c r="M753" s="3"/>
      <c r="N753" s="3">
        <v>161.9</v>
      </c>
      <c r="O753" s="3">
        <v>161.80000000000001</v>
      </c>
      <c r="P753" s="3"/>
      <c r="Q753" s="3">
        <v>57.1</v>
      </c>
      <c r="R753" s="3">
        <v>57.1</v>
      </c>
      <c r="S753" s="3"/>
      <c r="T753" s="42">
        <v>174.5</v>
      </c>
      <c r="U753" s="188" cm="1">
        <f t="array" ref="U753">AVERAGE(paper3[[#This Row],[Sittende høyde 1]:[Sittende høyde 2]]-70.2)</f>
        <v>91.65</v>
      </c>
      <c r="V753" s="12">
        <f>paper3[[#This Row],[height]]-paper3[[#This Row],[sittingheight]]</f>
        <v>82.85</v>
      </c>
      <c r="W753" s="73">
        <v>57.1</v>
      </c>
      <c r="X753" s="43" cm="1">
        <f t="array" ref="X753">INDEX([1]!phvny[yphv], MATCH(1, (paper3[[#This Row],[id]]=[1]!phvny[id])*(paper3[[#This Row],[time]]=[1]!phvny[time]), 0))</f>
        <v>2.2089979949555887</v>
      </c>
      <c r="Y753" s="192">
        <v>1.851</v>
      </c>
      <c r="Z753" s="3">
        <v>3.43</v>
      </c>
      <c r="AA753" s="192">
        <v>5.0110000000000001</v>
      </c>
      <c r="AB753" s="3">
        <v>1.9530000000000001</v>
      </c>
      <c r="AC753" s="3">
        <v>3.5819999999999999</v>
      </c>
      <c r="AD753" s="3">
        <v>5.2080000000000002</v>
      </c>
      <c r="AE753" s="3">
        <v>1.887</v>
      </c>
      <c r="AF753" s="3">
        <v>3.4950000000000001</v>
      </c>
      <c r="AG753" s="3">
        <v>5.0999999999999996</v>
      </c>
      <c r="AH753" s="194">
        <v>1.851</v>
      </c>
      <c r="AI753" s="193">
        <v>3.43</v>
      </c>
      <c r="AJ753" s="194">
        <v>5.0110000000000001</v>
      </c>
      <c r="AK753" s="130"/>
      <c r="AL753" s="203">
        <v>12.11</v>
      </c>
      <c r="AM753" s="203">
        <v>11.11</v>
      </c>
      <c r="AN753" s="3">
        <v>11.16</v>
      </c>
      <c r="AO753" s="3">
        <v>11.02</v>
      </c>
      <c r="AP753" s="137">
        <f>MIN(AQ753:AR753)</f>
        <v>11.02</v>
      </c>
      <c r="AQ753" s="132">
        <v>11.11</v>
      </c>
      <c r="AR753" s="132">
        <v>11.02</v>
      </c>
      <c r="AS753" s="3"/>
      <c r="AT753" s="3"/>
      <c r="AU753" s="3"/>
      <c r="AV753" s="3"/>
      <c r="AW753" s="192"/>
      <c r="AX753" s="133">
        <v>18.3</v>
      </c>
      <c r="AY753" s="195" t="s">
        <v>249</v>
      </c>
      <c r="AZ753" s="40">
        <v>7</v>
      </c>
      <c r="BA753" s="40"/>
      <c r="BB753" s="40"/>
      <c r="BC753" s="40"/>
      <c r="BD753" s="135">
        <v>697.70163372454567</v>
      </c>
      <c r="BE753" s="135">
        <v>731.87055458947702</v>
      </c>
      <c r="BF753" s="40"/>
      <c r="BG753" s="135">
        <v>196.57687605396296</v>
      </c>
      <c r="BH753" s="135">
        <v>225.46394604037289</v>
      </c>
      <c r="BI753" s="49">
        <f>IFERROR(SUM(paper3[[#This Row],[Kraft ikke-dominant]:[Kraft dominant]]),"")</f>
        <v>1429.5721883140227</v>
      </c>
      <c r="BJ753" s="49">
        <f>IFERROR(SUM(paper3[[#This Row],[Pwr ikke-dominant]:[Pwr dominant]]),"")</f>
        <v>422.04082209433585</v>
      </c>
      <c r="BK753" s="66"/>
      <c r="BL753" s="66"/>
      <c r="BM753" s="51">
        <f>IFERROR(paper3[[#This Row],[totforce]]/paper3[[#This Row],[bodymass]],"")</f>
        <v>25.036290513380433</v>
      </c>
      <c r="BN753" s="51">
        <f>IFERROR(paper3[[#This Row],[totpwr]]/paper3[[#This Row],[bodymass]],"")</f>
        <v>7.3912578300233944</v>
      </c>
      <c r="BO753" s="136"/>
      <c r="BP753" s="40"/>
      <c r="BQ753" s="40"/>
      <c r="BR753" s="67"/>
      <c r="BS753" s="54"/>
      <c r="BT753" s="3"/>
      <c r="BU753" s="3"/>
      <c r="BV753" s="3"/>
      <c r="BW753" s="3"/>
      <c r="BX753" s="70"/>
      <c r="BY753" s="70"/>
      <c r="BZ753" s="59"/>
      <c r="CA753" s="59"/>
      <c r="CB753" s="59"/>
      <c r="CC753" s="59"/>
      <c r="CD753" s="60"/>
      <c r="CE753" s="60"/>
      <c r="CF753" s="61"/>
      <c r="CG753" s="61"/>
      <c r="CH753" s="61"/>
      <c r="CI753" s="41">
        <v>14.5</v>
      </c>
      <c r="CJ753" s="40">
        <f>VLOOKUP(CI753,$DB:$DC,2)</f>
        <v>640</v>
      </c>
      <c r="CK753" s="3"/>
      <c r="CL753" s="62"/>
      <c r="CM753" s="63"/>
      <c r="CN753" s="3"/>
      <c r="CO753" s="3"/>
      <c r="CP753" s="41">
        <v>12.583333333333334</v>
      </c>
      <c r="CQ753" s="3"/>
      <c r="CR753" s="40"/>
      <c r="CS753" s="40"/>
      <c r="CT753" s="40"/>
      <c r="CU753" s="40"/>
      <c r="CV753" s="40"/>
      <c r="CW753" s="40"/>
      <c r="CX753" s="40"/>
      <c r="CY753" s="40"/>
      <c r="CZ753" s="40"/>
      <c r="DA753" s="40"/>
    </row>
    <row r="754" spans="1:105" ht="18.95" customHeight="1">
      <c r="A754" s="3">
        <v>841</v>
      </c>
      <c r="B754" s="92" t="s">
        <v>199</v>
      </c>
      <c r="C754" s="3"/>
      <c r="D754" s="202" t="s">
        <v>215</v>
      </c>
      <c r="E754" s="39">
        <v>45412</v>
      </c>
      <c r="F754" s="3" t="s">
        <v>186</v>
      </c>
      <c r="G754" s="3" t="s">
        <v>107</v>
      </c>
      <c r="H754" s="3">
        <v>2010</v>
      </c>
      <c r="I754" s="40" t="str">
        <f t="shared" si="2"/>
        <v>U14</v>
      </c>
      <c r="J754" s="40" t="s">
        <v>109</v>
      </c>
      <c r="K754" s="3"/>
      <c r="L754" s="3"/>
      <c r="M754" s="3"/>
      <c r="N754" s="3"/>
      <c r="O754" s="3"/>
      <c r="P754" s="3"/>
      <c r="Q754" s="3"/>
      <c r="R754" s="3"/>
      <c r="S754" s="3"/>
      <c r="T754" s="42"/>
      <c r="U754" s="188"/>
      <c r="V754" s="199"/>
      <c r="W754" s="73"/>
      <c r="X754" s="43"/>
      <c r="Y754" s="192"/>
      <c r="Z754" s="3"/>
      <c r="AA754" s="192"/>
      <c r="AB754" s="3"/>
      <c r="AC754" s="3"/>
      <c r="AD754" s="3"/>
      <c r="AE754" s="3"/>
      <c r="AF754" s="3"/>
      <c r="AG754" s="3"/>
      <c r="AH754" s="194"/>
      <c r="AI754" s="193"/>
      <c r="AJ754" s="194"/>
      <c r="AK754" s="130"/>
      <c r="AL754" s="203"/>
      <c r="AM754" s="203"/>
      <c r="AN754" s="3"/>
      <c r="AO754" s="3"/>
      <c r="AP754" s="137"/>
      <c r="AQ754" s="132"/>
      <c r="AR754" s="132"/>
      <c r="AS754" s="3"/>
      <c r="AT754" s="3"/>
      <c r="AU754" s="3"/>
      <c r="AV754" s="3"/>
      <c r="AW754" s="192"/>
      <c r="AX754" s="133"/>
      <c r="AY754" s="195" t="s">
        <v>249</v>
      </c>
      <c r="AZ754" s="40">
        <v>7</v>
      </c>
      <c r="BA754" s="40"/>
      <c r="BB754" s="40"/>
      <c r="BC754" s="40"/>
      <c r="BD754" s="135"/>
      <c r="BE754" s="135"/>
      <c r="BF754" s="40"/>
      <c r="BG754" s="135"/>
      <c r="BH754" s="135"/>
      <c r="BI754" s="49"/>
      <c r="BJ754" s="49"/>
      <c r="BK754" s="66"/>
      <c r="BL754" s="66"/>
      <c r="BM754" s="51"/>
      <c r="BN754" s="51"/>
      <c r="BO754" s="136"/>
      <c r="BP754" s="40"/>
      <c r="BQ754" s="40"/>
      <c r="BR754" s="67"/>
      <c r="BS754" s="54"/>
      <c r="BT754" s="3"/>
      <c r="BU754" s="3"/>
      <c r="BV754" s="3"/>
      <c r="BW754" s="3"/>
      <c r="BX754" s="70"/>
      <c r="BY754" s="70"/>
      <c r="BZ754" s="59"/>
      <c r="CA754" s="59"/>
      <c r="CB754" s="59"/>
      <c r="CC754" s="59"/>
      <c r="CD754" s="60"/>
      <c r="CE754" s="60"/>
      <c r="CF754" s="61"/>
      <c r="CG754" s="61"/>
      <c r="CH754" s="61"/>
      <c r="CI754" s="41"/>
      <c r="CJ754" s="40" t="s">
        <v>110</v>
      </c>
      <c r="CK754" s="3"/>
      <c r="CL754" s="62"/>
      <c r="CM754" s="63"/>
      <c r="CN754" s="3"/>
      <c r="CO754" s="3"/>
      <c r="CP754" s="41">
        <v>13.069444444444445</v>
      </c>
      <c r="CQ754" s="3"/>
      <c r="CR754" s="40"/>
      <c r="CS754" s="40"/>
      <c r="CT754" s="40"/>
      <c r="CU754" s="40"/>
      <c r="CV754" s="40"/>
      <c r="CW754" s="40"/>
      <c r="CX754" s="40"/>
      <c r="CY754" s="40"/>
      <c r="CZ754" s="40"/>
      <c r="DA754" s="40"/>
    </row>
    <row r="755" spans="1:105" ht="18.95" customHeight="1">
      <c r="A755" s="3">
        <v>842</v>
      </c>
      <c r="B755" s="92" t="s">
        <v>199</v>
      </c>
      <c r="C755" s="3" t="s">
        <v>104</v>
      </c>
      <c r="D755" s="202" t="s">
        <v>215</v>
      </c>
      <c r="E755" s="39">
        <v>45412</v>
      </c>
      <c r="F755" s="3" t="s">
        <v>186</v>
      </c>
      <c r="G755" s="3" t="s">
        <v>107</v>
      </c>
      <c r="H755" s="3">
        <v>2010</v>
      </c>
      <c r="I755" s="40" t="str">
        <f t="shared" si="2"/>
        <v>U14</v>
      </c>
      <c r="J755" s="40" t="s">
        <v>109</v>
      </c>
      <c r="K755" s="3"/>
      <c r="L755" s="3"/>
      <c r="M755" s="3"/>
      <c r="N755" s="3"/>
      <c r="O755" s="3"/>
      <c r="P755" s="3"/>
      <c r="Q755" s="3"/>
      <c r="R755" s="3"/>
      <c r="S755" s="3"/>
      <c r="T755" s="42"/>
      <c r="U755" s="188"/>
      <c r="V755" s="199"/>
      <c r="W755" s="73"/>
      <c r="X755" s="43"/>
      <c r="Y755" s="192"/>
      <c r="Z755" s="3"/>
      <c r="AA755" s="192"/>
      <c r="AB755" s="3"/>
      <c r="AC755" s="3"/>
      <c r="AD755" s="3"/>
      <c r="AE755" s="3"/>
      <c r="AF755" s="3"/>
      <c r="AG755" s="3"/>
      <c r="AH755" s="194"/>
      <c r="AI755" s="193"/>
      <c r="AJ755" s="194"/>
      <c r="AK755" s="130"/>
      <c r="AL755" s="203"/>
      <c r="AM755" s="203"/>
      <c r="AN755" s="3"/>
      <c r="AO755" s="3"/>
      <c r="AP755" s="137"/>
      <c r="AQ755" s="132"/>
      <c r="AR755" s="132"/>
      <c r="AS755" s="3"/>
      <c r="AT755" s="3"/>
      <c r="AU755" s="3"/>
      <c r="AV755" s="3"/>
      <c r="AW755" s="192"/>
      <c r="AX755" s="133"/>
      <c r="AY755" s="195" t="s">
        <v>249</v>
      </c>
      <c r="AZ755" s="40">
        <v>7</v>
      </c>
      <c r="BA755" s="40"/>
      <c r="BB755" s="40"/>
      <c r="BC755" s="40"/>
      <c r="BD755" s="135"/>
      <c r="BE755" s="135"/>
      <c r="BF755" s="40"/>
      <c r="BG755" s="135"/>
      <c r="BH755" s="135"/>
      <c r="BI755" s="49"/>
      <c r="BJ755" s="49"/>
      <c r="BK755" s="66"/>
      <c r="BL755" s="66"/>
      <c r="BM755" s="51"/>
      <c r="BN755" s="51"/>
      <c r="BO755" s="136"/>
      <c r="BP755" s="40"/>
      <c r="BQ755" s="40"/>
      <c r="BR755" s="67"/>
      <c r="BS755" s="54"/>
      <c r="BT755" s="3"/>
      <c r="BU755" s="3"/>
      <c r="BV755" s="3"/>
      <c r="BW755" s="3"/>
      <c r="BX755" s="70"/>
      <c r="BY755" s="70"/>
      <c r="BZ755" s="59"/>
      <c r="CA755" s="59"/>
      <c r="CB755" s="59"/>
      <c r="CC755" s="59"/>
      <c r="CD755" s="60"/>
      <c r="CE755" s="60"/>
      <c r="CF755" s="61"/>
      <c r="CG755" s="61"/>
      <c r="CH755" s="61"/>
      <c r="CI755" s="41"/>
      <c r="CJ755" s="40" t="s">
        <v>110</v>
      </c>
      <c r="CK755" s="3"/>
      <c r="CL755" s="62"/>
      <c r="CM755" s="63"/>
      <c r="CN755" s="3"/>
      <c r="CO755" s="3"/>
      <c r="CP755" s="41">
        <v>12.894444444444444</v>
      </c>
      <c r="CQ755" s="3"/>
      <c r="CR755" s="40"/>
      <c r="CS755" s="40"/>
      <c r="CT755" s="40"/>
      <c r="CU755" s="40"/>
      <c r="CV755" s="40"/>
      <c r="CW755" s="40"/>
      <c r="CX755" s="40"/>
      <c r="CY755" s="40"/>
      <c r="CZ755" s="40"/>
      <c r="DA755" s="40"/>
    </row>
    <row r="756" spans="1:105" ht="18.95" customHeight="1">
      <c r="A756" s="3">
        <v>843</v>
      </c>
      <c r="B756" s="92" t="s">
        <v>199</v>
      </c>
      <c r="C756" s="3" t="s">
        <v>104</v>
      </c>
      <c r="D756" s="202" t="s">
        <v>215</v>
      </c>
      <c r="E756" s="39">
        <v>45412</v>
      </c>
      <c r="F756" s="3" t="s">
        <v>186</v>
      </c>
      <c r="G756" s="3" t="s">
        <v>107</v>
      </c>
      <c r="H756" s="3">
        <v>2010</v>
      </c>
      <c r="I756" s="40" t="str">
        <f t="shared" si="2"/>
        <v>U14</v>
      </c>
      <c r="J756" s="40" t="s">
        <v>109</v>
      </c>
      <c r="K756" s="3"/>
      <c r="L756" s="3"/>
      <c r="M756" s="3"/>
      <c r="N756" s="3"/>
      <c r="O756" s="3"/>
      <c r="P756" s="3"/>
      <c r="Q756" s="3"/>
      <c r="R756" s="3"/>
      <c r="S756" s="3"/>
      <c r="T756" s="42"/>
      <c r="U756" s="188"/>
      <c r="V756" s="199"/>
      <c r="W756" s="73"/>
      <c r="X756" s="43"/>
      <c r="Y756" s="192"/>
      <c r="Z756" s="3"/>
      <c r="AA756" s="192"/>
      <c r="AB756" s="3"/>
      <c r="AC756" s="3"/>
      <c r="AD756" s="3"/>
      <c r="AE756" s="3"/>
      <c r="AF756" s="3"/>
      <c r="AG756" s="3"/>
      <c r="AH756" s="194"/>
      <c r="AI756" s="193"/>
      <c r="AJ756" s="194"/>
      <c r="AK756" s="130"/>
      <c r="AL756" s="203"/>
      <c r="AM756" s="203"/>
      <c r="AN756" s="3"/>
      <c r="AO756" s="3"/>
      <c r="AP756" s="137"/>
      <c r="AQ756" s="132"/>
      <c r="AR756" s="132"/>
      <c r="AS756" s="3"/>
      <c r="AT756" s="3"/>
      <c r="AU756" s="3"/>
      <c r="AV756" s="3"/>
      <c r="AW756" s="192"/>
      <c r="AX756" s="133"/>
      <c r="AY756" s="195" t="s">
        <v>249</v>
      </c>
      <c r="AZ756" s="40">
        <v>7</v>
      </c>
      <c r="BA756" s="40"/>
      <c r="BB756" s="40"/>
      <c r="BC756" s="40"/>
      <c r="BD756" s="135"/>
      <c r="BE756" s="135"/>
      <c r="BF756" s="40"/>
      <c r="BG756" s="135"/>
      <c r="BH756" s="135"/>
      <c r="BI756" s="49"/>
      <c r="BJ756" s="49"/>
      <c r="BK756" s="66"/>
      <c r="BL756" s="66"/>
      <c r="BM756" s="51"/>
      <c r="BN756" s="51"/>
      <c r="BO756" s="136"/>
      <c r="BP756" s="40"/>
      <c r="BQ756" s="40"/>
      <c r="BR756" s="67"/>
      <c r="BS756" s="54"/>
      <c r="BT756" s="3"/>
      <c r="BU756" s="3"/>
      <c r="BV756" s="3"/>
      <c r="BW756" s="3"/>
      <c r="BX756" s="70"/>
      <c r="BY756" s="70"/>
      <c r="BZ756" s="59"/>
      <c r="CA756" s="59"/>
      <c r="CB756" s="59"/>
      <c r="CC756" s="59"/>
      <c r="CD756" s="60"/>
      <c r="CE756" s="60"/>
      <c r="CF756" s="61"/>
      <c r="CG756" s="61"/>
      <c r="CH756" s="61"/>
      <c r="CI756" s="41"/>
      <c r="CJ756" s="40" t="s">
        <v>110</v>
      </c>
      <c r="CK756" s="3"/>
      <c r="CL756" s="62"/>
      <c r="CM756" s="63"/>
      <c r="CN756" s="3"/>
      <c r="CO756" s="3"/>
      <c r="CP756" s="41">
        <v>13.375</v>
      </c>
      <c r="CQ756" s="3"/>
      <c r="CR756" s="40"/>
      <c r="CS756" s="40"/>
      <c r="CT756" s="40"/>
      <c r="CU756" s="40"/>
      <c r="CV756" s="40"/>
      <c r="CW756" s="40"/>
      <c r="CX756" s="40"/>
      <c r="CY756" s="40"/>
      <c r="CZ756" s="40"/>
      <c r="DA756" s="40"/>
    </row>
    <row r="757" spans="1:105" ht="18.95" customHeight="1">
      <c r="A757" s="3">
        <v>844</v>
      </c>
      <c r="B757" s="92" t="s">
        <v>199</v>
      </c>
      <c r="C757" s="3" t="s">
        <v>104</v>
      </c>
      <c r="D757" s="202" t="s">
        <v>215</v>
      </c>
      <c r="E757" s="39">
        <v>45412</v>
      </c>
      <c r="F757" s="3" t="s">
        <v>186</v>
      </c>
      <c r="G757" s="3" t="s">
        <v>107</v>
      </c>
      <c r="H757" s="3">
        <v>2010</v>
      </c>
      <c r="I757" s="40" t="str">
        <f t="shared" si="2"/>
        <v>U14</v>
      </c>
      <c r="J757" s="40" t="s">
        <v>109</v>
      </c>
      <c r="K757" s="3">
        <v>173.6</v>
      </c>
      <c r="L757" s="3">
        <v>173.6</v>
      </c>
      <c r="M757" s="3"/>
      <c r="N757" s="3">
        <v>161</v>
      </c>
      <c r="O757" s="3">
        <v>161</v>
      </c>
      <c r="P757" s="3"/>
      <c r="Q757" s="3" t="s">
        <v>251</v>
      </c>
      <c r="R757" s="3"/>
      <c r="S757" s="3"/>
      <c r="T757" s="42">
        <v>173.6</v>
      </c>
      <c r="U757" s="188" cm="1">
        <f t="array" ref="U757">AVERAGE(paper3[[#This Row],[Sittende høyde 1]:[Sittende høyde 2]]-70.2)</f>
        <v>90.8</v>
      </c>
      <c r="V757" s="12">
        <f>paper3[[#This Row],[height]]-paper3[[#This Row],[sittingheight]]</f>
        <v>82.8</v>
      </c>
      <c r="W757" s="73"/>
      <c r="X757" s="43" cm="1">
        <f t="array" ref="X757">INDEX([1]!phvny[yphv], MATCH(1, (paper3[[#This Row],[id]]=[1]!phvny[id])*(paper3[[#This Row],[time]]=[1]!phvny[time]), 0))</f>
        <v>2.2398841880000004</v>
      </c>
      <c r="Y757" s="192">
        <v>1.909</v>
      </c>
      <c r="Z757" s="3">
        <v>3.4820000000000002</v>
      </c>
      <c r="AA757" s="192">
        <v>4.9889999999999999</v>
      </c>
      <c r="AB757" s="3">
        <v>1.9650000000000001</v>
      </c>
      <c r="AC757" s="3">
        <v>3.5710000000000002</v>
      </c>
      <c r="AD757" s="3">
        <v>5.1319999999999997</v>
      </c>
      <c r="AE757" s="3">
        <v>1.9590000000000001</v>
      </c>
      <c r="AF757" s="3">
        <v>3.5779999999999998</v>
      </c>
      <c r="AG757" s="3">
        <v>5.1740000000000004</v>
      </c>
      <c r="AH757" s="194">
        <v>1.909</v>
      </c>
      <c r="AI757" s="193">
        <v>3.4820000000000002</v>
      </c>
      <c r="AJ757" s="194">
        <v>4.9889999999999999</v>
      </c>
      <c r="AK757" s="130"/>
      <c r="AL757" s="203"/>
      <c r="AM757" s="203"/>
      <c r="AN757" s="3"/>
      <c r="AO757" s="3"/>
      <c r="AP757" s="137"/>
      <c r="AQ757" s="132"/>
      <c r="AR757" s="132"/>
      <c r="AS757" s="3"/>
      <c r="AT757" s="3"/>
      <c r="AU757" s="3"/>
      <c r="AV757" s="3"/>
      <c r="AW757" s="192"/>
      <c r="AX757" s="133">
        <v>18</v>
      </c>
      <c r="AY757" s="195" t="s">
        <v>249</v>
      </c>
      <c r="AZ757" s="40">
        <v>7</v>
      </c>
      <c r="BA757" s="40"/>
      <c r="BB757" s="40"/>
      <c r="BC757" s="40"/>
      <c r="BD757" s="135">
        <v>1233.6411707738448</v>
      </c>
      <c r="BE757" s="135">
        <v>1254.4603128780109</v>
      </c>
      <c r="BF757" s="40"/>
      <c r="BG757" s="135">
        <v>435.64258961787789</v>
      </c>
      <c r="BH757" s="135">
        <v>461.00346124886312</v>
      </c>
      <c r="BI757" s="49"/>
      <c r="BJ757" s="49">
        <f>IFERROR(SUM(paper3[[#This Row],[Pwr ikke-dominant]:[Pwr dominant]]),"")</f>
        <v>896.64605086674101</v>
      </c>
      <c r="BK757" s="66"/>
      <c r="BL757" s="66"/>
      <c r="BM757" s="51"/>
      <c r="BN757" s="51" t="str">
        <f>IFERROR(paper3[[#This Row],[totpwr]]/paper3[[#This Row],[bodymass]],"")</f>
        <v/>
      </c>
      <c r="BO757" s="136"/>
      <c r="BP757" s="40"/>
      <c r="BQ757" s="40"/>
      <c r="BR757" s="67"/>
      <c r="BS757" s="54"/>
      <c r="BT757" s="3"/>
      <c r="BU757" s="3"/>
      <c r="BV757" s="3"/>
      <c r="BW757" s="3"/>
      <c r="BX757" s="70"/>
      <c r="BY757" s="70"/>
      <c r="BZ757" s="59"/>
      <c r="CA757" s="59"/>
      <c r="CB757" s="59"/>
      <c r="CC757" s="59"/>
      <c r="CD757" s="60"/>
      <c r="CE757" s="60"/>
      <c r="CF757" s="61"/>
      <c r="CG757" s="61"/>
      <c r="CH757" s="61"/>
      <c r="CI757" s="41"/>
      <c r="CJ757" s="40" t="s">
        <v>110</v>
      </c>
      <c r="CK757" s="3"/>
      <c r="CL757" s="62"/>
      <c r="CM757" s="63"/>
      <c r="CN757" s="3"/>
      <c r="CO757" s="3"/>
      <c r="CP757" s="41">
        <v>13.4</v>
      </c>
      <c r="CQ757" s="3"/>
      <c r="CR757" s="40"/>
      <c r="CS757" s="40"/>
      <c r="CT757" s="40"/>
      <c r="CU757" s="40"/>
      <c r="CV757" s="40"/>
      <c r="CW757" s="40"/>
      <c r="CX757" s="40"/>
      <c r="CY757" s="40"/>
      <c r="CZ757" s="40"/>
      <c r="DA757" s="40"/>
    </row>
    <row r="758" spans="1:105" ht="18.95" customHeight="1">
      <c r="A758" s="3">
        <v>845</v>
      </c>
      <c r="B758" s="92" t="s">
        <v>199</v>
      </c>
      <c r="C758" s="3"/>
      <c r="D758" s="202" t="s">
        <v>215</v>
      </c>
      <c r="E758" s="39">
        <v>45412</v>
      </c>
      <c r="F758" s="3" t="s">
        <v>186</v>
      </c>
      <c r="G758" s="3" t="s">
        <v>107</v>
      </c>
      <c r="H758" s="3">
        <v>2010</v>
      </c>
      <c r="I758" s="40" t="str">
        <f t="shared" si="2"/>
        <v>U14</v>
      </c>
      <c r="J758" s="40" t="s">
        <v>109</v>
      </c>
      <c r="K758" s="3"/>
      <c r="L758" s="3"/>
      <c r="M758" s="3"/>
      <c r="N758" s="3"/>
      <c r="O758" s="3"/>
      <c r="P758" s="3"/>
      <c r="Q758" s="3"/>
      <c r="R758" s="3"/>
      <c r="S758" s="3"/>
      <c r="T758" s="42"/>
      <c r="U758" s="188"/>
      <c r="V758" s="199"/>
      <c r="W758" s="73"/>
      <c r="X758" s="43"/>
      <c r="Y758" s="192"/>
      <c r="Z758" s="3"/>
      <c r="AA758" s="192"/>
      <c r="AB758" s="3"/>
      <c r="AC758" s="3"/>
      <c r="AD758" s="3"/>
      <c r="AE758" s="3"/>
      <c r="AF758" s="3"/>
      <c r="AG758" s="3"/>
      <c r="AH758" s="194"/>
      <c r="AI758" s="193"/>
      <c r="AJ758" s="194"/>
      <c r="AK758" s="130"/>
      <c r="AL758" s="203"/>
      <c r="AM758" s="203"/>
      <c r="AN758" s="3"/>
      <c r="AO758" s="3"/>
      <c r="AP758" s="137"/>
      <c r="AQ758" s="132"/>
      <c r="AR758" s="132"/>
      <c r="AS758" s="3"/>
      <c r="AT758" s="3"/>
      <c r="AU758" s="3"/>
      <c r="AV758" s="3"/>
      <c r="AW758" s="192"/>
      <c r="AX758" s="133"/>
      <c r="AY758" s="195" t="s">
        <v>249</v>
      </c>
      <c r="AZ758" s="40">
        <v>7</v>
      </c>
      <c r="BA758" s="40"/>
      <c r="BB758" s="40"/>
      <c r="BC758" s="40"/>
      <c r="BD758" s="135"/>
      <c r="BE758" s="135"/>
      <c r="BF758" s="40"/>
      <c r="BG758" s="135"/>
      <c r="BH758" s="135"/>
      <c r="BI758" s="49"/>
      <c r="BJ758" s="49"/>
      <c r="BK758" s="66"/>
      <c r="BL758" s="66"/>
      <c r="BM758" s="51"/>
      <c r="BN758" s="51"/>
      <c r="BO758" s="136"/>
      <c r="BP758" s="40"/>
      <c r="BQ758" s="40"/>
      <c r="BR758" s="67"/>
      <c r="BS758" s="54"/>
      <c r="BT758" s="3"/>
      <c r="BU758" s="3"/>
      <c r="BV758" s="3"/>
      <c r="BW758" s="3"/>
      <c r="BX758" s="70"/>
      <c r="BY758" s="70"/>
      <c r="BZ758" s="59"/>
      <c r="CA758" s="59"/>
      <c r="CB758" s="59"/>
      <c r="CC758" s="59"/>
      <c r="CD758" s="60"/>
      <c r="CE758" s="60"/>
      <c r="CF758" s="61"/>
      <c r="CG758" s="61"/>
      <c r="CH758" s="61"/>
      <c r="CI758" s="41"/>
      <c r="CJ758" s="40" t="s">
        <v>110</v>
      </c>
      <c r="CK758" s="3"/>
      <c r="CL758" s="62"/>
      <c r="CM758" s="63"/>
      <c r="CN758" s="3"/>
      <c r="CO758" s="3"/>
      <c r="CP758" s="41">
        <v>12.805555555555555</v>
      </c>
      <c r="CQ758" s="3"/>
      <c r="CR758" s="40"/>
      <c r="CS758" s="40"/>
      <c r="CT758" s="40"/>
      <c r="CU758" s="40"/>
      <c r="CV758" s="40"/>
      <c r="CW758" s="40"/>
      <c r="CX758" s="40"/>
      <c r="CY758" s="40"/>
      <c r="CZ758" s="40"/>
      <c r="DA758" s="40"/>
    </row>
    <row r="759" spans="1:105" ht="18.95" customHeight="1">
      <c r="A759" s="3">
        <v>846</v>
      </c>
      <c r="B759" s="92" t="s">
        <v>199</v>
      </c>
      <c r="C759" s="3" t="s">
        <v>104</v>
      </c>
      <c r="D759" s="202" t="s">
        <v>215</v>
      </c>
      <c r="E759" s="39">
        <v>45412</v>
      </c>
      <c r="F759" s="3" t="s">
        <v>186</v>
      </c>
      <c r="G759" s="3" t="s">
        <v>107</v>
      </c>
      <c r="H759" s="3">
        <v>2010</v>
      </c>
      <c r="I759" s="40" t="str">
        <f t="shared" si="2"/>
        <v>U14</v>
      </c>
      <c r="J759" s="40" t="s">
        <v>109</v>
      </c>
      <c r="K759" s="3">
        <v>158.19999999999999</v>
      </c>
      <c r="L759" s="3">
        <v>158.19999999999999</v>
      </c>
      <c r="M759" s="3"/>
      <c r="N759" s="3">
        <v>150</v>
      </c>
      <c r="O759" s="3">
        <v>150</v>
      </c>
      <c r="P759" s="3"/>
      <c r="Q759" s="3">
        <v>43.4</v>
      </c>
      <c r="R759" s="3">
        <v>43.4</v>
      </c>
      <c r="S759" s="3"/>
      <c r="T759" s="42">
        <v>158.19999999999999</v>
      </c>
      <c r="U759" s="188" cm="1">
        <f t="array" ref="U759">AVERAGE(paper3[[#This Row],[Sittende høyde 1]:[Sittende høyde 2]]-70.2)</f>
        <v>79.8</v>
      </c>
      <c r="V759" s="12">
        <f>paper3[[#This Row],[height]]-paper3[[#This Row],[sittingheight]]</f>
        <v>78.399999999999991</v>
      </c>
      <c r="W759" s="73">
        <v>43.4</v>
      </c>
      <c r="X759" s="43" cm="1">
        <f t="array" ref="X759">INDEX([1]!phvny[yphv], MATCH(1, (paper3[[#This Row],[id]]=[1]!phvny[id])*(paper3[[#This Row],[time]]=[1]!phvny[time]), 0))</f>
        <v>1.3534672061042261</v>
      </c>
      <c r="Y759" s="192">
        <v>1.9970000000000001</v>
      </c>
      <c r="Z759" s="3">
        <v>3.649</v>
      </c>
      <c r="AA759" s="192">
        <v>5.2549999999999999</v>
      </c>
      <c r="AB759" s="3">
        <v>1.9790000000000001</v>
      </c>
      <c r="AC759" s="3">
        <v>3.7349999999999999</v>
      </c>
      <c r="AD759" s="3">
        <v>5.3650000000000002</v>
      </c>
      <c r="AE759" s="3">
        <v>2.0379999999999998</v>
      </c>
      <c r="AF759" s="3">
        <v>3.7360000000000002</v>
      </c>
      <c r="AG759" s="3">
        <v>5.3949999999999996</v>
      </c>
      <c r="AH759" s="194">
        <v>1.9790000000000001</v>
      </c>
      <c r="AI759" s="193">
        <v>3.649</v>
      </c>
      <c r="AJ759" s="194">
        <v>5.2549999999999999</v>
      </c>
      <c r="AK759" s="130"/>
      <c r="AL759" s="203">
        <v>11.75</v>
      </c>
      <c r="AM759" s="203">
        <v>11.02</v>
      </c>
      <c r="AN759" s="3">
        <v>14.25</v>
      </c>
      <c r="AO759" s="3">
        <v>11.33</v>
      </c>
      <c r="AP759" s="137">
        <f>MIN(AQ759:AR759)</f>
        <v>11.02</v>
      </c>
      <c r="AQ759" s="132">
        <v>11.02</v>
      </c>
      <c r="AR759" s="132">
        <v>11.33</v>
      </c>
      <c r="AS759" s="3"/>
      <c r="AT759" s="3"/>
      <c r="AU759" s="3"/>
      <c r="AV759" s="3"/>
      <c r="AW759" s="192"/>
      <c r="AX759" s="133">
        <v>20</v>
      </c>
      <c r="AY759" s="195" t="s">
        <v>249</v>
      </c>
      <c r="AZ759" s="40">
        <v>7</v>
      </c>
      <c r="BA759" s="40"/>
      <c r="BB759" s="40"/>
      <c r="BC759" s="40"/>
      <c r="BD759" s="135">
        <v>879.00773042529386</v>
      </c>
      <c r="BE759" s="135">
        <v>964.21126958149</v>
      </c>
      <c r="BF759" s="40"/>
      <c r="BG759" s="135">
        <v>171.37903429413015</v>
      </c>
      <c r="BH759" s="135">
        <v>166.72085990781468</v>
      </c>
      <c r="BI759" s="49"/>
      <c r="BJ759" s="49">
        <f>IFERROR(SUM(paper3[[#This Row],[Pwr ikke-dominant]:[Pwr dominant]]),"")</f>
        <v>338.09989420194484</v>
      </c>
      <c r="BK759" s="66"/>
      <c r="BL759" s="66"/>
      <c r="BM759" s="51"/>
      <c r="BN759" s="51">
        <f>IFERROR(paper3[[#This Row],[totpwr]]/paper3[[#This Row],[bodymass]],"")</f>
        <v>7.7903201429019546</v>
      </c>
      <c r="BO759" s="136"/>
      <c r="BP759" s="40"/>
      <c r="BQ759" s="40"/>
      <c r="BR759" s="67"/>
      <c r="BS759" s="54"/>
      <c r="BT759" s="3"/>
      <c r="BU759" s="3"/>
      <c r="BV759" s="3"/>
      <c r="BW759" s="3"/>
      <c r="BX759" s="70"/>
      <c r="BY759" s="70"/>
      <c r="BZ759" s="59"/>
      <c r="CA759" s="59"/>
      <c r="CB759" s="59"/>
      <c r="CC759" s="59"/>
      <c r="CD759" s="60"/>
      <c r="CE759" s="60"/>
      <c r="CF759" s="61"/>
      <c r="CG759" s="61"/>
      <c r="CH759" s="61"/>
      <c r="CI759" s="41">
        <v>13.3</v>
      </c>
      <c r="CJ759" s="40">
        <f>VLOOKUP(CI759,$DB:$DC,2)</f>
        <v>400</v>
      </c>
      <c r="CK759" s="3"/>
      <c r="CL759" s="62"/>
      <c r="CM759" s="63"/>
      <c r="CN759" s="3"/>
      <c r="CO759" s="3"/>
      <c r="CP759" s="41">
        <v>13.305555555555555</v>
      </c>
      <c r="CQ759" s="3"/>
      <c r="CR759" s="40"/>
      <c r="CS759" s="40"/>
      <c r="CT759" s="40"/>
      <c r="CU759" s="40"/>
      <c r="CV759" s="40"/>
      <c r="CW759" s="40"/>
      <c r="CX759" s="40"/>
      <c r="CY759" s="40"/>
      <c r="CZ759" s="40"/>
      <c r="DA759" s="40"/>
    </row>
    <row r="760" spans="1:105" ht="18.95" customHeight="1">
      <c r="A760" s="3">
        <v>847</v>
      </c>
      <c r="B760" s="92" t="s">
        <v>199</v>
      </c>
      <c r="C760" s="3" t="s">
        <v>104</v>
      </c>
      <c r="D760" s="202" t="s">
        <v>215</v>
      </c>
      <c r="E760" s="39">
        <v>45412</v>
      </c>
      <c r="F760" s="3" t="s">
        <v>186</v>
      </c>
      <c r="G760" s="3" t="s">
        <v>107</v>
      </c>
      <c r="H760" s="3">
        <v>2010</v>
      </c>
      <c r="I760" s="40" t="str">
        <f t="shared" si="2"/>
        <v>U14</v>
      </c>
      <c r="J760" s="40" t="s">
        <v>109</v>
      </c>
      <c r="K760" s="3">
        <v>158.4</v>
      </c>
      <c r="L760" s="3">
        <v>158.4</v>
      </c>
      <c r="M760" s="3"/>
      <c r="N760" s="3">
        <v>153.4</v>
      </c>
      <c r="O760" s="3">
        <v>153.4</v>
      </c>
      <c r="P760" s="3"/>
      <c r="Q760" s="3">
        <v>50.5</v>
      </c>
      <c r="R760" s="3">
        <v>50.5</v>
      </c>
      <c r="S760" s="3"/>
      <c r="T760" s="42">
        <v>158.4</v>
      </c>
      <c r="U760" s="188" cm="1">
        <f t="array" ref="U760">AVERAGE(paper3[[#This Row],[Sittende høyde 1]:[Sittende høyde 2]]-70.2)</f>
        <v>83.2</v>
      </c>
      <c r="V760" s="12">
        <f>paper3[[#This Row],[height]]-paper3[[#This Row],[sittingheight]]</f>
        <v>75.2</v>
      </c>
      <c r="W760" s="73">
        <v>50.5</v>
      </c>
      <c r="X760" s="43" cm="1">
        <f t="array" ref="X760">INDEX([1]!phvny[yphv], MATCH(1, (paper3[[#This Row],[id]]=[1]!phvny[id])*(paper3[[#This Row],[time]]=[1]!phvny[time]), 0))</f>
        <v>1.5535811733030314</v>
      </c>
      <c r="Y760" s="192">
        <v>1.617</v>
      </c>
      <c r="Z760" s="3">
        <v>3.2349999999999999</v>
      </c>
      <c r="AA760" s="192">
        <v>4.7110000000000003</v>
      </c>
      <c r="AB760" s="3">
        <v>1.9550000000000001</v>
      </c>
      <c r="AC760" s="3">
        <v>3.4929999999999999</v>
      </c>
      <c r="AD760" s="3">
        <v>4.9489999999999998</v>
      </c>
      <c r="AE760" s="3"/>
      <c r="AF760" s="3"/>
      <c r="AG760" s="3"/>
      <c r="AH760" s="130">
        <f>MIN(AE760,AB760,Y760)</f>
        <v>1.617</v>
      </c>
      <c r="AI760" s="194">
        <f>MIN(AF760,AC760,Z760)</f>
        <v>3.2349999999999999</v>
      </c>
      <c r="AJ760" s="194">
        <f>MIN(AG760,AD760,AA760)</f>
        <v>4.7110000000000003</v>
      </c>
      <c r="AK760" s="130"/>
      <c r="AL760" s="203">
        <v>10.35</v>
      </c>
      <c r="AM760" s="203">
        <v>10.3</v>
      </c>
      <c r="AN760" s="3">
        <v>10.62</v>
      </c>
      <c r="AO760" s="3">
        <v>10.5</v>
      </c>
      <c r="AP760" s="137">
        <f>MIN(AQ760:AR760)</f>
        <v>10.5</v>
      </c>
      <c r="AQ760" s="132" t="s">
        <v>252</v>
      </c>
      <c r="AR760" s="132">
        <v>10.5</v>
      </c>
      <c r="AS760" s="3"/>
      <c r="AT760" s="3"/>
      <c r="AU760" s="3"/>
      <c r="AV760" s="3"/>
      <c r="AW760" s="192"/>
      <c r="AX760" s="133">
        <v>24.5</v>
      </c>
      <c r="AY760" s="195" t="s">
        <v>249</v>
      </c>
      <c r="AZ760" s="40">
        <v>7</v>
      </c>
      <c r="BA760" s="40"/>
      <c r="BB760" s="40"/>
      <c r="BC760" s="40"/>
      <c r="BD760" s="135">
        <v>895.32305264541799</v>
      </c>
      <c r="BE760" s="135">
        <v>879.10593883344177</v>
      </c>
      <c r="BF760" s="40"/>
      <c r="BG760" s="135">
        <v>236.43172649684624</v>
      </c>
      <c r="BH760" s="135">
        <v>225.75235899821212</v>
      </c>
      <c r="BI760" s="49">
        <f>IFERROR(SUM(paper3[[#This Row],[Kraft ikke-dominant]:[Kraft dominant]]),"")</f>
        <v>1774.4289914788596</v>
      </c>
      <c r="BJ760" s="49">
        <f>IFERROR(SUM(paper3[[#This Row],[Pwr ikke-dominant]:[Pwr dominant]]),"")</f>
        <v>462.18408549505835</v>
      </c>
      <c r="BK760" s="66"/>
      <c r="BL760" s="66"/>
      <c r="BM760" s="51">
        <f>IFERROR(paper3[[#This Row],[totforce]]/paper3[[#This Row],[bodymass]],"")</f>
        <v>35.137207752056625</v>
      </c>
      <c r="BN760" s="51">
        <f>IFERROR(paper3[[#This Row],[totpwr]]/paper3[[#This Row],[bodymass]],"")</f>
        <v>9.1521601088130371</v>
      </c>
      <c r="BO760" s="136"/>
      <c r="BP760" s="40"/>
      <c r="BQ760" s="40"/>
      <c r="BR760" s="67"/>
      <c r="BS760" s="54"/>
      <c r="BT760" s="3"/>
      <c r="BU760" s="3"/>
      <c r="BV760" s="3"/>
      <c r="BW760" s="3"/>
      <c r="BX760" s="70"/>
      <c r="BY760" s="70"/>
      <c r="BZ760" s="59"/>
      <c r="CA760" s="59"/>
      <c r="CB760" s="59"/>
      <c r="CC760" s="59"/>
      <c r="CD760" s="60"/>
      <c r="CE760" s="60"/>
      <c r="CF760" s="61"/>
      <c r="CG760" s="61"/>
      <c r="CH760" s="61"/>
      <c r="CI760" s="41">
        <v>15.3</v>
      </c>
      <c r="CJ760" s="40">
        <f>VLOOKUP(CI760,$DB:$DC,2)</f>
        <v>880</v>
      </c>
      <c r="CK760" s="3"/>
      <c r="CL760" s="62"/>
      <c r="CM760" s="63"/>
      <c r="CN760" s="3"/>
      <c r="CO760" s="3"/>
      <c r="CP760" s="41">
        <v>13.197222222222223</v>
      </c>
      <c r="CQ760" s="3"/>
      <c r="CR760" s="40"/>
      <c r="CS760" s="40"/>
      <c r="CT760" s="40"/>
      <c r="CU760" s="40"/>
      <c r="CV760" s="40"/>
      <c r="CW760" s="40"/>
      <c r="CX760" s="40"/>
      <c r="CY760" s="40"/>
      <c r="CZ760" s="40"/>
      <c r="DA760" s="40"/>
    </row>
    <row r="761" spans="1:105" ht="18.95" customHeight="1">
      <c r="A761" s="3">
        <v>848</v>
      </c>
      <c r="B761" s="92" t="s">
        <v>199</v>
      </c>
      <c r="C761" s="3" t="s">
        <v>171</v>
      </c>
      <c r="D761" s="202" t="s">
        <v>215</v>
      </c>
      <c r="E761" s="39">
        <v>45412</v>
      </c>
      <c r="F761" s="3" t="s">
        <v>186</v>
      </c>
      <c r="G761" s="3" t="s">
        <v>107</v>
      </c>
      <c r="H761" s="3">
        <v>2010</v>
      </c>
      <c r="I761" s="40" t="str">
        <f t="shared" si="2"/>
        <v>U14</v>
      </c>
      <c r="J761" s="40" t="s">
        <v>109</v>
      </c>
      <c r="K761" s="3">
        <v>165.8</v>
      </c>
      <c r="L761" s="3">
        <v>165.8</v>
      </c>
      <c r="M761" s="3"/>
      <c r="N761" s="3">
        <v>156</v>
      </c>
      <c r="O761" s="3">
        <v>156</v>
      </c>
      <c r="P761" s="3"/>
      <c r="Q761" s="3">
        <v>64</v>
      </c>
      <c r="R761" s="3">
        <v>64</v>
      </c>
      <c r="S761" s="3"/>
      <c r="T761" s="42">
        <v>165.8</v>
      </c>
      <c r="U761" s="188" cm="1">
        <f t="array" ref="U761">AVERAGE(paper3[[#This Row],[Sittende høyde 1]:[Sittende høyde 2]]-70.2)</f>
        <v>85.8</v>
      </c>
      <c r="V761" s="12">
        <f>paper3[[#This Row],[height]]-paper3[[#This Row],[sittingheight]]</f>
        <v>80.000000000000014</v>
      </c>
      <c r="W761" s="73">
        <v>64</v>
      </c>
      <c r="X761" s="43" cm="1">
        <f t="array" ref="X761">INDEX([1]!phvny[yphv], MATCH(1, (paper3[[#This Row],[id]]=[1]!phvny[id])*(paper3[[#This Row],[time]]=[1]!phvny[time]), 0))</f>
        <v>1.8149844124648169</v>
      </c>
      <c r="Y761" s="192">
        <v>1.9330000000000001</v>
      </c>
      <c r="Z761" s="3">
        <v>3.5529999999999999</v>
      </c>
      <c r="AA761" s="192">
        <v>5.1020000000000003</v>
      </c>
      <c r="AB761" s="3">
        <v>2.0049999999999999</v>
      </c>
      <c r="AC761" s="3">
        <v>3.6389999999999998</v>
      </c>
      <c r="AD761" s="3">
        <v>5.2510000000000003</v>
      </c>
      <c r="AE761" s="3">
        <v>1.968</v>
      </c>
      <c r="AF761" s="3">
        <v>3.6179999999999999</v>
      </c>
      <c r="AG761" s="3">
        <v>5.2309999999999999</v>
      </c>
      <c r="AH761" s="194">
        <v>1.9330000000000001</v>
      </c>
      <c r="AI761" s="193">
        <v>3.5529999999999999</v>
      </c>
      <c r="AJ761" s="194">
        <v>5.1020000000000003</v>
      </c>
      <c r="AK761" s="130"/>
      <c r="AL761" s="203">
        <v>11.33</v>
      </c>
      <c r="AM761" s="203">
        <v>11.36</v>
      </c>
      <c r="AN761" s="3">
        <v>11.21</v>
      </c>
      <c r="AO761" s="3">
        <v>11.33</v>
      </c>
      <c r="AP761" s="137">
        <f>MIN(AQ761:AR761)</f>
        <v>11.21</v>
      </c>
      <c r="AQ761" s="132">
        <v>11.33</v>
      </c>
      <c r="AR761" s="132">
        <v>11.21</v>
      </c>
      <c r="AS761" s="3"/>
      <c r="AT761" s="3"/>
      <c r="AU761" s="3"/>
      <c r="AV761" s="3"/>
      <c r="AW761" s="192"/>
      <c r="AX761" s="133">
        <v>22.1</v>
      </c>
      <c r="AY761" s="195" t="s">
        <v>249</v>
      </c>
      <c r="AZ761" s="40">
        <v>7</v>
      </c>
      <c r="BA761" s="40"/>
      <c r="BB761" s="40"/>
      <c r="BC761" s="40"/>
      <c r="BD761" s="135">
        <v>924.78363757223963</v>
      </c>
      <c r="BE761" s="135">
        <v>1007.4777264392835</v>
      </c>
      <c r="BF761" s="40"/>
      <c r="BG761" s="135">
        <v>396.7306063724709</v>
      </c>
      <c r="BH761" s="135">
        <v>354.37039398161903</v>
      </c>
      <c r="BI761" s="49"/>
      <c r="BJ761" s="49">
        <f>IFERROR(SUM(paper3[[#This Row],[Pwr ikke-dominant]:[Pwr dominant]]),"")</f>
        <v>751.10100035408993</v>
      </c>
      <c r="BK761" s="66"/>
      <c r="BL761" s="66"/>
      <c r="BM761" s="51"/>
      <c r="BN761" s="51">
        <f>IFERROR(paper3[[#This Row],[totpwr]]/paper3[[#This Row],[bodymass]],"")</f>
        <v>11.735953130532655</v>
      </c>
      <c r="BO761" s="136"/>
      <c r="BP761" s="40"/>
      <c r="BQ761" s="40"/>
      <c r="BR761" s="67"/>
      <c r="BS761" s="54"/>
      <c r="BT761" s="3"/>
      <c r="BU761" s="3"/>
      <c r="BV761" s="3"/>
      <c r="BW761" s="3"/>
      <c r="BX761" s="70"/>
      <c r="BY761" s="70"/>
      <c r="BZ761" s="59"/>
      <c r="CA761" s="59"/>
      <c r="CB761" s="59"/>
      <c r="CC761" s="59"/>
      <c r="CD761" s="60"/>
      <c r="CE761" s="60"/>
      <c r="CF761" s="61"/>
      <c r="CG761" s="61"/>
      <c r="CH761" s="61"/>
      <c r="CI761" s="41">
        <v>15.2</v>
      </c>
      <c r="CJ761" s="40">
        <f>VLOOKUP(CI761,$DB:$DC,2)</f>
        <v>840</v>
      </c>
      <c r="CK761" s="3"/>
      <c r="CL761" s="62"/>
      <c r="CM761" s="63"/>
      <c r="CN761" s="3"/>
      <c r="CO761" s="3"/>
      <c r="CP761" s="41">
        <v>12.75</v>
      </c>
      <c r="CQ761" s="3"/>
      <c r="CR761" s="40"/>
      <c r="CS761" s="40"/>
      <c r="CT761" s="40"/>
      <c r="CU761" s="40"/>
      <c r="CV761" s="40"/>
      <c r="CW761" s="40"/>
      <c r="CX761" s="40"/>
      <c r="CY761" s="40"/>
      <c r="CZ761" s="40"/>
      <c r="DA761" s="40"/>
    </row>
    <row r="762" spans="1:105" ht="18.95" customHeight="1">
      <c r="A762" s="3">
        <v>849</v>
      </c>
      <c r="B762" s="92" t="s">
        <v>199</v>
      </c>
      <c r="C762" s="3" t="s">
        <v>104</v>
      </c>
      <c r="D762" s="202" t="s">
        <v>215</v>
      </c>
      <c r="E762" s="39">
        <v>45412</v>
      </c>
      <c r="F762" s="3" t="s">
        <v>186</v>
      </c>
      <c r="G762" s="3" t="s">
        <v>107</v>
      </c>
      <c r="H762" s="3">
        <v>2010</v>
      </c>
      <c r="I762" s="40" t="str">
        <f t="shared" si="2"/>
        <v>U14</v>
      </c>
      <c r="J762" s="40" t="s">
        <v>109</v>
      </c>
      <c r="K762" s="3">
        <v>169</v>
      </c>
      <c r="L762" s="3">
        <v>169</v>
      </c>
      <c r="M762" s="3"/>
      <c r="N762" s="3">
        <v>157.69999999999999</v>
      </c>
      <c r="O762" s="3">
        <v>157.80000000000001</v>
      </c>
      <c r="P762" s="3"/>
      <c r="Q762" s="3">
        <v>44.7</v>
      </c>
      <c r="R762" s="3">
        <v>44.7</v>
      </c>
      <c r="S762" s="3"/>
      <c r="T762" s="42">
        <v>169</v>
      </c>
      <c r="U762" s="188" cm="1">
        <f t="array" ref="U762">AVERAGE(paper3[[#This Row],[Sittende høyde 1]:[Sittende høyde 2]]-70.2)</f>
        <v>87.55</v>
      </c>
      <c r="V762" s="12">
        <f>paper3[[#This Row],[height]]-paper3[[#This Row],[sittingheight]]</f>
        <v>81.45</v>
      </c>
      <c r="W762" s="73">
        <v>44.7</v>
      </c>
      <c r="X762" s="43" cm="1">
        <f t="array" ref="X762">INDEX([1]!phvny[yphv], MATCH(1, (paper3[[#This Row],[id]]=[1]!phvny[id])*(paper3[[#This Row],[time]]=[1]!phvny[time]), 0))</f>
        <v>2.0276523516449703</v>
      </c>
      <c r="Y762" s="192">
        <v>2.073</v>
      </c>
      <c r="Z762" s="3">
        <v>3.8330000000000002</v>
      </c>
      <c r="AA762" s="192">
        <v>5.5419999999999998</v>
      </c>
      <c r="AB762" s="3">
        <v>2.1019999999999999</v>
      </c>
      <c r="AC762" s="3">
        <v>3.92</v>
      </c>
      <c r="AD762" s="3">
        <v>5.66</v>
      </c>
      <c r="AE762" s="3">
        <v>2.1459999999999999</v>
      </c>
      <c r="AF762" s="3">
        <v>4.016</v>
      </c>
      <c r="AG762" s="3">
        <v>5.8360000000000003</v>
      </c>
      <c r="AH762" s="194">
        <v>2.073</v>
      </c>
      <c r="AI762" s="193">
        <v>3.8330000000000002</v>
      </c>
      <c r="AJ762" s="194">
        <v>5.5419999999999998</v>
      </c>
      <c r="AK762" s="130"/>
      <c r="AL762" s="203">
        <v>13.47</v>
      </c>
      <c r="AM762" s="203">
        <v>11.72</v>
      </c>
      <c r="AN762" s="3">
        <v>11.45</v>
      </c>
      <c r="AO762" s="3">
        <v>11.33</v>
      </c>
      <c r="AP762" s="137">
        <f>MIN(AQ762:AR762)</f>
        <v>11.33</v>
      </c>
      <c r="AQ762" s="132">
        <v>11.72</v>
      </c>
      <c r="AR762" s="132">
        <v>11.33</v>
      </c>
      <c r="AS762" s="3"/>
      <c r="AT762" s="3"/>
      <c r="AU762" s="3"/>
      <c r="AV762" s="3"/>
      <c r="AW762" s="192"/>
      <c r="AX762" s="133">
        <v>18.3</v>
      </c>
      <c r="AY762" s="195" t="s">
        <v>249</v>
      </c>
      <c r="AZ762" s="40">
        <v>7</v>
      </c>
      <c r="BA762" s="40"/>
      <c r="BB762" s="40"/>
      <c r="BC762" s="40"/>
      <c r="BD762" s="135">
        <v>569</v>
      </c>
      <c r="BE762" s="135">
        <v>518</v>
      </c>
      <c r="BF762" s="40"/>
      <c r="BG762" s="135">
        <v>220</v>
      </c>
      <c r="BH762" s="135">
        <v>216</v>
      </c>
      <c r="BI762" s="49">
        <f>IFERROR(SUM(paper3[[#This Row],[Kraft ikke-dominant]:[Kraft dominant]]),"")</f>
        <v>1087</v>
      </c>
      <c r="BJ762" s="49">
        <f>IFERROR(SUM(paper3[[#This Row],[Pwr ikke-dominant]:[Pwr dominant]]),"")</f>
        <v>436</v>
      </c>
      <c r="BK762" s="66"/>
      <c r="BL762" s="66"/>
      <c r="BM762" s="51">
        <f>IFERROR(paper3[[#This Row],[totforce]]/paper3[[#This Row],[bodymass]],"")</f>
        <v>24.317673378076062</v>
      </c>
      <c r="BN762" s="51">
        <f>IFERROR(paper3[[#This Row],[totpwr]]/paper3[[#This Row],[bodymass]],"")</f>
        <v>9.7539149888143175</v>
      </c>
      <c r="BO762" s="136"/>
      <c r="BP762" s="40"/>
      <c r="BQ762" s="40"/>
      <c r="BR762" s="67"/>
      <c r="BS762" s="54"/>
      <c r="BT762" s="3"/>
      <c r="BU762" s="3"/>
      <c r="BV762" s="3"/>
      <c r="BW762" s="3"/>
      <c r="BX762" s="70"/>
      <c r="BY762" s="70"/>
      <c r="BZ762" s="59"/>
      <c r="CA762" s="59"/>
      <c r="CB762" s="59"/>
      <c r="CC762" s="59"/>
      <c r="CD762" s="60"/>
      <c r="CE762" s="60"/>
      <c r="CF762" s="61"/>
      <c r="CG762" s="61"/>
      <c r="CH762" s="61"/>
      <c r="CI762" s="41">
        <v>14.8</v>
      </c>
      <c r="CJ762" s="40">
        <f>VLOOKUP(CI762,$DB:$DC,2)</f>
        <v>760</v>
      </c>
      <c r="CK762" s="3"/>
      <c r="CL762" s="62"/>
      <c r="CM762" s="63"/>
      <c r="CN762" s="3"/>
      <c r="CO762" s="3"/>
      <c r="CP762" s="41">
        <v>13.122222222222222</v>
      </c>
      <c r="CQ762" s="3"/>
      <c r="CR762" s="40"/>
      <c r="CS762" s="40"/>
      <c r="CT762" s="40"/>
      <c r="CU762" s="40"/>
      <c r="CV762" s="40"/>
      <c r="CW762" s="40"/>
      <c r="CX762" s="40"/>
      <c r="CY762" s="40"/>
      <c r="CZ762" s="40"/>
      <c r="DA762" s="40"/>
    </row>
    <row r="763" spans="1:105" ht="18.75">
      <c r="A763" s="3">
        <v>850</v>
      </c>
      <c r="B763" s="92" t="s">
        <v>199</v>
      </c>
      <c r="C763" s="3" t="s">
        <v>104</v>
      </c>
      <c r="D763" s="202" t="s">
        <v>215</v>
      </c>
      <c r="E763" s="39">
        <v>45412</v>
      </c>
      <c r="F763" s="3" t="s">
        <v>186</v>
      </c>
      <c r="G763" s="3" t="s">
        <v>107</v>
      </c>
      <c r="H763" s="3">
        <v>2010</v>
      </c>
      <c r="I763" s="40" t="str">
        <f t="shared" si="2"/>
        <v>U14</v>
      </c>
      <c r="J763" s="40" t="s">
        <v>109</v>
      </c>
      <c r="K763" s="3">
        <v>159</v>
      </c>
      <c r="L763" s="3">
        <v>159</v>
      </c>
      <c r="M763" s="3"/>
      <c r="N763" s="3">
        <v>152</v>
      </c>
      <c r="O763" s="3">
        <v>152</v>
      </c>
      <c r="P763" s="3"/>
      <c r="Q763" s="3">
        <v>59.2</v>
      </c>
      <c r="R763" s="3">
        <v>59.2</v>
      </c>
      <c r="S763" s="3"/>
      <c r="T763" s="42">
        <v>159</v>
      </c>
      <c r="U763" s="188" cm="1">
        <f t="array" ref="U763">AVERAGE(paper3[[#This Row],[Sittende høyde 1]:[Sittende høyde 2]]-70.2)</f>
        <v>81.8</v>
      </c>
      <c r="V763" s="12">
        <f>paper3[[#This Row],[height]]-paper3[[#This Row],[sittingheight]]</f>
        <v>77.2</v>
      </c>
      <c r="W763" s="73">
        <v>59.2</v>
      </c>
      <c r="X763" s="43" cm="1">
        <f t="array" ref="X763">INDEX([1]!phvny[yphv], MATCH(1, (paper3[[#This Row],[id]]=[1]!phvny[id])*(paper3[[#This Row],[time]]=[1]!phvny[time]), 0))</f>
        <v>1.4113307244633133</v>
      </c>
      <c r="Y763" s="192">
        <v>2.028</v>
      </c>
      <c r="Z763" s="3">
        <v>3.762</v>
      </c>
      <c r="AA763" s="192">
        <v>5.4909999999999997</v>
      </c>
      <c r="AB763" s="3">
        <v>2.036</v>
      </c>
      <c r="AC763" s="3">
        <v>3.7429999999999999</v>
      </c>
      <c r="AD763" s="3">
        <v>5.468</v>
      </c>
      <c r="AE763" s="3">
        <v>2.081</v>
      </c>
      <c r="AF763" s="3">
        <v>3.8159999999999998</v>
      </c>
      <c r="AG763" s="3">
        <v>5.5369999999999999</v>
      </c>
      <c r="AH763" s="194">
        <v>2.028</v>
      </c>
      <c r="AI763" s="193">
        <v>3.7429999999999999</v>
      </c>
      <c r="AJ763" s="194">
        <v>5.468</v>
      </c>
      <c r="AK763" s="130"/>
      <c r="AL763" s="203"/>
      <c r="AM763" s="203"/>
      <c r="AN763" s="3"/>
      <c r="AO763" s="3"/>
      <c r="AP763" s="137"/>
      <c r="AQ763" s="132"/>
      <c r="AR763" s="132"/>
      <c r="AS763" s="3"/>
      <c r="AT763" s="3"/>
      <c r="AU763" s="3"/>
      <c r="AV763" s="3"/>
      <c r="AW763" s="192"/>
      <c r="AX763" s="133">
        <v>18.100000000000001</v>
      </c>
      <c r="AY763" s="195" t="s">
        <v>249</v>
      </c>
      <c r="AZ763" s="40">
        <v>7</v>
      </c>
      <c r="BA763" s="40"/>
      <c r="BB763" s="40"/>
      <c r="BC763" s="40"/>
      <c r="BD763" s="135">
        <v>775.48680824794269</v>
      </c>
      <c r="BE763" s="135">
        <v>774.07658566492137</v>
      </c>
      <c r="BF763" s="40"/>
      <c r="BG763" s="135">
        <v>242.00289753004023</v>
      </c>
      <c r="BH763" s="135">
        <v>231.71518573660376</v>
      </c>
      <c r="BI763" s="49">
        <f>IFERROR(SUM(paper3[[#This Row],[Kraft ikke-dominant]:[Kraft dominant]]),"")</f>
        <v>1549.5633939128641</v>
      </c>
      <c r="BJ763" s="49">
        <f>IFERROR(SUM(paper3[[#This Row],[Pwr ikke-dominant]:[Pwr dominant]]),"")</f>
        <v>473.71808326664399</v>
      </c>
      <c r="BK763" s="66"/>
      <c r="BL763" s="66"/>
      <c r="BM763" s="51">
        <f>IFERROR(paper3[[#This Row],[totforce]]/paper3[[#This Row],[bodymass]],"")</f>
        <v>26.175057329609189</v>
      </c>
      <c r="BN763" s="51">
        <f>IFERROR(paper3[[#This Row],[totpwr]]/paper3[[#This Row],[bodymass]],"")</f>
        <v>8.0019946497743906</v>
      </c>
      <c r="BO763" s="136"/>
      <c r="BP763" s="40"/>
      <c r="BQ763" s="40"/>
      <c r="BR763" s="67"/>
      <c r="BS763" s="54"/>
      <c r="BT763" s="3"/>
      <c r="BU763" s="3"/>
      <c r="BV763" s="3"/>
      <c r="BW763" s="3"/>
      <c r="BX763" s="70"/>
      <c r="BY763" s="70"/>
      <c r="BZ763" s="59"/>
      <c r="CA763" s="59"/>
      <c r="CB763" s="59"/>
      <c r="CC763" s="59"/>
      <c r="CD763" s="60"/>
      <c r="CE763" s="60"/>
      <c r="CF763" s="61"/>
      <c r="CG763" s="61"/>
      <c r="CH763" s="61"/>
      <c r="CI763" s="41"/>
      <c r="CJ763" s="40" t="s">
        <v>110</v>
      </c>
      <c r="CK763" s="3"/>
      <c r="CL763" s="62"/>
      <c r="CM763" s="63"/>
      <c r="CN763" s="3"/>
      <c r="CO763" s="3"/>
      <c r="CP763" s="41">
        <v>12.819444444444445</v>
      </c>
      <c r="CQ763" s="3"/>
      <c r="CR763" s="40"/>
      <c r="CS763" s="40"/>
      <c r="CT763" s="40"/>
      <c r="CU763" s="40"/>
      <c r="CV763" s="40"/>
      <c r="CW763" s="40"/>
      <c r="CX763" s="40"/>
      <c r="CY763" s="40"/>
      <c r="CZ763" s="40"/>
      <c r="DA763" s="40"/>
    </row>
    <row r="764" spans="1:105" ht="18.75">
      <c r="A764" s="3">
        <v>851</v>
      </c>
      <c r="B764" s="92" t="s">
        <v>199</v>
      </c>
      <c r="C764" s="3" t="s">
        <v>171</v>
      </c>
      <c r="D764" s="202" t="s">
        <v>215</v>
      </c>
      <c r="E764" s="39">
        <v>45412</v>
      </c>
      <c r="F764" s="3" t="s">
        <v>186</v>
      </c>
      <c r="G764" s="3" t="s">
        <v>107</v>
      </c>
      <c r="H764" s="3">
        <v>2010</v>
      </c>
      <c r="I764" s="40" t="str">
        <f t="shared" si="2"/>
        <v>U14</v>
      </c>
      <c r="J764" s="40" t="s">
        <v>109</v>
      </c>
      <c r="K764" s="3">
        <v>160.9</v>
      </c>
      <c r="L764" s="3">
        <v>160.80000000000001</v>
      </c>
      <c r="M764" s="3"/>
      <c r="N764" s="3">
        <v>152.6</v>
      </c>
      <c r="O764" s="3">
        <v>152.6</v>
      </c>
      <c r="P764" s="3"/>
      <c r="Q764" s="3">
        <v>48</v>
      </c>
      <c r="R764" s="3">
        <v>48</v>
      </c>
      <c r="S764" s="3"/>
      <c r="T764" s="42">
        <v>160.85000000000002</v>
      </c>
      <c r="U764" s="188" cm="1">
        <f t="array" ref="U764">AVERAGE(paper3[[#This Row],[Sittende høyde 1]:[Sittende høyde 2]]-70.2)</f>
        <v>82.399999999999991</v>
      </c>
      <c r="V764" s="12">
        <f>paper3[[#This Row],[height]]-paper3[[#This Row],[sittingheight]]</f>
        <v>78.450000000000031</v>
      </c>
      <c r="W764" s="73">
        <v>48</v>
      </c>
      <c r="X764" s="43" cm="1">
        <f t="array" ref="X764">INDEX([1]!phvny[yphv], MATCH(1, (paper3[[#This Row],[id]]=[1]!phvny[id])*(paper3[[#This Row],[time]]=[1]!phvny[time]), 0))</f>
        <v>1.3422659781168804</v>
      </c>
      <c r="Y764" s="192">
        <v>1.889</v>
      </c>
      <c r="Z764" s="3">
        <v>3.4390000000000001</v>
      </c>
      <c r="AA764" s="192">
        <v>4.9420000000000002</v>
      </c>
      <c r="AB764" s="3">
        <v>1.9490000000000001</v>
      </c>
      <c r="AC764" s="3">
        <v>3.5489999999999999</v>
      </c>
      <c r="AD764" s="3">
        <v>5.1050000000000004</v>
      </c>
      <c r="AE764" s="3">
        <v>1.927</v>
      </c>
      <c r="AF764" s="3">
        <v>3.577</v>
      </c>
      <c r="AG764" s="3">
        <v>5.2089999999999996</v>
      </c>
      <c r="AH764" s="194">
        <v>1.889</v>
      </c>
      <c r="AI764" s="193">
        <v>3.4390000000000001</v>
      </c>
      <c r="AJ764" s="194">
        <v>4.9420000000000002</v>
      </c>
      <c r="AK764" s="130"/>
      <c r="AL764" s="203">
        <v>11.2</v>
      </c>
      <c r="AM764" s="203">
        <v>11.22</v>
      </c>
      <c r="AN764" s="3">
        <v>10.78</v>
      </c>
      <c r="AO764" s="3">
        <v>10.62</v>
      </c>
      <c r="AP764" s="137">
        <f>MIN(AQ764:AR764)</f>
        <v>10.62</v>
      </c>
      <c r="AQ764" s="132">
        <v>11.2</v>
      </c>
      <c r="AR764" s="132">
        <v>10.62</v>
      </c>
      <c r="AS764" s="3"/>
      <c r="AT764" s="3"/>
      <c r="AU764" s="3"/>
      <c r="AV764" s="3"/>
      <c r="AW764" s="192"/>
      <c r="AX764" s="133">
        <v>19.7</v>
      </c>
      <c r="AY764" s="195" t="s">
        <v>249</v>
      </c>
      <c r="AZ764" s="40">
        <v>7</v>
      </c>
      <c r="BA764" s="40"/>
      <c r="BB764" s="40"/>
      <c r="BC764" s="40"/>
      <c r="BD764" s="135">
        <v>832.92102090791695</v>
      </c>
      <c r="BE764" s="135">
        <v>958.71817858698341</v>
      </c>
      <c r="BF764" s="40"/>
      <c r="BG764" s="135">
        <v>254.77649569501739</v>
      </c>
      <c r="BH764" s="135">
        <v>264.34378500129645</v>
      </c>
      <c r="BI764" s="49">
        <f>IFERROR(SUM(paper3[[#This Row],[Kraft ikke-dominant]:[Kraft dominant]]),"")</f>
        <v>1791.6391994949004</v>
      </c>
      <c r="BJ764" s="49">
        <f>IFERROR(SUM(paper3[[#This Row],[Pwr ikke-dominant]:[Pwr dominant]]),"")</f>
        <v>519.12028069631378</v>
      </c>
      <c r="BK764" s="66"/>
      <c r="BL764" s="66"/>
      <c r="BM764" s="51">
        <f>IFERROR(paper3[[#This Row],[totforce]]/paper3[[#This Row],[bodymass]],"")</f>
        <v>37.325816656143758</v>
      </c>
      <c r="BN764" s="51">
        <f>IFERROR(paper3[[#This Row],[totpwr]]/paper3[[#This Row],[bodymass]],"")</f>
        <v>10.815005847839871</v>
      </c>
      <c r="BO764" s="136"/>
      <c r="BP764" s="40"/>
      <c r="BQ764" s="40"/>
      <c r="BR764" s="67"/>
      <c r="BS764" s="54"/>
      <c r="BT764" s="3"/>
      <c r="BU764" s="3"/>
      <c r="BV764" s="3"/>
      <c r="BW764" s="3"/>
      <c r="BX764" s="70"/>
      <c r="BY764" s="70"/>
      <c r="BZ764" s="59"/>
      <c r="CA764" s="59"/>
      <c r="CB764" s="59"/>
      <c r="CC764" s="59"/>
      <c r="CD764" s="60"/>
      <c r="CE764" s="60"/>
      <c r="CF764" s="61"/>
      <c r="CG764" s="61"/>
      <c r="CH764" s="61"/>
      <c r="CI764" s="41">
        <v>14.3</v>
      </c>
      <c r="CJ764" s="40">
        <f>VLOOKUP(CI764,$DB:$DC,2)</f>
        <v>560</v>
      </c>
      <c r="CK764" s="3"/>
      <c r="CL764" s="62"/>
      <c r="CM764" s="63"/>
      <c r="CN764" s="3"/>
      <c r="CO764" s="3"/>
      <c r="CP764" s="41">
        <v>12.775</v>
      </c>
      <c r="CQ764" s="3"/>
      <c r="CR764" s="40"/>
      <c r="CS764" s="40"/>
      <c r="CT764" s="40"/>
      <c r="CU764" s="40"/>
      <c r="CV764" s="40"/>
      <c r="CW764" s="40"/>
      <c r="CX764" s="40"/>
      <c r="CY764" s="40"/>
      <c r="CZ764" s="40"/>
      <c r="DA764" s="40"/>
    </row>
    <row r="765" spans="1:105" ht="18.75">
      <c r="A765" s="3">
        <v>852</v>
      </c>
      <c r="B765" s="92" t="s">
        <v>199</v>
      </c>
      <c r="C765" s="3" t="s">
        <v>171</v>
      </c>
      <c r="D765" s="202" t="s">
        <v>215</v>
      </c>
      <c r="E765" s="39">
        <v>45412</v>
      </c>
      <c r="F765" s="3" t="s">
        <v>186</v>
      </c>
      <c r="G765" s="3" t="s">
        <v>107</v>
      </c>
      <c r="H765" s="3">
        <v>2010</v>
      </c>
      <c r="I765" s="40" t="str">
        <f t="shared" si="2"/>
        <v>U14</v>
      </c>
      <c r="J765" s="40" t="s">
        <v>109</v>
      </c>
      <c r="K765" s="3">
        <v>161.6</v>
      </c>
      <c r="L765" s="3">
        <v>161.6</v>
      </c>
      <c r="M765" s="3"/>
      <c r="N765" s="3">
        <v>155</v>
      </c>
      <c r="O765" s="3">
        <v>155</v>
      </c>
      <c r="P765" s="3"/>
      <c r="Q765" s="3">
        <v>68.5</v>
      </c>
      <c r="R765" s="3">
        <v>68.5</v>
      </c>
      <c r="S765" s="3"/>
      <c r="T765" s="42">
        <v>161.6</v>
      </c>
      <c r="U765" s="188" cm="1">
        <f t="array" ref="U765">AVERAGE(paper3[[#This Row],[Sittende høyde 1]:[Sittende høyde 2]]-70.2)</f>
        <v>84.8</v>
      </c>
      <c r="V765" s="12">
        <f>paper3[[#This Row],[height]]-paper3[[#This Row],[sittingheight]]</f>
        <v>76.8</v>
      </c>
      <c r="W765" s="73">
        <v>68.5</v>
      </c>
      <c r="X765" s="43" cm="1">
        <f t="array" ref="X765">INDEX([1]!phvny[yphv], MATCH(1, (paper3[[#This Row],[id]]=[1]!phvny[id])*(paper3[[#This Row],[time]]=[1]!phvny[time]), 0))</f>
        <v>1.5748447423564347</v>
      </c>
      <c r="Y765" s="192">
        <v>1.925</v>
      </c>
      <c r="Z765" s="3">
        <v>3.5659999999999998</v>
      </c>
      <c r="AA765" s="192">
        <v>5.2039999999999997</v>
      </c>
      <c r="AB765" s="3"/>
      <c r="AC765" s="3"/>
      <c r="AD765" s="3"/>
      <c r="AE765" s="3">
        <v>2.0830000000000002</v>
      </c>
      <c r="AF765" s="3">
        <v>3.835</v>
      </c>
      <c r="AG765" s="3">
        <v>5.625</v>
      </c>
      <c r="AH765" s="194">
        <v>1.925</v>
      </c>
      <c r="AI765" s="193">
        <v>3.5659999999999998</v>
      </c>
      <c r="AJ765" s="194">
        <v>5.2039999999999997</v>
      </c>
      <c r="AK765" s="130"/>
      <c r="AL765" s="203">
        <v>12.34</v>
      </c>
      <c r="AM765" s="203">
        <v>12.16</v>
      </c>
      <c r="AN765" s="3">
        <v>15.77</v>
      </c>
      <c r="AO765" s="3">
        <v>11.91</v>
      </c>
      <c r="AP765" s="137">
        <f>MIN(AQ765:AR765)</f>
        <v>11.91</v>
      </c>
      <c r="AQ765" s="132">
        <v>12.16</v>
      </c>
      <c r="AR765" s="132">
        <v>11.91</v>
      </c>
      <c r="AS765" s="3"/>
      <c r="AT765" s="3"/>
      <c r="AU765" s="3"/>
      <c r="AV765" s="3"/>
      <c r="AW765" s="192"/>
      <c r="AX765" s="133">
        <v>19</v>
      </c>
      <c r="AY765" s="195" t="s">
        <v>249</v>
      </c>
      <c r="AZ765" s="40">
        <v>7</v>
      </c>
      <c r="BA765" s="40"/>
      <c r="BB765" s="40"/>
      <c r="BC765" s="40"/>
      <c r="BD765" s="135">
        <v>1329.0588532171651</v>
      </c>
      <c r="BE765" s="135">
        <v>1294.132519441021</v>
      </c>
      <c r="BF765" s="40"/>
      <c r="BG765" s="135">
        <v>257.49908815853968</v>
      </c>
      <c r="BH765" s="135">
        <v>240.36508547388044</v>
      </c>
      <c r="BI765" s="49">
        <f>IFERROR(SUM(paper3[[#This Row],[Kraft ikke-dominant]:[Kraft dominant]]),"")</f>
        <v>2623.1913726581861</v>
      </c>
      <c r="BJ765" s="49">
        <f>IFERROR(SUM(paper3[[#This Row],[Pwr ikke-dominant]:[Pwr dominant]]),"")</f>
        <v>497.86417363242015</v>
      </c>
      <c r="BK765" s="66"/>
      <c r="BL765" s="66"/>
      <c r="BM765" s="51">
        <f>IFERROR(paper3[[#This Row],[totforce]]/paper3[[#This Row],[bodymass]],"")</f>
        <v>38.294764564353081</v>
      </c>
      <c r="BN765" s="51">
        <f>IFERROR(paper3[[#This Row],[totpwr]]/paper3[[#This Row],[bodymass]],"")</f>
        <v>7.2680901260207325</v>
      </c>
      <c r="BO765" s="136"/>
      <c r="BP765" s="40"/>
      <c r="BQ765" s="40"/>
      <c r="BR765" s="67"/>
      <c r="BS765" s="54"/>
      <c r="BT765" s="3"/>
      <c r="BU765" s="3"/>
      <c r="BV765" s="3"/>
      <c r="BW765" s="3"/>
      <c r="BX765" s="70"/>
      <c r="BY765" s="70"/>
      <c r="BZ765" s="59"/>
      <c r="CA765" s="59"/>
      <c r="CB765" s="59"/>
      <c r="CC765" s="59"/>
      <c r="CD765" s="60"/>
      <c r="CE765" s="60"/>
      <c r="CF765" s="61"/>
      <c r="CG765" s="61"/>
      <c r="CH765" s="61"/>
      <c r="CI765" s="41">
        <v>12.1</v>
      </c>
      <c r="CJ765" s="40">
        <f>VLOOKUP(CI765,$DB:$DC,2)</f>
        <v>200</v>
      </c>
      <c r="CK765" s="3"/>
      <c r="CL765" s="62"/>
      <c r="CM765" s="63"/>
      <c r="CN765" s="3"/>
      <c r="CO765" s="3"/>
      <c r="CP765" s="41">
        <v>12.491666666666667</v>
      </c>
      <c r="CQ765" s="3"/>
      <c r="CR765" s="40"/>
      <c r="CS765" s="40"/>
      <c r="CT765" s="40"/>
      <c r="CU765" s="40"/>
      <c r="CV765" s="40"/>
      <c r="CW765" s="40"/>
      <c r="CX765" s="40"/>
      <c r="CY765" s="40"/>
      <c r="CZ765" s="40"/>
      <c r="DA765" s="40"/>
    </row>
    <row r="766" spans="1:105" ht="18.95" customHeight="1">
      <c r="A766" s="3">
        <v>853</v>
      </c>
      <c r="B766" s="92" t="s">
        <v>199</v>
      </c>
      <c r="C766" s="3">
        <v>0</v>
      </c>
      <c r="D766" s="202" t="s">
        <v>215</v>
      </c>
      <c r="E766" s="39">
        <v>45412</v>
      </c>
      <c r="F766" s="3" t="s">
        <v>186</v>
      </c>
      <c r="G766" s="3" t="s">
        <v>107</v>
      </c>
      <c r="H766" s="3">
        <v>2010</v>
      </c>
      <c r="I766" s="40" t="str">
        <f t="shared" si="2"/>
        <v>U14</v>
      </c>
      <c r="J766" s="40" t="s">
        <v>109</v>
      </c>
      <c r="K766" s="3"/>
      <c r="L766" s="3"/>
      <c r="M766" s="3"/>
      <c r="N766" s="3"/>
      <c r="O766" s="3"/>
      <c r="P766" s="3"/>
      <c r="Q766" s="3"/>
      <c r="R766" s="3"/>
      <c r="S766" s="3"/>
      <c r="T766" s="42"/>
      <c r="U766" s="188"/>
      <c r="V766" s="199"/>
      <c r="W766" s="73"/>
      <c r="X766" s="43"/>
      <c r="Y766" s="192"/>
      <c r="Z766" s="3"/>
      <c r="AA766" s="192"/>
      <c r="AB766" s="3"/>
      <c r="AC766" s="3"/>
      <c r="AD766" s="3"/>
      <c r="AE766" s="3"/>
      <c r="AF766" s="3"/>
      <c r="AG766" s="3"/>
      <c r="AH766" s="194"/>
      <c r="AI766" s="193"/>
      <c r="AJ766" s="194"/>
      <c r="AK766" s="130"/>
      <c r="AL766" s="203"/>
      <c r="AM766" s="203"/>
      <c r="AN766" s="3"/>
      <c r="AO766" s="3"/>
      <c r="AP766" s="137"/>
      <c r="AQ766" s="132"/>
      <c r="AR766" s="132"/>
      <c r="AS766" s="3"/>
      <c r="AT766" s="3"/>
      <c r="AU766" s="3"/>
      <c r="AV766" s="3"/>
      <c r="AW766" s="192"/>
      <c r="AX766" s="133"/>
      <c r="AY766" s="195" t="s">
        <v>249</v>
      </c>
      <c r="AZ766" s="40">
        <v>7</v>
      </c>
      <c r="BA766" s="40"/>
      <c r="BB766" s="40"/>
      <c r="BC766" s="40"/>
      <c r="BD766" s="135"/>
      <c r="BE766" s="135"/>
      <c r="BF766" s="40"/>
      <c r="BG766" s="135"/>
      <c r="BH766" s="135"/>
      <c r="BI766" s="49"/>
      <c r="BJ766" s="49"/>
      <c r="BK766" s="66"/>
      <c r="BL766" s="66"/>
      <c r="BM766" s="51"/>
      <c r="BN766" s="51"/>
      <c r="BO766" s="136"/>
      <c r="BP766" s="40"/>
      <c r="BQ766" s="40"/>
      <c r="BR766" s="67"/>
      <c r="BS766" s="54"/>
      <c r="BT766" s="3"/>
      <c r="BU766" s="3"/>
      <c r="BV766" s="3"/>
      <c r="BW766" s="3"/>
      <c r="BX766" s="70"/>
      <c r="BY766" s="70"/>
      <c r="BZ766" s="59"/>
      <c r="CA766" s="59"/>
      <c r="CB766" s="59"/>
      <c r="CC766" s="59"/>
      <c r="CD766" s="60"/>
      <c r="CE766" s="60"/>
      <c r="CF766" s="61"/>
      <c r="CG766" s="61"/>
      <c r="CH766" s="61"/>
      <c r="CI766" s="41"/>
      <c r="CJ766" s="40" t="s">
        <v>110</v>
      </c>
      <c r="CK766" s="3"/>
      <c r="CL766" s="62"/>
      <c r="CM766" s="63"/>
      <c r="CN766" s="3"/>
      <c r="CO766" s="3"/>
      <c r="CP766" s="41">
        <v>13.1</v>
      </c>
      <c r="CQ766" s="3"/>
      <c r="CR766" s="40"/>
      <c r="CS766" s="40"/>
      <c r="CT766" s="40"/>
      <c r="CU766" s="40"/>
      <c r="CV766" s="40"/>
      <c r="CW766" s="40"/>
      <c r="CX766" s="40"/>
      <c r="CY766" s="40"/>
      <c r="CZ766" s="40"/>
      <c r="DA766" s="40"/>
    </row>
    <row r="767" spans="1:105" ht="18.95" customHeight="1">
      <c r="A767" s="3">
        <v>854</v>
      </c>
      <c r="B767" s="92" t="s">
        <v>199</v>
      </c>
      <c r="C767" s="3" t="s">
        <v>104</v>
      </c>
      <c r="D767" s="202" t="s">
        <v>215</v>
      </c>
      <c r="E767" s="39">
        <v>45412</v>
      </c>
      <c r="F767" s="3" t="s">
        <v>186</v>
      </c>
      <c r="G767" s="3" t="s">
        <v>107</v>
      </c>
      <c r="H767" s="3">
        <v>2010</v>
      </c>
      <c r="I767" s="40" t="str">
        <f t="shared" si="2"/>
        <v>U14</v>
      </c>
      <c r="J767" s="40" t="s">
        <v>109</v>
      </c>
      <c r="K767" s="3">
        <v>170.3</v>
      </c>
      <c r="L767" s="3">
        <v>170.3</v>
      </c>
      <c r="M767" s="3"/>
      <c r="N767" s="3">
        <v>157.5</v>
      </c>
      <c r="O767" s="3">
        <v>157.5</v>
      </c>
      <c r="P767" s="3"/>
      <c r="Q767" s="3">
        <v>56.5</v>
      </c>
      <c r="R767" s="3">
        <v>56.5</v>
      </c>
      <c r="S767" s="3"/>
      <c r="T767" s="42">
        <v>170.3</v>
      </c>
      <c r="U767" s="188" cm="1">
        <f t="array" ref="U767">AVERAGE(paper3[[#This Row],[Sittende høyde 1]:[Sittende høyde 2]]-70.2)</f>
        <v>87.3</v>
      </c>
      <c r="V767" s="12">
        <f>paper3[[#This Row],[height]]-paper3[[#This Row],[sittingheight]]</f>
        <v>83.000000000000014</v>
      </c>
      <c r="W767" s="73">
        <v>56.5</v>
      </c>
      <c r="X767" s="43" cm="1">
        <f t="array" ref="X767">INDEX([1]!phvny[yphv], MATCH(1, (paper3[[#This Row],[id]]=[1]!phvny[id])*(paper3[[#This Row],[time]]=[1]!phvny[time]), 0))</f>
        <v>1.8871971789516868</v>
      </c>
      <c r="Y767" s="192">
        <v>1.7549999999999999</v>
      </c>
      <c r="Z767" s="3">
        <v>3.266</v>
      </c>
      <c r="AA767" s="192">
        <v>4.7480000000000002</v>
      </c>
      <c r="AB767" s="3">
        <v>1.8380000000000001</v>
      </c>
      <c r="AC767" s="3">
        <v>3.3359999999999999</v>
      </c>
      <c r="AD767" s="3">
        <v>4.8079999999999998</v>
      </c>
      <c r="AE767" s="3"/>
      <c r="AF767" s="3"/>
      <c r="AG767" s="3"/>
      <c r="AH767" s="194">
        <f>MIN(AE767,AB767,Y767)</f>
        <v>1.7549999999999999</v>
      </c>
      <c r="AI767" s="194">
        <f>MIN(AF767,AC767,Z767)</f>
        <v>3.266</v>
      </c>
      <c r="AJ767" s="194">
        <f>MIN(AG767,AD767,AA767)</f>
        <v>4.7480000000000002</v>
      </c>
      <c r="AK767" s="130"/>
      <c r="AL767" s="203">
        <v>10.65</v>
      </c>
      <c r="AM767" s="203">
        <v>10.68</v>
      </c>
      <c r="AN767" s="3">
        <v>10.87</v>
      </c>
      <c r="AO767" s="3">
        <v>10.97</v>
      </c>
      <c r="AP767" s="137">
        <f>MIN(AQ767:AR767)</f>
        <v>10.65</v>
      </c>
      <c r="AQ767" s="132">
        <v>10.65</v>
      </c>
      <c r="AR767" s="132">
        <v>10.87</v>
      </c>
      <c r="AS767" s="3"/>
      <c r="AT767" s="3"/>
      <c r="AU767" s="3"/>
      <c r="AV767" s="3"/>
      <c r="AW767" s="192"/>
      <c r="AX767" s="133">
        <v>25.7</v>
      </c>
      <c r="AY767" s="195" t="s">
        <v>249</v>
      </c>
      <c r="AZ767" s="40">
        <v>7</v>
      </c>
      <c r="BA767" s="40"/>
      <c r="BB767" s="40"/>
      <c r="BC767" s="40"/>
      <c r="BD767" s="135">
        <v>717.70599038617354</v>
      </c>
      <c r="BE767" s="135">
        <v>703.76697199108617</v>
      </c>
      <c r="BF767" s="40"/>
      <c r="BG767" s="135">
        <v>275.16682563025256</v>
      </c>
      <c r="BH767" s="135">
        <v>270.25184022064389</v>
      </c>
      <c r="BI767" s="49">
        <f>IFERROR(SUM(paper3[[#This Row],[Kraft ikke-dominant]:[Kraft dominant]]),"")</f>
        <v>1421.4729623772596</v>
      </c>
      <c r="BJ767" s="49">
        <f>IFERROR(SUM(paper3[[#This Row],[Pwr ikke-dominant]:[Pwr dominant]]),"")</f>
        <v>545.41866585089645</v>
      </c>
      <c r="BK767" s="66"/>
      <c r="BL767" s="66"/>
      <c r="BM767" s="51">
        <f>IFERROR(paper3[[#This Row],[totforce]]/paper3[[#This Row],[bodymass]],"")</f>
        <v>25.158813493402825</v>
      </c>
      <c r="BN767" s="51">
        <f>IFERROR(paper3[[#This Row],[totpwr]]/paper3[[#This Row],[bodymass]],"")</f>
        <v>9.6534277141751588</v>
      </c>
      <c r="BO767" s="136"/>
      <c r="BP767" s="40"/>
      <c r="BQ767" s="40"/>
      <c r="BR767" s="67"/>
      <c r="BS767" s="54"/>
      <c r="BT767" s="3"/>
      <c r="BU767" s="3"/>
      <c r="BV767" s="3"/>
      <c r="BW767" s="3"/>
      <c r="BX767" s="70"/>
      <c r="BY767" s="70"/>
      <c r="BZ767" s="59"/>
      <c r="CA767" s="59"/>
      <c r="CB767" s="59"/>
      <c r="CC767" s="59"/>
      <c r="CD767" s="60"/>
      <c r="CE767" s="60"/>
      <c r="CF767" s="61"/>
      <c r="CG767" s="61"/>
      <c r="CH767" s="61"/>
      <c r="CI767" s="41">
        <v>14.4</v>
      </c>
      <c r="CJ767" s="40">
        <f>VLOOKUP(CI767,$DB:$DC,2)</f>
        <v>600</v>
      </c>
      <c r="CK767" s="3"/>
      <c r="CL767" s="62"/>
      <c r="CM767" s="63"/>
      <c r="CN767" s="3"/>
      <c r="CO767" s="3"/>
      <c r="CP767" s="41">
        <v>12.633333333333333</v>
      </c>
      <c r="CQ767" s="3"/>
      <c r="CR767" s="40"/>
      <c r="CS767" s="40"/>
      <c r="CT767" s="40"/>
      <c r="CU767" s="40"/>
      <c r="CV767" s="40"/>
      <c r="CW767" s="40"/>
      <c r="CX767" s="40"/>
      <c r="CY767" s="40"/>
      <c r="CZ767" s="40"/>
      <c r="DA767" s="40"/>
    </row>
    <row r="768" spans="1:105" ht="18.95" customHeight="1">
      <c r="A768" s="3">
        <v>855</v>
      </c>
      <c r="B768" s="92" t="s">
        <v>199</v>
      </c>
      <c r="C768" s="3" t="s">
        <v>104</v>
      </c>
      <c r="D768" s="202" t="s">
        <v>215</v>
      </c>
      <c r="E768" s="39">
        <v>45412</v>
      </c>
      <c r="F768" s="3" t="s">
        <v>186</v>
      </c>
      <c r="G768" s="3" t="s">
        <v>107</v>
      </c>
      <c r="H768" s="3">
        <v>2010</v>
      </c>
      <c r="I768" s="40" t="str">
        <f t="shared" si="2"/>
        <v>U14</v>
      </c>
      <c r="J768" s="40" t="s">
        <v>109</v>
      </c>
      <c r="K768" s="3"/>
      <c r="L768" s="3"/>
      <c r="M768" s="3"/>
      <c r="N768" s="3"/>
      <c r="O768" s="3"/>
      <c r="P768" s="3"/>
      <c r="Q768" s="3"/>
      <c r="R768" s="3"/>
      <c r="S768" s="3"/>
      <c r="T768" s="42"/>
      <c r="U768" s="188"/>
      <c r="V768" s="199"/>
      <c r="W768" s="73"/>
      <c r="X768" s="43"/>
      <c r="Y768" s="192"/>
      <c r="Z768" s="3"/>
      <c r="AA768" s="192"/>
      <c r="AB768" s="3"/>
      <c r="AC768" s="3"/>
      <c r="AD768" s="3"/>
      <c r="AE768" s="3"/>
      <c r="AF768" s="3"/>
      <c r="AG768" s="3"/>
      <c r="AH768" s="194"/>
      <c r="AI768" s="193"/>
      <c r="AJ768" s="194"/>
      <c r="AK768" s="130"/>
      <c r="AL768" s="203"/>
      <c r="AM768" s="203"/>
      <c r="AN768" s="3"/>
      <c r="AO768" s="3"/>
      <c r="AP768" s="137"/>
      <c r="AQ768" s="132"/>
      <c r="AR768" s="132"/>
      <c r="AS768" s="3"/>
      <c r="AT768" s="3"/>
      <c r="AU768" s="3"/>
      <c r="AV768" s="3"/>
      <c r="AW768" s="192"/>
      <c r="AX768" s="133"/>
      <c r="AY768" s="195" t="s">
        <v>249</v>
      </c>
      <c r="AZ768" s="40">
        <v>7</v>
      </c>
      <c r="BA768" s="40"/>
      <c r="BB768" s="40"/>
      <c r="BC768" s="40"/>
      <c r="BD768" s="135"/>
      <c r="BE768" s="135"/>
      <c r="BF768" s="40"/>
      <c r="BG768" s="135"/>
      <c r="BH768" s="135"/>
      <c r="BI768" s="49"/>
      <c r="BJ768" s="49"/>
      <c r="BK768" s="66"/>
      <c r="BL768" s="66"/>
      <c r="BM768" s="51"/>
      <c r="BN768" s="51"/>
      <c r="BO768" s="136"/>
      <c r="BP768" s="40"/>
      <c r="BQ768" s="40"/>
      <c r="BR768" s="67"/>
      <c r="BS768" s="54"/>
      <c r="BT768" s="3"/>
      <c r="BU768" s="3"/>
      <c r="BV768" s="3"/>
      <c r="BW768" s="3"/>
      <c r="BX768" s="70"/>
      <c r="BY768" s="70"/>
      <c r="BZ768" s="59"/>
      <c r="CA768" s="59"/>
      <c r="CB768" s="59"/>
      <c r="CC768" s="59"/>
      <c r="CD768" s="60"/>
      <c r="CE768" s="60"/>
      <c r="CF768" s="61"/>
      <c r="CG768" s="61"/>
      <c r="CH768" s="61"/>
      <c r="CI768" s="41"/>
      <c r="CJ768" s="40" t="s">
        <v>110</v>
      </c>
      <c r="CK768" s="3"/>
      <c r="CL768" s="62"/>
      <c r="CM768" s="63"/>
      <c r="CN768" s="3"/>
      <c r="CO768" s="3"/>
      <c r="CP768" s="41">
        <v>13.013888888888889</v>
      </c>
      <c r="CQ768" s="3"/>
      <c r="CR768" s="40"/>
      <c r="CS768" s="40"/>
      <c r="CT768" s="40"/>
      <c r="CU768" s="40"/>
      <c r="CV768" s="40"/>
      <c r="CW768" s="40"/>
      <c r="CX768" s="40"/>
      <c r="CY768" s="40"/>
      <c r="CZ768" s="40"/>
      <c r="DA768" s="40"/>
    </row>
    <row r="769" spans="1:105" ht="18.95" customHeight="1">
      <c r="A769" s="3">
        <v>856</v>
      </c>
      <c r="B769" s="92" t="s">
        <v>199</v>
      </c>
      <c r="C769" s="3" t="s">
        <v>171</v>
      </c>
      <c r="D769" s="202" t="s">
        <v>215</v>
      </c>
      <c r="E769" s="39">
        <v>45412</v>
      </c>
      <c r="F769" s="3" t="s">
        <v>186</v>
      </c>
      <c r="G769" s="3" t="s">
        <v>107</v>
      </c>
      <c r="H769" s="3">
        <v>2010</v>
      </c>
      <c r="I769" s="40" t="str">
        <f t="shared" si="2"/>
        <v>U14</v>
      </c>
      <c r="J769" s="40" t="s">
        <v>109</v>
      </c>
      <c r="K769" s="3"/>
      <c r="L769" s="3"/>
      <c r="M769" s="3"/>
      <c r="N769" s="3"/>
      <c r="O769" s="3"/>
      <c r="P769" s="3"/>
      <c r="Q769" s="3"/>
      <c r="R769" s="3"/>
      <c r="S769" s="3"/>
      <c r="T769" s="42"/>
      <c r="U769" s="188"/>
      <c r="V769" s="199"/>
      <c r="W769" s="73"/>
      <c r="X769" s="43"/>
      <c r="Y769" s="192"/>
      <c r="Z769" s="3"/>
      <c r="AA769" s="192"/>
      <c r="AB769" s="3"/>
      <c r="AC769" s="3"/>
      <c r="AD769" s="3"/>
      <c r="AE769" s="3"/>
      <c r="AF769" s="3"/>
      <c r="AG769" s="3"/>
      <c r="AH769" s="194"/>
      <c r="AI769" s="193"/>
      <c r="AJ769" s="194"/>
      <c r="AK769" s="130"/>
      <c r="AL769" s="203"/>
      <c r="AM769" s="203"/>
      <c r="AN769" s="3"/>
      <c r="AO769" s="3"/>
      <c r="AP769" s="137"/>
      <c r="AQ769" s="132"/>
      <c r="AR769" s="132"/>
      <c r="AS769" s="3"/>
      <c r="AT769" s="3"/>
      <c r="AU769" s="3"/>
      <c r="AV769" s="3"/>
      <c r="AW769" s="192"/>
      <c r="AX769" s="133"/>
      <c r="AY769" s="195" t="s">
        <v>249</v>
      </c>
      <c r="AZ769" s="40">
        <v>7</v>
      </c>
      <c r="BA769" s="40"/>
      <c r="BB769" s="40"/>
      <c r="BC769" s="40"/>
      <c r="BD769" s="135"/>
      <c r="BE769" s="135"/>
      <c r="BF769" s="40"/>
      <c r="BG769" s="135"/>
      <c r="BH769" s="135"/>
      <c r="BI769" s="49"/>
      <c r="BJ769" s="49"/>
      <c r="BK769" s="66"/>
      <c r="BL769" s="66"/>
      <c r="BM769" s="51"/>
      <c r="BN769" s="51"/>
      <c r="BO769" s="136"/>
      <c r="BP769" s="40"/>
      <c r="BQ769" s="40"/>
      <c r="BR769" s="67"/>
      <c r="BS769" s="54"/>
      <c r="BT769" s="3"/>
      <c r="BU769" s="3"/>
      <c r="BV769" s="3"/>
      <c r="BW769" s="3"/>
      <c r="BX769" s="70"/>
      <c r="BY769" s="70"/>
      <c r="BZ769" s="59"/>
      <c r="CA769" s="59"/>
      <c r="CB769" s="59"/>
      <c r="CC769" s="59"/>
      <c r="CD769" s="60"/>
      <c r="CE769" s="60"/>
      <c r="CF769" s="61"/>
      <c r="CG769" s="61"/>
      <c r="CH769" s="61"/>
      <c r="CI769" s="41"/>
      <c r="CJ769" s="40" t="s">
        <v>110</v>
      </c>
      <c r="CK769" s="3"/>
      <c r="CL769" s="62"/>
      <c r="CM769" s="63"/>
      <c r="CN769" s="3"/>
      <c r="CO769" s="3"/>
      <c r="CP769" s="41">
        <v>13.283333333333333</v>
      </c>
      <c r="CQ769" s="3"/>
      <c r="CR769" s="40"/>
      <c r="CS769" s="40"/>
      <c r="CT769" s="40"/>
      <c r="CU769" s="40"/>
      <c r="CV769" s="40"/>
      <c r="CW769" s="40"/>
      <c r="CX769" s="40"/>
      <c r="CY769" s="40"/>
      <c r="CZ769" s="40"/>
      <c r="DA769" s="40"/>
    </row>
    <row r="770" spans="1:105" ht="18.95" customHeight="1">
      <c r="A770" s="3">
        <v>857</v>
      </c>
      <c r="B770" s="92" t="s">
        <v>199</v>
      </c>
      <c r="C770" s="3" t="s">
        <v>104</v>
      </c>
      <c r="D770" s="202" t="s">
        <v>215</v>
      </c>
      <c r="E770" s="39">
        <v>45412</v>
      </c>
      <c r="F770" s="3" t="s">
        <v>186</v>
      </c>
      <c r="G770" s="3" t="s">
        <v>107</v>
      </c>
      <c r="H770" s="3">
        <v>2010</v>
      </c>
      <c r="I770" s="40" t="str">
        <f t="shared" si="2"/>
        <v>U14</v>
      </c>
      <c r="J770" s="40" t="s">
        <v>109</v>
      </c>
      <c r="K770" s="3">
        <v>170</v>
      </c>
      <c r="L770" s="3">
        <v>170</v>
      </c>
      <c r="M770" s="3"/>
      <c r="N770" s="3">
        <v>159.6</v>
      </c>
      <c r="O770" s="3">
        <v>159.6</v>
      </c>
      <c r="P770" s="3"/>
      <c r="Q770" s="3">
        <v>65.599999999999994</v>
      </c>
      <c r="R770" s="3">
        <v>65.599999999999994</v>
      </c>
      <c r="S770" s="3"/>
      <c r="T770" s="42">
        <v>170</v>
      </c>
      <c r="U770" s="188" cm="1">
        <f t="array" ref="U770">AVERAGE(paper3[[#This Row],[Sittende høyde 1]:[Sittende høyde 2]]-70.2)</f>
        <v>89.399999999999991</v>
      </c>
      <c r="V770" s="12">
        <f>paper3[[#This Row],[height]]-paper3[[#This Row],[sittingheight]]</f>
        <v>80.600000000000009</v>
      </c>
      <c r="W770" s="73">
        <v>65.599999999999994</v>
      </c>
      <c r="X770" s="43" cm="1">
        <f t="array" ref="X770">INDEX([1]!phvny[yphv], MATCH(1, (paper3[[#This Row],[id]]=[1]!phvny[id])*(paper3[[#This Row],[time]]=[1]!phvny[time]), 0))</f>
        <v>2.0628907952875823</v>
      </c>
      <c r="Y770" s="192"/>
      <c r="Z770" s="3"/>
      <c r="AA770" s="192"/>
      <c r="AB770" s="3">
        <v>1.905</v>
      </c>
      <c r="AC770" s="3">
        <v>3.5760000000000001</v>
      </c>
      <c r="AD770" s="3">
        <v>5.1609999999999996</v>
      </c>
      <c r="AE770" s="3">
        <v>1.893</v>
      </c>
      <c r="AF770" s="3">
        <v>3.548</v>
      </c>
      <c r="AG770" s="3">
        <v>5.1630000000000003</v>
      </c>
      <c r="AH770" s="194">
        <v>1.893</v>
      </c>
      <c r="AI770" s="193">
        <v>3.548</v>
      </c>
      <c r="AJ770" s="194">
        <v>5.1609999999999996</v>
      </c>
      <c r="AK770" s="130"/>
      <c r="AL770" s="203">
        <v>10.82</v>
      </c>
      <c r="AM770" s="203">
        <v>10.94</v>
      </c>
      <c r="AN770" s="3">
        <v>11.19</v>
      </c>
      <c r="AO770" s="3">
        <v>11.3</v>
      </c>
      <c r="AP770" s="137">
        <f t="shared" ref="AP770:AP777" si="5">MIN(AQ770:AR770)</f>
        <v>10.82</v>
      </c>
      <c r="AQ770" s="132">
        <v>10.82</v>
      </c>
      <c r="AR770" s="132">
        <v>11.19</v>
      </c>
      <c r="AS770" s="3"/>
      <c r="AT770" s="3"/>
      <c r="AU770" s="3"/>
      <c r="AV770" s="3"/>
      <c r="AW770" s="192"/>
      <c r="AX770" s="133">
        <v>21.6</v>
      </c>
      <c r="AY770" s="195" t="s">
        <v>249</v>
      </c>
      <c r="AZ770" s="40">
        <v>7</v>
      </c>
      <c r="BA770" s="40"/>
      <c r="BB770" s="40"/>
      <c r="BC770" s="40"/>
      <c r="BD770" s="135">
        <v>1007.3122607072798</v>
      </c>
      <c r="BE770" s="135">
        <v>1023.0629175002896</v>
      </c>
      <c r="BF770" s="40"/>
      <c r="BG770" s="135">
        <v>381.6181862664543</v>
      </c>
      <c r="BH770" s="135">
        <v>382.74293012918383</v>
      </c>
      <c r="BI770" s="49">
        <f>IFERROR(SUM(paper3[[#This Row],[Kraft ikke-dominant]:[Kraft dominant]]),"")</f>
        <v>2030.3751782075694</v>
      </c>
      <c r="BJ770" s="49">
        <f>IFERROR(SUM(paper3[[#This Row],[Pwr ikke-dominant]:[Pwr dominant]]),"")</f>
        <v>764.36111639563819</v>
      </c>
      <c r="BK770" s="66"/>
      <c r="BL770" s="66"/>
      <c r="BM770" s="51">
        <f>IFERROR(paper3[[#This Row],[totforce]]/paper3[[#This Row],[bodymass]],"")</f>
        <v>30.95084113121295</v>
      </c>
      <c r="BN770" s="51">
        <f>IFERROR(paper3[[#This Row],[totpwr]]/paper3[[#This Row],[bodymass]],"")</f>
        <v>11.651846286518875</v>
      </c>
      <c r="BO770" s="136"/>
      <c r="BP770" s="40"/>
      <c r="BQ770" s="40"/>
      <c r="BR770" s="67"/>
      <c r="BS770" s="54"/>
      <c r="BT770" s="3"/>
      <c r="BU770" s="3"/>
      <c r="BV770" s="3"/>
      <c r="BW770" s="3"/>
      <c r="BX770" s="70"/>
      <c r="BY770" s="70"/>
      <c r="BZ770" s="59"/>
      <c r="CA770" s="59"/>
      <c r="CB770" s="59"/>
      <c r="CC770" s="59"/>
      <c r="CD770" s="60"/>
      <c r="CE770" s="60"/>
      <c r="CF770" s="61"/>
      <c r="CG770" s="61"/>
      <c r="CH770" s="61"/>
      <c r="CI770" s="41">
        <v>13.3</v>
      </c>
      <c r="CJ770" s="40">
        <f t="shared" ref="CJ770:CJ777" si="6">VLOOKUP(CI770,$DB:$DC,2)</f>
        <v>400</v>
      </c>
      <c r="CK770" s="3"/>
      <c r="CL770" s="62"/>
      <c r="CM770" s="63"/>
      <c r="CN770" s="3"/>
      <c r="CO770" s="3"/>
      <c r="CP770" s="41">
        <v>12.633333333333333</v>
      </c>
      <c r="CQ770" s="3"/>
      <c r="CR770" s="40"/>
      <c r="CS770" s="40"/>
      <c r="CT770" s="40"/>
      <c r="CU770" s="40"/>
      <c r="CV770" s="40"/>
      <c r="CW770" s="40"/>
      <c r="CX770" s="40"/>
      <c r="CY770" s="40"/>
      <c r="CZ770" s="40"/>
      <c r="DA770" s="40"/>
    </row>
    <row r="771" spans="1:105" ht="18.75">
      <c r="A771" s="3">
        <v>858</v>
      </c>
      <c r="B771" s="92" t="s">
        <v>199</v>
      </c>
      <c r="C771" s="3" t="s">
        <v>104</v>
      </c>
      <c r="D771" s="202" t="s">
        <v>215</v>
      </c>
      <c r="E771" s="39">
        <v>45412</v>
      </c>
      <c r="F771" s="3" t="s">
        <v>186</v>
      </c>
      <c r="G771" s="3" t="s">
        <v>107</v>
      </c>
      <c r="H771" s="3">
        <v>2010</v>
      </c>
      <c r="I771" s="40" t="str">
        <f t="shared" si="2"/>
        <v>U14</v>
      </c>
      <c r="J771" s="40" t="s">
        <v>109</v>
      </c>
      <c r="K771" s="3">
        <v>162.5</v>
      </c>
      <c r="L771" s="3">
        <v>162.5</v>
      </c>
      <c r="M771" s="3"/>
      <c r="N771" s="3">
        <v>153.19999999999999</v>
      </c>
      <c r="O771" s="3">
        <v>153.19999999999999</v>
      </c>
      <c r="P771" s="3"/>
      <c r="Q771" s="3">
        <v>61.8</v>
      </c>
      <c r="R771" s="3">
        <v>61.8</v>
      </c>
      <c r="S771" s="3"/>
      <c r="T771" s="42">
        <v>162.5</v>
      </c>
      <c r="U771" s="188" cm="1">
        <f t="array" ref="U771">AVERAGE(paper3[[#This Row],[Sittende høyde 1]:[Sittende høyde 2]]-70.2)</f>
        <v>82.999999999999986</v>
      </c>
      <c r="V771" s="12">
        <f>paper3[[#This Row],[height]]-paper3[[#This Row],[sittingheight]]</f>
        <v>79.500000000000014</v>
      </c>
      <c r="W771" s="73">
        <v>61.8</v>
      </c>
      <c r="X771" s="43" cm="1">
        <f t="array" ref="X771">INDEX([1]!phvny[yphv], MATCH(1, (paper3[[#This Row],[id]]=[1]!phvny[id])*(paper3[[#This Row],[time]]=[1]!phvny[time]), 0))</f>
        <v>1.6630029152564081</v>
      </c>
      <c r="Y771" s="192">
        <v>1.98</v>
      </c>
      <c r="Z771" s="3">
        <v>3.6709999999999998</v>
      </c>
      <c r="AA771" s="192">
        <v>5.3739999999999997</v>
      </c>
      <c r="AB771" s="3">
        <v>1.994</v>
      </c>
      <c r="AC771" s="3">
        <v>3.6680000000000001</v>
      </c>
      <c r="AD771" s="3">
        <v>5.3250000000000002</v>
      </c>
      <c r="AE771" s="3">
        <v>2.0289999999999999</v>
      </c>
      <c r="AF771" s="3">
        <v>3.7010000000000001</v>
      </c>
      <c r="AG771" s="3">
        <v>5.3730000000000002</v>
      </c>
      <c r="AH771" s="194">
        <v>1.98</v>
      </c>
      <c r="AI771" s="193">
        <v>3.6680000000000001</v>
      </c>
      <c r="AJ771" s="194">
        <v>5.3250000000000002</v>
      </c>
      <c r="AK771" s="130"/>
      <c r="AL771" s="203">
        <v>11.66</v>
      </c>
      <c r="AM771" s="203">
        <v>11.65</v>
      </c>
      <c r="AN771" s="3">
        <v>11.96</v>
      </c>
      <c r="AO771" s="3">
        <v>12.02</v>
      </c>
      <c r="AP771" s="137">
        <f t="shared" si="5"/>
        <v>11.65</v>
      </c>
      <c r="AQ771" s="132">
        <v>11.65</v>
      </c>
      <c r="AR771" s="132">
        <v>11.96</v>
      </c>
      <c r="AS771" s="3"/>
      <c r="AT771" s="3"/>
      <c r="AU771" s="3"/>
      <c r="AV771" s="3"/>
      <c r="AW771" s="192"/>
      <c r="AX771" s="133">
        <v>19.399999999999999</v>
      </c>
      <c r="AY771" s="195" t="s">
        <v>249</v>
      </c>
      <c r="AZ771" s="40">
        <v>7</v>
      </c>
      <c r="BA771" s="40"/>
      <c r="BB771" s="40"/>
      <c r="BC771" s="40"/>
      <c r="BD771" s="135">
        <v>634.16094023081405</v>
      </c>
      <c r="BE771" s="135">
        <v>606.41478038940602</v>
      </c>
      <c r="BF771" s="40"/>
      <c r="BG771" s="135">
        <v>306.80991612457126</v>
      </c>
      <c r="BH771" s="135">
        <v>300.1091226667229</v>
      </c>
      <c r="BI771" s="49">
        <f>IFERROR(SUM(paper3[[#This Row],[Kraft ikke-dominant]:[Kraft dominant]]),"")</f>
        <v>1240.5757206202202</v>
      </c>
      <c r="BJ771" s="49">
        <f>IFERROR(SUM(paper3[[#This Row],[Pwr ikke-dominant]:[Pwr dominant]]),"")</f>
        <v>606.91903879129416</v>
      </c>
      <c r="BK771" s="66"/>
      <c r="BL771" s="66"/>
      <c r="BM771" s="51">
        <f>IFERROR(paper3[[#This Row],[totforce]]/paper3[[#This Row],[bodymass]],"")</f>
        <v>20.074040786734955</v>
      </c>
      <c r="BN771" s="51">
        <f>IFERROR(paper3[[#This Row],[totpwr]]/paper3[[#This Row],[bodymass]],"")</f>
        <v>9.8206964205711031</v>
      </c>
      <c r="BO771" s="136"/>
      <c r="BP771" s="40"/>
      <c r="BQ771" s="40"/>
      <c r="BR771" s="67"/>
      <c r="BS771" s="54"/>
      <c r="BT771" s="3"/>
      <c r="BU771" s="3"/>
      <c r="BV771" s="3"/>
      <c r="BW771" s="3"/>
      <c r="BX771" s="70"/>
      <c r="BY771" s="70"/>
      <c r="BZ771" s="59"/>
      <c r="CA771" s="59"/>
      <c r="CB771" s="59"/>
      <c r="CC771" s="59"/>
      <c r="CD771" s="60"/>
      <c r="CE771" s="60"/>
      <c r="CF771" s="61"/>
      <c r="CG771" s="61"/>
      <c r="CH771" s="61"/>
      <c r="CI771" s="41">
        <v>13.1</v>
      </c>
      <c r="CJ771" s="40">
        <f t="shared" si="6"/>
        <v>320</v>
      </c>
      <c r="CK771" s="3"/>
      <c r="CL771" s="62"/>
      <c r="CM771" s="63"/>
      <c r="CN771" s="3"/>
      <c r="CO771" s="3"/>
      <c r="CP771" s="41">
        <v>12.955555555555556</v>
      </c>
      <c r="CQ771" s="3"/>
      <c r="CR771" s="40"/>
      <c r="CS771" s="40"/>
      <c r="CT771" s="40"/>
      <c r="CU771" s="40"/>
      <c r="CV771" s="40"/>
      <c r="CW771" s="40"/>
      <c r="CX771" s="40"/>
      <c r="CY771" s="40"/>
      <c r="CZ771" s="40"/>
      <c r="DA771" s="40"/>
    </row>
    <row r="772" spans="1:105" ht="18.95" customHeight="1">
      <c r="A772" s="3">
        <v>859</v>
      </c>
      <c r="B772" s="92" t="s">
        <v>199</v>
      </c>
      <c r="C772" s="3" t="s">
        <v>104</v>
      </c>
      <c r="D772" s="202" t="s">
        <v>215</v>
      </c>
      <c r="E772" s="39">
        <v>45412</v>
      </c>
      <c r="F772" s="3" t="s">
        <v>186</v>
      </c>
      <c r="G772" s="3" t="s">
        <v>107</v>
      </c>
      <c r="H772" s="3">
        <v>2010</v>
      </c>
      <c r="I772" s="40" t="str">
        <f t="shared" si="2"/>
        <v>U14</v>
      </c>
      <c r="J772" s="40" t="s">
        <v>109</v>
      </c>
      <c r="K772" s="3">
        <v>168.2</v>
      </c>
      <c r="L772" s="3">
        <v>168.4</v>
      </c>
      <c r="M772" s="3"/>
      <c r="N772" s="3">
        <v>156.1</v>
      </c>
      <c r="O772" s="3">
        <v>156.1</v>
      </c>
      <c r="P772" s="3"/>
      <c r="Q772" s="3">
        <v>53.5</v>
      </c>
      <c r="R772" s="3">
        <v>53.5</v>
      </c>
      <c r="S772" s="3"/>
      <c r="T772" s="42">
        <v>168.3</v>
      </c>
      <c r="U772" s="188" cm="1">
        <f t="array" ref="U772">AVERAGE(paper3[[#This Row],[Sittende høyde 1]:[Sittende høyde 2]]-70.2)</f>
        <v>85.899999999999991</v>
      </c>
      <c r="V772" s="12">
        <f>paper3[[#This Row],[height]]-paper3[[#This Row],[sittingheight]]</f>
        <v>82.40000000000002</v>
      </c>
      <c r="W772" s="73">
        <v>53.5</v>
      </c>
      <c r="X772" s="43" cm="1">
        <f t="array" ref="X772">INDEX([1]!phvny[yphv], MATCH(1, (paper3[[#This Row],[id]]=[1]!phvny[id])*(paper3[[#This Row],[time]]=[1]!phvny[time]), 0))</f>
        <v>2.049677548026442</v>
      </c>
      <c r="Y772" s="192">
        <v>2.0270000000000001</v>
      </c>
      <c r="Z772" s="3">
        <v>3.7629999999999999</v>
      </c>
      <c r="AA772" s="192">
        <v>5.4969999999999999</v>
      </c>
      <c r="AB772" s="3">
        <v>2.0390000000000001</v>
      </c>
      <c r="AC772" s="3">
        <v>3.774</v>
      </c>
      <c r="AD772" s="3">
        <v>5.4720000000000004</v>
      </c>
      <c r="AE772" s="3">
        <v>2.0720000000000001</v>
      </c>
      <c r="AF772" s="3">
        <v>3.84</v>
      </c>
      <c r="AG772" s="3">
        <v>5.5940000000000003</v>
      </c>
      <c r="AH772" s="194">
        <v>2.0270000000000001</v>
      </c>
      <c r="AI772" s="193">
        <v>3.7629999999999999</v>
      </c>
      <c r="AJ772" s="194">
        <v>5.4720000000000004</v>
      </c>
      <c r="AK772" s="130"/>
      <c r="AL772" s="203">
        <v>11.24</v>
      </c>
      <c r="AM772" s="203">
        <v>11.37</v>
      </c>
      <c r="AN772" s="3">
        <v>11.51</v>
      </c>
      <c r="AO772" s="3">
        <v>11.61</v>
      </c>
      <c r="AP772" s="137">
        <f t="shared" si="5"/>
        <v>11.24</v>
      </c>
      <c r="AQ772" s="132">
        <v>11.24</v>
      </c>
      <c r="AR772" s="132">
        <v>11.51</v>
      </c>
      <c r="AS772" s="3"/>
      <c r="AT772" s="3"/>
      <c r="AU772" s="3"/>
      <c r="AV772" s="3"/>
      <c r="AW772" s="192"/>
      <c r="AX772" s="133">
        <v>18.399999999999999</v>
      </c>
      <c r="AY772" s="195" t="s">
        <v>249</v>
      </c>
      <c r="AZ772" s="40">
        <v>7</v>
      </c>
      <c r="BA772" s="40"/>
      <c r="BB772" s="40"/>
      <c r="BC772" s="40"/>
      <c r="BD772" s="135">
        <v>1129.8188428082774</v>
      </c>
      <c r="BE772" s="135">
        <v>986.12848531751763</v>
      </c>
      <c r="BF772" s="40"/>
      <c r="BG772" s="135">
        <v>288.92115215755143</v>
      </c>
      <c r="BH772" s="135">
        <v>274.0788664882416</v>
      </c>
      <c r="BI772" s="49"/>
      <c r="BJ772" s="49">
        <f>IFERROR(SUM(paper3[[#This Row],[Pwr ikke-dominant]:[Pwr dominant]]),"")</f>
        <v>563.00001864579303</v>
      </c>
      <c r="BK772" s="66"/>
      <c r="BL772" s="66"/>
      <c r="BM772" s="51"/>
      <c r="BN772" s="51">
        <f>IFERROR(paper3[[#This Row],[totpwr]]/paper3[[#This Row],[bodymass]],"")</f>
        <v>10.523364834500804</v>
      </c>
      <c r="BO772" s="136"/>
      <c r="BP772" s="40"/>
      <c r="BQ772" s="40"/>
      <c r="BR772" s="67"/>
      <c r="BS772" s="54"/>
      <c r="BT772" s="3"/>
      <c r="BU772" s="3"/>
      <c r="BV772" s="3"/>
      <c r="BW772" s="3"/>
      <c r="BX772" s="70"/>
      <c r="BY772" s="70"/>
      <c r="BZ772" s="59"/>
      <c r="CA772" s="59"/>
      <c r="CB772" s="59"/>
      <c r="CC772" s="59"/>
      <c r="CD772" s="60"/>
      <c r="CE772" s="60"/>
      <c r="CF772" s="61"/>
      <c r="CG772" s="61"/>
      <c r="CH772" s="61"/>
      <c r="CI772" s="41">
        <v>12.3</v>
      </c>
      <c r="CJ772" s="40">
        <f t="shared" si="6"/>
        <v>280</v>
      </c>
      <c r="CK772" s="3"/>
      <c r="CL772" s="62"/>
      <c r="CM772" s="63"/>
      <c r="CN772" s="3"/>
      <c r="CO772" s="3"/>
      <c r="CP772" s="41">
        <v>13.227777777777778</v>
      </c>
      <c r="CQ772" s="3"/>
      <c r="CR772" s="40"/>
      <c r="CS772" s="40"/>
      <c r="CT772" s="40"/>
      <c r="CU772" s="40"/>
      <c r="CV772" s="40"/>
      <c r="CW772" s="40"/>
      <c r="CX772" s="40"/>
      <c r="CY772" s="40"/>
      <c r="CZ772" s="40"/>
      <c r="DA772" s="40"/>
    </row>
    <row r="773" spans="1:105" ht="18.95" customHeight="1">
      <c r="A773" s="3">
        <v>860</v>
      </c>
      <c r="B773" s="92" t="s">
        <v>199</v>
      </c>
      <c r="C773" s="3" t="s">
        <v>104</v>
      </c>
      <c r="D773" s="202" t="s">
        <v>215</v>
      </c>
      <c r="E773" s="39">
        <v>45412</v>
      </c>
      <c r="F773" s="3" t="s">
        <v>186</v>
      </c>
      <c r="G773" s="3" t="s">
        <v>107</v>
      </c>
      <c r="H773" s="3">
        <v>2010</v>
      </c>
      <c r="I773" s="40" t="str">
        <f t="shared" si="2"/>
        <v>U14</v>
      </c>
      <c r="J773" s="40" t="s">
        <v>109</v>
      </c>
      <c r="K773" s="3"/>
      <c r="L773" s="3"/>
      <c r="M773" s="3"/>
      <c r="N773" s="3"/>
      <c r="O773" s="3"/>
      <c r="P773" s="3"/>
      <c r="Q773" s="3"/>
      <c r="R773" s="3"/>
      <c r="S773" s="3"/>
      <c r="T773" s="42"/>
      <c r="U773" s="188"/>
      <c r="V773" s="199"/>
      <c r="W773" s="73"/>
      <c r="X773" s="43"/>
      <c r="Y773" s="192"/>
      <c r="Z773" s="3"/>
      <c r="AA773" s="192"/>
      <c r="AB773" s="3"/>
      <c r="AC773" s="3"/>
      <c r="AD773" s="3"/>
      <c r="AE773" s="3"/>
      <c r="AF773" s="3"/>
      <c r="AG773" s="3"/>
      <c r="AH773" s="194"/>
      <c r="AI773" s="193"/>
      <c r="AJ773" s="194"/>
      <c r="AK773" s="130"/>
      <c r="AL773" s="203">
        <v>10.93</v>
      </c>
      <c r="AM773" s="203">
        <v>10.76</v>
      </c>
      <c r="AN773" s="3">
        <v>11.23</v>
      </c>
      <c r="AO773" s="3">
        <v>11.45</v>
      </c>
      <c r="AP773" s="137">
        <f t="shared" si="5"/>
        <v>10.76</v>
      </c>
      <c r="AQ773" s="132">
        <v>10.76</v>
      </c>
      <c r="AR773" s="132">
        <v>11.23</v>
      </c>
      <c r="AS773" s="3"/>
      <c r="AT773" s="3"/>
      <c r="AU773" s="3"/>
      <c r="AV773" s="3"/>
      <c r="AW773" s="192"/>
      <c r="AX773" s="133"/>
      <c r="AY773" s="195" t="s">
        <v>249</v>
      </c>
      <c r="AZ773" s="40">
        <v>7</v>
      </c>
      <c r="BA773" s="40"/>
      <c r="BB773" s="40"/>
      <c r="BC773" s="40"/>
      <c r="BD773" s="135"/>
      <c r="BE773" s="135"/>
      <c r="BF773" s="40"/>
      <c r="BG773" s="135"/>
      <c r="BH773" s="135"/>
      <c r="BI773" s="49"/>
      <c r="BJ773" s="49"/>
      <c r="BK773" s="66"/>
      <c r="BL773" s="66"/>
      <c r="BM773" s="51"/>
      <c r="BN773" s="51"/>
      <c r="BO773" s="136"/>
      <c r="BP773" s="40"/>
      <c r="BQ773" s="40"/>
      <c r="BR773" s="67"/>
      <c r="BS773" s="54"/>
      <c r="BT773" s="3"/>
      <c r="BU773" s="3"/>
      <c r="BV773" s="3"/>
      <c r="BW773" s="3"/>
      <c r="BX773" s="70"/>
      <c r="BY773" s="70"/>
      <c r="BZ773" s="59"/>
      <c r="CA773" s="59"/>
      <c r="CB773" s="59"/>
      <c r="CC773" s="59"/>
      <c r="CD773" s="60"/>
      <c r="CE773" s="60"/>
      <c r="CF773" s="61"/>
      <c r="CG773" s="61"/>
      <c r="CH773" s="61"/>
      <c r="CI773" s="41">
        <v>14.4</v>
      </c>
      <c r="CJ773" s="40">
        <f t="shared" si="6"/>
        <v>600</v>
      </c>
      <c r="CK773" s="3"/>
      <c r="CL773" s="62"/>
      <c r="CM773" s="63"/>
      <c r="CN773" s="3"/>
      <c r="CO773" s="3"/>
      <c r="CP773" s="41">
        <v>12.519444444444444</v>
      </c>
      <c r="CQ773" s="3"/>
      <c r="CR773" s="40"/>
      <c r="CS773" s="40"/>
      <c r="CT773" s="40"/>
      <c r="CU773" s="40"/>
      <c r="CV773" s="40"/>
      <c r="CW773" s="40"/>
      <c r="CX773" s="40"/>
      <c r="CY773" s="40"/>
      <c r="CZ773" s="40"/>
      <c r="DA773" s="40"/>
    </row>
    <row r="774" spans="1:105" ht="18.75">
      <c r="A774" s="3">
        <v>861</v>
      </c>
      <c r="B774" s="92" t="s">
        <v>199</v>
      </c>
      <c r="C774" s="3" t="s">
        <v>104</v>
      </c>
      <c r="D774" s="202" t="s">
        <v>215</v>
      </c>
      <c r="E774" s="39">
        <v>45412</v>
      </c>
      <c r="F774" s="3" t="s">
        <v>186</v>
      </c>
      <c r="G774" s="3" t="s">
        <v>107</v>
      </c>
      <c r="H774" s="3">
        <v>2010</v>
      </c>
      <c r="I774" s="40" t="str">
        <f t="shared" si="2"/>
        <v>U14</v>
      </c>
      <c r="J774" s="40" t="s">
        <v>109</v>
      </c>
      <c r="K774" s="3">
        <v>160.4</v>
      </c>
      <c r="L774" s="3">
        <v>160.4</v>
      </c>
      <c r="M774" s="3"/>
      <c r="N774" s="3">
        <v>153.4</v>
      </c>
      <c r="O774" s="3">
        <v>153.4</v>
      </c>
      <c r="P774" s="3"/>
      <c r="Q774" s="3">
        <v>52.7</v>
      </c>
      <c r="R774" s="3">
        <v>52.7</v>
      </c>
      <c r="S774" s="3"/>
      <c r="T774" s="42">
        <v>160.4</v>
      </c>
      <c r="U774" s="188" cm="1">
        <f t="array" ref="U774">AVERAGE(paper3[[#This Row],[Sittende høyde 1]:[Sittende høyde 2]]-70.2)</f>
        <v>83.2</v>
      </c>
      <c r="V774" s="12">
        <f>paper3[[#This Row],[height]]-paper3[[#This Row],[sittingheight]]</f>
        <v>77.2</v>
      </c>
      <c r="W774" s="73">
        <v>52.7</v>
      </c>
      <c r="X774" s="43" cm="1">
        <f t="array" ref="X774">INDEX([1]!phvny[yphv], MATCH(1, (paper3[[#This Row],[id]]=[1]!phvny[id])*(paper3[[#This Row],[time]]=[1]!phvny[time]), 0))</f>
        <v>1.3414199450254936</v>
      </c>
      <c r="Y774" s="192">
        <v>1.8340000000000001</v>
      </c>
      <c r="Z774" s="3">
        <v>3.4449999999999998</v>
      </c>
      <c r="AA774" s="192">
        <v>5.0350000000000001</v>
      </c>
      <c r="AB774" s="3">
        <v>1.875</v>
      </c>
      <c r="AC774" s="3">
        <v>3.4710000000000001</v>
      </c>
      <c r="AD774" s="3">
        <v>5.0179999999999998</v>
      </c>
      <c r="AE774" s="3">
        <v>1.859</v>
      </c>
      <c r="AF774" s="3">
        <v>3.4449999999999998</v>
      </c>
      <c r="AG774" s="3">
        <v>5.0140000000000002</v>
      </c>
      <c r="AH774" s="194">
        <v>1.8340000000000001</v>
      </c>
      <c r="AI774" s="193">
        <v>3.4449999999999998</v>
      </c>
      <c r="AJ774" s="194">
        <v>5.0140000000000002</v>
      </c>
      <c r="AK774" s="130"/>
      <c r="AL774" s="203">
        <v>11.06</v>
      </c>
      <c r="AM774" s="203">
        <v>10.87</v>
      </c>
      <c r="AN774" s="3">
        <v>11.09</v>
      </c>
      <c r="AO774" s="3">
        <v>11.3</v>
      </c>
      <c r="AP774" s="137">
        <f t="shared" si="5"/>
        <v>10.87</v>
      </c>
      <c r="AQ774" s="132">
        <v>10.87</v>
      </c>
      <c r="AR774" s="132">
        <v>11.09</v>
      </c>
      <c r="AS774" s="3"/>
      <c r="AT774" s="3"/>
      <c r="AU774" s="3"/>
      <c r="AV774" s="3"/>
      <c r="AW774" s="192"/>
      <c r="AX774" s="133"/>
      <c r="AY774" s="195" t="s">
        <v>249</v>
      </c>
      <c r="AZ774" s="40">
        <v>7</v>
      </c>
      <c r="BA774" s="40"/>
      <c r="BB774" s="40"/>
      <c r="BC774" s="40"/>
      <c r="BD774" s="135"/>
      <c r="BE774" s="135"/>
      <c r="BF774" s="40"/>
      <c r="BG774" s="135"/>
      <c r="BH774" s="135"/>
      <c r="BI774" s="49"/>
      <c r="BJ774" s="49"/>
      <c r="BK774" s="66"/>
      <c r="BL774" s="66"/>
      <c r="BM774" s="51"/>
      <c r="BN774" s="51"/>
      <c r="BO774" s="136"/>
      <c r="BP774" s="40"/>
      <c r="BQ774" s="40"/>
      <c r="BR774" s="67"/>
      <c r="BS774" s="54"/>
      <c r="BT774" s="3"/>
      <c r="BU774" s="3"/>
      <c r="BV774" s="3"/>
      <c r="BW774" s="3"/>
      <c r="BX774" s="70"/>
      <c r="BY774" s="70"/>
      <c r="BZ774" s="59"/>
      <c r="CA774" s="59"/>
      <c r="CB774" s="59"/>
      <c r="CC774" s="59"/>
      <c r="CD774" s="60"/>
      <c r="CE774" s="60"/>
      <c r="CF774" s="61"/>
      <c r="CG774" s="61"/>
      <c r="CH774" s="61"/>
      <c r="CI774" s="41">
        <v>14.2</v>
      </c>
      <c r="CJ774" s="40">
        <f t="shared" si="6"/>
        <v>520</v>
      </c>
      <c r="CK774" s="3"/>
      <c r="CL774" s="62"/>
      <c r="CM774" s="63"/>
      <c r="CN774" s="3"/>
      <c r="CO774" s="3"/>
      <c r="CP774" s="41">
        <v>12.622222222222222</v>
      </c>
      <c r="CQ774" s="3"/>
      <c r="CR774" s="40"/>
      <c r="CS774" s="40"/>
      <c r="CT774" s="40"/>
      <c r="CU774" s="40"/>
      <c r="CV774" s="40"/>
      <c r="CW774" s="40"/>
      <c r="CX774" s="40"/>
      <c r="CY774" s="40"/>
      <c r="CZ774" s="40"/>
      <c r="DA774" s="40"/>
    </row>
    <row r="775" spans="1:105" ht="18.95" customHeight="1">
      <c r="A775" s="3">
        <v>862</v>
      </c>
      <c r="B775" s="92" t="s">
        <v>199</v>
      </c>
      <c r="C775" s="3" t="s">
        <v>104</v>
      </c>
      <c r="D775" s="202" t="s">
        <v>215</v>
      </c>
      <c r="E775" s="39">
        <v>45412</v>
      </c>
      <c r="F775" s="3" t="s">
        <v>186</v>
      </c>
      <c r="G775" s="3" t="s">
        <v>107</v>
      </c>
      <c r="H775" s="3">
        <v>2010</v>
      </c>
      <c r="I775" s="40" t="str">
        <f t="shared" si="2"/>
        <v>U14</v>
      </c>
      <c r="J775" s="40" t="s">
        <v>109</v>
      </c>
      <c r="K775" s="3">
        <v>167.5</v>
      </c>
      <c r="L775" s="3">
        <v>167.5</v>
      </c>
      <c r="M775" s="3"/>
      <c r="N775" s="3">
        <v>154</v>
      </c>
      <c r="O775" s="3">
        <v>154</v>
      </c>
      <c r="P775" s="3"/>
      <c r="Q775" s="3">
        <v>57.4</v>
      </c>
      <c r="R775" s="3">
        <v>57.4</v>
      </c>
      <c r="S775" s="3"/>
      <c r="T775" s="42">
        <v>167.5</v>
      </c>
      <c r="U775" s="188" cm="1">
        <f t="array" ref="U775">AVERAGE(paper3[[#This Row],[Sittende høyde 1]:[Sittende høyde 2]]-70.2)</f>
        <v>83.8</v>
      </c>
      <c r="V775" s="12">
        <f>paper3[[#This Row],[height]]-paper3[[#This Row],[sittingheight]]</f>
        <v>83.7</v>
      </c>
      <c r="W775" s="73">
        <v>57.4</v>
      </c>
      <c r="X775" s="43" cm="1">
        <f t="array" ref="X775">INDEX([1]!phvny[yphv], MATCH(1, (paper3[[#This Row],[id]]=[1]!phvny[id])*(paper3[[#This Row],[time]]=[1]!phvny[time]), 0))</f>
        <v>2.0472211015273634</v>
      </c>
      <c r="Y775" s="192">
        <v>1.9630000000000001</v>
      </c>
      <c r="Z775" s="3">
        <v>3.7120000000000002</v>
      </c>
      <c r="AA775" s="192">
        <v>5.44</v>
      </c>
      <c r="AB775" s="3">
        <v>1.976</v>
      </c>
      <c r="AC775" s="3">
        <v>3.7170000000000001</v>
      </c>
      <c r="AD775" s="3">
        <v>5.4249999999999998</v>
      </c>
      <c r="AE775" s="3">
        <v>1.972</v>
      </c>
      <c r="AF775" s="3">
        <v>3.7130000000000001</v>
      </c>
      <c r="AG775" s="3">
        <v>5.4279999999999999</v>
      </c>
      <c r="AH775" s="194">
        <v>1.9630000000000001</v>
      </c>
      <c r="AI775" s="193">
        <v>3.7120000000000002</v>
      </c>
      <c r="AJ775" s="194">
        <v>5.4249999999999998</v>
      </c>
      <c r="AK775" s="130"/>
      <c r="AL775" s="203">
        <v>11.58</v>
      </c>
      <c r="AM775" s="203">
        <v>11.39</v>
      </c>
      <c r="AN775" s="3">
        <v>11.8</v>
      </c>
      <c r="AO775" s="3">
        <v>11.39</v>
      </c>
      <c r="AP775" s="137">
        <f t="shared" si="5"/>
        <v>11.39</v>
      </c>
      <c r="AQ775" s="132">
        <v>11.39</v>
      </c>
      <c r="AR775" s="132">
        <v>11.39</v>
      </c>
      <c r="AS775" s="3"/>
      <c r="AT775" s="3"/>
      <c r="AU775" s="3"/>
      <c r="AV775" s="3"/>
      <c r="AW775" s="192"/>
      <c r="AX775" s="133">
        <v>18.899999999999999</v>
      </c>
      <c r="AY775" s="195" t="s">
        <v>249</v>
      </c>
      <c r="AZ775" s="40">
        <v>7</v>
      </c>
      <c r="BA775" s="40"/>
      <c r="BB775" s="40"/>
      <c r="BC775" s="40"/>
      <c r="BD775" s="135">
        <v>659.89148869139478</v>
      </c>
      <c r="BE775" s="135">
        <v>770.19792396477828</v>
      </c>
      <c r="BF775" s="40"/>
      <c r="BG775" s="135">
        <v>245.87995422404015</v>
      </c>
      <c r="BH775" s="135">
        <v>247.46784205710173</v>
      </c>
      <c r="BI775" s="49">
        <f>IFERROR(SUM(paper3[[#This Row],[Kraft ikke-dominant]:[Kraft dominant]]),"")</f>
        <v>1430.089412656173</v>
      </c>
      <c r="BJ775" s="49">
        <f>IFERROR(SUM(paper3[[#This Row],[Pwr ikke-dominant]:[Pwr dominant]]),"")</f>
        <v>493.34779628114188</v>
      </c>
      <c r="BK775" s="66"/>
      <c r="BL775" s="66"/>
      <c r="BM775" s="51">
        <f>IFERROR(paper3[[#This Row],[totforce]]/paper3[[#This Row],[bodymass]],"")</f>
        <v>24.914449697842734</v>
      </c>
      <c r="BN775" s="51">
        <f>IFERROR(paper3[[#This Row],[totpwr]]/paper3[[#This Row],[bodymass]],"")</f>
        <v>8.5949093428770365</v>
      </c>
      <c r="BO775" s="136"/>
      <c r="BP775" s="40"/>
      <c r="BQ775" s="40"/>
      <c r="BR775" s="67"/>
      <c r="BS775" s="54"/>
      <c r="BT775" s="3"/>
      <c r="BU775" s="3"/>
      <c r="BV775" s="3"/>
      <c r="BW775" s="3"/>
      <c r="BX775" s="70"/>
      <c r="BY775" s="70"/>
      <c r="BZ775" s="59"/>
      <c r="CA775" s="59"/>
      <c r="CB775" s="59"/>
      <c r="CC775" s="59"/>
      <c r="CD775" s="60"/>
      <c r="CE775" s="60"/>
      <c r="CF775" s="61"/>
      <c r="CG775" s="61"/>
      <c r="CH775" s="61"/>
      <c r="CI775" s="41">
        <v>13.3</v>
      </c>
      <c r="CJ775" s="40">
        <f t="shared" si="6"/>
        <v>400</v>
      </c>
      <c r="CK775" s="3"/>
      <c r="CL775" s="62"/>
      <c r="CM775" s="63"/>
      <c r="CN775" s="3"/>
      <c r="CO775" s="3"/>
      <c r="CP775" s="41">
        <v>13.416666666666666</v>
      </c>
      <c r="CQ775" s="3"/>
      <c r="CR775" s="40"/>
      <c r="CS775" s="40"/>
      <c r="CT775" s="40"/>
      <c r="CU775" s="40"/>
      <c r="CV775" s="40"/>
      <c r="CW775" s="40"/>
      <c r="CX775" s="40"/>
      <c r="CY775" s="40"/>
      <c r="CZ775" s="40"/>
      <c r="DA775" s="40"/>
    </row>
    <row r="776" spans="1:105" ht="18.95" customHeight="1">
      <c r="A776" s="3">
        <v>865</v>
      </c>
      <c r="B776" s="92" t="s">
        <v>199</v>
      </c>
      <c r="C776" s="3" t="s">
        <v>104</v>
      </c>
      <c r="D776" s="202" t="s">
        <v>215</v>
      </c>
      <c r="E776" s="39">
        <v>45435</v>
      </c>
      <c r="F776" s="3" t="s">
        <v>186</v>
      </c>
      <c r="G776" s="3" t="s">
        <v>107</v>
      </c>
      <c r="H776" s="3">
        <v>2008</v>
      </c>
      <c r="I776" s="40" t="str">
        <f t="shared" si="2"/>
        <v>U16</v>
      </c>
      <c r="J776" s="40" t="s">
        <v>117</v>
      </c>
      <c r="K776" s="3">
        <v>172</v>
      </c>
      <c r="L776" s="3">
        <v>172</v>
      </c>
      <c r="M776" s="3"/>
      <c r="N776" s="3">
        <v>158.5</v>
      </c>
      <c r="O776" s="3">
        <v>158.5</v>
      </c>
      <c r="P776" s="3"/>
      <c r="Q776" s="3">
        <v>61.9</v>
      </c>
      <c r="R776" s="3">
        <v>61.9</v>
      </c>
      <c r="S776" s="3"/>
      <c r="T776" s="42">
        <v>172</v>
      </c>
      <c r="U776" s="188" cm="1">
        <f t="array" ref="U776">AVERAGE(paper3[[#This Row],[Sittende høyde 1]:[Sittende høyde 2]]-70.2)</f>
        <v>88.3</v>
      </c>
      <c r="V776" s="12">
        <f>paper3[[#This Row],[height]]-paper3[[#This Row],[sittingheight]]</f>
        <v>83.7</v>
      </c>
      <c r="W776" s="73">
        <v>61.9</v>
      </c>
      <c r="X776" s="43" cm="1">
        <f t="array" ref="X776">INDEX([1]!phvny[yphv], MATCH(1, (paper3[[#This Row],[id]]=[1]!phvny[id])*(paper3[[#This Row],[time]]=[1]!phvny[time]), 0))</f>
        <v>3.1605720129496127</v>
      </c>
      <c r="Y776" s="192">
        <v>1.7769999999999999</v>
      </c>
      <c r="Z776" s="3">
        <v>3.2389999999999999</v>
      </c>
      <c r="AA776" s="192">
        <v>4.6500000000000004</v>
      </c>
      <c r="AB776" s="3">
        <v>1.929</v>
      </c>
      <c r="AC776" s="3">
        <v>3.411</v>
      </c>
      <c r="AD776" s="3">
        <v>4.8479999999999999</v>
      </c>
      <c r="AE776" s="3">
        <v>1.7589999999999999</v>
      </c>
      <c r="AF776" s="3">
        <v>3.2440000000000002</v>
      </c>
      <c r="AG776" s="3">
        <v>4.6779999999999999</v>
      </c>
      <c r="AH776" s="194">
        <f>MIN(Y776,AB776,AE776)</f>
        <v>1.7589999999999999</v>
      </c>
      <c r="AI776" s="193">
        <f>MIN(Z776,AC776,AF776)</f>
        <v>3.2389999999999999</v>
      </c>
      <c r="AJ776" s="194">
        <f>MIN(AA776,AD776,AG776)</f>
        <v>4.6500000000000004</v>
      </c>
      <c r="AK776" s="130"/>
      <c r="AL776" s="203">
        <v>10.58</v>
      </c>
      <c r="AM776" s="203">
        <v>10.18</v>
      </c>
      <c r="AN776" s="3">
        <v>10.199999999999999</v>
      </c>
      <c r="AO776" s="3">
        <v>10.220000000000001</v>
      </c>
      <c r="AP776" s="137">
        <f t="shared" si="5"/>
        <v>10.18</v>
      </c>
      <c r="AQ776" s="132">
        <v>10.18</v>
      </c>
      <c r="AR776" s="132">
        <v>10.199999999999999</v>
      </c>
      <c r="AS776" s="3"/>
      <c r="AT776" s="3"/>
      <c r="AU776" s="3"/>
      <c r="AV776" s="3"/>
      <c r="AW776" s="192"/>
      <c r="AX776" s="133">
        <v>23.2</v>
      </c>
      <c r="AY776" s="195" t="s">
        <v>248</v>
      </c>
      <c r="AZ776" s="40">
        <v>9</v>
      </c>
      <c r="BA776" s="40"/>
      <c r="BB776" s="40"/>
      <c r="BC776" s="40"/>
      <c r="BD776" s="135"/>
      <c r="BE776" s="135"/>
      <c r="BF776" s="40"/>
      <c r="BG776" s="135"/>
      <c r="BH776" s="135"/>
      <c r="BI776" s="49"/>
      <c r="BJ776" s="49"/>
      <c r="BK776" s="66"/>
      <c r="BL776" s="66"/>
      <c r="BM776" s="51"/>
      <c r="BN776" s="51"/>
      <c r="BO776" s="136"/>
      <c r="BP776" s="40"/>
      <c r="BQ776" s="40"/>
      <c r="BR776" s="67"/>
      <c r="BS776" s="54"/>
      <c r="BT776" s="3"/>
      <c r="BU776" s="3"/>
      <c r="BV776" s="3"/>
      <c r="BW776" s="3"/>
      <c r="BX776" s="70"/>
      <c r="BY776" s="70"/>
      <c r="BZ776" s="59"/>
      <c r="CA776" s="59"/>
      <c r="CB776" s="59"/>
      <c r="CC776" s="59"/>
      <c r="CD776" s="60"/>
      <c r="CE776" s="60"/>
      <c r="CF776" s="61"/>
      <c r="CG776" s="61"/>
      <c r="CH776" s="61"/>
      <c r="CI776" s="41">
        <v>14.7</v>
      </c>
      <c r="CJ776" s="40">
        <f t="shared" si="6"/>
        <v>720</v>
      </c>
      <c r="CK776" s="3"/>
      <c r="CL776" s="62"/>
      <c r="CM776" s="63"/>
      <c r="CN776" s="3"/>
      <c r="CO776" s="3"/>
      <c r="CP776" s="41">
        <v>14.666666666666666</v>
      </c>
      <c r="CQ776" s="3"/>
      <c r="CR776" s="40"/>
      <c r="CS776" s="40"/>
      <c r="CT776" s="40"/>
      <c r="CU776" s="40"/>
      <c r="CV776" s="40"/>
      <c r="CW776" s="40"/>
      <c r="CX776" s="40"/>
      <c r="CY776" s="40"/>
      <c r="CZ776" s="40"/>
      <c r="DA776" s="40"/>
    </row>
    <row r="777" spans="1:105" ht="18.95" customHeight="1">
      <c r="A777" s="3">
        <v>866</v>
      </c>
      <c r="B777" s="92" t="s">
        <v>199</v>
      </c>
      <c r="C777" s="3" t="s">
        <v>104</v>
      </c>
      <c r="D777" s="202" t="s">
        <v>215</v>
      </c>
      <c r="E777" s="39">
        <v>45435</v>
      </c>
      <c r="F777" s="3" t="s">
        <v>186</v>
      </c>
      <c r="G777" s="3" t="s">
        <v>107</v>
      </c>
      <c r="H777" s="3">
        <v>2008</v>
      </c>
      <c r="I777" s="40" t="str">
        <f t="shared" si="2"/>
        <v>U16</v>
      </c>
      <c r="J777" s="40" t="s">
        <v>117</v>
      </c>
      <c r="K777" s="3"/>
      <c r="L777" s="3"/>
      <c r="M777" s="3"/>
      <c r="N777" s="3"/>
      <c r="O777" s="3"/>
      <c r="P777" s="3"/>
      <c r="Q777" s="3"/>
      <c r="R777" s="3"/>
      <c r="S777" s="3"/>
      <c r="T777" s="42"/>
      <c r="U777" s="188"/>
      <c r="V777" s="199"/>
      <c r="W777" s="73"/>
      <c r="X777" s="43"/>
      <c r="Y777" s="192"/>
      <c r="Z777" s="3"/>
      <c r="AA777" s="192"/>
      <c r="AB777" s="3"/>
      <c r="AC777" s="3"/>
      <c r="AD777" s="3"/>
      <c r="AE777" s="3"/>
      <c r="AF777" s="3"/>
      <c r="AG777" s="3"/>
      <c r="AH777" s="194"/>
      <c r="AI777" s="193"/>
      <c r="AJ777" s="194"/>
      <c r="AK777" s="130"/>
      <c r="AL777" s="203">
        <v>11.06</v>
      </c>
      <c r="AM777" s="203">
        <v>10.91</v>
      </c>
      <c r="AN777" s="3">
        <v>11.19</v>
      </c>
      <c r="AO777" s="3">
        <v>11.12</v>
      </c>
      <c r="AP777" s="137">
        <f t="shared" si="5"/>
        <v>10.91</v>
      </c>
      <c r="AQ777" s="132">
        <v>10.91</v>
      </c>
      <c r="AR777" s="132">
        <v>11.12</v>
      </c>
      <c r="AS777" s="3"/>
      <c r="AT777" s="3"/>
      <c r="AU777" s="3"/>
      <c r="AV777" s="3"/>
      <c r="AW777" s="192"/>
      <c r="AX777" s="133"/>
      <c r="AY777" s="195"/>
      <c r="AZ777" s="40"/>
      <c r="BA777" s="40"/>
      <c r="BB777" s="40"/>
      <c r="BC777" s="40"/>
      <c r="BD777" s="135"/>
      <c r="BE777" s="135"/>
      <c r="BF777" s="40"/>
      <c r="BG777" s="135"/>
      <c r="BH777" s="135"/>
      <c r="BI777" s="49"/>
      <c r="BJ777" s="49"/>
      <c r="BK777" s="66"/>
      <c r="BL777" s="66"/>
      <c r="BM777" s="51"/>
      <c r="BN777" s="51"/>
      <c r="BO777" s="136"/>
      <c r="BP777" s="40"/>
      <c r="BQ777" s="40"/>
      <c r="BR777" s="67"/>
      <c r="BS777" s="54"/>
      <c r="BT777" s="3"/>
      <c r="BU777" s="3"/>
      <c r="BV777" s="3"/>
      <c r="BW777" s="3"/>
      <c r="BX777" s="70"/>
      <c r="BY777" s="70"/>
      <c r="BZ777" s="59"/>
      <c r="CA777" s="59"/>
      <c r="CB777" s="59"/>
      <c r="CC777" s="59"/>
      <c r="CD777" s="60"/>
      <c r="CE777" s="60"/>
      <c r="CF777" s="61"/>
      <c r="CG777" s="61"/>
      <c r="CH777" s="61"/>
      <c r="CI777" s="41">
        <v>13.4</v>
      </c>
      <c r="CJ777" s="40">
        <f t="shared" si="6"/>
        <v>440</v>
      </c>
      <c r="CK777" s="3"/>
      <c r="CL777" s="62"/>
      <c r="CM777" s="63"/>
      <c r="CN777" s="3"/>
      <c r="CO777" s="3"/>
      <c r="CP777" s="41">
        <v>14.75</v>
      </c>
      <c r="CQ777" s="3"/>
      <c r="CR777" s="40"/>
      <c r="CS777" s="40"/>
      <c r="CT777" s="40"/>
      <c r="CU777" s="40"/>
      <c r="CV777" s="40"/>
      <c r="CW777" s="40"/>
      <c r="CX777" s="40"/>
      <c r="CY777" s="40"/>
      <c r="CZ777" s="40"/>
      <c r="DA777" s="40"/>
    </row>
    <row r="778" spans="1:105" ht="18.95" customHeight="1">
      <c r="A778" s="3">
        <v>867</v>
      </c>
      <c r="B778" s="92" t="s">
        <v>199</v>
      </c>
      <c r="C778" s="3"/>
      <c r="D778" s="202" t="s">
        <v>215</v>
      </c>
      <c r="E778" s="39">
        <v>45435</v>
      </c>
      <c r="F778" s="3" t="s">
        <v>186</v>
      </c>
      <c r="G778" s="3" t="s">
        <v>107</v>
      </c>
      <c r="H778" s="3">
        <v>2008</v>
      </c>
      <c r="I778" s="40" t="str">
        <f t="shared" si="2"/>
        <v>U16</v>
      </c>
      <c r="J778" s="40" t="s">
        <v>117</v>
      </c>
      <c r="K778" s="3"/>
      <c r="L778" s="3"/>
      <c r="M778" s="3"/>
      <c r="N778" s="3"/>
      <c r="O778" s="3"/>
      <c r="P778" s="3"/>
      <c r="Q778" s="3"/>
      <c r="R778" s="3"/>
      <c r="S778" s="3"/>
      <c r="T778" s="42"/>
      <c r="U778" s="188"/>
      <c r="V778" s="199"/>
      <c r="W778" s="73"/>
      <c r="X778" s="43"/>
      <c r="Y778" s="192"/>
      <c r="Z778" s="3"/>
      <c r="AA778" s="192"/>
      <c r="AB778" s="3"/>
      <c r="AC778" s="3"/>
      <c r="AD778" s="3"/>
      <c r="AE778" s="3"/>
      <c r="AF778" s="3"/>
      <c r="AG778" s="3"/>
      <c r="AH778" s="194"/>
      <c r="AI778" s="193"/>
      <c r="AJ778" s="194"/>
      <c r="AK778" s="130"/>
      <c r="AL778" s="203"/>
      <c r="AM778" s="203"/>
      <c r="AN778" s="3"/>
      <c r="AO778" s="3"/>
      <c r="AP778" s="137"/>
      <c r="AQ778" s="132"/>
      <c r="AR778" s="132"/>
      <c r="AS778" s="3"/>
      <c r="AT778" s="3"/>
      <c r="AU778" s="3"/>
      <c r="AV778" s="3"/>
      <c r="AW778" s="192"/>
      <c r="AX778" s="133"/>
      <c r="AY778" s="195"/>
      <c r="AZ778" s="40"/>
      <c r="BA778" s="40"/>
      <c r="BB778" s="40"/>
      <c r="BC778" s="40"/>
      <c r="BD778" s="135"/>
      <c r="BE778" s="135"/>
      <c r="BF778" s="40"/>
      <c r="BG778" s="135"/>
      <c r="BH778" s="135"/>
      <c r="BI778" s="49"/>
      <c r="BJ778" s="49"/>
      <c r="BK778" s="66"/>
      <c r="BL778" s="66"/>
      <c r="BM778" s="51"/>
      <c r="BN778" s="51"/>
      <c r="BO778" s="136"/>
      <c r="BP778" s="40"/>
      <c r="BQ778" s="40"/>
      <c r="BR778" s="67"/>
      <c r="BS778" s="54"/>
      <c r="BT778" s="3"/>
      <c r="BU778" s="3"/>
      <c r="BV778" s="3"/>
      <c r="BW778" s="3"/>
      <c r="BX778" s="70"/>
      <c r="BY778" s="70"/>
      <c r="BZ778" s="59"/>
      <c r="CA778" s="59"/>
      <c r="CB778" s="59"/>
      <c r="CC778" s="59"/>
      <c r="CD778" s="60"/>
      <c r="CE778" s="60"/>
      <c r="CF778" s="61"/>
      <c r="CG778" s="61"/>
      <c r="CH778" s="61"/>
      <c r="CI778" s="41"/>
      <c r="CJ778" s="40"/>
      <c r="CK778" s="3"/>
      <c r="CL778" s="62"/>
      <c r="CM778" s="63"/>
      <c r="CN778" s="3"/>
      <c r="CO778" s="3"/>
      <c r="CP778" s="41"/>
      <c r="CQ778" s="3"/>
      <c r="CR778" s="40"/>
      <c r="CS778" s="40"/>
      <c r="CT778" s="40"/>
      <c r="CU778" s="40"/>
      <c r="CV778" s="40"/>
      <c r="CW778" s="40"/>
      <c r="CX778" s="40"/>
      <c r="CY778" s="40"/>
      <c r="CZ778" s="40"/>
      <c r="DA778" s="40"/>
    </row>
    <row r="779" spans="1:105" ht="18.95" customHeight="1">
      <c r="A779" s="3">
        <v>868</v>
      </c>
      <c r="B779" s="92" t="s">
        <v>199</v>
      </c>
      <c r="C779" s="3" t="s">
        <v>104</v>
      </c>
      <c r="D779" s="202" t="s">
        <v>215</v>
      </c>
      <c r="E779" s="39">
        <v>45435</v>
      </c>
      <c r="F779" s="3" t="s">
        <v>186</v>
      </c>
      <c r="G779" s="3" t="s">
        <v>107</v>
      </c>
      <c r="H779" s="3">
        <v>2008</v>
      </c>
      <c r="I779" s="40" t="str">
        <f t="shared" si="2"/>
        <v>U16</v>
      </c>
      <c r="J779" s="40" t="s">
        <v>117</v>
      </c>
      <c r="K779" s="3">
        <v>158</v>
      </c>
      <c r="L779" s="3">
        <v>158</v>
      </c>
      <c r="M779" s="3"/>
      <c r="N779" s="3">
        <v>152.6</v>
      </c>
      <c r="O779" s="3">
        <v>152.6</v>
      </c>
      <c r="P779" s="3"/>
      <c r="Q779" s="3">
        <v>49.2</v>
      </c>
      <c r="R779" s="3">
        <v>49.2</v>
      </c>
      <c r="S779" s="3"/>
      <c r="T779" s="42">
        <v>158</v>
      </c>
      <c r="U779" s="188" cm="1">
        <f t="array" ref="U779">AVERAGE(paper3[[#This Row],[Sittende høyde 1]:[Sittende høyde 2]]-70.2)</f>
        <v>82.399999999999991</v>
      </c>
      <c r="V779" s="12">
        <f>paper3[[#This Row],[height]]-paper3[[#This Row],[sittingheight]]</f>
        <v>75.600000000000009</v>
      </c>
      <c r="W779" s="73">
        <v>49.2</v>
      </c>
      <c r="X779" s="43" cm="1">
        <f t="array" ref="X779">INDEX([1]!phvny[yphv], MATCH(1, (paper3[[#This Row],[id]]=[1]!phvny[id])*(paper3[[#This Row],[time]]=[1]!phvny[time]), 0))</f>
        <v>2.2145022201518976</v>
      </c>
      <c r="Y779" s="192">
        <v>1.8919999999999999</v>
      </c>
      <c r="Z779" s="3">
        <v>3.5030000000000001</v>
      </c>
      <c r="AA779" s="192">
        <v>5.0910000000000002</v>
      </c>
      <c r="AB779" s="3">
        <v>2.0569999999999999</v>
      </c>
      <c r="AC779" s="3">
        <v>3.7549999999999999</v>
      </c>
      <c r="AD779" s="3">
        <v>5.452</v>
      </c>
      <c r="AE779" s="3">
        <v>2.0470000000000002</v>
      </c>
      <c r="AF779" s="3">
        <v>3.7290000000000001</v>
      </c>
      <c r="AG779" s="3">
        <v>5.4039999999999999</v>
      </c>
      <c r="AH779" s="194">
        <f>MIN(Y779,AB779,AE779)</f>
        <v>1.8919999999999999</v>
      </c>
      <c r="AI779" s="193">
        <f>MIN(Z779,AC779,AF779)</f>
        <v>3.5030000000000001</v>
      </c>
      <c r="AJ779" s="194">
        <f>MIN(AA779,AD779,AG779)</f>
        <v>5.0910000000000002</v>
      </c>
      <c r="AK779" s="130"/>
      <c r="AL779" s="203">
        <v>10.87</v>
      </c>
      <c r="AM779" s="203">
        <v>10.61</v>
      </c>
      <c r="AN779" s="3">
        <v>11.17</v>
      </c>
      <c r="AO779" s="3">
        <v>11.25</v>
      </c>
      <c r="AP779" s="137">
        <f>MIN(AQ779:AR779)</f>
        <v>10.61</v>
      </c>
      <c r="AQ779" s="132">
        <v>10.61</v>
      </c>
      <c r="AR779" s="132">
        <v>11.17</v>
      </c>
      <c r="AS779" s="3"/>
      <c r="AT779" s="3"/>
      <c r="AU779" s="3"/>
      <c r="AV779" s="3"/>
      <c r="AW779" s="192"/>
      <c r="AX779" s="133">
        <v>19.7</v>
      </c>
      <c r="AY779" s="195" t="s">
        <v>253</v>
      </c>
      <c r="AZ779" s="40">
        <v>6</v>
      </c>
      <c r="BA779" s="40"/>
      <c r="BB779" s="40"/>
      <c r="BC779" s="40"/>
      <c r="BD779" s="135"/>
      <c r="BE779" s="135"/>
      <c r="BF779" s="40"/>
      <c r="BG779" s="135"/>
      <c r="BH779" s="135"/>
      <c r="BI779" s="49"/>
      <c r="BJ779" s="49"/>
      <c r="BK779" s="66"/>
      <c r="BL779" s="66"/>
      <c r="BM779" s="51"/>
      <c r="BN779" s="51"/>
      <c r="BO779" s="136"/>
      <c r="BP779" s="40"/>
      <c r="BQ779" s="40"/>
      <c r="BR779" s="67"/>
      <c r="BS779" s="54"/>
      <c r="BT779" s="3"/>
      <c r="BU779" s="3"/>
      <c r="BV779" s="3"/>
      <c r="BW779" s="3"/>
      <c r="BX779" s="70"/>
      <c r="BY779" s="70"/>
      <c r="BZ779" s="59"/>
      <c r="CA779" s="59"/>
      <c r="CB779" s="59"/>
      <c r="CC779" s="59"/>
      <c r="CD779" s="60"/>
      <c r="CE779" s="60"/>
      <c r="CF779" s="61"/>
      <c r="CG779" s="61"/>
      <c r="CH779" s="61"/>
      <c r="CI779" s="41">
        <v>14.5</v>
      </c>
      <c r="CJ779" s="40">
        <f>VLOOKUP(CI779,$DB:$DC,2)</f>
        <v>640</v>
      </c>
      <c r="CK779" s="3"/>
      <c r="CL779" s="62"/>
      <c r="CM779" s="63"/>
      <c r="CN779" s="3"/>
      <c r="CO779" s="3"/>
      <c r="CP779" s="41">
        <v>14.544444444444444</v>
      </c>
      <c r="CQ779" s="3"/>
      <c r="CR779" s="40"/>
      <c r="CS779" s="40"/>
      <c r="CT779" s="40"/>
      <c r="CU779" s="40"/>
      <c r="CV779" s="40"/>
      <c r="CW779" s="40"/>
      <c r="CX779" s="40"/>
      <c r="CY779" s="40"/>
      <c r="CZ779" s="40"/>
      <c r="DA779" s="40"/>
    </row>
    <row r="780" spans="1:105" ht="18.95" customHeight="1">
      <c r="A780" s="3">
        <v>869</v>
      </c>
      <c r="B780" s="92" t="s">
        <v>199</v>
      </c>
      <c r="C780" s="3"/>
      <c r="D780" s="202" t="s">
        <v>215</v>
      </c>
      <c r="E780" s="39">
        <v>45435</v>
      </c>
      <c r="F780" s="3" t="s">
        <v>186</v>
      </c>
      <c r="G780" s="3" t="s">
        <v>107</v>
      </c>
      <c r="H780" s="3">
        <v>2008</v>
      </c>
      <c r="I780" s="40" t="str">
        <f t="shared" si="2"/>
        <v>U16</v>
      </c>
      <c r="J780" s="40" t="s">
        <v>117</v>
      </c>
      <c r="K780" s="3"/>
      <c r="L780" s="3"/>
      <c r="M780" s="3"/>
      <c r="N780" s="3"/>
      <c r="O780" s="3"/>
      <c r="P780" s="3"/>
      <c r="Q780" s="3"/>
      <c r="R780" s="3"/>
      <c r="S780" s="3"/>
      <c r="T780" s="42"/>
      <c r="U780" s="188"/>
      <c r="V780" s="199"/>
      <c r="W780" s="73"/>
      <c r="X780" s="43"/>
      <c r="Y780" s="192"/>
      <c r="Z780" s="3"/>
      <c r="AA780" s="192"/>
      <c r="AB780" s="3"/>
      <c r="AC780" s="3"/>
      <c r="AD780" s="3"/>
      <c r="AE780" s="3"/>
      <c r="AF780" s="3"/>
      <c r="AG780" s="3"/>
      <c r="AH780" s="194"/>
      <c r="AI780" s="193"/>
      <c r="AJ780" s="194"/>
      <c r="AK780" s="130"/>
      <c r="AL780" s="203">
        <v>12.12</v>
      </c>
      <c r="AM780" s="203">
        <v>11.33</v>
      </c>
      <c r="AN780" s="3">
        <v>12</v>
      </c>
      <c r="AO780" s="3">
        <v>12.23</v>
      </c>
      <c r="AP780" s="137">
        <f>MIN(AQ780:AR780)</f>
        <v>11.33</v>
      </c>
      <c r="AQ780" s="132">
        <v>11.33</v>
      </c>
      <c r="AR780" s="132">
        <v>12</v>
      </c>
      <c r="AS780" s="3"/>
      <c r="AT780" s="3"/>
      <c r="AU780" s="3"/>
      <c r="AV780" s="3"/>
      <c r="AW780" s="192"/>
      <c r="AX780" s="133"/>
      <c r="AY780" s="195"/>
      <c r="AZ780" s="40"/>
      <c r="BA780" s="40"/>
      <c r="BB780" s="40"/>
      <c r="BC780" s="40"/>
      <c r="BD780" s="135"/>
      <c r="BE780" s="135"/>
      <c r="BF780" s="40"/>
      <c r="BG780" s="135"/>
      <c r="BH780" s="135"/>
      <c r="BI780" s="49"/>
      <c r="BJ780" s="49"/>
      <c r="BK780" s="66"/>
      <c r="BL780" s="66"/>
      <c r="BM780" s="51"/>
      <c r="BN780" s="51"/>
      <c r="BO780" s="136"/>
      <c r="BP780" s="40"/>
      <c r="BQ780" s="40"/>
      <c r="BR780" s="67"/>
      <c r="BS780" s="54"/>
      <c r="BT780" s="3"/>
      <c r="BU780" s="3"/>
      <c r="BV780" s="3"/>
      <c r="BW780" s="3"/>
      <c r="BX780" s="70"/>
      <c r="BY780" s="70"/>
      <c r="BZ780" s="59"/>
      <c r="CA780" s="59"/>
      <c r="CB780" s="59"/>
      <c r="CC780" s="59"/>
      <c r="CD780" s="60"/>
      <c r="CE780" s="60"/>
      <c r="CF780" s="61"/>
      <c r="CG780" s="61"/>
      <c r="CH780" s="61"/>
      <c r="CI780" s="41">
        <v>13.4</v>
      </c>
      <c r="CJ780" s="40">
        <f>VLOOKUP(CI780,$DB:$DC,2)</f>
        <v>440</v>
      </c>
      <c r="CK780" s="3"/>
      <c r="CL780" s="62"/>
      <c r="CM780" s="63"/>
      <c r="CN780" s="3"/>
      <c r="CO780" s="3"/>
      <c r="CP780" s="41">
        <v>14.824999999999999</v>
      </c>
      <c r="CQ780" s="3"/>
      <c r="CR780" s="40"/>
      <c r="CS780" s="40"/>
      <c r="CT780" s="40"/>
      <c r="CU780" s="40"/>
      <c r="CV780" s="40"/>
      <c r="CW780" s="40"/>
      <c r="CX780" s="40"/>
      <c r="CY780" s="40"/>
      <c r="CZ780" s="40"/>
      <c r="DA780" s="40"/>
    </row>
    <row r="781" spans="1:105" ht="18.95" customHeight="1">
      <c r="A781" s="3">
        <v>870</v>
      </c>
      <c r="B781" s="92" t="s">
        <v>199</v>
      </c>
      <c r="C781" s="3" t="s">
        <v>104</v>
      </c>
      <c r="D781" s="202" t="s">
        <v>215</v>
      </c>
      <c r="E781" s="39">
        <v>45435</v>
      </c>
      <c r="F781" s="3" t="s">
        <v>186</v>
      </c>
      <c r="G781" s="3" t="s">
        <v>107</v>
      </c>
      <c r="H781" s="3">
        <v>2008</v>
      </c>
      <c r="I781" s="40" t="str">
        <f t="shared" si="2"/>
        <v>U16</v>
      </c>
      <c r="J781" s="40" t="s">
        <v>117</v>
      </c>
      <c r="K781" s="3">
        <v>179.9</v>
      </c>
      <c r="L781" s="3">
        <v>179.7</v>
      </c>
      <c r="M781" s="3"/>
      <c r="N781" s="3">
        <v>162</v>
      </c>
      <c r="O781" s="3">
        <v>162</v>
      </c>
      <c r="P781" s="3"/>
      <c r="Q781" s="3">
        <v>61.8</v>
      </c>
      <c r="R781" s="3">
        <v>61.8</v>
      </c>
      <c r="S781" s="3"/>
      <c r="T781" s="42">
        <v>179.8</v>
      </c>
      <c r="U781" s="188" cm="1">
        <f t="array" ref="U781">AVERAGE(paper3[[#This Row],[Sittende høyde 1]:[Sittende høyde 2]]-70.2)</f>
        <v>91.8</v>
      </c>
      <c r="V781" s="12">
        <f>paper3[[#This Row],[height]]-paper3[[#This Row],[sittingheight]]</f>
        <v>88.000000000000014</v>
      </c>
      <c r="W781" s="73">
        <v>61.8</v>
      </c>
      <c r="X781" s="43" cm="1">
        <f t="array" ref="X781">INDEX([1]!phvny[yphv], MATCH(1, (paper3[[#This Row],[id]]=[1]!phvny[id])*(paper3[[#This Row],[time]]=[1]!phvny[time]), 0))</f>
        <v>3.7979130453720189</v>
      </c>
      <c r="Y781" s="192">
        <v>1.8069999999999999</v>
      </c>
      <c r="Z781" s="3">
        <v>3.3159999999999998</v>
      </c>
      <c r="AA781" s="192">
        <v>4.76</v>
      </c>
      <c r="AB781" s="3">
        <v>1.8</v>
      </c>
      <c r="AC781" s="3">
        <v>3.3180000000000001</v>
      </c>
      <c r="AD781" s="3">
        <v>4.7460000000000004</v>
      </c>
      <c r="AE781" s="3">
        <v>1.8089999999999999</v>
      </c>
      <c r="AF781" s="3">
        <v>3.327</v>
      </c>
      <c r="AG781" s="3">
        <v>4.7910000000000004</v>
      </c>
      <c r="AH781" s="194">
        <f t="shared" ref="AH781:AJ784" si="7">MIN(Y781,AB781,AE781)</f>
        <v>1.8</v>
      </c>
      <c r="AI781" s="193">
        <f t="shared" si="7"/>
        <v>3.3159999999999998</v>
      </c>
      <c r="AJ781" s="194">
        <f t="shared" si="7"/>
        <v>4.7460000000000004</v>
      </c>
      <c r="AK781" s="130"/>
      <c r="AL781" s="203"/>
      <c r="AM781" s="203"/>
      <c r="AN781" s="3"/>
      <c r="AO781" s="3"/>
      <c r="AP781" s="137"/>
      <c r="AQ781" s="132"/>
      <c r="AR781" s="132"/>
      <c r="AS781" s="3"/>
      <c r="AT781" s="3"/>
      <c r="AU781" s="3"/>
      <c r="AV781" s="3"/>
      <c r="AW781" s="192"/>
      <c r="AX781" s="133">
        <v>25.7</v>
      </c>
      <c r="AY781" s="195" t="s">
        <v>245</v>
      </c>
      <c r="AZ781" s="40">
        <v>11</v>
      </c>
      <c r="BA781" s="40"/>
      <c r="BB781" s="40"/>
      <c r="BC781" s="40"/>
      <c r="BD781" s="135"/>
      <c r="BE781" s="135"/>
      <c r="BF781" s="40"/>
      <c r="BG781" s="135"/>
      <c r="BH781" s="135"/>
      <c r="BI781" s="49"/>
      <c r="BJ781" s="49"/>
      <c r="BK781" s="66"/>
      <c r="BL781" s="66"/>
      <c r="BM781" s="51"/>
      <c r="BN781" s="51"/>
      <c r="BO781" s="136"/>
      <c r="BP781" s="40"/>
      <c r="BQ781" s="40"/>
      <c r="BR781" s="67"/>
      <c r="BS781" s="54"/>
      <c r="BT781" s="3"/>
      <c r="BU781" s="3"/>
      <c r="BV781" s="3"/>
      <c r="BW781" s="3"/>
      <c r="BX781" s="70"/>
      <c r="BY781" s="70"/>
      <c r="BZ781" s="59"/>
      <c r="CA781" s="59"/>
      <c r="CB781" s="59"/>
      <c r="CC781" s="59"/>
      <c r="CD781" s="60"/>
      <c r="CE781" s="60"/>
      <c r="CF781" s="61"/>
      <c r="CG781" s="61"/>
      <c r="CH781" s="61"/>
      <c r="CI781" s="41"/>
      <c r="CJ781" s="40"/>
      <c r="CK781" s="3"/>
      <c r="CL781" s="62"/>
      <c r="CM781" s="63"/>
      <c r="CN781" s="3"/>
      <c r="CO781" s="3"/>
      <c r="CP781" s="41">
        <v>14.952777777777778</v>
      </c>
      <c r="CQ781" s="3"/>
      <c r="CR781" s="40"/>
      <c r="CS781" s="40"/>
      <c r="CT781" s="40"/>
      <c r="CU781" s="40"/>
      <c r="CV781" s="40"/>
      <c r="CW781" s="40"/>
      <c r="CX781" s="40"/>
      <c r="CY781" s="40"/>
      <c r="CZ781" s="40"/>
      <c r="DA781" s="40"/>
    </row>
    <row r="782" spans="1:105" ht="18.95" customHeight="1">
      <c r="A782" s="3">
        <v>871</v>
      </c>
      <c r="B782" s="92" t="s">
        <v>199</v>
      </c>
      <c r="C782" s="3" t="s">
        <v>104</v>
      </c>
      <c r="D782" s="202" t="s">
        <v>215</v>
      </c>
      <c r="E782" s="39">
        <v>45435</v>
      </c>
      <c r="F782" s="3" t="s">
        <v>186</v>
      </c>
      <c r="G782" s="3" t="s">
        <v>107</v>
      </c>
      <c r="H782" s="3">
        <v>2008</v>
      </c>
      <c r="I782" s="40" t="str">
        <f t="shared" si="2"/>
        <v>U16</v>
      </c>
      <c r="J782" s="40" t="s">
        <v>117</v>
      </c>
      <c r="K782" s="3">
        <v>168</v>
      </c>
      <c r="L782" s="3">
        <v>168</v>
      </c>
      <c r="M782" s="3"/>
      <c r="N782" s="3">
        <v>161</v>
      </c>
      <c r="O782" s="3">
        <v>161</v>
      </c>
      <c r="P782" s="3"/>
      <c r="Q782" s="3">
        <v>72.5</v>
      </c>
      <c r="R782" s="3">
        <v>72.5</v>
      </c>
      <c r="S782" s="3"/>
      <c r="T782" s="42">
        <v>168</v>
      </c>
      <c r="U782" s="188" cm="1">
        <f t="array" ref="U782">AVERAGE(paper3[[#This Row],[Sittende høyde 1]:[Sittende høyde 2]]-70.2)</f>
        <v>90.8</v>
      </c>
      <c r="V782" s="12">
        <f>paper3[[#This Row],[height]]-paper3[[#This Row],[sittingheight]]</f>
        <v>77.2</v>
      </c>
      <c r="W782" s="73">
        <v>72.5</v>
      </c>
      <c r="X782" s="43" cm="1">
        <f t="array" ref="X782">INDEX([1]!phvny[yphv], MATCH(1, (paper3[[#This Row],[id]]=[1]!phvny[id])*(paper3[[#This Row],[time]]=[1]!phvny[time]), 0))</f>
        <v>3.1998343708888899</v>
      </c>
      <c r="Y782" s="192">
        <v>1.847</v>
      </c>
      <c r="Z782" s="3">
        <v>3.419</v>
      </c>
      <c r="AA782" s="192">
        <v>4.9420000000000002</v>
      </c>
      <c r="AB782" s="3">
        <v>1.861</v>
      </c>
      <c r="AC782" s="3">
        <v>3.4169999999999998</v>
      </c>
      <c r="AD782" s="3">
        <v>4.9329999999999998</v>
      </c>
      <c r="AE782" s="3">
        <v>1.91</v>
      </c>
      <c r="AF782" s="3">
        <v>3.4950000000000001</v>
      </c>
      <c r="AG782" s="3">
        <v>5.069</v>
      </c>
      <c r="AH782" s="194">
        <f t="shared" si="7"/>
        <v>1.847</v>
      </c>
      <c r="AI782" s="193">
        <f t="shared" si="7"/>
        <v>3.4169999999999998</v>
      </c>
      <c r="AJ782" s="194">
        <f t="shared" si="7"/>
        <v>4.9329999999999998</v>
      </c>
      <c r="AK782" s="130"/>
      <c r="AL782" s="203">
        <v>10.57</v>
      </c>
      <c r="AM782" s="203">
        <v>10.69</v>
      </c>
      <c r="AN782" s="3">
        <v>10.76</v>
      </c>
      <c r="AO782" s="3">
        <v>10.58</v>
      </c>
      <c r="AP782" s="137">
        <f>MIN(AQ782:AR782)</f>
        <v>10.57</v>
      </c>
      <c r="AQ782" s="132">
        <v>10.57</v>
      </c>
      <c r="AR782" s="132">
        <v>10.58</v>
      </c>
      <c r="AS782" s="3"/>
      <c r="AT782" s="3"/>
      <c r="AU782" s="3"/>
      <c r="AV782" s="3"/>
      <c r="AW782" s="192"/>
      <c r="AX782" s="133">
        <v>21</v>
      </c>
      <c r="AY782" s="195" t="s">
        <v>245</v>
      </c>
      <c r="AZ782" s="40">
        <v>9</v>
      </c>
      <c r="BA782" s="40"/>
      <c r="BB782" s="40"/>
      <c r="BC782" s="40"/>
      <c r="BD782" s="135"/>
      <c r="BE782" s="135"/>
      <c r="BF782" s="40"/>
      <c r="BG782" s="135"/>
      <c r="BH782" s="135"/>
      <c r="BI782" s="49"/>
      <c r="BJ782" s="49"/>
      <c r="BK782" s="66"/>
      <c r="BL782" s="66"/>
      <c r="BM782" s="51"/>
      <c r="BN782" s="51"/>
      <c r="BO782" s="136"/>
      <c r="BP782" s="40"/>
      <c r="BQ782" s="40"/>
      <c r="BR782" s="67"/>
      <c r="BS782" s="54"/>
      <c r="BT782" s="3"/>
      <c r="BU782" s="3"/>
      <c r="BV782" s="3"/>
      <c r="BW782" s="3"/>
      <c r="BX782" s="70"/>
      <c r="BY782" s="70"/>
      <c r="BZ782" s="59"/>
      <c r="CA782" s="59"/>
      <c r="CB782" s="59"/>
      <c r="CC782" s="59"/>
      <c r="CD782" s="60"/>
      <c r="CE782" s="60"/>
      <c r="CF782" s="61"/>
      <c r="CG782" s="61"/>
      <c r="CH782" s="61"/>
      <c r="CI782" s="41">
        <v>14.2</v>
      </c>
      <c r="CJ782" s="40">
        <f>VLOOKUP(CI782,$DB:$DC,2)</f>
        <v>520</v>
      </c>
      <c r="CK782" s="3"/>
      <c r="CL782" s="62"/>
      <c r="CM782" s="63"/>
      <c r="CN782" s="3"/>
      <c r="CO782" s="3"/>
      <c r="CP782" s="41">
        <v>14.661111111111111</v>
      </c>
      <c r="CQ782" s="3"/>
      <c r="CR782" s="40"/>
      <c r="CS782" s="40"/>
      <c r="CT782" s="40"/>
      <c r="CU782" s="40"/>
      <c r="CV782" s="40"/>
      <c r="CW782" s="40"/>
      <c r="CX782" s="40"/>
      <c r="CY782" s="40"/>
      <c r="CZ782" s="40"/>
      <c r="DA782" s="40"/>
    </row>
    <row r="783" spans="1:105" ht="18.95" customHeight="1">
      <c r="A783" s="3">
        <v>872</v>
      </c>
      <c r="B783" s="92" t="s">
        <v>199</v>
      </c>
      <c r="C783" s="3" t="s">
        <v>104</v>
      </c>
      <c r="D783" s="202" t="s">
        <v>215</v>
      </c>
      <c r="E783" s="39">
        <v>45435</v>
      </c>
      <c r="F783" s="3" t="s">
        <v>186</v>
      </c>
      <c r="G783" s="3" t="s">
        <v>107</v>
      </c>
      <c r="H783" s="3">
        <v>2008</v>
      </c>
      <c r="I783" s="40" t="str">
        <f t="shared" si="2"/>
        <v>U16</v>
      </c>
      <c r="J783" s="40" t="s">
        <v>117</v>
      </c>
      <c r="K783" s="3">
        <v>168.9</v>
      </c>
      <c r="L783" s="3">
        <v>168.9</v>
      </c>
      <c r="M783" s="3"/>
      <c r="N783" s="3">
        <v>157.80000000000001</v>
      </c>
      <c r="O783" s="3">
        <v>157.6</v>
      </c>
      <c r="P783" s="3"/>
      <c r="Q783" s="3">
        <v>57</v>
      </c>
      <c r="R783" s="3">
        <v>57</v>
      </c>
      <c r="S783" s="3"/>
      <c r="T783" s="42">
        <v>168.9</v>
      </c>
      <c r="U783" s="188" cm="1">
        <f t="array" ref="U783">AVERAGE(paper3[[#This Row],[Sittende høyde 1]:[Sittende høyde 2]]-70.2)</f>
        <v>87.5</v>
      </c>
      <c r="V783" s="12">
        <f>paper3[[#This Row],[height]]-paper3[[#This Row],[sittingheight]]</f>
        <v>81.400000000000006</v>
      </c>
      <c r="W783" s="73">
        <v>57</v>
      </c>
      <c r="X783" s="43" cm="1">
        <f t="array" ref="X783">INDEX([1]!phvny[yphv], MATCH(1, (paper3[[#This Row],[id]]=[1]!phvny[id])*(paper3[[#This Row],[time]]=[1]!phvny[time]), 0))</f>
        <v>3.2046919893255374</v>
      </c>
      <c r="Y783" s="192">
        <v>1.923</v>
      </c>
      <c r="Z783" s="3">
        <v>3.4660000000000002</v>
      </c>
      <c r="AA783" s="192">
        <v>4.9550000000000001</v>
      </c>
      <c r="AB783" s="3">
        <v>1.8660000000000001</v>
      </c>
      <c r="AC783" s="3">
        <v>3.4169999999999998</v>
      </c>
      <c r="AD783" s="3">
        <v>4.92</v>
      </c>
      <c r="AE783" s="3">
        <v>1.8879999999999999</v>
      </c>
      <c r="AF783" s="3">
        <v>3.448</v>
      </c>
      <c r="AG783" s="3">
        <v>4.9539999999999997</v>
      </c>
      <c r="AH783" s="194">
        <f t="shared" si="7"/>
        <v>1.8660000000000001</v>
      </c>
      <c r="AI783" s="193">
        <f t="shared" si="7"/>
        <v>3.4169999999999998</v>
      </c>
      <c r="AJ783" s="194">
        <f t="shared" si="7"/>
        <v>4.92</v>
      </c>
      <c r="AK783" s="130"/>
      <c r="AL783" s="203"/>
      <c r="AM783" s="203"/>
      <c r="AN783" s="3"/>
      <c r="AO783" s="3"/>
      <c r="AP783" s="137"/>
      <c r="AQ783" s="132"/>
      <c r="AR783" s="132"/>
      <c r="AS783" s="3"/>
      <c r="AT783" s="3"/>
      <c r="AU783" s="3"/>
      <c r="AV783" s="3"/>
      <c r="AW783" s="192"/>
      <c r="AX783" s="133">
        <v>24.3</v>
      </c>
      <c r="AY783" s="195" t="s">
        <v>248</v>
      </c>
      <c r="AZ783" s="40">
        <v>10</v>
      </c>
      <c r="BA783" s="40"/>
      <c r="BB783" s="40"/>
      <c r="BC783" s="40"/>
      <c r="BD783" s="135"/>
      <c r="BE783" s="135"/>
      <c r="BF783" s="40"/>
      <c r="BG783" s="135"/>
      <c r="BH783" s="135"/>
      <c r="BI783" s="49"/>
      <c r="BJ783" s="49"/>
      <c r="BK783" s="66"/>
      <c r="BL783" s="66"/>
      <c r="BM783" s="51"/>
      <c r="BN783" s="51"/>
      <c r="BO783" s="136"/>
      <c r="BP783" s="40"/>
      <c r="BQ783" s="40"/>
      <c r="BR783" s="67"/>
      <c r="BS783" s="54"/>
      <c r="BT783" s="3"/>
      <c r="BU783" s="3"/>
      <c r="BV783" s="3"/>
      <c r="BW783" s="3"/>
      <c r="BX783" s="70"/>
      <c r="BY783" s="70"/>
      <c r="BZ783" s="59"/>
      <c r="CA783" s="59"/>
      <c r="CB783" s="59"/>
      <c r="CC783" s="59"/>
      <c r="CD783" s="60"/>
      <c r="CE783" s="60"/>
      <c r="CF783" s="61"/>
      <c r="CG783" s="61"/>
      <c r="CH783" s="61"/>
      <c r="CI783" s="41"/>
      <c r="CJ783" s="40"/>
      <c r="CK783" s="3"/>
      <c r="CL783" s="62"/>
      <c r="CM783" s="63"/>
      <c r="CN783" s="3"/>
      <c r="CO783" s="3"/>
      <c r="CP783" s="41">
        <v>15.138888888888889</v>
      </c>
      <c r="CQ783" s="3"/>
      <c r="CR783" s="40"/>
      <c r="CS783" s="40"/>
      <c r="CT783" s="40"/>
      <c r="CU783" s="40"/>
      <c r="CV783" s="40"/>
      <c r="CW783" s="40"/>
      <c r="CX783" s="40"/>
      <c r="CY783" s="40"/>
      <c r="CZ783" s="40"/>
      <c r="DA783" s="40"/>
    </row>
    <row r="784" spans="1:105" ht="18.95" customHeight="1">
      <c r="A784" s="3">
        <v>873</v>
      </c>
      <c r="B784" s="92" t="s">
        <v>199</v>
      </c>
      <c r="C784" s="3" t="s">
        <v>104</v>
      </c>
      <c r="D784" s="202" t="s">
        <v>215</v>
      </c>
      <c r="E784" s="39">
        <v>45435</v>
      </c>
      <c r="F784" s="3" t="s">
        <v>186</v>
      </c>
      <c r="G784" s="3" t="s">
        <v>107</v>
      </c>
      <c r="H784" s="3">
        <v>2008</v>
      </c>
      <c r="I784" s="40" t="str">
        <f t="shared" si="2"/>
        <v>U16</v>
      </c>
      <c r="J784" s="40" t="s">
        <v>117</v>
      </c>
      <c r="K784" s="3">
        <v>168</v>
      </c>
      <c r="L784" s="3">
        <v>168</v>
      </c>
      <c r="M784" s="3"/>
      <c r="N784" s="3">
        <v>159.5</v>
      </c>
      <c r="O784" s="3">
        <v>159.5</v>
      </c>
      <c r="P784" s="3"/>
      <c r="Q784" s="3">
        <v>58.2</v>
      </c>
      <c r="R784" s="3">
        <v>58.2</v>
      </c>
      <c r="S784" s="3"/>
      <c r="T784" s="42">
        <v>168</v>
      </c>
      <c r="U784" s="188" cm="1">
        <f t="array" ref="U784">AVERAGE(paper3[[#This Row],[Sittende høyde 1]:[Sittende høyde 2]]-70.2)</f>
        <v>89.3</v>
      </c>
      <c r="V784" s="12">
        <f>paper3[[#This Row],[height]]-paper3[[#This Row],[sittingheight]]</f>
        <v>78.7</v>
      </c>
      <c r="W784" s="73">
        <v>58.2</v>
      </c>
      <c r="X784" s="43" cm="1">
        <f t="array" ref="X784">INDEX([1]!phvny[yphv], MATCH(1, (paper3[[#This Row],[id]]=[1]!phvny[id])*(paper3[[#This Row],[time]]=[1]!phvny[time]), 0))</f>
        <v>3.3604680019999984</v>
      </c>
      <c r="Y784" s="192">
        <v>1.7909999999999999</v>
      </c>
      <c r="Z784" s="3">
        <v>3.2869999999999999</v>
      </c>
      <c r="AA784" s="192">
        <v>4.7089999999999996</v>
      </c>
      <c r="AB784" s="3">
        <v>1.841</v>
      </c>
      <c r="AC784" s="3">
        <v>3.343</v>
      </c>
      <c r="AD784" s="3">
        <v>4.7809999999999997</v>
      </c>
      <c r="AE784" s="3">
        <v>1.8740000000000001</v>
      </c>
      <c r="AF784" s="3">
        <v>3.3610000000000002</v>
      </c>
      <c r="AG784" s="3">
        <v>4.7910000000000004</v>
      </c>
      <c r="AH784" s="194">
        <f t="shared" si="7"/>
        <v>1.7909999999999999</v>
      </c>
      <c r="AI784" s="193">
        <f t="shared" si="7"/>
        <v>3.2869999999999999</v>
      </c>
      <c r="AJ784" s="194">
        <f t="shared" si="7"/>
        <v>4.7089999999999996</v>
      </c>
      <c r="AK784" s="130"/>
      <c r="AL784" s="203">
        <v>13.04</v>
      </c>
      <c r="AM784" s="203">
        <v>10.47</v>
      </c>
      <c r="AN784" s="3">
        <v>10.41</v>
      </c>
      <c r="AO784" s="3">
        <v>10.51</v>
      </c>
      <c r="AP784" s="137">
        <f>MIN(AQ784:AR784)</f>
        <v>10.41</v>
      </c>
      <c r="AQ784" s="132">
        <v>10.47</v>
      </c>
      <c r="AR784" s="132">
        <v>10.41</v>
      </c>
      <c r="AS784" s="3"/>
      <c r="AT784" s="3"/>
      <c r="AU784" s="3"/>
      <c r="AV784" s="3"/>
      <c r="AW784" s="192"/>
      <c r="AX784" s="133">
        <v>30.6</v>
      </c>
      <c r="AY784" s="195" t="s">
        <v>245</v>
      </c>
      <c r="AZ784" s="40">
        <v>9</v>
      </c>
      <c r="BA784" s="40"/>
      <c r="BB784" s="40"/>
      <c r="BC784" s="40"/>
      <c r="BD784" s="135"/>
      <c r="BE784" s="135"/>
      <c r="BF784" s="40"/>
      <c r="BG784" s="135"/>
      <c r="BH784" s="135"/>
      <c r="BI784" s="49"/>
      <c r="BJ784" s="49"/>
      <c r="BK784" s="66"/>
      <c r="BL784" s="66"/>
      <c r="BM784" s="51"/>
      <c r="BN784" s="51"/>
      <c r="BO784" s="136"/>
      <c r="BP784" s="40"/>
      <c r="BQ784" s="40"/>
      <c r="BR784" s="67"/>
      <c r="BS784" s="54"/>
      <c r="BT784" s="3"/>
      <c r="BU784" s="3"/>
      <c r="BV784" s="3"/>
      <c r="BW784" s="3"/>
      <c r="BX784" s="70"/>
      <c r="BY784" s="70"/>
      <c r="BZ784" s="59"/>
      <c r="CA784" s="59"/>
      <c r="CB784" s="59"/>
      <c r="CC784" s="59"/>
      <c r="CD784" s="60"/>
      <c r="CE784" s="60"/>
      <c r="CF784" s="61"/>
      <c r="CG784" s="61"/>
      <c r="CH784" s="61"/>
      <c r="CI784" s="41">
        <v>14.7</v>
      </c>
      <c r="CJ784" s="40">
        <f>VLOOKUP(CI784,$DB:$DC,2)</f>
        <v>720</v>
      </c>
      <c r="CK784" s="3"/>
      <c r="CL784" s="62"/>
      <c r="CM784" s="63"/>
      <c r="CN784" s="3"/>
      <c r="CO784" s="3"/>
      <c r="CP784" s="41">
        <v>15.291666666666666</v>
      </c>
      <c r="CQ784" s="3"/>
      <c r="CR784" s="40"/>
      <c r="CS784" s="40"/>
      <c r="CT784" s="40"/>
      <c r="CU784" s="40"/>
      <c r="CV784" s="40"/>
      <c r="CW784" s="40"/>
      <c r="CX784" s="40"/>
      <c r="CY784" s="40"/>
      <c r="CZ784" s="40"/>
      <c r="DA784" s="40"/>
    </row>
    <row r="785" spans="1:105" ht="18.75">
      <c r="A785" s="3">
        <v>874</v>
      </c>
      <c r="B785" s="92" t="s">
        <v>199</v>
      </c>
      <c r="C785" s="3" t="s">
        <v>104</v>
      </c>
      <c r="D785" s="202" t="s">
        <v>215</v>
      </c>
      <c r="E785" s="39">
        <v>45435</v>
      </c>
      <c r="F785" s="3" t="s">
        <v>186</v>
      </c>
      <c r="G785" s="3" t="s">
        <v>107</v>
      </c>
      <c r="H785" s="3">
        <v>2008</v>
      </c>
      <c r="I785" s="40" t="str">
        <f t="shared" si="2"/>
        <v>U16</v>
      </c>
      <c r="J785" s="40" t="s">
        <v>117</v>
      </c>
      <c r="K785" s="3">
        <v>169.6</v>
      </c>
      <c r="L785" s="3">
        <v>169.5</v>
      </c>
      <c r="M785" s="3"/>
      <c r="N785" s="3">
        <v>159.6</v>
      </c>
      <c r="O785" s="3">
        <v>159.6</v>
      </c>
      <c r="P785" s="3"/>
      <c r="Q785" s="3">
        <v>64.5</v>
      </c>
      <c r="R785" s="3">
        <v>64.5</v>
      </c>
      <c r="S785" s="3"/>
      <c r="T785" s="42">
        <v>169.55</v>
      </c>
      <c r="U785" s="188" cm="1">
        <f t="array" ref="U785">AVERAGE(paper3[[#This Row],[Sittende høyde 1]:[Sittende høyde 2]]-70.2)</f>
        <v>89.399999999999991</v>
      </c>
      <c r="V785" s="12">
        <f>paper3[[#This Row],[height]]-paper3[[#This Row],[sittingheight]]</f>
        <v>80.15000000000002</v>
      </c>
      <c r="W785" s="73">
        <v>64.5</v>
      </c>
      <c r="X785" s="43" cm="1">
        <f t="array" ref="X785">INDEX([1]!phvny[yphv], MATCH(1, (paper3[[#This Row],[id]]=[1]!phvny[id])*(paper3[[#This Row],[time]]=[1]!phvny[time]), 0))</f>
        <v>3.1858724927316735</v>
      </c>
      <c r="Y785" s="192"/>
      <c r="Z785" s="3"/>
      <c r="AA785" s="192"/>
      <c r="AB785" s="3">
        <v>1.8580000000000001</v>
      </c>
      <c r="AC785" s="3">
        <v>3.415</v>
      </c>
      <c r="AD785" s="3">
        <v>4.9160000000000004</v>
      </c>
      <c r="AE785" s="3">
        <v>1.8480000000000001</v>
      </c>
      <c r="AF785" s="3">
        <v>3.4489999999999998</v>
      </c>
      <c r="AG785" s="3">
        <v>5.0049999999999999</v>
      </c>
      <c r="AH785" s="194">
        <f>MIN(AB785,AE785)</f>
        <v>1.8480000000000001</v>
      </c>
      <c r="AI785" s="193">
        <f>MIN(AC785,AF785)</f>
        <v>3.415</v>
      </c>
      <c r="AJ785" s="194">
        <f>MIN(AD785,AG785)</f>
        <v>4.9160000000000004</v>
      </c>
      <c r="AK785" s="130"/>
      <c r="AL785" s="203">
        <v>10.62</v>
      </c>
      <c r="AM785" s="203">
        <v>10.64</v>
      </c>
      <c r="AN785" s="3">
        <v>10.85</v>
      </c>
      <c r="AO785" s="3">
        <v>10.81</v>
      </c>
      <c r="AP785" s="137">
        <f>MIN(AQ785:AR785)</f>
        <v>10.62</v>
      </c>
      <c r="AQ785" s="132">
        <v>10.62</v>
      </c>
      <c r="AR785" s="132">
        <v>10.81</v>
      </c>
      <c r="AS785" s="3"/>
      <c r="AT785" s="3"/>
      <c r="AU785" s="3"/>
      <c r="AV785" s="3"/>
      <c r="AW785" s="192"/>
      <c r="AX785" s="133">
        <v>19.899999999999999</v>
      </c>
      <c r="AY785" s="195" t="s">
        <v>248</v>
      </c>
      <c r="AZ785" s="40">
        <v>9</v>
      </c>
      <c r="BA785" s="40"/>
      <c r="BB785" s="40"/>
      <c r="BC785" s="40"/>
      <c r="BD785" s="135"/>
      <c r="BE785" s="135"/>
      <c r="BF785" s="40"/>
      <c r="BG785" s="135"/>
      <c r="BH785" s="135"/>
      <c r="BI785" s="49"/>
      <c r="BJ785" s="49"/>
      <c r="BK785" s="66"/>
      <c r="BL785" s="66"/>
      <c r="BM785" s="51"/>
      <c r="BN785" s="51"/>
      <c r="BO785" s="136"/>
      <c r="BP785" s="40"/>
      <c r="BQ785" s="40"/>
      <c r="BR785" s="67"/>
      <c r="BS785" s="54"/>
      <c r="BT785" s="3"/>
      <c r="BU785" s="3"/>
      <c r="BV785" s="3"/>
      <c r="BW785" s="3"/>
      <c r="BX785" s="70"/>
      <c r="BY785" s="70"/>
      <c r="BZ785" s="59"/>
      <c r="CA785" s="59"/>
      <c r="CB785" s="59"/>
      <c r="CC785" s="59"/>
      <c r="CD785" s="60"/>
      <c r="CE785" s="60"/>
      <c r="CF785" s="61"/>
      <c r="CG785" s="61"/>
      <c r="CH785" s="61"/>
      <c r="CI785" s="41"/>
      <c r="CJ785" s="40"/>
      <c r="CK785" s="3"/>
      <c r="CL785" s="62"/>
      <c r="CM785" s="63"/>
      <c r="CN785" s="3"/>
      <c r="CO785" s="3"/>
      <c r="CP785" s="41">
        <v>14.813888888888888</v>
      </c>
      <c r="CQ785" s="3"/>
      <c r="CR785" s="40"/>
      <c r="CS785" s="40"/>
      <c r="CT785" s="40"/>
      <c r="CU785" s="40"/>
      <c r="CV785" s="40"/>
      <c r="CW785" s="40"/>
      <c r="CX785" s="40"/>
      <c r="CY785" s="40"/>
      <c r="CZ785" s="40"/>
      <c r="DA785" s="40"/>
    </row>
    <row r="786" spans="1:105" ht="18.95" customHeight="1">
      <c r="A786" s="3">
        <v>875</v>
      </c>
      <c r="B786" s="92" t="s">
        <v>199</v>
      </c>
      <c r="C786" s="3" t="s">
        <v>104</v>
      </c>
      <c r="D786" s="202" t="s">
        <v>215</v>
      </c>
      <c r="E786" s="39">
        <v>45435</v>
      </c>
      <c r="F786" s="3" t="s">
        <v>186</v>
      </c>
      <c r="G786" s="3" t="s">
        <v>107</v>
      </c>
      <c r="H786" s="3">
        <v>2008</v>
      </c>
      <c r="I786" s="40" t="str">
        <f t="shared" si="2"/>
        <v>U16</v>
      </c>
      <c r="J786" s="40" t="s">
        <v>117</v>
      </c>
      <c r="K786" s="3">
        <v>171.5</v>
      </c>
      <c r="L786" s="3">
        <v>171.5</v>
      </c>
      <c r="M786" s="3"/>
      <c r="N786" s="3">
        <v>158.30000000000001</v>
      </c>
      <c r="O786" s="3">
        <v>158.4</v>
      </c>
      <c r="P786" s="3"/>
      <c r="Q786" s="3">
        <v>63.6</v>
      </c>
      <c r="R786" s="3">
        <v>63.6</v>
      </c>
      <c r="S786" s="3"/>
      <c r="T786" s="42">
        <v>171.5</v>
      </c>
      <c r="U786" s="188" cm="1">
        <f t="array" ref="U786">AVERAGE(paper3[[#This Row],[Sittende høyde 1]:[Sittende høyde 2]]-70.2)</f>
        <v>88.15</v>
      </c>
      <c r="V786" s="12">
        <f>paper3[[#This Row],[height]]-paper3[[#This Row],[sittingheight]]</f>
        <v>83.35</v>
      </c>
      <c r="W786" s="73">
        <v>63.6</v>
      </c>
      <c r="X786" s="43" cm="1">
        <f t="array" ref="X786">INDEX([1]!phvny[yphv], MATCH(1, (paper3[[#This Row],[id]]=[1]!phvny[id])*(paper3[[#This Row],[time]]=[1]!phvny[time]), 0))</f>
        <v>3.5312942819087318</v>
      </c>
      <c r="Y786" s="192">
        <v>1.9610000000000001</v>
      </c>
      <c r="Z786" s="3">
        <v>3.524</v>
      </c>
      <c r="AA786" s="192">
        <v>5.0549999999999997</v>
      </c>
      <c r="AB786" s="3">
        <v>1.81</v>
      </c>
      <c r="AC786" s="3">
        <v>3.363</v>
      </c>
      <c r="AD786" s="3">
        <v>4.8600000000000003</v>
      </c>
      <c r="AE786" s="3">
        <v>1.792</v>
      </c>
      <c r="AF786" s="3">
        <v>3.3479999999999999</v>
      </c>
      <c r="AG786" s="3">
        <v>4.8689999999999998</v>
      </c>
      <c r="AH786" s="194">
        <f t="shared" ref="AH786:AJ787" si="8">MIN(Y786,AB786,AE786)</f>
        <v>1.792</v>
      </c>
      <c r="AI786" s="193">
        <f t="shared" si="8"/>
        <v>3.3479999999999999</v>
      </c>
      <c r="AJ786" s="194">
        <f t="shared" si="8"/>
        <v>4.8600000000000003</v>
      </c>
      <c r="AK786" s="130"/>
      <c r="AL786" s="203">
        <v>9.9600000000000009</v>
      </c>
      <c r="AM786" s="203">
        <v>9.99</v>
      </c>
      <c r="AN786" s="3">
        <v>10.19</v>
      </c>
      <c r="AO786" s="3">
        <v>10.050000000000001</v>
      </c>
      <c r="AP786" s="137">
        <f>MIN(AQ786:AR786)</f>
        <v>9.9600000000000009</v>
      </c>
      <c r="AQ786" s="132">
        <v>9.9600000000000009</v>
      </c>
      <c r="AR786" s="132">
        <v>10.050000000000001</v>
      </c>
      <c r="AS786" s="3"/>
      <c r="AT786" s="3"/>
      <c r="AU786" s="3"/>
      <c r="AV786" s="3"/>
      <c r="AW786" s="192"/>
      <c r="AX786" s="133">
        <v>25.6</v>
      </c>
      <c r="AY786" s="195" t="s">
        <v>245</v>
      </c>
      <c r="AZ786" s="40">
        <v>9</v>
      </c>
      <c r="BA786" s="40"/>
      <c r="BB786" s="40"/>
      <c r="BC786" s="40"/>
      <c r="BD786" s="135"/>
      <c r="BE786" s="135"/>
      <c r="BF786" s="40"/>
      <c r="BG786" s="135"/>
      <c r="BH786" s="135"/>
      <c r="BI786" s="49"/>
      <c r="BJ786" s="49"/>
      <c r="BK786" s="66"/>
      <c r="BL786" s="66"/>
      <c r="BM786" s="51"/>
      <c r="BN786" s="51"/>
      <c r="BO786" s="136"/>
      <c r="BP786" s="40"/>
      <c r="BQ786" s="40"/>
      <c r="BR786" s="67"/>
      <c r="BS786" s="54"/>
      <c r="BT786" s="3"/>
      <c r="BU786" s="3"/>
      <c r="BV786" s="3"/>
      <c r="BW786" s="3"/>
      <c r="BX786" s="70"/>
      <c r="BY786" s="70"/>
      <c r="BZ786" s="59"/>
      <c r="CA786" s="59"/>
      <c r="CB786" s="59"/>
      <c r="CC786" s="59"/>
      <c r="CD786" s="60"/>
      <c r="CE786" s="60"/>
      <c r="CF786" s="61"/>
      <c r="CG786" s="61"/>
      <c r="CH786" s="61"/>
      <c r="CI786" s="41">
        <v>14.6</v>
      </c>
      <c r="CJ786" s="40">
        <f>VLOOKUP(CI786,$DB:$DC,2)</f>
        <v>680</v>
      </c>
      <c r="CK786" s="3"/>
      <c r="CL786" s="62"/>
      <c r="CM786" s="63"/>
      <c r="CN786" s="3"/>
      <c r="CO786" s="3"/>
      <c r="CP786" s="41">
        <v>15.477777777777778</v>
      </c>
      <c r="CQ786" s="3"/>
      <c r="CR786" s="40"/>
      <c r="CS786" s="40"/>
      <c r="CT786" s="40"/>
      <c r="CU786" s="40"/>
      <c r="CV786" s="40"/>
      <c r="CW786" s="40"/>
      <c r="CX786" s="40"/>
      <c r="CY786" s="40"/>
      <c r="CZ786" s="40"/>
      <c r="DA786" s="40"/>
    </row>
    <row r="787" spans="1:105" ht="18.75">
      <c r="A787" s="3">
        <v>876</v>
      </c>
      <c r="B787" s="92" t="s">
        <v>199</v>
      </c>
      <c r="C787" s="3" t="s">
        <v>171</v>
      </c>
      <c r="D787" s="202" t="s">
        <v>215</v>
      </c>
      <c r="E787" s="39">
        <v>45435</v>
      </c>
      <c r="F787" s="3" t="s">
        <v>186</v>
      </c>
      <c r="G787" s="3" t="s">
        <v>107</v>
      </c>
      <c r="H787" s="3">
        <v>2008</v>
      </c>
      <c r="I787" s="40" t="str">
        <f t="shared" si="2"/>
        <v>U16</v>
      </c>
      <c r="J787" s="40" t="s">
        <v>117</v>
      </c>
      <c r="K787" s="3">
        <v>166.5</v>
      </c>
      <c r="L787" s="3">
        <v>166.5</v>
      </c>
      <c r="M787" s="3"/>
      <c r="N787" s="3">
        <v>156.5</v>
      </c>
      <c r="O787" s="3">
        <v>156.5</v>
      </c>
      <c r="P787" s="3"/>
      <c r="Q787" s="3">
        <v>51.2</v>
      </c>
      <c r="R787" s="3">
        <v>51.2</v>
      </c>
      <c r="S787" s="3"/>
      <c r="T787" s="42">
        <v>166.5</v>
      </c>
      <c r="U787" s="188" cm="1">
        <f t="array" ref="U787">AVERAGE(paper3[[#This Row],[Sittende høyde 1]:[Sittende høyde 2]]-70.2)</f>
        <v>86.3</v>
      </c>
      <c r="V787" s="12">
        <f>paper3[[#This Row],[height]]-paper3[[#This Row],[sittingheight]]</f>
        <v>80.2</v>
      </c>
      <c r="W787" s="73">
        <v>51.2</v>
      </c>
      <c r="X787" s="43" cm="1">
        <f t="array" ref="X787">INDEX([1]!phvny[yphv], MATCH(1, (paper3[[#This Row],[id]]=[1]!phvny[id])*(paper3[[#This Row],[time]]=[1]!phvny[time]), 0))</f>
        <v>2.9925094736441444</v>
      </c>
      <c r="Y787" s="192">
        <v>1.881</v>
      </c>
      <c r="Z787" s="3">
        <v>3.45</v>
      </c>
      <c r="AA787" s="192">
        <v>5.0010000000000003</v>
      </c>
      <c r="AB787" s="3">
        <v>1.897</v>
      </c>
      <c r="AC787" s="3">
        <v>3.5219999999999998</v>
      </c>
      <c r="AD787" s="3">
        <v>5.1059999999999999</v>
      </c>
      <c r="AE787" s="3">
        <v>1.9279999999999999</v>
      </c>
      <c r="AF787" s="3">
        <v>3.5630000000000002</v>
      </c>
      <c r="AG787" s="3">
        <v>5.1589999999999998</v>
      </c>
      <c r="AH787" s="194">
        <f t="shared" si="8"/>
        <v>1.881</v>
      </c>
      <c r="AI787" s="193">
        <f t="shared" si="8"/>
        <v>3.45</v>
      </c>
      <c r="AJ787" s="194">
        <f t="shared" si="8"/>
        <v>5.0010000000000003</v>
      </c>
      <c r="AK787" s="130"/>
      <c r="AL787" s="203">
        <v>10.92</v>
      </c>
      <c r="AM787" s="203">
        <v>10.94</v>
      </c>
      <c r="AN787" s="3">
        <v>10.87</v>
      </c>
      <c r="AO787" s="3">
        <v>10.5</v>
      </c>
      <c r="AP787" s="137">
        <f>MIN(AQ787:AR787)</f>
        <v>10.5</v>
      </c>
      <c r="AQ787" s="132">
        <v>10.92</v>
      </c>
      <c r="AR787" s="132">
        <v>10.5</v>
      </c>
      <c r="AS787" s="3"/>
      <c r="AT787" s="3"/>
      <c r="AU787" s="3"/>
      <c r="AV787" s="3"/>
      <c r="AW787" s="192"/>
      <c r="AX787" s="133">
        <v>25.7</v>
      </c>
      <c r="AY787" s="195" t="s">
        <v>249</v>
      </c>
      <c r="AZ787" s="40">
        <v>9</v>
      </c>
      <c r="BA787" s="40"/>
      <c r="BB787" s="40"/>
      <c r="BC787" s="40"/>
      <c r="BD787" s="135"/>
      <c r="BE787" s="135"/>
      <c r="BF787" s="40"/>
      <c r="BG787" s="135"/>
      <c r="BH787" s="135"/>
      <c r="BI787" s="49"/>
      <c r="BJ787" s="49"/>
      <c r="BK787" s="66"/>
      <c r="BL787" s="66"/>
      <c r="BM787" s="51"/>
      <c r="BN787" s="51"/>
      <c r="BO787" s="136"/>
      <c r="BP787" s="40"/>
      <c r="BQ787" s="40"/>
      <c r="BR787" s="67"/>
      <c r="BS787" s="54"/>
      <c r="BT787" s="3"/>
      <c r="BU787" s="3"/>
      <c r="BV787" s="3"/>
      <c r="BW787" s="3"/>
      <c r="BX787" s="70"/>
      <c r="BY787" s="70"/>
      <c r="BZ787" s="59"/>
      <c r="CA787" s="59"/>
      <c r="CB787" s="59"/>
      <c r="CC787" s="59"/>
      <c r="CD787" s="60"/>
      <c r="CE787" s="60"/>
      <c r="CF787" s="61"/>
      <c r="CG787" s="61"/>
      <c r="CH787" s="61"/>
      <c r="CI787" s="41">
        <v>14.4</v>
      </c>
      <c r="CJ787" s="40">
        <f>VLOOKUP(CI787,$DB:$DC,2)</f>
        <v>600</v>
      </c>
      <c r="CK787" s="3"/>
      <c r="CL787" s="62"/>
      <c r="CM787" s="63"/>
      <c r="CN787" s="3"/>
      <c r="CO787" s="3"/>
      <c r="CP787" s="41">
        <v>15.072222222222223</v>
      </c>
      <c r="CQ787" s="3"/>
      <c r="CR787" s="40"/>
      <c r="CS787" s="40"/>
      <c r="CT787" s="40"/>
      <c r="CU787" s="40"/>
      <c r="CV787" s="40"/>
      <c r="CW787" s="40"/>
      <c r="CX787" s="40"/>
      <c r="CY787" s="40"/>
      <c r="CZ787" s="40"/>
      <c r="DA787" s="40"/>
    </row>
    <row r="788" spans="1:105" ht="18.95" customHeight="1">
      <c r="A788" s="3">
        <v>877</v>
      </c>
      <c r="B788" s="92" t="s">
        <v>199</v>
      </c>
      <c r="C788" s="3" t="s">
        <v>104</v>
      </c>
      <c r="D788" s="202" t="s">
        <v>215</v>
      </c>
      <c r="E788" s="39">
        <v>45435</v>
      </c>
      <c r="F788" s="3" t="s">
        <v>186</v>
      </c>
      <c r="G788" s="3" t="s">
        <v>107</v>
      </c>
      <c r="H788" s="3">
        <v>2008</v>
      </c>
      <c r="I788" s="40" t="str">
        <f t="shared" si="2"/>
        <v>U16</v>
      </c>
      <c r="J788" s="40" t="s">
        <v>117</v>
      </c>
      <c r="K788" s="3">
        <v>173</v>
      </c>
      <c r="L788" s="3">
        <v>173</v>
      </c>
      <c r="M788" s="3"/>
      <c r="N788" s="3">
        <v>157</v>
      </c>
      <c r="O788" s="3">
        <v>157</v>
      </c>
      <c r="P788" s="3"/>
      <c r="Q788" s="3">
        <v>51.9</v>
      </c>
      <c r="R788" s="3">
        <v>51.9</v>
      </c>
      <c r="S788" s="3"/>
      <c r="T788" s="42">
        <v>173</v>
      </c>
      <c r="U788" s="188" cm="1">
        <f t="array" ref="U788">AVERAGE(paper3[[#This Row],[Sittende høyde 1]:[Sittende høyde 2]]-70.2)</f>
        <v>86.8</v>
      </c>
      <c r="V788" s="12">
        <f>paper3[[#This Row],[height]]-paper3[[#This Row],[sittingheight]]</f>
        <v>86.2</v>
      </c>
      <c r="W788" s="73">
        <v>51.9</v>
      </c>
      <c r="X788" s="43" cm="1">
        <f t="array" ref="X788">INDEX([1]!phvny[yphv], MATCH(1, (paper3[[#This Row],[id]]=[1]!phvny[id])*(paper3[[#This Row],[time]]=[1]!phvny[time]), 0))</f>
        <v>3.3271694081111112</v>
      </c>
      <c r="Y788" s="192">
        <v>1.7150000000000001</v>
      </c>
      <c r="Z788" s="3">
        <v>3.1190000000000002</v>
      </c>
      <c r="AA788" s="192">
        <v>4.4340000000000002</v>
      </c>
      <c r="AB788" s="3">
        <v>1.7</v>
      </c>
      <c r="AC788" s="3">
        <v>3.097</v>
      </c>
      <c r="AD788" s="3">
        <v>4.4210000000000003</v>
      </c>
      <c r="AE788" s="128"/>
      <c r="AF788" s="3"/>
      <c r="AG788" s="128"/>
      <c r="AH788" s="130">
        <f>MIN(AE788,AB788,Y788)</f>
        <v>1.7</v>
      </c>
      <c r="AI788" s="194">
        <f>MIN(AF788,AC788,Z788)</f>
        <v>3.097</v>
      </c>
      <c r="AJ788" s="194">
        <f>MIN(AG788,AD788,AA788)</f>
        <v>4.4210000000000003</v>
      </c>
      <c r="AK788" s="130"/>
      <c r="AL788" s="203">
        <v>9.9700000000000006</v>
      </c>
      <c r="AM788" s="203">
        <v>9.81</v>
      </c>
      <c r="AN788" s="3">
        <v>10.45</v>
      </c>
      <c r="AO788" s="3">
        <v>11.25</v>
      </c>
      <c r="AP788" s="137">
        <f>MIN(AQ788:AR788)</f>
        <v>10.45</v>
      </c>
      <c r="AQ788" s="132" t="s">
        <v>252</v>
      </c>
      <c r="AR788" s="132">
        <v>10.45</v>
      </c>
      <c r="AS788" s="3"/>
      <c r="AT788" s="3"/>
      <c r="AU788" s="3"/>
      <c r="AV788" s="3"/>
      <c r="AW788" s="192"/>
      <c r="AX788" s="133">
        <v>28.8</v>
      </c>
      <c r="AY788" s="195" t="s">
        <v>245</v>
      </c>
      <c r="AZ788" s="40">
        <v>10</v>
      </c>
      <c r="BA788" s="40"/>
      <c r="BB788" s="40"/>
      <c r="BC788" s="40"/>
      <c r="BD788" s="135"/>
      <c r="BE788" s="135"/>
      <c r="BF788" s="40"/>
      <c r="BG788" s="135"/>
      <c r="BH788" s="135"/>
      <c r="BI788" s="49"/>
      <c r="BJ788" s="49"/>
      <c r="BK788" s="66"/>
      <c r="BL788" s="66"/>
      <c r="BM788" s="51"/>
      <c r="BN788" s="51"/>
      <c r="BO788" s="136"/>
      <c r="BP788" s="40"/>
      <c r="BQ788" s="40"/>
      <c r="BR788" s="67"/>
      <c r="BS788" s="54"/>
      <c r="BT788" s="3"/>
      <c r="BU788" s="3"/>
      <c r="BV788" s="3"/>
      <c r="BW788" s="3"/>
      <c r="BX788" s="70"/>
      <c r="BY788" s="70"/>
      <c r="BZ788" s="59"/>
      <c r="CA788" s="59"/>
      <c r="CB788" s="59"/>
      <c r="CC788" s="59"/>
      <c r="CD788" s="60"/>
      <c r="CE788" s="60"/>
      <c r="CF788" s="61"/>
      <c r="CG788" s="61"/>
      <c r="CH788" s="61"/>
      <c r="CI788" s="41">
        <v>16.100000000000001</v>
      </c>
      <c r="CJ788" s="40">
        <f>VLOOKUP(CI788,$DB:$DC,2)</f>
        <v>1120</v>
      </c>
      <c r="CK788" s="3"/>
      <c r="CL788" s="62"/>
      <c r="CM788" s="63"/>
      <c r="CN788" s="3"/>
      <c r="CO788" s="3"/>
      <c r="CP788" s="41">
        <v>15.177777777777777</v>
      </c>
      <c r="CQ788" s="3"/>
      <c r="CR788" s="40"/>
      <c r="CS788" s="40"/>
      <c r="CT788" s="40"/>
      <c r="CU788" s="40"/>
      <c r="CV788" s="40"/>
      <c r="CW788" s="40"/>
      <c r="CX788" s="40"/>
      <c r="CY788" s="40"/>
      <c r="CZ788" s="40"/>
      <c r="DA788" s="40"/>
    </row>
    <row r="789" spans="1:105" ht="18.95" customHeight="1">
      <c r="A789" s="3">
        <v>878</v>
      </c>
      <c r="B789" s="92" t="s">
        <v>199</v>
      </c>
      <c r="C789" s="3" t="s">
        <v>104</v>
      </c>
      <c r="D789" s="202" t="s">
        <v>215</v>
      </c>
      <c r="E789" s="39">
        <v>45435</v>
      </c>
      <c r="F789" s="3" t="s">
        <v>186</v>
      </c>
      <c r="G789" s="3" t="s">
        <v>107</v>
      </c>
      <c r="H789" s="3">
        <v>2008</v>
      </c>
      <c r="I789" s="40" t="str">
        <f t="shared" si="2"/>
        <v>U16</v>
      </c>
      <c r="J789" s="40" t="s">
        <v>117</v>
      </c>
      <c r="K789" s="3">
        <v>179.5</v>
      </c>
      <c r="L789" s="3">
        <v>179.5</v>
      </c>
      <c r="M789" s="3"/>
      <c r="N789" s="3">
        <v>161.6</v>
      </c>
      <c r="O789" s="3">
        <v>161.6</v>
      </c>
      <c r="P789" s="3"/>
      <c r="Q789" s="3">
        <v>88.5</v>
      </c>
      <c r="R789" s="3">
        <v>88.5</v>
      </c>
      <c r="S789" s="3"/>
      <c r="T789" s="42">
        <v>179.5</v>
      </c>
      <c r="U789" s="188" cm="1">
        <f t="array" ref="U789">AVERAGE(paper3[[#This Row],[Sittende høyde 1]:[Sittende høyde 2]]-70.2)</f>
        <v>91.399999999999991</v>
      </c>
      <c r="V789" s="12">
        <f>paper3[[#This Row],[height]]-paper3[[#This Row],[sittingheight]]</f>
        <v>88.100000000000009</v>
      </c>
      <c r="W789" s="73">
        <v>88.5</v>
      </c>
      <c r="X789" s="43" cm="1">
        <f t="array" ref="X789">INDEX([1]!phvny[yphv], MATCH(1, (paper3[[#This Row],[id]]=[1]!phvny[id])*(paper3[[#This Row],[time]]=[1]!phvny[time]), 0))</f>
        <v>3.8061766490461149</v>
      </c>
      <c r="Y789" s="192">
        <v>1.8149999999999999</v>
      </c>
      <c r="Z789" s="3">
        <v>3.3610000000000002</v>
      </c>
      <c r="AA789" s="192">
        <v>4.8659999999999997</v>
      </c>
      <c r="AB789" s="3">
        <v>1.8320000000000001</v>
      </c>
      <c r="AC789" s="3">
        <v>3.3860000000000001</v>
      </c>
      <c r="AD789" s="3">
        <v>4.8970000000000002</v>
      </c>
      <c r="AE789" s="3">
        <v>1.897</v>
      </c>
      <c r="AF789" s="3">
        <v>3.512</v>
      </c>
      <c r="AG789" s="3">
        <v>5.085</v>
      </c>
      <c r="AH789" s="194">
        <f t="shared" ref="AH789:AJ790" si="9">MIN(Y789,AB789,AE789)</f>
        <v>1.8149999999999999</v>
      </c>
      <c r="AI789" s="193">
        <f t="shared" si="9"/>
        <v>3.3610000000000002</v>
      </c>
      <c r="AJ789" s="194">
        <f t="shared" si="9"/>
        <v>4.8659999999999997</v>
      </c>
      <c r="AK789" s="130"/>
      <c r="AL789" s="203"/>
      <c r="AM789" s="203"/>
      <c r="AN789" s="3"/>
      <c r="AO789" s="3"/>
      <c r="AP789" s="137"/>
      <c r="AQ789" s="132"/>
      <c r="AR789" s="132"/>
      <c r="AS789" s="3"/>
      <c r="AT789" s="3"/>
      <c r="AU789" s="3"/>
      <c r="AV789" s="3"/>
      <c r="AW789" s="192"/>
      <c r="AX789" s="133">
        <v>22.4</v>
      </c>
      <c r="AY789" s="195" t="s">
        <v>254</v>
      </c>
      <c r="AZ789" s="40">
        <v>11</v>
      </c>
      <c r="BA789" s="40"/>
      <c r="BB789" s="40"/>
      <c r="BC789" s="40"/>
      <c r="BD789" s="135"/>
      <c r="BE789" s="135"/>
      <c r="BF789" s="40"/>
      <c r="BG789" s="135"/>
      <c r="BH789" s="135"/>
      <c r="BI789" s="49"/>
      <c r="BJ789" s="49"/>
      <c r="BK789" s="66"/>
      <c r="BL789" s="66"/>
      <c r="BM789" s="51"/>
      <c r="BN789" s="51"/>
      <c r="BO789" s="136"/>
      <c r="BP789" s="40"/>
      <c r="BQ789" s="40"/>
      <c r="BR789" s="67"/>
      <c r="BS789" s="54"/>
      <c r="BT789" s="3"/>
      <c r="BU789" s="3"/>
      <c r="BV789" s="3"/>
      <c r="BW789" s="3"/>
      <c r="BX789" s="70"/>
      <c r="BY789" s="70"/>
      <c r="BZ789" s="59"/>
      <c r="CA789" s="59"/>
      <c r="CB789" s="59"/>
      <c r="CC789" s="59"/>
      <c r="CD789" s="60"/>
      <c r="CE789" s="60"/>
      <c r="CF789" s="61"/>
      <c r="CG789" s="61"/>
      <c r="CH789" s="61"/>
      <c r="CI789" s="41"/>
      <c r="CJ789" s="40"/>
      <c r="CK789" s="3"/>
      <c r="CL789" s="62"/>
      <c r="CM789" s="63"/>
      <c r="CN789" s="3"/>
      <c r="CO789" s="3"/>
      <c r="CP789" s="41">
        <v>15.080555555555556</v>
      </c>
      <c r="CQ789" s="3"/>
      <c r="CR789" s="40"/>
      <c r="CS789" s="40"/>
      <c r="CT789" s="40"/>
      <c r="CU789" s="40"/>
      <c r="CV789" s="40"/>
      <c r="CW789" s="40"/>
      <c r="CX789" s="40"/>
      <c r="CY789" s="40"/>
      <c r="CZ789" s="40"/>
      <c r="DA789" s="40"/>
    </row>
    <row r="790" spans="1:105" ht="18.75">
      <c r="A790" s="3">
        <v>879</v>
      </c>
      <c r="B790" s="92" t="s">
        <v>199</v>
      </c>
      <c r="C790" s="3" t="s">
        <v>104</v>
      </c>
      <c r="D790" s="202" t="s">
        <v>215</v>
      </c>
      <c r="E790" s="39">
        <v>45435</v>
      </c>
      <c r="F790" s="3" t="s">
        <v>186</v>
      </c>
      <c r="G790" s="3" t="s">
        <v>107</v>
      </c>
      <c r="H790" s="3">
        <v>2008</v>
      </c>
      <c r="I790" s="40" t="str">
        <f t="shared" si="2"/>
        <v>U16</v>
      </c>
      <c r="J790" s="40" t="s">
        <v>117</v>
      </c>
      <c r="K790" s="3">
        <v>172.5</v>
      </c>
      <c r="L790" s="3">
        <v>172.5</v>
      </c>
      <c r="M790" s="3"/>
      <c r="N790" s="3">
        <v>164</v>
      </c>
      <c r="O790" s="3">
        <v>164</v>
      </c>
      <c r="P790" s="3"/>
      <c r="Q790" s="3">
        <v>71</v>
      </c>
      <c r="R790" s="3">
        <v>71</v>
      </c>
      <c r="S790" s="3"/>
      <c r="T790" s="42">
        <v>172.5</v>
      </c>
      <c r="U790" s="188" cm="1">
        <f t="array" ref="U790">AVERAGE(paper3[[#This Row],[Sittende høyde 1]:[Sittende høyde 2]]-70.2)</f>
        <v>93.8</v>
      </c>
      <c r="V790" s="12">
        <f>paper3[[#This Row],[height]]-paper3[[#This Row],[sittingheight]]</f>
        <v>78.7</v>
      </c>
      <c r="W790" s="73">
        <v>71</v>
      </c>
      <c r="X790" s="43" cm="1">
        <f t="array" ref="X790">INDEX([1]!phvny[yphv], MATCH(1, (paper3[[#This Row],[id]]=[1]!phvny[id])*(paper3[[#This Row],[time]]=[1]!phvny[time]), 0))</f>
        <v>3.8711013626763306</v>
      </c>
      <c r="Y790" s="192">
        <v>1.9039999999999999</v>
      </c>
      <c r="Z790" s="3">
        <v>3.5289999999999999</v>
      </c>
      <c r="AA790" s="192">
        <v>5.1139999999999999</v>
      </c>
      <c r="AB790" s="3">
        <v>1.913</v>
      </c>
      <c r="AC790" s="3">
        <v>3.55</v>
      </c>
      <c r="AD790" s="3">
        <v>5.1689999999999996</v>
      </c>
      <c r="AE790" s="3">
        <v>1.86</v>
      </c>
      <c r="AF790" s="3">
        <v>3.5259999999999998</v>
      </c>
      <c r="AG790" s="3">
        <v>5.1769999999999996</v>
      </c>
      <c r="AH790" s="194">
        <f t="shared" si="9"/>
        <v>1.86</v>
      </c>
      <c r="AI790" s="193">
        <f t="shared" si="9"/>
        <v>3.5259999999999998</v>
      </c>
      <c r="AJ790" s="194">
        <f t="shared" si="9"/>
        <v>5.1139999999999999</v>
      </c>
      <c r="AK790" s="130"/>
      <c r="AL790" s="203"/>
      <c r="AM790" s="203"/>
      <c r="AN790" s="3"/>
      <c r="AO790" s="3"/>
      <c r="AP790" s="137"/>
      <c r="AQ790" s="132"/>
      <c r="AR790" s="132"/>
      <c r="AS790" s="3"/>
      <c r="AT790" s="3"/>
      <c r="AU790" s="3"/>
      <c r="AV790" s="3"/>
      <c r="AW790" s="192"/>
      <c r="AX790" s="133">
        <v>22.6</v>
      </c>
      <c r="AY790" s="195" t="s">
        <v>248</v>
      </c>
      <c r="AZ790" s="40">
        <v>9</v>
      </c>
      <c r="BA790" s="40"/>
      <c r="BB790" s="40"/>
      <c r="BC790" s="40"/>
      <c r="BD790" s="135"/>
      <c r="BE790" s="135"/>
      <c r="BF790" s="40"/>
      <c r="BG790" s="135"/>
      <c r="BH790" s="135"/>
      <c r="BI790" s="49"/>
      <c r="BJ790" s="49"/>
      <c r="BK790" s="66"/>
      <c r="BL790" s="66"/>
      <c r="BM790" s="51"/>
      <c r="BN790" s="51"/>
      <c r="BO790" s="136"/>
      <c r="BP790" s="40"/>
      <c r="BQ790" s="40"/>
      <c r="BR790" s="67"/>
      <c r="BS790" s="54"/>
      <c r="BT790" s="3"/>
      <c r="BU790" s="3"/>
      <c r="BV790" s="3"/>
      <c r="BW790" s="3"/>
      <c r="BX790" s="70"/>
      <c r="BY790" s="70"/>
      <c r="BZ790" s="59"/>
      <c r="CA790" s="59"/>
      <c r="CB790" s="59"/>
      <c r="CC790" s="59"/>
      <c r="CD790" s="60"/>
      <c r="CE790" s="60"/>
      <c r="CF790" s="61"/>
      <c r="CG790" s="61"/>
      <c r="CH790" s="61"/>
      <c r="CI790" s="41"/>
      <c r="CJ790" s="40"/>
      <c r="CK790" s="3"/>
      <c r="CL790" s="62"/>
      <c r="CM790" s="63"/>
      <c r="CN790" s="3"/>
      <c r="CO790" s="3"/>
      <c r="CP790" s="41">
        <v>15.419444444444444</v>
      </c>
      <c r="CQ790" s="3"/>
      <c r="CR790" s="40"/>
      <c r="CS790" s="40"/>
      <c r="CT790" s="40"/>
      <c r="CU790" s="40"/>
      <c r="CV790" s="40"/>
      <c r="CW790" s="40"/>
      <c r="CX790" s="40"/>
      <c r="CY790" s="40"/>
      <c r="CZ790" s="40"/>
      <c r="DA790" s="40"/>
    </row>
    <row r="791" spans="1:105" ht="18.95" customHeight="1">
      <c r="A791" s="3">
        <v>880</v>
      </c>
      <c r="B791" s="92" t="s">
        <v>199</v>
      </c>
      <c r="C791" s="3" t="s">
        <v>104</v>
      </c>
      <c r="D791" s="202" t="s">
        <v>215</v>
      </c>
      <c r="E791" s="39">
        <v>45435</v>
      </c>
      <c r="F791" s="3" t="s">
        <v>186</v>
      </c>
      <c r="G791" s="3" t="s">
        <v>107</v>
      </c>
      <c r="H791" s="3">
        <v>2008</v>
      </c>
      <c r="I791" s="40" t="str">
        <f t="shared" si="2"/>
        <v>U16</v>
      </c>
      <c r="J791" s="40" t="s">
        <v>117</v>
      </c>
      <c r="K791" s="3"/>
      <c r="L791" s="3"/>
      <c r="M791" s="3"/>
      <c r="N791" s="3"/>
      <c r="O791" s="3"/>
      <c r="P791" s="3"/>
      <c r="Q791" s="3"/>
      <c r="R791" s="3"/>
      <c r="S791" s="3"/>
      <c r="T791" s="42"/>
      <c r="U791" s="188"/>
      <c r="V791" s="199"/>
      <c r="W791" s="73"/>
      <c r="X791" s="43"/>
      <c r="Y791" s="192"/>
      <c r="Z791" s="3"/>
      <c r="AA791" s="192"/>
      <c r="AB791" s="3"/>
      <c r="AC791" s="3"/>
      <c r="AD791" s="3"/>
      <c r="AE791" s="3"/>
      <c r="AF791" s="3"/>
      <c r="AG791" s="3"/>
      <c r="AH791" s="194"/>
      <c r="AI791" s="193"/>
      <c r="AJ791" s="194"/>
      <c r="AK791" s="130"/>
      <c r="AL791" s="203">
        <v>12.19</v>
      </c>
      <c r="AM791" s="203">
        <v>12.2</v>
      </c>
      <c r="AN791" s="3">
        <v>12.16</v>
      </c>
      <c r="AO791" s="3">
        <v>12.22</v>
      </c>
      <c r="AP791" s="137">
        <f>MIN(AQ791:AR791)</f>
        <v>12.16</v>
      </c>
      <c r="AQ791" s="132">
        <v>12.19</v>
      </c>
      <c r="AR791" s="132">
        <v>12.16</v>
      </c>
      <c r="AS791" s="3"/>
      <c r="AT791" s="3"/>
      <c r="AU791" s="3"/>
      <c r="AV791" s="3"/>
      <c r="AW791" s="192"/>
      <c r="AX791" s="133"/>
      <c r="AY791" s="195"/>
      <c r="AZ791" s="40"/>
      <c r="BA791" s="40"/>
      <c r="BB791" s="40"/>
      <c r="BC791" s="40"/>
      <c r="BD791" s="135"/>
      <c r="BE791" s="135"/>
      <c r="BF791" s="40"/>
      <c r="BG791" s="135"/>
      <c r="BH791" s="135"/>
      <c r="BI791" s="49"/>
      <c r="BJ791" s="49"/>
      <c r="BK791" s="66"/>
      <c r="BL791" s="66"/>
      <c r="BM791" s="51"/>
      <c r="BN791" s="51"/>
      <c r="BO791" s="136"/>
      <c r="BP791" s="40"/>
      <c r="BQ791" s="40"/>
      <c r="BR791" s="67"/>
      <c r="BS791" s="54"/>
      <c r="BT791" s="3"/>
      <c r="BU791" s="3"/>
      <c r="BV791" s="3"/>
      <c r="BW791" s="3"/>
      <c r="BX791" s="70"/>
      <c r="BY791" s="70"/>
      <c r="BZ791" s="59"/>
      <c r="CA791" s="59"/>
      <c r="CB791" s="59"/>
      <c r="CC791" s="59"/>
      <c r="CD791" s="60"/>
      <c r="CE791" s="60"/>
      <c r="CF791" s="61"/>
      <c r="CG791" s="61"/>
      <c r="CH791" s="61"/>
      <c r="CI791" s="41">
        <v>12.3</v>
      </c>
      <c r="CJ791" s="40">
        <f>VLOOKUP(CI791,$DB:$DC,2)</f>
        <v>280</v>
      </c>
      <c r="CK791" s="3"/>
      <c r="CL791" s="62"/>
      <c r="CM791" s="63"/>
      <c r="CN791" s="3"/>
      <c r="CO791" s="3"/>
      <c r="CP791" s="41">
        <v>14.911111111111111</v>
      </c>
      <c r="CQ791" s="3"/>
      <c r="CR791" s="40"/>
      <c r="CS791" s="40"/>
      <c r="CT791" s="40"/>
      <c r="CU791" s="40"/>
      <c r="CV791" s="40"/>
      <c r="CW791" s="40"/>
      <c r="CX791" s="40"/>
      <c r="CY791" s="40"/>
      <c r="CZ791" s="40"/>
      <c r="DA791" s="40"/>
    </row>
    <row r="792" spans="1:105" ht="18.75">
      <c r="A792" s="3">
        <v>881</v>
      </c>
      <c r="B792" s="92" t="s">
        <v>199</v>
      </c>
      <c r="C792" s="3" t="s">
        <v>104</v>
      </c>
      <c r="D792" s="202" t="s">
        <v>215</v>
      </c>
      <c r="E792" s="39">
        <v>45435</v>
      </c>
      <c r="F792" s="3" t="s">
        <v>186</v>
      </c>
      <c r="G792" s="3" t="s">
        <v>107</v>
      </c>
      <c r="H792" s="3">
        <v>2008</v>
      </c>
      <c r="I792" s="40" t="str">
        <f t="shared" si="2"/>
        <v>U16</v>
      </c>
      <c r="J792" s="40" t="s">
        <v>117</v>
      </c>
      <c r="K792" s="3">
        <v>170.8</v>
      </c>
      <c r="L792" s="3">
        <v>170.9</v>
      </c>
      <c r="M792" s="3"/>
      <c r="N792" s="3">
        <v>158</v>
      </c>
      <c r="O792" s="3">
        <v>158</v>
      </c>
      <c r="P792" s="3"/>
      <c r="Q792" s="3">
        <v>60.6</v>
      </c>
      <c r="R792" s="3">
        <v>60.6</v>
      </c>
      <c r="S792" s="3"/>
      <c r="T792" s="42">
        <v>170.85000000000002</v>
      </c>
      <c r="U792" s="188" cm="1">
        <f t="array" ref="U792">AVERAGE(paper3[[#This Row],[Sittende høyde 1]:[Sittende høyde 2]]-70.2)</f>
        <v>87.8</v>
      </c>
      <c r="V792" s="12">
        <f>paper3[[#This Row],[height]]-paper3[[#This Row],[sittingheight]]</f>
        <v>83.050000000000026</v>
      </c>
      <c r="W792" s="73">
        <v>60.6</v>
      </c>
      <c r="X792" s="43" cm="1">
        <f t="array" ref="X792">INDEX([1]!phvny[yphv], MATCH(1, (paper3[[#This Row],[id]]=[1]!phvny[id])*(paper3[[#This Row],[time]]=[1]!phvny[time]), 0))</f>
        <v>3.398341217015707</v>
      </c>
      <c r="Y792" s="192">
        <v>1.9319999999999999</v>
      </c>
      <c r="Z792" s="3">
        <v>3.5430000000000001</v>
      </c>
      <c r="AA792" s="192">
        <v>5.1059999999999999</v>
      </c>
      <c r="AB792" s="3">
        <v>1.9950000000000001</v>
      </c>
      <c r="AC792" s="3">
        <v>3.5960000000000001</v>
      </c>
      <c r="AD792" s="3">
        <v>5.1970000000000001</v>
      </c>
      <c r="AE792" s="3">
        <v>1.9279999999999999</v>
      </c>
      <c r="AF792" s="3">
        <v>3.516</v>
      </c>
      <c r="AG792" s="3">
        <v>5.0670000000000002</v>
      </c>
      <c r="AH792" s="194">
        <f t="shared" ref="AH792:AJ793" si="10">MIN(Y792,AB792,AE792)</f>
        <v>1.9279999999999999</v>
      </c>
      <c r="AI792" s="193">
        <f t="shared" si="10"/>
        <v>3.516</v>
      </c>
      <c r="AJ792" s="194">
        <f t="shared" si="10"/>
        <v>5.0670000000000002</v>
      </c>
      <c r="AK792" s="130"/>
      <c r="AL792" s="203">
        <v>11.24</v>
      </c>
      <c r="AM792" s="203">
        <v>11.15</v>
      </c>
      <c r="AN792" s="3">
        <v>11.34</v>
      </c>
      <c r="AO792" s="3">
        <v>10.89</v>
      </c>
      <c r="AP792" s="137">
        <f>MIN(AQ792:AR792)</f>
        <v>10.89</v>
      </c>
      <c r="AQ792" s="132">
        <v>11.15</v>
      </c>
      <c r="AR792" s="132">
        <v>10.89</v>
      </c>
      <c r="AS792" s="3"/>
      <c r="AT792" s="3"/>
      <c r="AU792" s="3"/>
      <c r="AV792" s="3"/>
      <c r="AW792" s="192"/>
      <c r="AX792" s="133">
        <v>23.9</v>
      </c>
      <c r="AY792" s="195" t="s">
        <v>245</v>
      </c>
      <c r="AZ792" s="40">
        <v>9</v>
      </c>
      <c r="BA792" s="40"/>
      <c r="BB792" s="40"/>
      <c r="BC792" s="40"/>
      <c r="BD792" s="135"/>
      <c r="BE792" s="135"/>
      <c r="BF792" s="40"/>
      <c r="BG792" s="135"/>
      <c r="BH792" s="135"/>
      <c r="BI792" s="49"/>
      <c r="BJ792" s="49"/>
      <c r="BK792" s="66"/>
      <c r="BL792" s="66"/>
      <c r="BM792" s="51"/>
      <c r="BN792" s="51"/>
      <c r="BO792" s="136"/>
      <c r="BP792" s="40"/>
      <c r="BQ792" s="40"/>
      <c r="BR792" s="67"/>
      <c r="BS792" s="54"/>
      <c r="BT792" s="3"/>
      <c r="BU792" s="3"/>
      <c r="BV792" s="3"/>
      <c r="BW792" s="3"/>
      <c r="BX792" s="70"/>
      <c r="BY792" s="70"/>
      <c r="BZ792" s="59"/>
      <c r="CA792" s="59"/>
      <c r="CB792" s="59"/>
      <c r="CC792" s="59"/>
      <c r="CD792" s="60"/>
      <c r="CE792" s="60"/>
      <c r="CF792" s="61"/>
      <c r="CG792" s="61"/>
      <c r="CH792" s="61"/>
      <c r="CI792" s="41">
        <v>14.6</v>
      </c>
      <c r="CJ792" s="40">
        <f>VLOOKUP(CI792,$DB:$DC,2)</f>
        <v>680</v>
      </c>
      <c r="CK792" s="3"/>
      <c r="CL792" s="62"/>
      <c r="CM792" s="63"/>
      <c r="CN792" s="3"/>
      <c r="CO792" s="3"/>
      <c r="CP792" s="41">
        <v>15.319444444444445</v>
      </c>
      <c r="CQ792" s="3"/>
      <c r="CR792" s="40"/>
      <c r="CS792" s="40"/>
      <c r="CT792" s="40"/>
      <c r="CU792" s="40"/>
      <c r="CV792" s="40"/>
      <c r="CW792" s="40"/>
      <c r="CX792" s="40"/>
      <c r="CY792" s="40"/>
      <c r="CZ792" s="40"/>
      <c r="DA792" s="40"/>
    </row>
    <row r="793" spans="1:105" ht="18.95" customHeight="1">
      <c r="A793" s="3">
        <v>882</v>
      </c>
      <c r="B793" s="92" t="s">
        <v>199</v>
      </c>
      <c r="C793" s="3" t="s">
        <v>104</v>
      </c>
      <c r="D793" s="202" t="s">
        <v>215</v>
      </c>
      <c r="E793" s="39">
        <v>45435</v>
      </c>
      <c r="F793" s="3" t="s">
        <v>186</v>
      </c>
      <c r="G793" s="3" t="s">
        <v>107</v>
      </c>
      <c r="H793" s="3">
        <v>2008</v>
      </c>
      <c r="I793" s="40" t="str">
        <f t="shared" si="2"/>
        <v>U16</v>
      </c>
      <c r="J793" s="40" t="s">
        <v>117</v>
      </c>
      <c r="K793" s="3">
        <v>171</v>
      </c>
      <c r="L793" s="3">
        <v>171</v>
      </c>
      <c r="M793" s="3"/>
      <c r="N793" s="3">
        <v>162.5</v>
      </c>
      <c r="O793" s="3">
        <v>162.6</v>
      </c>
      <c r="P793" s="3"/>
      <c r="Q793" s="3">
        <v>81.5</v>
      </c>
      <c r="R793" s="3">
        <v>81.5</v>
      </c>
      <c r="S793" s="3"/>
      <c r="T793" s="42">
        <v>171</v>
      </c>
      <c r="U793" s="188" cm="1">
        <f t="array" ref="U793">AVERAGE(paper3[[#This Row],[Sittende høyde 1]:[Sittende høyde 2]]-70.2)</f>
        <v>92.35</v>
      </c>
      <c r="V793" s="12">
        <f>paper3[[#This Row],[height]]-paper3[[#This Row],[sittingheight]]</f>
        <v>78.650000000000006</v>
      </c>
      <c r="W793" s="73">
        <v>81.5</v>
      </c>
      <c r="X793" s="43" cm="1">
        <f t="array" ref="X793">INDEX([1]!phvny[yphv], MATCH(1, (paper3[[#This Row],[id]]=[1]!phvny[id])*(paper3[[#This Row],[time]]=[1]!phvny[time]), 0))</f>
        <v>3.4942053010701755</v>
      </c>
      <c r="Y793" s="192">
        <v>1.9139999999999999</v>
      </c>
      <c r="Z793" s="3">
        <v>3.5550000000000002</v>
      </c>
      <c r="AA793" s="192">
        <v>5.1760000000000002</v>
      </c>
      <c r="AB793" s="3">
        <v>1.9970000000000001</v>
      </c>
      <c r="AC793" s="3">
        <v>3.649</v>
      </c>
      <c r="AD793" s="3">
        <v>5.3019999999999996</v>
      </c>
      <c r="AE793" s="3">
        <v>1.96</v>
      </c>
      <c r="AF793" s="3">
        <v>3.66</v>
      </c>
      <c r="AG793" s="3">
        <v>5.3079999999999998</v>
      </c>
      <c r="AH793" s="194">
        <f t="shared" si="10"/>
        <v>1.9139999999999999</v>
      </c>
      <c r="AI793" s="193">
        <f t="shared" si="10"/>
        <v>3.5550000000000002</v>
      </c>
      <c r="AJ793" s="194">
        <f t="shared" si="10"/>
        <v>5.1760000000000002</v>
      </c>
      <c r="AK793" s="130"/>
      <c r="AL793" s="203"/>
      <c r="AM793" s="203"/>
      <c r="AN793" s="3"/>
      <c r="AO793" s="3"/>
      <c r="AP793" s="137"/>
      <c r="AQ793" s="132"/>
      <c r="AR793" s="132"/>
      <c r="AS793" s="3"/>
      <c r="AT793" s="3"/>
      <c r="AU793" s="3"/>
      <c r="AV793" s="3"/>
      <c r="AW793" s="192"/>
      <c r="AX793" s="133">
        <v>18.100000000000001</v>
      </c>
      <c r="AY793" s="195" t="s">
        <v>245</v>
      </c>
      <c r="AZ793" s="40">
        <v>10</v>
      </c>
      <c r="BA793" s="40"/>
      <c r="BB793" s="40"/>
      <c r="BC793" s="40"/>
      <c r="BD793" s="135"/>
      <c r="BE793" s="135"/>
      <c r="BF793" s="40"/>
      <c r="BG793" s="135"/>
      <c r="BH793" s="135"/>
      <c r="BI793" s="49"/>
      <c r="BJ793" s="49"/>
      <c r="BK793" s="66"/>
      <c r="BL793" s="66"/>
      <c r="BM793" s="51"/>
      <c r="BN793" s="51"/>
      <c r="BO793" s="136"/>
      <c r="BP793" s="40"/>
      <c r="BQ793" s="40"/>
      <c r="BR793" s="67"/>
      <c r="BS793" s="54"/>
      <c r="BT793" s="3"/>
      <c r="BU793" s="3"/>
      <c r="BV793" s="3"/>
      <c r="BW793" s="3"/>
      <c r="BX793" s="70"/>
      <c r="BY793" s="70"/>
      <c r="BZ793" s="59"/>
      <c r="CA793" s="59"/>
      <c r="CB793" s="59"/>
      <c r="CC793" s="59"/>
      <c r="CD793" s="60"/>
      <c r="CE793" s="60"/>
      <c r="CF793" s="61"/>
      <c r="CG793" s="61"/>
      <c r="CH793" s="61"/>
      <c r="CI793" s="41"/>
      <c r="CJ793" s="40"/>
      <c r="CK793" s="3"/>
      <c r="CL793" s="62"/>
      <c r="CM793" s="63"/>
      <c r="CN793" s="3"/>
      <c r="CO793" s="3"/>
      <c r="CP793" s="41">
        <v>14.897222222222222</v>
      </c>
      <c r="CQ793" s="3"/>
      <c r="CR793" s="40"/>
      <c r="CS793" s="40"/>
      <c r="CT793" s="40"/>
      <c r="CU793" s="40"/>
      <c r="CV793" s="40"/>
      <c r="CW793" s="40"/>
      <c r="CX793" s="40"/>
      <c r="CY793" s="40"/>
      <c r="CZ793" s="40"/>
      <c r="DA793" s="40"/>
    </row>
    <row r="794" spans="1:105" ht="18.95" customHeight="1">
      <c r="A794" s="3">
        <v>885</v>
      </c>
      <c r="B794" s="92" t="s">
        <v>199</v>
      </c>
      <c r="C794" s="3" t="s">
        <v>104</v>
      </c>
      <c r="D794" s="202" t="s">
        <v>215</v>
      </c>
      <c r="E794" s="39">
        <v>45420</v>
      </c>
      <c r="F794" s="3" t="s">
        <v>186</v>
      </c>
      <c r="G794" s="3" t="s">
        <v>107</v>
      </c>
      <c r="H794" s="3">
        <v>2010</v>
      </c>
      <c r="I794" s="40" t="str">
        <f t="shared" si="2"/>
        <v>U14</v>
      </c>
      <c r="J794" s="40" t="s">
        <v>109</v>
      </c>
      <c r="K794" s="3">
        <v>158.1</v>
      </c>
      <c r="L794" s="3">
        <v>158.1</v>
      </c>
      <c r="M794" s="3"/>
      <c r="N794" s="3">
        <v>152</v>
      </c>
      <c r="O794" s="3">
        <v>152</v>
      </c>
      <c r="P794" s="3"/>
      <c r="Q794" s="3">
        <v>55.1</v>
      </c>
      <c r="R794" s="3">
        <v>55.1</v>
      </c>
      <c r="S794" s="3"/>
      <c r="T794" s="42">
        <v>158.1</v>
      </c>
      <c r="U794" s="188" cm="1">
        <f t="array" ref="U794">AVERAGE(paper3[[#This Row],[Sittende høyde 1]:[Sittende høyde 2]]-70.2)</f>
        <v>81.8</v>
      </c>
      <c r="V794" s="12">
        <f>paper3[[#This Row],[height]]-paper3[[#This Row],[sittingheight]]</f>
        <v>76.3</v>
      </c>
      <c r="W794" s="73">
        <v>55.1</v>
      </c>
      <c r="X794" s="43" cm="1">
        <f t="array" ref="X794">INDEX([1]!phvny[yphv], MATCH(1, (paper3[[#This Row],[id]]=[1]!phvny[id])*(paper3[[#This Row],[time]]=[1]!phvny[time]), 0))</f>
        <v>1.2161349827923245</v>
      </c>
      <c r="Y794" s="192">
        <v>1.823</v>
      </c>
      <c r="Z794" s="3">
        <v>3.3359999999999999</v>
      </c>
      <c r="AA794" s="192">
        <v>4.7949999999999999</v>
      </c>
      <c r="AB794" s="3">
        <v>1.7949999999999999</v>
      </c>
      <c r="AC794" s="3">
        <v>3.3460000000000001</v>
      </c>
      <c r="AD794" s="3">
        <v>4.8559999999999999</v>
      </c>
      <c r="AE794" s="3">
        <v>1.841</v>
      </c>
      <c r="AF794" s="3">
        <v>3.4449999999999998</v>
      </c>
      <c r="AG794" s="3">
        <v>4.976</v>
      </c>
      <c r="AH794" s="194">
        <v>1.7949999999999999</v>
      </c>
      <c r="AI794" s="193">
        <v>3.3359999999999999</v>
      </c>
      <c r="AJ794" s="194">
        <v>4.7949999999999999</v>
      </c>
      <c r="AK794" s="130"/>
      <c r="AL794" s="203"/>
      <c r="AM794" s="203"/>
      <c r="AN794" s="3"/>
      <c r="AO794" s="3"/>
      <c r="AP794" s="137"/>
      <c r="AQ794" s="132"/>
      <c r="AR794" s="132"/>
      <c r="AS794" s="3"/>
      <c r="AT794" s="3"/>
      <c r="AU794" s="3"/>
      <c r="AV794" s="3"/>
      <c r="AW794" s="192"/>
      <c r="AX794" s="133">
        <v>23.3</v>
      </c>
      <c r="AY794" s="195" t="s">
        <v>255</v>
      </c>
      <c r="AZ794" s="40">
        <v>8</v>
      </c>
      <c r="BA794" s="40"/>
      <c r="BB794" s="40"/>
      <c r="BC794" s="40"/>
      <c r="BD794" s="135">
        <v>899.86180264735583</v>
      </c>
      <c r="BE794" s="135">
        <v>895.62223905574967</v>
      </c>
      <c r="BF794" s="40"/>
      <c r="BG794" s="135">
        <v>415.23703250432396</v>
      </c>
      <c r="BH794" s="135">
        <v>385.49651523194223</v>
      </c>
      <c r="BI794" s="49">
        <f>IFERROR(SUM(paper3[[#This Row],[Kraft ikke-dominant]:[Kraft dominant]]),"")</f>
        <v>1795.4840417031055</v>
      </c>
      <c r="BJ794" s="49">
        <f>IFERROR(SUM(paper3[[#This Row],[Pwr ikke-dominant]:[Pwr dominant]]),"")</f>
        <v>800.73354773626625</v>
      </c>
      <c r="BK794" s="66"/>
      <c r="BL794" s="66"/>
      <c r="BM794" s="51">
        <f>IFERROR(paper3[[#This Row],[totforce]]/paper3[[#This Row],[bodymass]],"")</f>
        <v>32.585917272288668</v>
      </c>
      <c r="BN794" s="51">
        <f>IFERROR(paper3[[#This Row],[totpwr]]/paper3[[#This Row],[bodymass]],"")</f>
        <v>14.53236928740955</v>
      </c>
      <c r="BO794" s="136"/>
      <c r="BP794" s="40"/>
      <c r="BQ794" s="40"/>
      <c r="BR794" s="67"/>
      <c r="BS794" s="54"/>
      <c r="BT794" s="3"/>
      <c r="BU794" s="3"/>
      <c r="BV794" s="3"/>
      <c r="BW794" s="3"/>
      <c r="BX794" s="70"/>
      <c r="BY794" s="70"/>
      <c r="BZ794" s="59"/>
      <c r="CA794" s="59"/>
      <c r="CB794" s="59"/>
      <c r="CC794" s="59"/>
      <c r="CD794" s="60"/>
      <c r="CE794" s="60"/>
      <c r="CF794" s="61"/>
      <c r="CG794" s="61"/>
      <c r="CH794" s="61"/>
      <c r="CI794" s="41"/>
      <c r="CJ794" s="40"/>
      <c r="CK794" s="3"/>
      <c r="CL794" s="62"/>
      <c r="CM794" s="63"/>
      <c r="CN794" s="3"/>
      <c r="CO794" s="3"/>
      <c r="CP794" s="41">
        <v>12.627777777777778</v>
      </c>
      <c r="CQ794" s="3"/>
      <c r="CR794" s="40"/>
      <c r="CS794" s="40"/>
      <c r="CT794" s="40"/>
      <c r="CU794" s="40"/>
      <c r="CV794" s="40"/>
      <c r="CW794" s="40"/>
      <c r="CX794" s="40"/>
      <c r="CY794" s="40"/>
      <c r="CZ794" s="40"/>
      <c r="DA794" s="40"/>
    </row>
    <row r="795" spans="1:105" ht="18.95" customHeight="1">
      <c r="A795" s="3">
        <v>886</v>
      </c>
      <c r="B795" s="92" t="s">
        <v>199</v>
      </c>
      <c r="C795" s="3" t="s">
        <v>104</v>
      </c>
      <c r="D795" s="202" t="s">
        <v>215</v>
      </c>
      <c r="E795" s="39">
        <v>45420</v>
      </c>
      <c r="F795" s="3" t="s">
        <v>186</v>
      </c>
      <c r="G795" s="3" t="s">
        <v>107</v>
      </c>
      <c r="H795" s="3">
        <v>2010</v>
      </c>
      <c r="I795" s="40" t="str">
        <f t="shared" si="2"/>
        <v>U14</v>
      </c>
      <c r="J795" s="40" t="s">
        <v>109</v>
      </c>
      <c r="K795" s="3">
        <v>169</v>
      </c>
      <c r="L795" s="3">
        <v>169</v>
      </c>
      <c r="M795" s="3"/>
      <c r="N795" s="3">
        <v>157.30000000000001</v>
      </c>
      <c r="O795" s="3">
        <v>157.30000000000001</v>
      </c>
      <c r="P795" s="3"/>
      <c r="Q795" s="3">
        <v>66.7</v>
      </c>
      <c r="R795" s="3">
        <v>66.7</v>
      </c>
      <c r="S795" s="3"/>
      <c r="T795" s="42">
        <v>169</v>
      </c>
      <c r="U795" s="188" cm="1">
        <f t="array" ref="U795">AVERAGE(paper3[[#This Row],[Sittende høyde 1]:[Sittende høyde 2]]-70.2)</f>
        <v>87.100000000000009</v>
      </c>
      <c r="V795" s="12">
        <f>paper3[[#This Row],[height]]-paper3[[#This Row],[sittingheight]]</f>
        <v>81.899999999999991</v>
      </c>
      <c r="W795" s="73">
        <v>66.7</v>
      </c>
      <c r="X795" s="43" cm="1">
        <f t="array" ref="X795">INDEX([1]!phvny[yphv], MATCH(1, (paper3[[#This Row],[id]]=[1]!phvny[id])*(paper3[[#This Row],[time]]=[1]!phvny[time]), 0))</f>
        <v>2.1572218039467472</v>
      </c>
      <c r="Y795" s="192">
        <v>1.32</v>
      </c>
      <c r="Z795" s="3">
        <v>2.9089999999999998</v>
      </c>
      <c r="AA795" s="192">
        <v>4.4489999999999998</v>
      </c>
      <c r="AB795" s="3">
        <v>1.2190000000000001</v>
      </c>
      <c r="AC795" s="3">
        <v>2.8719999999999999</v>
      </c>
      <c r="AD795" s="3">
        <v>4.4400000000000004</v>
      </c>
      <c r="AE795" s="3"/>
      <c r="AF795" s="3"/>
      <c r="AG795" s="3"/>
      <c r="AH795" s="194"/>
      <c r="AI795" s="193"/>
      <c r="AJ795" s="194"/>
      <c r="AK795" s="130"/>
      <c r="AL795" s="203">
        <v>10.57</v>
      </c>
      <c r="AM795" s="203">
        <v>10.42</v>
      </c>
      <c r="AN795" s="3">
        <v>10.35</v>
      </c>
      <c r="AO795" s="3">
        <v>10.5</v>
      </c>
      <c r="AP795" s="137">
        <f>MIN(AQ795:AR795)</f>
        <v>10.35</v>
      </c>
      <c r="AQ795" s="132">
        <v>10.42</v>
      </c>
      <c r="AR795" s="132">
        <v>10.35</v>
      </c>
      <c r="AS795" s="3"/>
      <c r="AT795" s="3"/>
      <c r="AU795" s="3"/>
      <c r="AV795" s="3"/>
      <c r="AW795" s="192"/>
      <c r="AX795" s="133">
        <v>21.8</v>
      </c>
      <c r="AY795" s="195" t="s">
        <v>247</v>
      </c>
      <c r="AZ795" s="40">
        <v>9</v>
      </c>
      <c r="BA795" s="40"/>
      <c r="BB795" s="40"/>
      <c r="BC795" s="40"/>
      <c r="BD795" s="135">
        <v>1233.3844032890017</v>
      </c>
      <c r="BE795" s="135">
        <v>1096.9355552932877</v>
      </c>
      <c r="BF795" s="40"/>
      <c r="BG795" s="135">
        <v>406.09838203074452</v>
      </c>
      <c r="BH795" s="135">
        <v>389.60781934889064</v>
      </c>
      <c r="BI795" s="49"/>
      <c r="BJ795" s="49">
        <f>IFERROR(SUM(paper3[[#This Row],[Pwr ikke-dominant]:[Pwr dominant]]),"")</f>
        <v>795.7062013796351</v>
      </c>
      <c r="BK795" s="66"/>
      <c r="BL795" s="66"/>
      <c r="BM795" s="51"/>
      <c r="BN795" s="51">
        <f>IFERROR(paper3[[#This Row],[totpwr]]/paper3[[#This Row],[bodymass]],"")</f>
        <v>11.92962820659123</v>
      </c>
      <c r="BO795" s="136"/>
      <c r="BP795" s="40"/>
      <c r="BQ795" s="40"/>
      <c r="BR795" s="67"/>
      <c r="BS795" s="54"/>
      <c r="BT795" s="3"/>
      <c r="BU795" s="3"/>
      <c r="BV795" s="3"/>
      <c r="BW795" s="3"/>
      <c r="BX795" s="70"/>
      <c r="BY795" s="70"/>
      <c r="BZ795" s="59"/>
      <c r="CA795" s="59"/>
      <c r="CB795" s="59"/>
      <c r="CC795" s="59"/>
      <c r="CD795" s="60"/>
      <c r="CE795" s="60"/>
      <c r="CF795" s="61"/>
      <c r="CG795" s="61"/>
      <c r="CH795" s="61"/>
      <c r="CI795" s="41">
        <v>14.4</v>
      </c>
      <c r="CJ795" s="40">
        <f>VLOOKUP(CI795,$DB:$DC,2)</f>
        <v>600</v>
      </c>
      <c r="CK795" s="3"/>
      <c r="CL795" s="62"/>
      <c r="CM795" s="63"/>
      <c r="CN795" s="3"/>
      <c r="CO795" s="3"/>
      <c r="CP795" s="41">
        <v>13.116666666666667</v>
      </c>
      <c r="CQ795" s="3"/>
      <c r="CR795" s="40"/>
      <c r="CS795" s="40"/>
      <c r="CT795" s="40"/>
      <c r="CU795" s="40"/>
      <c r="CV795" s="40"/>
      <c r="CW795" s="40"/>
      <c r="CX795" s="40"/>
      <c r="CY795" s="40"/>
      <c r="CZ795" s="40"/>
      <c r="DA795" s="40"/>
    </row>
    <row r="796" spans="1:105" ht="18.95" customHeight="1">
      <c r="A796" s="3">
        <v>887</v>
      </c>
      <c r="B796" s="92" t="s">
        <v>199</v>
      </c>
      <c r="C796" s="3"/>
      <c r="D796" s="202" t="s">
        <v>215</v>
      </c>
      <c r="E796" s="39">
        <v>45420</v>
      </c>
      <c r="F796" s="3" t="s">
        <v>186</v>
      </c>
      <c r="G796" s="3" t="s">
        <v>107</v>
      </c>
      <c r="H796" s="3">
        <v>2010</v>
      </c>
      <c r="I796" s="40" t="str">
        <f t="shared" si="2"/>
        <v>U14</v>
      </c>
      <c r="J796" s="40" t="s">
        <v>109</v>
      </c>
      <c r="K796" s="3">
        <v>160.6</v>
      </c>
      <c r="L796" s="3">
        <v>160.5</v>
      </c>
      <c r="M796" s="3"/>
      <c r="N796" s="3">
        <v>151</v>
      </c>
      <c r="O796" s="3">
        <v>151</v>
      </c>
      <c r="P796" s="3"/>
      <c r="Q796" s="3">
        <v>42.8</v>
      </c>
      <c r="R796" s="3">
        <v>42.8</v>
      </c>
      <c r="S796" s="3"/>
      <c r="T796" s="42">
        <v>160.55000000000001</v>
      </c>
      <c r="U796" s="188" cm="1">
        <f t="array" ref="U796">AVERAGE(paper3[[#This Row],[Sittende høyde 1]:[Sittende høyde 2]]-70.2)</f>
        <v>80.8</v>
      </c>
      <c r="V796" s="12">
        <f>paper3[[#This Row],[height]]-paper3[[#This Row],[sittingheight]]</f>
        <v>79.750000000000014</v>
      </c>
      <c r="W796" s="73">
        <v>42.8</v>
      </c>
      <c r="X796" s="43" cm="1">
        <f t="array" ref="X796">INDEX([1]!phvny[yphv], MATCH(1, (paper3[[#This Row],[id]]=[1]!phvny[id])*(paper3[[#This Row],[time]]=[1]!phvny[time]), 0))</f>
        <v>1.2310357772857186</v>
      </c>
      <c r="Y796" s="192">
        <v>1.7929999999999999</v>
      </c>
      <c r="Z796" s="3">
        <v>3.403</v>
      </c>
      <c r="AA796" s="192">
        <v>5.008</v>
      </c>
      <c r="AB796" s="3">
        <v>1.89</v>
      </c>
      <c r="AC796" s="3">
        <v>3.5510000000000002</v>
      </c>
      <c r="AD796" s="3">
        <v>5.2370000000000001</v>
      </c>
      <c r="AE796" s="3">
        <v>1.9470000000000001</v>
      </c>
      <c r="AF796" s="3">
        <v>3.6880000000000002</v>
      </c>
      <c r="AG796" s="3">
        <v>5.4870000000000001</v>
      </c>
      <c r="AH796" s="194">
        <v>1.7929999999999999</v>
      </c>
      <c r="AI796" s="193">
        <v>3.403</v>
      </c>
      <c r="AJ796" s="194">
        <v>5.008</v>
      </c>
      <c r="AK796" s="130"/>
      <c r="AL796" s="203">
        <v>10.82</v>
      </c>
      <c r="AM796" s="203">
        <v>11.03</v>
      </c>
      <c r="AN796" s="3">
        <v>11.2</v>
      </c>
      <c r="AO796" s="3">
        <v>11.11</v>
      </c>
      <c r="AP796" s="137">
        <f>MIN(AQ796:AR796)</f>
        <v>10.82</v>
      </c>
      <c r="AQ796" s="132">
        <v>10.82</v>
      </c>
      <c r="AR796" s="132">
        <v>11.11</v>
      </c>
      <c r="AS796" s="3"/>
      <c r="AT796" s="3"/>
      <c r="AU796" s="3"/>
      <c r="AV796" s="3"/>
      <c r="AW796" s="192"/>
      <c r="AX796" s="133">
        <v>21.2</v>
      </c>
      <c r="AY796" s="195" t="s">
        <v>255</v>
      </c>
      <c r="AZ796" s="40">
        <v>8</v>
      </c>
      <c r="BA796" s="40"/>
      <c r="BB796" s="40"/>
      <c r="BC796" s="40"/>
      <c r="BD796" s="135">
        <v>768</v>
      </c>
      <c r="BE796" s="135">
        <v>775</v>
      </c>
      <c r="BF796" s="40"/>
      <c r="BG796" s="135">
        <v>286</v>
      </c>
      <c r="BH796" s="135">
        <v>277</v>
      </c>
      <c r="BI796" s="49">
        <f>IFERROR(SUM(paper3[[#This Row],[Kraft ikke-dominant]:[Kraft dominant]]),"")</f>
        <v>1543</v>
      </c>
      <c r="BJ796" s="49">
        <f>IFERROR(SUM(paper3[[#This Row],[Pwr ikke-dominant]:[Pwr dominant]]),"")</f>
        <v>563</v>
      </c>
      <c r="BK796" s="66"/>
      <c r="BL796" s="66"/>
      <c r="BM796" s="51">
        <f>IFERROR(paper3[[#This Row],[totforce]]/paper3[[#This Row],[bodymass]],"")</f>
        <v>36.05140186915888</v>
      </c>
      <c r="BN796" s="51">
        <f>IFERROR(paper3[[#This Row],[totpwr]]/paper3[[#This Row],[bodymass]],"")</f>
        <v>13.154205607476637</v>
      </c>
      <c r="BO796" s="136"/>
      <c r="BP796" s="40"/>
      <c r="BQ796" s="40"/>
      <c r="BR796" s="67"/>
      <c r="BS796" s="54"/>
      <c r="BT796" s="3"/>
      <c r="BU796" s="3"/>
      <c r="BV796" s="3"/>
      <c r="BW796" s="3"/>
      <c r="BX796" s="70"/>
      <c r="BY796" s="70"/>
      <c r="BZ796" s="59"/>
      <c r="CA796" s="59"/>
      <c r="CB796" s="59"/>
      <c r="CC796" s="59"/>
      <c r="CD796" s="60"/>
      <c r="CE796" s="60"/>
      <c r="CF796" s="61"/>
      <c r="CG796" s="61"/>
      <c r="CH796" s="61"/>
      <c r="CI796" s="41">
        <v>14.5</v>
      </c>
      <c r="CJ796" s="40">
        <f>VLOOKUP(CI796,$DB:$DC,2)</f>
        <v>640</v>
      </c>
      <c r="CK796" s="3"/>
      <c r="CL796" s="62"/>
      <c r="CM796" s="63"/>
      <c r="CN796" s="3"/>
      <c r="CO796" s="3"/>
      <c r="CP796" s="41">
        <v>12.894444444444444</v>
      </c>
      <c r="CQ796" s="3"/>
      <c r="CR796" s="40"/>
      <c r="CS796" s="40"/>
      <c r="CT796" s="40"/>
      <c r="CU796" s="40"/>
      <c r="CV796" s="40"/>
      <c r="CW796" s="40"/>
      <c r="CX796" s="40"/>
      <c r="CY796" s="40"/>
      <c r="CZ796" s="40"/>
      <c r="DA796" s="40"/>
    </row>
    <row r="797" spans="1:105" ht="18.75">
      <c r="A797" s="3">
        <v>888</v>
      </c>
      <c r="B797" s="92" t="s">
        <v>199</v>
      </c>
      <c r="C797" s="3" t="s">
        <v>171</v>
      </c>
      <c r="D797" s="202" t="s">
        <v>215</v>
      </c>
      <c r="E797" s="39">
        <v>45420</v>
      </c>
      <c r="F797" s="3" t="s">
        <v>186</v>
      </c>
      <c r="G797" s="3" t="s">
        <v>107</v>
      </c>
      <c r="H797" s="3">
        <v>2010</v>
      </c>
      <c r="I797" s="40" t="str">
        <f t="shared" si="2"/>
        <v>U14</v>
      </c>
      <c r="J797" s="40" t="s">
        <v>109</v>
      </c>
      <c r="K797" s="3"/>
      <c r="L797" s="3"/>
      <c r="M797" s="3"/>
      <c r="N797" s="3"/>
      <c r="O797" s="3"/>
      <c r="P797" s="3"/>
      <c r="Q797" s="3"/>
      <c r="R797" s="3"/>
      <c r="S797" s="3"/>
      <c r="T797" s="42"/>
      <c r="U797" s="188"/>
      <c r="V797" s="199"/>
      <c r="W797" s="73"/>
      <c r="X797" s="43"/>
      <c r="Y797" s="192"/>
      <c r="Z797" s="3"/>
      <c r="AA797" s="192"/>
      <c r="AB797" s="3"/>
      <c r="AC797" s="3"/>
      <c r="AD797" s="3"/>
      <c r="AE797" s="3"/>
      <c r="AF797" s="3"/>
      <c r="AG797" s="3"/>
      <c r="AH797" s="194"/>
      <c r="AI797" s="193"/>
      <c r="AJ797" s="194"/>
      <c r="AK797" s="130"/>
      <c r="AL797" s="203"/>
      <c r="AM797" s="203"/>
      <c r="AN797" s="3"/>
      <c r="AO797" s="3"/>
      <c r="AP797" s="137"/>
      <c r="AQ797" s="132"/>
      <c r="AR797" s="132"/>
      <c r="AS797" s="3"/>
      <c r="AT797" s="3"/>
      <c r="AU797" s="3"/>
      <c r="AV797" s="3"/>
      <c r="AW797" s="192"/>
      <c r="AX797" s="133"/>
      <c r="AY797" s="195"/>
      <c r="AZ797" s="40"/>
      <c r="BA797" s="40"/>
      <c r="BB797" s="40"/>
      <c r="BC797" s="40"/>
      <c r="BD797" s="135"/>
      <c r="BE797" s="135"/>
      <c r="BF797" s="40"/>
      <c r="BG797" s="135"/>
      <c r="BH797" s="135"/>
      <c r="BI797" s="49"/>
      <c r="BJ797" s="49"/>
      <c r="BK797" s="66"/>
      <c r="BL797" s="66"/>
      <c r="BM797" s="51"/>
      <c r="BN797" s="51"/>
      <c r="BO797" s="136"/>
      <c r="BP797" s="40"/>
      <c r="BQ797" s="40"/>
      <c r="BR797" s="67"/>
      <c r="BS797" s="54"/>
      <c r="BT797" s="3"/>
      <c r="BU797" s="3"/>
      <c r="BV797" s="3"/>
      <c r="BW797" s="3"/>
      <c r="BX797" s="70"/>
      <c r="BY797" s="70"/>
      <c r="BZ797" s="59"/>
      <c r="CA797" s="59"/>
      <c r="CB797" s="59"/>
      <c r="CC797" s="59"/>
      <c r="CD797" s="60"/>
      <c r="CE797" s="60"/>
      <c r="CF797" s="61"/>
      <c r="CG797" s="61"/>
      <c r="CH797" s="61"/>
      <c r="CI797" s="41"/>
      <c r="CJ797" s="40"/>
      <c r="CK797" s="3"/>
      <c r="CL797" s="62"/>
      <c r="CM797" s="63"/>
      <c r="CN797" s="3"/>
      <c r="CO797" s="3"/>
      <c r="CP797" s="41"/>
      <c r="CQ797" s="3"/>
      <c r="CR797" s="40"/>
      <c r="CS797" s="40"/>
      <c r="CT797" s="40"/>
      <c r="CU797" s="40"/>
      <c r="CV797" s="40"/>
      <c r="CW797" s="40"/>
      <c r="CX797" s="40"/>
      <c r="CY797" s="40"/>
      <c r="CZ797" s="40"/>
      <c r="DA797" s="40"/>
    </row>
    <row r="798" spans="1:105" ht="18.95" customHeight="1">
      <c r="A798" s="3">
        <v>889</v>
      </c>
      <c r="B798" s="92" t="s">
        <v>199</v>
      </c>
      <c r="C798" s="3" t="s">
        <v>104</v>
      </c>
      <c r="D798" s="202" t="s">
        <v>215</v>
      </c>
      <c r="E798" s="39">
        <v>45420</v>
      </c>
      <c r="F798" s="3" t="s">
        <v>186</v>
      </c>
      <c r="G798" s="3" t="s">
        <v>107</v>
      </c>
      <c r="H798" s="3">
        <v>2010</v>
      </c>
      <c r="I798" s="40" t="str">
        <f t="shared" si="2"/>
        <v>U14</v>
      </c>
      <c r="J798" s="40" t="s">
        <v>109</v>
      </c>
      <c r="K798" s="3">
        <v>161.9</v>
      </c>
      <c r="L798" s="3">
        <v>161.9</v>
      </c>
      <c r="M798" s="3"/>
      <c r="N798" s="3">
        <v>153.4</v>
      </c>
      <c r="O798" s="3">
        <v>153.4</v>
      </c>
      <c r="P798" s="3"/>
      <c r="Q798" s="3">
        <v>52.6</v>
      </c>
      <c r="R798" s="3">
        <v>52.6</v>
      </c>
      <c r="S798" s="3"/>
      <c r="T798" s="42">
        <v>161.9</v>
      </c>
      <c r="U798" s="188" cm="1">
        <f t="array" ref="U798">AVERAGE(paper3[[#This Row],[Sittende høyde 1]:[Sittende høyde 2]]-70.2)</f>
        <v>83.2</v>
      </c>
      <c r="V798" s="12">
        <f>paper3[[#This Row],[height]]-paper3[[#This Row],[sittingheight]]</f>
        <v>78.7</v>
      </c>
      <c r="W798" s="73">
        <v>52.6</v>
      </c>
      <c r="X798" s="43" cm="1">
        <f t="array" ref="X798">INDEX([1]!phvny[yphv], MATCH(1, (paper3[[#This Row],[id]]=[1]!phvny[id])*(paper3[[#This Row],[time]]=[1]!phvny[time]), 0))</f>
        <v>1.7239926163041659</v>
      </c>
      <c r="Y798" s="192">
        <v>1.9159999999999999</v>
      </c>
      <c r="Z798" s="3">
        <v>3.589</v>
      </c>
      <c r="AA798" s="192">
        <v>5.24</v>
      </c>
      <c r="AB798" s="3">
        <v>1.905</v>
      </c>
      <c r="AC798" s="3">
        <v>3.6429999999999998</v>
      </c>
      <c r="AD798" s="3">
        <v>5.3570000000000002</v>
      </c>
      <c r="AE798" s="3">
        <v>1.958</v>
      </c>
      <c r="AF798" s="3">
        <v>3.6869999999999998</v>
      </c>
      <c r="AG798" s="3">
        <v>5.4080000000000004</v>
      </c>
      <c r="AH798" s="194">
        <v>1.905</v>
      </c>
      <c r="AI798" s="193">
        <v>3.589</v>
      </c>
      <c r="AJ798" s="194">
        <v>5.24</v>
      </c>
      <c r="AK798" s="130"/>
      <c r="AL798" s="203">
        <v>11.41</v>
      </c>
      <c r="AM798" s="203">
        <v>11.03</v>
      </c>
      <c r="AN798" s="3">
        <v>10.94</v>
      </c>
      <c r="AO798" s="3">
        <v>10.89</v>
      </c>
      <c r="AP798" s="137">
        <f>MIN(AQ798:AR798)</f>
        <v>10.89</v>
      </c>
      <c r="AQ798" s="132">
        <v>11.03</v>
      </c>
      <c r="AR798" s="132">
        <v>10.89</v>
      </c>
      <c r="AS798" s="3"/>
      <c r="AT798" s="3"/>
      <c r="AU798" s="3"/>
      <c r="AV798" s="3"/>
      <c r="AW798" s="192"/>
      <c r="AX798" s="133">
        <v>18.899999999999999</v>
      </c>
      <c r="AY798" s="195" t="s">
        <v>255</v>
      </c>
      <c r="AZ798" s="40">
        <v>8</v>
      </c>
      <c r="BA798" s="40"/>
      <c r="BB798" s="40"/>
      <c r="BC798" s="40"/>
      <c r="BD798" s="135">
        <v>820.17622483975845</v>
      </c>
      <c r="BE798" s="135">
        <v>760.56899702170517</v>
      </c>
      <c r="BF798" s="40"/>
      <c r="BG798" s="135">
        <v>311.64551846907</v>
      </c>
      <c r="BH798" s="135">
        <v>307.86367957196921</v>
      </c>
      <c r="BI798" s="49">
        <f>IFERROR(SUM(paper3[[#This Row],[Kraft ikke-dominant]:[Kraft dominant]]),"")</f>
        <v>1580.7452218614635</v>
      </c>
      <c r="BJ798" s="49">
        <f>IFERROR(SUM(paper3[[#This Row],[Pwr ikke-dominant]:[Pwr dominant]]),"")</f>
        <v>619.50919804103921</v>
      </c>
      <c r="BK798" s="66"/>
      <c r="BL798" s="66"/>
      <c r="BM798" s="51">
        <f>IFERROR(paper3[[#This Row],[totforce]]/paper3[[#This Row],[bodymass]],"")</f>
        <v>30.052190529685618</v>
      </c>
      <c r="BN798" s="51">
        <f>IFERROR(paper3[[#This Row],[totpwr]]/paper3[[#This Row],[bodymass]],"")</f>
        <v>11.777741407624319</v>
      </c>
      <c r="BO798" s="136"/>
      <c r="BP798" s="40"/>
      <c r="BQ798" s="40"/>
      <c r="BR798" s="67"/>
      <c r="BS798" s="54"/>
      <c r="BT798" s="3"/>
      <c r="BU798" s="3"/>
      <c r="BV798" s="3"/>
      <c r="BW798" s="3"/>
      <c r="BX798" s="70"/>
      <c r="BY798" s="70"/>
      <c r="BZ798" s="59"/>
      <c r="CA798" s="59"/>
      <c r="CB798" s="59"/>
      <c r="CC798" s="59"/>
      <c r="CD798" s="60"/>
      <c r="CE798" s="60"/>
      <c r="CF798" s="61"/>
      <c r="CG798" s="61"/>
      <c r="CH798" s="61"/>
      <c r="CI798" s="41">
        <v>14.2</v>
      </c>
      <c r="CJ798" s="40">
        <f>VLOOKUP(CI798,$DB:$DC,2)</f>
        <v>520</v>
      </c>
      <c r="CK798" s="3"/>
      <c r="CL798" s="62"/>
      <c r="CM798" s="63"/>
      <c r="CN798" s="3"/>
      <c r="CO798" s="3"/>
      <c r="CP798" s="41">
        <v>13.322222222222223</v>
      </c>
      <c r="CQ798" s="3"/>
      <c r="CR798" s="40"/>
      <c r="CS798" s="40"/>
      <c r="CT798" s="40"/>
      <c r="CU798" s="40"/>
      <c r="CV798" s="40"/>
      <c r="CW798" s="40"/>
      <c r="CX798" s="40"/>
      <c r="CY798" s="40"/>
      <c r="CZ798" s="40"/>
      <c r="DA798" s="40"/>
    </row>
    <row r="799" spans="1:105" ht="18.75">
      <c r="A799" s="3">
        <v>890</v>
      </c>
      <c r="B799" s="92" t="s">
        <v>199</v>
      </c>
      <c r="C799" s="3" t="s">
        <v>104</v>
      </c>
      <c r="D799" s="202" t="s">
        <v>215</v>
      </c>
      <c r="E799" s="39">
        <v>45420</v>
      </c>
      <c r="F799" s="3" t="s">
        <v>186</v>
      </c>
      <c r="G799" s="3" t="s">
        <v>107</v>
      </c>
      <c r="H799" s="3">
        <v>2010</v>
      </c>
      <c r="I799" s="40" t="str">
        <f t="shared" si="2"/>
        <v>U14</v>
      </c>
      <c r="J799" s="40" t="s">
        <v>109</v>
      </c>
      <c r="K799" s="3"/>
      <c r="L799" s="3"/>
      <c r="M799" s="3"/>
      <c r="N799" s="3"/>
      <c r="O799" s="3"/>
      <c r="P799" s="3"/>
      <c r="Q799" s="3"/>
      <c r="R799" s="3"/>
      <c r="S799" s="3"/>
      <c r="T799" s="42"/>
      <c r="U799" s="188"/>
      <c r="V799" s="199"/>
      <c r="W799" s="73"/>
      <c r="X799" s="43"/>
      <c r="Y799" s="192"/>
      <c r="Z799" s="3"/>
      <c r="AA799" s="192"/>
      <c r="AB799" s="3"/>
      <c r="AC799" s="3"/>
      <c r="AD799" s="3"/>
      <c r="AE799" s="3"/>
      <c r="AF799" s="3"/>
      <c r="AG799" s="3"/>
      <c r="AH799" s="194"/>
      <c r="AI799" s="193"/>
      <c r="AJ799" s="194"/>
      <c r="AK799" s="130"/>
      <c r="AL799" s="203"/>
      <c r="AM799" s="203"/>
      <c r="AN799" s="3"/>
      <c r="AO799" s="3"/>
      <c r="AP799" s="137"/>
      <c r="AQ799" s="132"/>
      <c r="AR799" s="132"/>
      <c r="AS799" s="3"/>
      <c r="AT799" s="3"/>
      <c r="AU799" s="3"/>
      <c r="AV799" s="3"/>
      <c r="AW799" s="192"/>
      <c r="AX799" s="133"/>
      <c r="AY799" s="195"/>
      <c r="AZ799" s="40"/>
      <c r="BA799" s="40"/>
      <c r="BB799" s="40"/>
      <c r="BC799" s="40"/>
      <c r="BD799" s="135"/>
      <c r="BE799" s="135"/>
      <c r="BF799" s="40"/>
      <c r="BG799" s="135"/>
      <c r="BH799" s="135"/>
      <c r="BI799" s="49"/>
      <c r="BJ799" s="49"/>
      <c r="BK799" s="66"/>
      <c r="BL799" s="66"/>
      <c r="BM799" s="51"/>
      <c r="BN799" s="51"/>
      <c r="BO799" s="136"/>
      <c r="BP799" s="40"/>
      <c r="BQ799" s="40"/>
      <c r="BR799" s="67"/>
      <c r="BS799" s="54"/>
      <c r="BT799" s="3"/>
      <c r="BU799" s="3"/>
      <c r="BV799" s="3"/>
      <c r="BW799" s="3"/>
      <c r="BX799" s="70"/>
      <c r="BY799" s="70"/>
      <c r="BZ799" s="59"/>
      <c r="CA799" s="59"/>
      <c r="CB799" s="59"/>
      <c r="CC799" s="59"/>
      <c r="CD799" s="60"/>
      <c r="CE799" s="60"/>
      <c r="CF799" s="61"/>
      <c r="CG799" s="61"/>
      <c r="CH799" s="61"/>
      <c r="CI799" s="41"/>
      <c r="CJ799" s="40"/>
      <c r="CK799" s="3"/>
      <c r="CL799" s="62"/>
      <c r="CM799" s="63"/>
      <c r="CN799" s="3"/>
      <c r="CO799" s="3"/>
      <c r="CP799" s="41"/>
      <c r="CQ799" s="3"/>
      <c r="CR799" s="40"/>
      <c r="CS799" s="40"/>
      <c r="CT799" s="40"/>
      <c r="CU799" s="40"/>
      <c r="CV799" s="40"/>
      <c r="CW799" s="40"/>
      <c r="CX799" s="40"/>
      <c r="CY799" s="40"/>
      <c r="CZ799" s="40"/>
      <c r="DA799" s="40"/>
    </row>
    <row r="800" spans="1:105" ht="18.95" customHeight="1">
      <c r="A800" s="3">
        <v>891</v>
      </c>
      <c r="B800" s="92" t="s">
        <v>199</v>
      </c>
      <c r="C800" s="3" t="s">
        <v>104</v>
      </c>
      <c r="D800" s="202" t="s">
        <v>215</v>
      </c>
      <c r="E800" s="39">
        <v>45420</v>
      </c>
      <c r="F800" s="3" t="s">
        <v>186</v>
      </c>
      <c r="G800" s="3" t="s">
        <v>107</v>
      </c>
      <c r="H800" s="3">
        <v>2010</v>
      </c>
      <c r="I800" s="40" t="str">
        <f t="shared" si="2"/>
        <v>U14</v>
      </c>
      <c r="J800" s="40" t="s">
        <v>109</v>
      </c>
      <c r="K800" s="3"/>
      <c r="L800" s="3"/>
      <c r="M800" s="3"/>
      <c r="N800" s="3"/>
      <c r="O800" s="3"/>
      <c r="P800" s="3"/>
      <c r="Q800" s="3"/>
      <c r="R800" s="3"/>
      <c r="S800" s="3"/>
      <c r="T800" s="42"/>
      <c r="U800" s="188"/>
      <c r="V800" s="199"/>
      <c r="W800" s="73"/>
      <c r="X800" s="43"/>
      <c r="Y800" s="192"/>
      <c r="Z800" s="3"/>
      <c r="AA800" s="192"/>
      <c r="AB800" s="3"/>
      <c r="AC800" s="3"/>
      <c r="AD800" s="3"/>
      <c r="AE800" s="3"/>
      <c r="AF800" s="3"/>
      <c r="AG800" s="3"/>
      <c r="AH800" s="194"/>
      <c r="AI800" s="193"/>
      <c r="AJ800" s="194"/>
      <c r="AK800" s="130"/>
      <c r="AL800" s="203"/>
      <c r="AM800" s="203"/>
      <c r="AN800" s="3"/>
      <c r="AO800" s="3"/>
      <c r="AP800" s="137"/>
      <c r="AQ800" s="132"/>
      <c r="AR800" s="132"/>
      <c r="AS800" s="3"/>
      <c r="AT800" s="3"/>
      <c r="AU800" s="3"/>
      <c r="AV800" s="3"/>
      <c r="AW800" s="192"/>
      <c r="AX800" s="133"/>
      <c r="AY800" s="195"/>
      <c r="AZ800" s="40"/>
      <c r="BA800" s="40"/>
      <c r="BB800" s="40"/>
      <c r="BC800" s="40"/>
      <c r="BD800" s="135"/>
      <c r="BE800" s="135"/>
      <c r="BF800" s="40"/>
      <c r="BG800" s="135"/>
      <c r="BH800" s="135"/>
      <c r="BI800" s="49"/>
      <c r="BJ800" s="49"/>
      <c r="BK800" s="66"/>
      <c r="BL800" s="66"/>
      <c r="BM800" s="51"/>
      <c r="BN800" s="51"/>
      <c r="BO800" s="136"/>
      <c r="BP800" s="40"/>
      <c r="BQ800" s="40"/>
      <c r="BR800" s="67"/>
      <c r="BS800" s="54"/>
      <c r="BT800" s="3"/>
      <c r="BU800" s="3"/>
      <c r="BV800" s="3"/>
      <c r="BW800" s="3"/>
      <c r="BX800" s="70"/>
      <c r="BY800" s="70"/>
      <c r="BZ800" s="59"/>
      <c r="CA800" s="59"/>
      <c r="CB800" s="59"/>
      <c r="CC800" s="59"/>
      <c r="CD800" s="60"/>
      <c r="CE800" s="60"/>
      <c r="CF800" s="61"/>
      <c r="CG800" s="61"/>
      <c r="CH800" s="61"/>
      <c r="CI800" s="41"/>
      <c r="CJ800" s="40"/>
      <c r="CK800" s="3"/>
      <c r="CL800" s="62"/>
      <c r="CM800" s="63"/>
      <c r="CN800" s="3"/>
      <c r="CO800" s="3"/>
      <c r="CP800" s="41"/>
      <c r="CQ800" s="3"/>
      <c r="CR800" s="40"/>
      <c r="CS800" s="40"/>
      <c r="CT800" s="40"/>
      <c r="CU800" s="40"/>
      <c r="CV800" s="40"/>
      <c r="CW800" s="40"/>
      <c r="CX800" s="40"/>
      <c r="CY800" s="40"/>
      <c r="CZ800" s="40"/>
      <c r="DA800" s="40"/>
    </row>
    <row r="801" spans="1:105" ht="18.95" customHeight="1">
      <c r="A801" s="3">
        <v>892</v>
      </c>
      <c r="B801" s="92" t="s">
        <v>199</v>
      </c>
      <c r="C801" s="3" t="s">
        <v>104</v>
      </c>
      <c r="D801" s="202" t="s">
        <v>215</v>
      </c>
      <c r="E801" s="39">
        <v>45420</v>
      </c>
      <c r="F801" s="3" t="s">
        <v>186</v>
      </c>
      <c r="G801" s="3" t="s">
        <v>107</v>
      </c>
      <c r="H801" s="3">
        <v>2010</v>
      </c>
      <c r="I801" s="40" t="str">
        <f t="shared" si="2"/>
        <v>U14</v>
      </c>
      <c r="J801" s="40" t="s">
        <v>109</v>
      </c>
      <c r="K801" s="3">
        <v>166.8</v>
      </c>
      <c r="L801" s="3">
        <v>166.8</v>
      </c>
      <c r="M801" s="3"/>
      <c r="N801" s="3">
        <v>157.1</v>
      </c>
      <c r="O801" s="3">
        <v>157.1</v>
      </c>
      <c r="P801" s="3"/>
      <c r="Q801" s="3">
        <v>53.8</v>
      </c>
      <c r="R801" s="3">
        <v>53.8</v>
      </c>
      <c r="S801" s="3"/>
      <c r="T801" s="42">
        <v>166.8</v>
      </c>
      <c r="U801" s="188" cm="1">
        <f t="array" ref="U801">AVERAGE(paper3[[#This Row],[Sittende høyde 1]:[Sittende høyde 2]]-70.2)</f>
        <v>86.899999999999991</v>
      </c>
      <c r="V801" s="12">
        <f>paper3[[#This Row],[height]]-paper3[[#This Row],[sittingheight]]</f>
        <v>79.90000000000002</v>
      </c>
      <c r="W801" s="73">
        <v>53.8</v>
      </c>
      <c r="X801" s="43" cm="1">
        <f t="array" ref="X801">INDEX([1]!phvny[yphv], MATCH(1, (paper3[[#This Row],[id]]=[1]!phvny[id])*(paper3[[#This Row],[time]]=[1]!phvny[time]), 0))</f>
        <v>1.7144450744440449</v>
      </c>
      <c r="Y801" s="192">
        <v>1.7509999999999999</v>
      </c>
      <c r="Z801" s="3">
        <v>3.234</v>
      </c>
      <c r="AA801" s="192">
        <v>4.6509999999999998</v>
      </c>
      <c r="AB801" s="3">
        <v>1.5569999999999999</v>
      </c>
      <c r="AC801" s="3">
        <v>3.1560000000000001</v>
      </c>
      <c r="AD801" s="3">
        <v>4.6189999999999998</v>
      </c>
      <c r="AE801" s="3">
        <v>1.84</v>
      </c>
      <c r="AF801" s="3">
        <v>3.3719999999999999</v>
      </c>
      <c r="AG801" s="3">
        <v>4.8550000000000004</v>
      </c>
      <c r="AH801" s="194">
        <v>1.5569999999999999</v>
      </c>
      <c r="AI801" s="193">
        <v>3.1560000000000001</v>
      </c>
      <c r="AJ801" s="194">
        <v>4.6189999999999998</v>
      </c>
      <c r="AK801" s="130"/>
      <c r="AL801" s="203"/>
      <c r="AM801" s="203"/>
      <c r="AN801" s="3"/>
      <c r="AO801" s="3"/>
      <c r="AP801" s="137"/>
      <c r="AQ801" s="132"/>
      <c r="AR801" s="132"/>
      <c r="AS801" s="3"/>
      <c r="AT801" s="3"/>
      <c r="AU801" s="3"/>
      <c r="AV801" s="3"/>
      <c r="AW801" s="192"/>
      <c r="AX801" s="133">
        <v>22.8</v>
      </c>
      <c r="AY801" s="195" t="s">
        <v>255</v>
      </c>
      <c r="AZ801" s="40">
        <v>8</v>
      </c>
      <c r="BA801" s="40"/>
      <c r="BB801" s="40"/>
      <c r="BC801" s="40"/>
      <c r="BD801" s="135">
        <v>946.51459376774437</v>
      </c>
      <c r="BE801" s="135">
        <v>868.81055728821093</v>
      </c>
      <c r="BF801" s="40"/>
      <c r="BG801" s="135">
        <v>390.19511822660098</v>
      </c>
      <c r="BH801" s="135">
        <v>394.86296904761917</v>
      </c>
      <c r="BI801" s="49"/>
      <c r="BJ801" s="49">
        <f>IFERROR(SUM(paper3[[#This Row],[Pwr ikke-dominant]:[Pwr dominant]]),"")</f>
        <v>785.05808727422016</v>
      </c>
      <c r="BK801" s="66"/>
      <c r="BL801" s="66"/>
      <c r="BM801" s="51"/>
      <c r="BN801" s="51">
        <f>IFERROR(paper3[[#This Row],[totpwr]]/paper3[[#This Row],[bodymass]],"")</f>
        <v>14.592157756026397</v>
      </c>
      <c r="BO801" s="136"/>
      <c r="BP801" s="40"/>
      <c r="BQ801" s="40"/>
      <c r="BR801" s="67"/>
      <c r="BS801" s="54"/>
      <c r="BT801" s="3"/>
      <c r="BU801" s="3"/>
      <c r="BV801" s="3"/>
      <c r="BW801" s="3"/>
      <c r="BX801" s="70"/>
      <c r="BY801" s="70"/>
      <c r="BZ801" s="59"/>
      <c r="CA801" s="59"/>
      <c r="CB801" s="59"/>
      <c r="CC801" s="59"/>
      <c r="CD801" s="60"/>
      <c r="CE801" s="60"/>
      <c r="CF801" s="61"/>
      <c r="CG801" s="61"/>
      <c r="CH801" s="61"/>
      <c r="CI801" s="41"/>
      <c r="CJ801" s="40"/>
      <c r="CK801" s="3"/>
      <c r="CL801" s="62"/>
      <c r="CM801" s="63"/>
      <c r="CN801" s="3"/>
      <c r="CO801" s="3"/>
      <c r="CP801" s="41">
        <v>12.647222222222222</v>
      </c>
      <c r="CQ801" s="3"/>
      <c r="CR801" s="40"/>
      <c r="CS801" s="40"/>
      <c r="CT801" s="40"/>
      <c r="CU801" s="40"/>
      <c r="CV801" s="40"/>
      <c r="CW801" s="40"/>
      <c r="CX801" s="40"/>
      <c r="CY801" s="40"/>
      <c r="CZ801" s="40"/>
      <c r="DA801" s="40"/>
    </row>
    <row r="802" spans="1:105" ht="18.95" customHeight="1">
      <c r="A802" s="3">
        <v>893</v>
      </c>
      <c r="B802" s="92" t="s">
        <v>199</v>
      </c>
      <c r="C802" s="3" t="s">
        <v>104</v>
      </c>
      <c r="D802" s="202" t="s">
        <v>215</v>
      </c>
      <c r="E802" s="39">
        <v>45420</v>
      </c>
      <c r="F802" s="3" t="s">
        <v>186</v>
      </c>
      <c r="G802" s="3" t="s">
        <v>107</v>
      </c>
      <c r="H802" s="3">
        <v>2010</v>
      </c>
      <c r="I802" s="40" t="str">
        <f t="shared" si="2"/>
        <v>U14</v>
      </c>
      <c r="J802" s="40" t="s">
        <v>109</v>
      </c>
      <c r="K802" s="3">
        <v>158.9</v>
      </c>
      <c r="L802" s="3">
        <v>158.9</v>
      </c>
      <c r="M802" s="3"/>
      <c r="N802" s="3">
        <v>155.69999999999999</v>
      </c>
      <c r="O802" s="3">
        <v>155.6</v>
      </c>
      <c r="P802" s="3"/>
      <c r="Q802" s="3">
        <v>51.4</v>
      </c>
      <c r="R802" s="3">
        <v>51.4</v>
      </c>
      <c r="S802" s="3"/>
      <c r="T802" s="42">
        <v>158.9</v>
      </c>
      <c r="U802" s="188" cm="1">
        <f t="array" ref="U802">AVERAGE(paper3[[#This Row],[Sittende høyde 1]:[Sittende høyde 2]]-70.2)</f>
        <v>85.449999999999989</v>
      </c>
      <c r="V802" s="12">
        <f>paper3[[#This Row],[height]]-paper3[[#This Row],[sittingheight]]</f>
        <v>73.450000000000017</v>
      </c>
      <c r="W802" s="73">
        <v>51.4</v>
      </c>
      <c r="X802" s="43" cm="1">
        <f t="array" ref="X802">INDEX([1]!phvny[yphv], MATCH(1, (paper3[[#This Row],[id]]=[1]!phvny[id])*(paper3[[#This Row],[time]]=[1]!phvny[time]), 0))</f>
        <v>1.3862644953311305</v>
      </c>
      <c r="Y802" s="192">
        <v>1.266</v>
      </c>
      <c r="Z802" s="3">
        <v>2.847</v>
      </c>
      <c r="AA802" s="192">
        <v>4.3929999999999998</v>
      </c>
      <c r="AB802" s="3"/>
      <c r="AC802" s="3"/>
      <c r="AD802" s="3"/>
      <c r="AE802" s="3"/>
      <c r="AF802" s="3"/>
      <c r="AG802" s="3"/>
      <c r="AH802" s="194"/>
      <c r="AI802" s="193"/>
      <c r="AJ802" s="194"/>
      <c r="AK802" s="130"/>
      <c r="AL802" s="203"/>
      <c r="AM802" s="203"/>
      <c r="AN802" s="3"/>
      <c r="AO802" s="3"/>
      <c r="AP802" s="137"/>
      <c r="AQ802" s="132"/>
      <c r="AR802" s="132"/>
      <c r="AS802" s="3"/>
      <c r="AT802" s="3"/>
      <c r="AU802" s="3"/>
      <c r="AV802" s="3"/>
      <c r="AW802" s="192"/>
      <c r="AX802" s="133">
        <v>20</v>
      </c>
      <c r="AY802" s="195" t="s">
        <v>247</v>
      </c>
      <c r="AZ802" s="40">
        <v>8</v>
      </c>
      <c r="BA802" s="40"/>
      <c r="BB802" s="40"/>
      <c r="BC802" s="40"/>
      <c r="BD802" s="135">
        <v>794.56225128954725</v>
      </c>
      <c r="BE802" s="135">
        <v>758.37826244083226</v>
      </c>
      <c r="BF802" s="40"/>
      <c r="BG802" s="135">
        <v>307.92119652992341</v>
      </c>
      <c r="BH802" s="135">
        <v>276.41668662891993</v>
      </c>
      <c r="BI802" s="49">
        <f>IFERROR(SUM(paper3[[#This Row],[Kraft ikke-dominant]:[Kraft dominant]]),"")</f>
        <v>1552.9405137303795</v>
      </c>
      <c r="BJ802" s="49">
        <f>IFERROR(SUM(paper3[[#This Row],[Pwr ikke-dominant]:[Pwr dominant]]),"")</f>
        <v>584.3378831588434</v>
      </c>
      <c r="BK802" s="66"/>
      <c r="BL802" s="66"/>
      <c r="BM802" s="51">
        <f>IFERROR(paper3[[#This Row],[totforce]]/paper3[[#This Row],[bodymass]],"")</f>
        <v>30.212850461680535</v>
      </c>
      <c r="BN802" s="51">
        <f>IFERROR(paper3[[#This Row],[totpwr]]/paper3[[#This Row],[bodymass]],"")</f>
        <v>11.368441306592285</v>
      </c>
      <c r="BO802" s="136"/>
      <c r="BP802" s="40"/>
      <c r="BQ802" s="40"/>
      <c r="BR802" s="67"/>
      <c r="BS802" s="54"/>
      <c r="BT802" s="3"/>
      <c r="BU802" s="3"/>
      <c r="BV802" s="3"/>
      <c r="BW802" s="3"/>
      <c r="BX802" s="70"/>
      <c r="BY802" s="70"/>
      <c r="BZ802" s="59"/>
      <c r="CA802" s="59"/>
      <c r="CB802" s="59"/>
      <c r="CC802" s="59"/>
      <c r="CD802" s="60"/>
      <c r="CE802" s="60"/>
      <c r="CF802" s="61"/>
      <c r="CG802" s="61"/>
      <c r="CH802" s="61"/>
      <c r="CI802" s="41"/>
      <c r="CJ802" s="40"/>
      <c r="CK802" s="3"/>
      <c r="CL802" s="62"/>
      <c r="CM802" s="63"/>
      <c r="CN802" s="3"/>
      <c r="CO802" s="3"/>
      <c r="CP802" s="41">
        <v>12.666666666666666</v>
      </c>
      <c r="CQ802" s="3"/>
      <c r="CR802" s="40"/>
      <c r="CS802" s="40"/>
      <c r="CT802" s="40"/>
      <c r="CU802" s="40"/>
      <c r="CV802" s="40"/>
      <c r="CW802" s="40"/>
      <c r="CX802" s="40"/>
      <c r="CY802" s="40"/>
      <c r="CZ802" s="40"/>
      <c r="DA802" s="40"/>
    </row>
    <row r="803" spans="1:105" ht="18.95" customHeight="1">
      <c r="A803" s="3">
        <v>894</v>
      </c>
      <c r="B803" s="92" t="s">
        <v>199</v>
      </c>
      <c r="C803" s="3" t="s">
        <v>104</v>
      </c>
      <c r="D803" s="202" t="s">
        <v>215</v>
      </c>
      <c r="E803" s="39">
        <v>45420</v>
      </c>
      <c r="F803" s="3" t="s">
        <v>186</v>
      </c>
      <c r="G803" s="3" t="s">
        <v>107</v>
      </c>
      <c r="H803" s="3">
        <v>2010</v>
      </c>
      <c r="I803" s="40" t="str">
        <f t="shared" si="2"/>
        <v>U14</v>
      </c>
      <c r="J803" s="40" t="s">
        <v>109</v>
      </c>
      <c r="K803" s="3">
        <v>168.5</v>
      </c>
      <c r="L803" s="3">
        <v>168.5</v>
      </c>
      <c r="M803" s="3"/>
      <c r="N803" s="3">
        <v>158.6</v>
      </c>
      <c r="O803" s="3">
        <v>158.6</v>
      </c>
      <c r="P803" s="3"/>
      <c r="Q803" s="3">
        <v>55</v>
      </c>
      <c r="R803" s="3">
        <v>55</v>
      </c>
      <c r="S803" s="3"/>
      <c r="T803" s="42">
        <v>168.5</v>
      </c>
      <c r="U803" s="188" cm="1">
        <f t="array" ref="U803">AVERAGE(paper3[[#This Row],[Sittende høyde 1]:[Sittende høyde 2]]-70.2)</f>
        <v>88.399999999999991</v>
      </c>
      <c r="V803" s="12">
        <f>paper3[[#This Row],[height]]-paper3[[#This Row],[sittingheight]]</f>
        <v>80.100000000000009</v>
      </c>
      <c r="W803" s="73">
        <v>55</v>
      </c>
      <c r="X803" s="43" cm="1">
        <f t="array" ref="X803">INDEX([1]!phvny[yphv], MATCH(1, (paper3[[#This Row],[id]]=[1]!phvny[id])*(paper3[[#This Row],[time]]=[1]!phvny[time]), 0))</f>
        <v>2.0804989772581592</v>
      </c>
      <c r="Y803" s="192">
        <v>1.762</v>
      </c>
      <c r="Z803" s="3">
        <v>3.2610000000000001</v>
      </c>
      <c r="AA803" s="192">
        <v>4.7409999999999997</v>
      </c>
      <c r="AB803" s="3">
        <v>1.7090000000000001</v>
      </c>
      <c r="AC803" s="3">
        <v>3.2280000000000002</v>
      </c>
      <c r="AD803" s="3">
        <v>4.6849999999999996</v>
      </c>
      <c r="AE803" s="3">
        <v>1.716</v>
      </c>
      <c r="AF803" s="3">
        <v>3.2269999999999999</v>
      </c>
      <c r="AG803" s="3">
        <v>4.6870000000000003</v>
      </c>
      <c r="AH803" s="194">
        <v>1.7090000000000001</v>
      </c>
      <c r="AI803" s="193">
        <v>3.2269999999999999</v>
      </c>
      <c r="AJ803" s="194">
        <v>4.6849999999999996</v>
      </c>
      <c r="AK803" s="130"/>
      <c r="AL803" s="203"/>
      <c r="AM803" s="203"/>
      <c r="AN803" s="3"/>
      <c r="AO803" s="3"/>
      <c r="AP803" s="137"/>
      <c r="AQ803" s="132"/>
      <c r="AR803" s="132"/>
      <c r="AS803" s="3"/>
      <c r="AT803" s="3"/>
      <c r="AU803" s="3"/>
      <c r="AV803" s="3"/>
      <c r="AW803" s="192"/>
      <c r="AX803" s="133">
        <v>27.9</v>
      </c>
      <c r="AY803" s="195" t="s">
        <v>255</v>
      </c>
      <c r="AZ803" s="40">
        <v>8</v>
      </c>
      <c r="BA803" s="40"/>
      <c r="BB803" s="40"/>
      <c r="BC803" s="40"/>
      <c r="BD803" s="135">
        <v>885.79379243672156</v>
      </c>
      <c r="BE803" s="135">
        <v>1005.7176521686777</v>
      </c>
      <c r="BF803" s="40"/>
      <c r="BG803" s="135">
        <v>386.16472407688764</v>
      </c>
      <c r="BH803" s="135">
        <v>409.97898041176092</v>
      </c>
      <c r="BI803" s="49"/>
      <c r="BJ803" s="49">
        <f>IFERROR(SUM(paper3[[#This Row],[Pwr ikke-dominant]:[Pwr dominant]]),"")</f>
        <v>796.14370448864861</v>
      </c>
      <c r="BK803" s="66"/>
      <c r="BL803" s="66"/>
      <c r="BM803" s="51"/>
      <c r="BN803" s="51">
        <f>IFERROR(paper3[[#This Row],[totpwr]]/paper3[[#This Row],[bodymass]],"")</f>
        <v>14.475340081611792</v>
      </c>
      <c r="BO803" s="136"/>
      <c r="BP803" s="40"/>
      <c r="BQ803" s="40"/>
      <c r="BR803" s="67"/>
      <c r="BS803" s="54"/>
      <c r="BT803" s="3"/>
      <c r="BU803" s="3"/>
      <c r="BV803" s="3"/>
      <c r="BW803" s="3"/>
      <c r="BX803" s="70"/>
      <c r="BY803" s="70"/>
      <c r="BZ803" s="59"/>
      <c r="CA803" s="59"/>
      <c r="CB803" s="59"/>
      <c r="CC803" s="59"/>
      <c r="CD803" s="60"/>
      <c r="CE803" s="60"/>
      <c r="CF803" s="61"/>
      <c r="CG803" s="61"/>
      <c r="CH803" s="61"/>
      <c r="CI803" s="41"/>
      <c r="CJ803" s="40"/>
      <c r="CK803" s="3"/>
      <c r="CL803" s="62"/>
      <c r="CM803" s="63"/>
      <c r="CN803" s="3"/>
      <c r="CO803" s="3"/>
      <c r="CP803" s="41">
        <v>13.066666666666666</v>
      </c>
      <c r="CQ803" s="3"/>
      <c r="CR803" s="40"/>
      <c r="CS803" s="40"/>
      <c r="CT803" s="40"/>
      <c r="CU803" s="40"/>
      <c r="CV803" s="40"/>
      <c r="CW803" s="40"/>
      <c r="CX803" s="40"/>
      <c r="CY803" s="40"/>
      <c r="CZ803" s="40"/>
      <c r="DA803" s="40"/>
    </row>
    <row r="804" spans="1:105" ht="18.75" customHeight="1">
      <c r="A804" s="3">
        <v>895</v>
      </c>
      <c r="B804" s="92" t="s">
        <v>199</v>
      </c>
      <c r="C804" s="3"/>
      <c r="D804" s="202" t="s">
        <v>215</v>
      </c>
      <c r="E804" s="39">
        <v>45420</v>
      </c>
      <c r="F804" s="3" t="s">
        <v>186</v>
      </c>
      <c r="G804" s="3" t="s">
        <v>107</v>
      </c>
      <c r="H804" s="3">
        <v>2010</v>
      </c>
      <c r="I804" s="40" t="str">
        <f t="shared" si="2"/>
        <v>U14</v>
      </c>
      <c r="J804" s="40" t="s">
        <v>109</v>
      </c>
      <c r="K804" s="3">
        <v>159.6</v>
      </c>
      <c r="L804" s="3">
        <v>159.6</v>
      </c>
      <c r="M804" s="3"/>
      <c r="N804" s="3">
        <v>152.5</v>
      </c>
      <c r="O804" s="3">
        <v>152.5</v>
      </c>
      <c r="P804" s="3"/>
      <c r="Q804" s="3">
        <v>47.5</v>
      </c>
      <c r="R804" s="3">
        <v>47.5</v>
      </c>
      <c r="S804" s="3"/>
      <c r="T804" s="42">
        <v>159.6</v>
      </c>
      <c r="U804" s="188" cm="1">
        <f t="array" ref="U804">AVERAGE(paper3[[#This Row],[Sittende høyde 1]:[Sittende høyde 2]]-70.2)</f>
        <v>82.3</v>
      </c>
      <c r="V804" s="12">
        <f>paper3[[#This Row],[height]]-paper3[[#This Row],[sittingheight]]</f>
        <v>77.3</v>
      </c>
      <c r="W804" s="73">
        <v>47.5</v>
      </c>
      <c r="X804" s="43" cm="1">
        <f t="array" ref="X804">INDEX([1]!phvny[yphv], MATCH(1, (paper3[[#This Row],[id]]=[1]!phvny[id])*(paper3[[#This Row],[time]]=[1]!phvny[time]), 0))</f>
        <v>1.3288405785555555</v>
      </c>
      <c r="Y804" s="192">
        <v>1.8819999999999999</v>
      </c>
      <c r="Z804" s="3">
        <v>3.4449999999999998</v>
      </c>
      <c r="AA804" s="192">
        <v>4.9649999999999999</v>
      </c>
      <c r="AB804" s="3">
        <v>1.964</v>
      </c>
      <c r="AC804" s="3">
        <v>3.59</v>
      </c>
      <c r="AD804" s="3">
        <v>5.1609999999999996</v>
      </c>
      <c r="AE804" s="3">
        <v>1.958</v>
      </c>
      <c r="AF804" s="3">
        <v>3.6120000000000001</v>
      </c>
      <c r="AG804" s="3">
        <v>5.2119999999999997</v>
      </c>
      <c r="AH804" s="194">
        <v>1.8819999999999999</v>
      </c>
      <c r="AI804" s="193">
        <v>3.4449999999999998</v>
      </c>
      <c r="AJ804" s="194">
        <v>4.9649999999999999</v>
      </c>
      <c r="AK804" s="130"/>
      <c r="AL804" s="203">
        <v>10.81</v>
      </c>
      <c r="AM804" s="203">
        <v>10.53</v>
      </c>
      <c r="AN804" s="3">
        <v>10.83</v>
      </c>
      <c r="AO804" s="3">
        <v>10.75</v>
      </c>
      <c r="AP804" s="137">
        <f>MIN(AQ804:AR804)</f>
        <v>10.53</v>
      </c>
      <c r="AQ804" s="132">
        <v>10.53</v>
      </c>
      <c r="AR804" s="132">
        <v>10.75</v>
      </c>
      <c r="AS804" s="3"/>
      <c r="AT804" s="3"/>
      <c r="AU804" s="3"/>
      <c r="AV804" s="3"/>
      <c r="AW804" s="192"/>
      <c r="AX804" s="133">
        <v>21.2</v>
      </c>
      <c r="AY804" s="195" t="s">
        <v>255</v>
      </c>
      <c r="AZ804" s="40">
        <v>8</v>
      </c>
      <c r="BA804" s="40"/>
      <c r="BB804" s="40"/>
      <c r="BC804" s="40"/>
      <c r="BD804" s="135">
        <v>806.77788265445133</v>
      </c>
      <c r="BE804" s="135">
        <v>878.54968844349094</v>
      </c>
      <c r="BF804" s="40"/>
      <c r="BG804" s="135">
        <v>247.89844952951287</v>
      </c>
      <c r="BH804" s="135">
        <v>254.89855708499138</v>
      </c>
      <c r="BI804" s="49">
        <f>IFERROR(SUM(paper3[[#This Row],[Kraft ikke-dominant]:[Kraft dominant]]),"")</f>
        <v>1685.3275710979424</v>
      </c>
      <c r="BJ804" s="49">
        <f>IFERROR(SUM(paper3[[#This Row],[Pwr ikke-dominant]:[Pwr dominant]]),"")</f>
        <v>502.79700661450426</v>
      </c>
      <c r="BK804" s="66"/>
      <c r="BL804" s="66"/>
      <c r="BM804" s="51">
        <f>IFERROR(paper3[[#This Row],[totforce]]/paper3[[#This Row],[bodymass]],"")</f>
        <v>35.480580444167209</v>
      </c>
      <c r="BN804" s="51">
        <f>IFERROR(paper3[[#This Row],[totpwr]]/paper3[[#This Row],[bodymass]],"")</f>
        <v>10.585200139252722</v>
      </c>
      <c r="BO804" s="136"/>
      <c r="BP804" s="40"/>
      <c r="BQ804" s="40"/>
      <c r="BR804" s="67"/>
      <c r="BS804" s="54"/>
      <c r="BT804" s="3"/>
      <c r="BU804" s="3"/>
      <c r="BV804" s="3"/>
      <c r="BW804" s="3"/>
      <c r="BX804" s="70"/>
      <c r="BY804" s="70"/>
      <c r="BZ804" s="59"/>
      <c r="CA804" s="59"/>
      <c r="CB804" s="59"/>
      <c r="CC804" s="59"/>
      <c r="CD804" s="60"/>
      <c r="CE804" s="60"/>
      <c r="CF804" s="61"/>
      <c r="CG804" s="61"/>
      <c r="CH804" s="61"/>
      <c r="CI804" s="41">
        <v>15.3</v>
      </c>
      <c r="CJ804" s="40">
        <f>VLOOKUP(CI804,$DB:$DC,2)</f>
        <v>880</v>
      </c>
      <c r="CK804" s="3"/>
      <c r="CL804" s="62"/>
      <c r="CM804" s="63"/>
      <c r="CN804" s="3"/>
      <c r="CO804" s="3"/>
      <c r="CP804" s="41">
        <v>12.894444444444444</v>
      </c>
      <c r="CQ804" s="3"/>
      <c r="CR804" s="40"/>
      <c r="CS804" s="40"/>
      <c r="CT804" s="40"/>
      <c r="CU804" s="40"/>
      <c r="CV804" s="40"/>
      <c r="CW804" s="40"/>
      <c r="CX804" s="40"/>
      <c r="CY804" s="40"/>
      <c r="CZ804" s="40"/>
      <c r="DA804" s="40"/>
    </row>
    <row r="805" spans="1:105" ht="18.75" customHeight="1">
      <c r="A805" s="3">
        <v>896</v>
      </c>
      <c r="B805" s="92" t="s">
        <v>199</v>
      </c>
      <c r="C805" s="3"/>
      <c r="D805" s="202" t="s">
        <v>215</v>
      </c>
      <c r="E805" s="39">
        <v>45420</v>
      </c>
      <c r="F805" s="3" t="s">
        <v>186</v>
      </c>
      <c r="G805" s="3" t="s">
        <v>107</v>
      </c>
      <c r="H805" s="3">
        <v>2010</v>
      </c>
      <c r="I805" s="40" t="str">
        <f t="shared" si="2"/>
        <v>U14</v>
      </c>
      <c r="J805" s="40" t="s">
        <v>109</v>
      </c>
      <c r="K805" s="3">
        <v>168.2</v>
      </c>
      <c r="L805" s="3">
        <v>168.2</v>
      </c>
      <c r="M805" s="3"/>
      <c r="N805" s="3">
        <v>158.4</v>
      </c>
      <c r="O805" s="3">
        <v>158.4</v>
      </c>
      <c r="P805" s="3"/>
      <c r="Q805" s="3">
        <v>54.5</v>
      </c>
      <c r="R805" s="3">
        <v>54.5</v>
      </c>
      <c r="S805" s="3"/>
      <c r="T805" s="42">
        <v>168.2</v>
      </c>
      <c r="U805" s="188" cm="1">
        <f t="array" ref="U805">AVERAGE(paper3[[#This Row],[Sittende høyde 1]:[Sittende høyde 2]]-70.2)</f>
        <v>88.2</v>
      </c>
      <c r="V805" s="12">
        <f>paper3[[#This Row],[height]]-paper3[[#This Row],[sittingheight]]</f>
        <v>79.999999999999986</v>
      </c>
      <c r="W805" s="73">
        <v>54.5</v>
      </c>
      <c r="X805" s="43" cm="1">
        <f t="array" ref="X805">INDEX([1]!phvny[yphv], MATCH(1, (paper3[[#This Row],[id]]=[1]!phvny[id])*(paper3[[#This Row],[time]]=[1]!phvny[time]), 0))</f>
        <v>2.0080479946518701</v>
      </c>
      <c r="Y805" s="192"/>
      <c r="Z805" s="3"/>
      <c r="AA805" s="192"/>
      <c r="AB805" s="3"/>
      <c r="AC805" s="3"/>
      <c r="AD805" s="3"/>
      <c r="AE805" s="3"/>
      <c r="AF805" s="3"/>
      <c r="AG805" s="3"/>
      <c r="AH805" s="194"/>
      <c r="AI805" s="193"/>
      <c r="AJ805" s="194"/>
      <c r="AK805" s="130"/>
      <c r="AL805" s="203">
        <v>10.27</v>
      </c>
      <c r="AM805" s="203">
        <v>10.01</v>
      </c>
      <c r="AN805" s="3">
        <v>9.94</v>
      </c>
      <c r="AO805" s="3">
        <v>10</v>
      </c>
      <c r="AP805" s="137">
        <f>MIN(AQ805:AR805)</f>
        <v>9.94</v>
      </c>
      <c r="AQ805" s="132">
        <v>10.01</v>
      </c>
      <c r="AR805" s="132">
        <v>9.94</v>
      </c>
      <c r="AS805" s="3"/>
      <c r="AT805" s="3"/>
      <c r="AU805" s="3"/>
      <c r="AV805" s="3"/>
      <c r="AW805" s="192"/>
      <c r="AX805" s="133">
        <v>21.6</v>
      </c>
      <c r="AY805" s="195" t="s">
        <v>247</v>
      </c>
      <c r="AZ805" s="40">
        <v>9</v>
      </c>
      <c r="BA805" s="40"/>
      <c r="BB805" s="40"/>
      <c r="BC805" s="40"/>
      <c r="BD805" s="135">
        <v>937.11484396187882</v>
      </c>
      <c r="BE805" s="135">
        <v>925.17527341676669</v>
      </c>
      <c r="BF805" s="40"/>
      <c r="BG805" s="135">
        <v>443.54510103211601</v>
      </c>
      <c r="BH805" s="135">
        <v>454.41876190349774</v>
      </c>
      <c r="BI805" s="49">
        <f>IFERROR(SUM(paper3[[#This Row],[Kraft ikke-dominant]:[Kraft dominant]]),"")</f>
        <v>1862.2901173786454</v>
      </c>
      <c r="BJ805" s="49">
        <f>IFERROR(SUM(paper3[[#This Row],[Pwr ikke-dominant]:[Pwr dominant]]),"")</f>
        <v>897.96386293561375</v>
      </c>
      <c r="BK805" s="66"/>
      <c r="BL805" s="66"/>
      <c r="BM805" s="51">
        <f>IFERROR(paper3[[#This Row],[totforce]]/paper3[[#This Row],[bodymass]],"")</f>
        <v>34.170460869332942</v>
      </c>
      <c r="BN805" s="51">
        <f>IFERROR(paper3[[#This Row],[totpwr]]/paper3[[#This Row],[bodymass]],"")</f>
        <v>16.476401154781904</v>
      </c>
      <c r="BO805" s="136"/>
      <c r="BP805" s="40"/>
      <c r="BQ805" s="40"/>
      <c r="BR805" s="67"/>
      <c r="BS805" s="54"/>
      <c r="BT805" s="3"/>
      <c r="BU805" s="3"/>
      <c r="BV805" s="3"/>
      <c r="BW805" s="3"/>
      <c r="BX805" s="70"/>
      <c r="BY805" s="70"/>
      <c r="BZ805" s="59"/>
      <c r="CA805" s="59"/>
      <c r="CB805" s="59"/>
      <c r="CC805" s="59"/>
      <c r="CD805" s="60"/>
      <c r="CE805" s="60"/>
      <c r="CF805" s="61"/>
      <c r="CG805" s="61"/>
      <c r="CH805" s="61"/>
      <c r="CI805" s="41">
        <v>15.4</v>
      </c>
      <c r="CJ805" s="40">
        <f>VLOOKUP(CI805,$DB:$DC,2)</f>
        <v>920</v>
      </c>
      <c r="CK805" s="3"/>
      <c r="CL805" s="62"/>
      <c r="CM805" s="63"/>
      <c r="CN805" s="3"/>
      <c r="CO805" s="3"/>
      <c r="CP805" s="41">
        <v>12.977777777777778</v>
      </c>
      <c r="CQ805" s="3"/>
      <c r="CR805" s="40"/>
      <c r="CS805" s="40"/>
      <c r="CT805" s="40"/>
      <c r="CU805" s="40"/>
      <c r="CV805" s="40"/>
      <c r="CW805" s="40"/>
      <c r="CX805" s="40"/>
      <c r="CY805" s="40"/>
      <c r="CZ805" s="40"/>
      <c r="DA805" s="40"/>
    </row>
    <row r="806" spans="1:105" ht="18.95" customHeight="1">
      <c r="A806" s="3">
        <v>897</v>
      </c>
      <c r="B806" s="92" t="s">
        <v>199</v>
      </c>
      <c r="C806" s="3"/>
      <c r="D806" s="202" t="s">
        <v>215</v>
      </c>
      <c r="E806" s="39">
        <v>45420</v>
      </c>
      <c r="F806" s="3" t="s">
        <v>186</v>
      </c>
      <c r="G806" s="3" t="s">
        <v>107</v>
      </c>
      <c r="H806" s="3">
        <v>2010</v>
      </c>
      <c r="I806" s="40" t="str">
        <f t="shared" si="2"/>
        <v>U14</v>
      </c>
      <c r="J806" s="40" t="s">
        <v>109</v>
      </c>
      <c r="K806" s="3">
        <v>172.1</v>
      </c>
      <c r="L806" s="3">
        <v>172.1</v>
      </c>
      <c r="M806" s="3"/>
      <c r="N806" s="3">
        <v>160.5</v>
      </c>
      <c r="O806" s="3">
        <v>160.5</v>
      </c>
      <c r="P806" s="3"/>
      <c r="Q806" s="3">
        <v>51.6</v>
      </c>
      <c r="R806" s="3">
        <v>51.6</v>
      </c>
      <c r="S806" s="3"/>
      <c r="T806" s="42">
        <v>172.1</v>
      </c>
      <c r="U806" s="188" cm="1">
        <f t="array" ref="U806">AVERAGE(paper3[[#This Row],[Sittende høyde 1]:[Sittende høyde 2]]-70.2)</f>
        <v>90.3</v>
      </c>
      <c r="V806" s="12">
        <f>paper3[[#This Row],[height]]-paper3[[#This Row],[sittingheight]]</f>
        <v>81.8</v>
      </c>
      <c r="W806" s="73">
        <v>51.6</v>
      </c>
      <c r="X806" s="43" cm="1">
        <f t="array" ref="X806">INDEX([1]!phvny[yphv], MATCH(1, (paper3[[#This Row],[id]]=[1]!phvny[id])*(paper3[[#This Row],[time]]=[1]!phvny[time]), 0))</f>
        <v>2.1537162983943112</v>
      </c>
      <c r="Y806" s="192">
        <v>1.89</v>
      </c>
      <c r="Z806" s="3">
        <v>3.4369999999999998</v>
      </c>
      <c r="AA806" s="192">
        <v>4.9189999999999996</v>
      </c>
      <c r="AB806" s="3">
        <v>1.8480000000000001</v>
      </c>
      <c r="AC806" s="3">
        <v>3.4369999999999998</v>
      </c>
      <c r="AD806" s="3">
        <v>4.9820000000000002</v>
      </c>
      <c r="AE806" s="3">
        <v>1.91</v>
      </c>
      <c r="AF806" s="3">
        <v>3.488</v>
      </c>
      <c r="AG806" s="3">
        <v>5.0279999999999996</v>
      </c>
      <c r="AH806" s="194">
        <v>1.8480000000000001</v>
      </c>
      <c r="AI806" s="193">
        <v>3.4369999999999998</v>
      </c>
      <c r="AJ806" s="194">
        <v>4.9189999999999996</v>
      </c>
      <c r="AK806" s="130"/>
      <c r="AL806" s="203">
        <v>10.62</v>
      </c>
      <c r="AM806" s="203">
        <v>10.65</v>
      </c>
      <c r="AN806" s="3">
        <v>11.29</v>
      </c>
      <c r="AO806" s="3">
        <v>11.28</v>
      </c>
      <c r="AP806" s="137">
        <f>MIN(AQ806:AR806)</f>
        <v>11.28</v>
      </c>
      <c r="AQ806" s="132" t="s">
        <v>252</v>
      </c>
      <c r="AR806" s="132">
        <v>11.28</v>
      </c>
      <c r="AS806" s="3"/>
      <c r="AT806" s="3"/>
      <c r="AU806" s="3"/>
      <c r="AV806" s="3"/>
      <c r="AW806" s="192"/>
      <c r="AX806" s="133">
        <v>22.2</v>
      </c>
      <c r="AY806" s="195" t="s">
        <v>255</v>
      </c>
      <c r="AZ806" s="40">
        <v>8</v>
      </c>
      <c r="BA806" s="40"/>
      <c r="BB806" s="40"/>
      <c r="BC806" s="40"/>
      <c r="BD806" s="135">
        <v>869.86072259169168</v>
      </c>
      <c r="BE806" s="135">
        <v>670.86008849072505</v>
      </c>
      <c r="BF806" s="40"/>
      <c r="BG806" s="135">
        <v>236.62704311454326</v>
      </c>
      <c r="BH806" s="135">
        <v>263.07813463287692</v>
      </c>
      <c r="BI806" s="49">
        <f>IFERROR(SUM(paper3[[#This Row],[Kraft ikke-dominant]:[Kraft dominant]]),"")</f>
        <v>1540.7208110824167</v>
      </c>
      <c r="BJ806" s="49">
        <f>IFERROR(SUM(paper3[[#This Row],[Pwr ikke-dominant]:[Pwr dominant]]),"")</f>
        <v>499.70517774742018</v>
      </c>
      <c r="BK806" s="66"/>
      <c r="BL806" s="66"/>
      <c r="BM806" s="51">
        <f>IFERROR(paper3[[#This Row],[totforce]]/paper3[[#This Row],[bodymass]],"")</f>
        <v>29.858930447333655</v>
      </c>
      <c r="BN806" s="51">
        <f>IFERROR(paper3[[#This Row],[totpwr]]/paper3[[#This Row],[bodymass]],"")</f>
        <v>9.6842088710740342</v>
      </c>
      <c r="BO806" s="136"/>
      <c r="BP806" s="40"/>
      <c r="BQ806" s="40"/>
      <c r="BR806" s="67"/>
      <c r="BS806" s="54"/>
      <c r="BT806" s="3"/>
      <c r="BU806" s="3"/>
      <c r="BV806" s="3"/>
      <c r="BW806" s="3"/>
      <c r="BX806" s="70"/>
      <c r="BY806" s="70"/>
      <c r="BZ806" s="59"/>
      <c r="CA806" s="59"/>
      <c r="CB806" s="59"/>
      <c r="CC806" s="59"/>
      <c r="CD806" s="60"/>
      <c r="CE806" s="60"/>
      <c r="CF806" s="61"/>
      <c r="CG806" s="61"/>
      <c r="CH806" s="61"/>
      <c r="CI806" s="41"/>
      <c r="CJ806" s="40"/>
      <c r="CK806" s="3"/>
      <c r="CL806" s="62"/>
      <c r="CM806" s="63"/>
      <c r="CN806" s="3"/>
      <c r="CO806" s="3"/>
      <c r="CP806" s="41">
        <v>12.869444444444444</v>
      </c>
      <c r="CQ806" s="3"/>
      <c r="CR806" s="40"/>
      <c r="CS806" s="40"/>
      <c r="CT806" s="40"/>
      <c r="CU806" s="40"/>
      <c r="CV806" s="40"/>
      <c r="CW806" s="40"/>
      <c r="CX806" s="40"/>
      <c r="CY806" s="40"/>
      <c r="CZ806" s="40"/>
      <c r="DA806" s="40"/>
    </row>
    <row r="807" spans="1:105" ht="18.75">
      <c r="A807" s="3">
        <v>898</v>
      </c>
      <c r="B807" s="92" t="s">
        <v>199</v>
      </c>
      <c r="C807" s="3" t="s">
        <v>104</v>
      </c>
      <c r="D807" s="202" t="s">
        <v>215</v>
      </c>
      <c r="E807" s="39">
        <v>45420</v>
      </c>
      <c r="F807" s="3" t="s">
        <v>186</v>
      </c>
      <c r="G807" s="3" t="s">
        <v>107</v>
      </c>
      <c r="H807" s="3">
        <v>2010</v>
      </c>
      <c r="I807" s="40" t="str">
        <f t="shared" si="2"/>
        <v>U14</v>
      </c>
      <c r="J807" s="40" t="s">
        <v>109</v>
      </c>
      <c r="K807" s="3">
        <v>160.9</v>
      </c>
      <c r="L807" s="3">
        <v>160.9</v>
      </c>
      <c r="M807" s="3"/>
      <c r="N807" s="3">
        <v>155.19999999999999</v>
      </c>
      <c r="O807" s="3">
        <v>155.19999999999999</v>
      </c>
      <c r="P807" s="3"/>
      <c r="Q807" s="3">
        <v>55</v>
      </c>
      <c r="R807" s="3">
        <v>55</v>
      </c>
      <c r="S807" s="3"/>
      <c r="T807" s="42">
        <v>160.9</v>
      </c>
      <c r="U807" s="188" cm="1">
        <f t="array" ref="U807">AVERAGE(paper3[[#This Row],[Sittende høyde 1]:[Sittende høyde 2]]-70.2)</f>
        <v>84.999999999999986</v>
      </c>
      <c r="V807" s="12">
        <f>paper3[[#This Row],[height]]-paper3[[#This Row],[sittingheight]]</f>
        <v>75.90000000000002</v>
      </c>
      <c r="W807" s="73">
        <v>55</v>
      </c>
      <c r="X807" s="43" cm="1">
        <f t="array" ref="X807">INDEX([1]!phvny[yphv], MATCH(1, (paper3[[#This Row],[id]]=[1]!phvny[id])*(paper3[[#This Row],[time]]=[1]!phvny[time]), 0))</f>
        <v>1.8131541178993156</v>
      </c>
      <c r="Y807" s="192">
        <v>1.87</v>
      </c>
      <c r="Z807" s="3">
        <v>3.4220000000000002</v>
      </c>
      <c r="AA807" s="192">
        <v>4.9320000000000004</v>
      </c>
      <c r="AB807" s="3">
        <v>1.85</v>
      </c>
      <c r="AC807" s="3">
        <v>3.4</v>
      </c>
      <c r="AD807" s="3">
        <v>4.9000000000000004</v>
      </c>
      <c r="AE807" s="3">
        <v>1.889</v>
      </c>
      <c r="AF807" s="3">
        <v>3.4430000000000001</v>
      </c>
      <c r="AG807" s="3">
        <v>4.9530000000000003</v>
      </c>
      <c r="AH807" s="194">
        <v>1.85</v>
      </c>
      <c r="AI807" s="193">
        <v>3.4</v>
      </c>
      <c r="AJ807" s="194">
        <v>4.9000000000000004</v>
      </c>
      <c r="AK807" s="130"/>
      <c r="AL807" s="203">
        <v>10.39</v>
      </c>
      <c r="AM807" s="203">
        <v>10.01</v>
      </c>
      <c r="AN807" s="3">
        <v>10.49</v>
      </c>
      <c r="AO807" s="3">
        <v>10.7</v>
      </c>
      <c r="AP807" s="137">
        <f>MIN(AQ807:AR807)</f>
        <v>10.01</v>
      </c>
      <c r="AQ807" s="132">
        <v>10.01</v>
      </c>
      <c r="AR807" s="132">
        <v>10.49</v>
      </c>
      <c r="AS807" s="3"/>
      <c r="AT807" s="3"/>
      <c r="AU807" s="3"/>
      <c r="AV807" s="3"/>
      <c r="AW807" s="192"/>
      <c r="AX807" s="133">
        <v>28.7</v>
      </c>
      <c r="AY807" s="195" t="s">
        <v>255</v>
      </c>
      <c r="AZ807" s="40">
        <v>8</v>
      </c>
      <c r="BA807" s="40"/>
      <c r="BB807" s="40"/>
      <c r="BC807" s="40"/>
      <c r="BD807" s="135">
        <v>886.00056041881521</v>
      </c>
      <c r="BE807" s="135">
        <v>962.82148956193544</v>
      </c>
      <c r="BF807" s="40"/>
      <c r="BG807" s="135">
        <v>301.58718058646582</v>
      </c>
      <c r="BH807" s="135">
        <v>340.76885715013429</v>
      </c>
      <c r="BI807" s="49"/>
      <c r="BJ807" s="49">
        <f>IFERROR(SUM(paper3[[#This Row],[Pwr ikke-dominant]:[Pwr dominant]]),"")</f>
        <v>642.35603773660011</v>
      </c>
      <c r="BK807" s="66"/>
      <c r="BL807" s="66"/>
      <c r="BM807" s="51"/>
      <c r="BN807" s="51">
        <f>IFERROR(paper3[[#This Row],[totpwr]]/paper3[[#This Row],[bodymass]],"")</f>
        <v>11.679200686120002</v>
      </c>
      <c r="BO807" s="136"/>
      <c r="BP807" s="40"/>
      <c r="BQ807" s="40"/>
      <c r="BR807" s="67"/>
      <c r="BS807" s="54"/>
      <c r="BT807" s="3"/>
      <c r="BU807" s="3"/>
      <c r="BV807" s="3"/>
      <c r="BW807" s="3"/>
      <c r="BX807" s="70"/>
      <c r="BY807" s="70"/>
      <c r="BZ807" s="59"/>
      <c r="CA807" s="59"/>
      <c r="CB807" s="59"/>
      <c r="CC807" s="59"/>
      <c r="CD807" s="60"/>
      <c r="CE807" s="60"/>
      <c r="CF807" s="61"/>
      <c r="CG807" s="61"/>
      <c r="CH807" s="61"/>
      <c r="CI807" s="41">
        <v>14.5</v>
      </c>
      <c r="CJ807" s="40">
        <f>VLOOKUP(CI807,$DB:$DC,2)</f>
        <v>640</v>
      </c>
      <c r="CK807" s="3"/>
      <c r="CL807" s="62"/>
      <c r="CM807" s="63"/>
      <c r="CN807" s="3"/>
      <c r="CO807" s="3"/>
      <c r="CP807" s="41">
        <v>13.333333333333334</v>
      </c>
      <c r="CQ807" s="3"/>
      <c r="CR807" s="40"/>
      <c r="CS807" s="40"/>
      <c r="CT807" s="40"/>
      <c r="CU807" s="40"/>
      <c r="CV807" s="40"/>
      <c r="CW807" s="40"/>
      <c r="CX807" s="40"/>
      <c r="CY807" s="40"/>
      <c r="CZ807" s="40"/>
      <c r="DA807" s="40"/>
    </row>
    <row r="808" spans="1:105" ht="18.95" customHeight="1">
      <c r="A808" s="3">
        <v>899</v>
      </c>
      <c r="B808" s="92" t="s">
        <v>199</v>
      </c>
      <c r="C808" s="3"/>
      <c r="D808" s="202" t="s">
        <v>215</v>
      </c>
      <c r="E808" s="39">
        <v>45420</v>
      </c>
      <c r="F808" s="3" t="s">
        <v>186</v>
      </c>
      <c r="G808" s="3" t="s">
        <v>107</v>
      </c>
      <c r="H808" s="3">
        <v>2010</v>
      </c>
      <c r="I808" s="40" t="str">
        <f t="shared" ref="I808:I837" si="11">RIGHT(J808,3)</f>
        <v>U14</v>
      </c>
      <c r="J808" s="40" t="s">
        <v>109</v>
      </c>
      <c r="K808" s="3">
        <v>150</v>
      </c>
      <c r="L808" s="3">
        <v>150</v>
      </c>
      <c r="M808" s="3"/>
      <c r="N808" s="3">
        <v>150.1</v>
      </c>
      <c r="O808" s="3">
        <v>150.1</v>
      </c>
      <c r="P808" s="3"/>
      <c r="Q808" s="3">
        <v>44.6</v>
      </c>
      <c r="R808" s="3">
        <v>44.6</v>
      </c>
      <c r="S808" s="3"/>
      <c r="T808" s="42">
        <v>150</v>
      </c>
      <c r="U808" s="188" cm="1">
        <f t="array" ref="U808">AVERAGE(paper3[[#This Row],[Sittende høyde 1]:[Sittende høyde 2]]-70.2)</f>
        <v>79.899999999999991</v>
      </c>
      <c r="V808" s="12">
        <f>paper3[[#This Row],[height]]-paper3[[#This Row],[sittingheight]]</f>
        <v>70.100000000000009</v>
      </c>
      <c r="W808" s="73">
        <v>44.6</v>
      </c>
      <c r="X808" s="43"/>
      <c r="Y808" s="192"/>
      <c r="Z808" s="3"/>
      <c r="AA808" s="192"/>
      <c r="AB808" s="3"/>
      <c r="AC808" s="3"/>
      <c r="AD808" s="3"/>
      <c r="AE808" s="3"/>
      <c r="AF808" s="3"/>
      <c r="AG808" s="3"/>
      <c r="AH808" s="194"/>
      <c r="AI808" s="193"/>
      <c r="AJ808" s="194"/>
      <c r="AK808" s="130"/>
      <c r="AL808" s="203"/>
      <c r="AM808" s="203"/>
      <c r="AN808" s="3"/>
      <c r="AO808" s="3"/>
      <c r="AP808" s="137"/>
      <c r="AQ808" s="132"/>
      <c r="AR808" s="132"/>
      <c r="AS808" s="3"/>
      <c r="AT808" s="3"/>
      <c r="AU808" s="3"/>
      <c r="AV808" s="3"/>
      <c r="AW808" s="192"/>
      <c r="AX808" s="133">
        <v>21.9</v>
      </c>
      <c r="AY808" s="195" t="s">
        <v>247</v>
      </c>
      <c r="AZ808" s="40">
        <v>7</v>
      </c>
      <c r="BA808" s="40"/>
      <c r="BB808" s="40"/>
      <c r="BC808" s="40"/>
      <c r="BD808" s="135">
        <v>908.62348453805203</v>
      </c>
      <c r="BE808" s="135">
        <v>907.50708119024364</v>
      </c>
      <c r="BF808" s="40"/>
      <c r="BG808" s="135">
        <v>304.39004973508861</v>
      </c>
      <c r="BH808" s="135">
        <v>326.99587439968082</v>
      </c>
      <c r="BI808" s="49">
        <f>IFERROR(SUM(paper3[[#This Row],[Kraft ikke-dominant]:[Kraft dominant]]),"")</f>
        <v>1816.1305657282956</v>
      </c>
      <c r="BJ808" s="49">
        <f>IFERROR(SUM(paper3[[#This Row],[Pwr ikke-dominant]:[Pwr dominant]]),"")</f>
        <v>631.38592413476943</v>
      </c>
      <c r="BK808" s="66"/>
      <c r="BL808" s="66"/>
      <c r="BM808" s="51">
        <f>IFERROR(paper3[[#This Row],[totforce]]/paper3[[#This Row],[bodymass]],"")</f>
        <v>40.720416271934873</v>
      </c>
      <c r="BN808" s="51">
        <f>IFERROR(paper3[[#This Row],[totpwr]]/paper3[[#This Row],[bodymass]],"")</f>
        <v>14.15663507028631</v>
      </c>
      <c r="BO808" s="136"/>
      <c r="BP808" s="40"/>
      <c r="BQ808" s="40"/>
      <c r="BR808" s="67"/>
      <c r="BS808" s="54"/>
      <c r="BT808" s="3"/>
      <c r="BU808" s="3"/>
      <c r="BV808" s="3"/>
      <c r="BW808" s="3"/>
      <c r="BX808" s="70"/>
      <c r="BY808" s="70"/>
      <c r="BZ808" s="59"/>
      <c r="CA808" s="59"/>
      <c r="CB808" s="59"/>
      <c r="CC808" s="59"/>
      <c r="CD808" s="60"/>
      <c r="CE808" s="60"/>
      <c r="CF808" s="61"/>
      <c r="CG808" s="61"/>
      <c r="CH808" s="61"/>
      <c r="CI808" s="41"/>
      <c r="CJ808" s="40"/>
      <c r="CK808" s="3"/>
      <c r="CL808" s="62"/>
      <c r="CM808" s="63"/>
      <c r="CN808" s="3"/>
      <c r="CO808" s="3"/>
      <c r="CP808" s="41"/>
      <c r="CQ808" s="3"/>
      <c r="CR808" s="40"/>
      <c r="CS808" s="40"/>
      <c r="CT808" s="40"/>
      <c r="CU808" s="40"/>
      <c r="CV808" s="40"/>
      <c r="CW808" s="40"/>
      <c r="CX808" s="40"/>
      <c r="CY808" s="40"/>
      <c r="CZ808" s="40"/>
      <c r="DA808" s="40"/>
    </row>
    <row r="809" spans="1:105" ht="18.95" customHeight="1">
      <c r="A809" s="3">
        <v>900</v>
      </c>
      <c r="B809" s="92" t="s">
        <v>199</v>
      </c>
      <c r="C809" s="3" t="s">
        <v>104</v>
      </c>
      <c r="D809" s="202" t="s">
        <v>215</v>
      </c>
      <c r="E809" s="39">
        <v>45420</v>
      </c>
      <c r="F809" s="3" t="s">
        <v>186</v>
      </c>
      <c r="G809" s="3" t="s">
        <v>107</v>
      </c>
      <c r="H809" s="3">
        <v>2010</v>
      </c>
      <c r="I809" s="40" t="str">
        <f t="shared" si="11"/>
        <v>U14</v>
      </c>
      <c r="J809" s="40" t="s">
        <v>109</v>
      </c>
      <c r="K809" s="3">
        <v>163.5</v>
      </c>
      <c r="L809" s="3">
        <v>163.5</v>
      </c>
      <c r="M809" s="3"/>
      <c r="N809" s="3">
        <v>154.30000000000001</v>
      </c>
      <c r="O809" s="3">
        <v>154.30000000000001</v>
      </c>
      <c r="P809" s="3"/>
      <c r="Q809" s="3">
        <v>53.3</v>
      </c>
      <c r="R809" s="3">
        <v>53.3</v>
      </c>
      <c r="S809" s="3"/>
      <c r="T809" s="42">
        <v>163.5</v>
      </c>
      <c r="U809" s="188" cm="1">
        <f t="array" ref="U809">AVERAGE(paper3[[#This Row],[Sittende høyde 1]:[Sittende høyde 2]]-70.2)</f>
        <v>84.100000000000009</v>
      </c>
      <c r="V809" s="12">
        <f>paper3[[#This Row],[height]]-paper3[[#This Row],[sittingheight]]</f>
        <v>79.399999999999991</v>
      </c>
      <c r="W809" s="73">
        <v>53.3</v>
      </c>
      <c r="X809" s="43" cm="1">
        <f t="array" ref="X809">INDEX([1]!phvny[yphv], MATCH(1, (paper3[[#This Row],[id]]=[1]!phvny[id])*(paper3[[#This Row],[time]]=[1]!phvny[time]), 0))</f>
        <v>1.4803415565677893</v>
      </c>
      <c r="Y809" s="192">
        <v>1.9319999999999999</v>
      </c>
      <c r="Z809" s="3">
        <v>3.5960000000000001</v>
      </c>
      <c r="AA809" s="192">
        <v>5.2169999999999996</v>
      </c>
      <c r="AB809" s="3">
        <v>1.944</v>
      </c>
      <c r="AC809" s="3">
        <v>3.6469999999999998</v>
      </c>
      <c r="AD809" s="3">
        <v>5.3040000000000003</v>
      </c>
      <c r="AE809" s="3">
        <v>1.635</v>
      </c>
      <c r="AF809" s="3">
        <v>3.452</v>
      </c>
      <c r="AG809" s="3">
        <v>5.1660000000000004</v>
      </c>
      <c r="AH809" s="194">
        <v>1.635</v>
      </c>
      <c r="AI809" s="193">
        <v>3.452</v>
      </c>
      <c r="AJ809" s="194">
        <v>5.1660000000000004</v>
      </c>
      <c r="AK809" s="130"/>
      <c r="AL809" s="203">
        <v>11.09</v>
      </c>
      <c r="AM809" s="203">
        <v>10.96</v>
      </c>
      <c r="AN809" s="3">
        <v>11.13</v>
      </c>
      <c r="AO809" s="3">
        <v>11.22</v>
      </c>
      <c r="AP809" s="137">
        <f>MIN(AQ809:AR809)</f>
        <v>10.96</v>
      </c>
      <c r="AQ809" s="132">
        <v>10.96</v>
      </c>
      <c r="AR809" s="132">
        <v>11.13</v>
      </c>
      <c r="AS809" s="3"/>
      <c r="AT809" s="3"/>
      <c r="AU809" s="3"/>
      <c r="AV809" s="3"/>
      <c r="AW809" s="192"/>
      <c r="AX809" s="133">
        <v>22.7</v>
      </c>
      <c r="AY809" s="195" t="s">
        <v>255</v>
      </c>
      <c r="AZ809" s="40">
        <v>8</v>
      </c>
      <c r="BA809" s="40"/>
      <c r="BB809" s="40"/>
      <c r="BC809" s="40"/>
      <c r="BD809" s="135">
        <v>809.13026028222168</v>
      </c>
      <c r="BE809" s="135">
        <v>829.20522773136747</v>
      </c>
      <c r="BF809" s="40"/>
      <c r="BG809" s="135">
        <v>261.14876678876783</v>
      </c>
      <c r="BH809" s="135">
        <v>313.84943546679767</v>
      </c>
      <c r="BI809" s="49">
        <f>IFERROR(SUM(paper3[[#This Row],[Kraft ikke-dominant]:[Kraft dominant]]),"")</f>
        <v>1638.3354880135892</v>
      </c>
      <c r="BJ809" s="49">
        <f>IFERROR(SUM(paper3[[#This Row],[Pwr ikke-dominant]:[Pwr dominant]]),"")</f>
        <v>574.9982022555655</v>
      </c>
      <c r="BK809" s="66"/>
      <c r="BL809" s="66"/>
      <c r="BM809" s="51">
        <f>IFERROR(paper3[[#This Row],[totforce]]/paper3[[#This Row],[bodymass]],"")</f>
        <v>30.738001651286854</v>
      </c>
      <c r="BN809" s="51">
        <f>IFERROR(paper3[[#This Row],[totpwr]]/paper3[[#This Row],[bodymass]],"")</f>
        <v>10.78795876652093</v>
      </c>
      <c r="BO809" s="136"/>
      <c r="BP809" s="40"/>
      <c r="BQ809" s="40"/>
      <c r="BR809" s="67"/>
      <c r="BS809" s="54"/>
      <c r="BT809" s="3"/>
      <c r="BU809" s="3"/>
      <c r="BV809" s="3"/>
      <c r="BW809" s="3"/>
      <c r="BX809" s="70"/>
      <c r="BY809" s="70"/>
      <c r="BZ809" s="59"/>
      <c r="CA809" s="59"/>
      <c r="CB809" s="59"/>
      <c r="CC809" s="59"/>
      <c r="CD809" s="60"/>
      <c r="CE809" s="60"/>
      <c r="CF809" s="61"/>
      <c r="CG809" s="61"/>
      <c r="CH809" s="61"/>
      <c r="CI809" s="41">
        <v>14.3</v>
      </c>
      <c r="CJ809" s="40">
        <f>VLOOKUP(CI809,$DB:$DC,2)</f>
        <v>560</v>
      </c>
      <c r="CK809" s="3"/>
      <c r="CL809" s="62"/>
      <c r="CM809" s="63"/>
      <c r="CN809" s="3"/>
      <c r="CO809" s="3"/>
      <c r="CP809" s="41">
        <v>12.661111111111111</v>
      </c>
      <c r="CQ809" s="3"/>
      <c r="CR809" s="40"/>
      <c r="CS809" s="40"/>
      <c r="CT809" s="40"/>
      <c r="CU809" s="40"/>
      <c r="CV809" s="40"/>
      <c r="CW809" s="40"/>
      <c r="CX809" s="40"/>
      <c r="CY809" s="40"/>
      <c r="CZ809" s="40"/>
      <c r="DA809" s="40"/>
    </row>
    <row r="810" spans="1:105" ht="18.95" customHeight="1">
      <c r="A810" s="3">
        <v>901</v>
      </c>
      <c r="B810" s="92" t="s">
        <v>199</v>
      </c>
      <c r="C810" s="3" t="s">
        <v>104</v>
      </c>
      <c r="D810" s="202" t="s">
        <v>215</v>
      </c>
      <c r="E810" s="39">
        <v>45420</v>
      </c>
      <c r="F810" s="3" t="s">
        <v>186</v>
      </c>
      <c r="G810" s="3" t="s">
        <v>107</v>
      </c>
      <c r="H810" s="3">
        <v>2010</v>
      </c>
      <c r="I810" s="40" t="str">
        <f t="shared" si="11"/>
        <v>U14</v>
      </c>
      <c r="J810" s="40" t="s">
        <v>109</v>
      </c>
      <c r="K810" s="3"/>
      <c r="L810" s="3"/>
      <c r="M810" s="3"/>
      <c r="N810" s="3"/>
      <c r="O810" s="3"/>
      <c r="P810" s="3"/>
      <c r="Q810" s="3"/>
      <c r="R810" s="3"/>
      <c r="S810" s="3"/>
      <c r="T810" s="42"/>
      <c r="U810" s="188"/>
      <c r="V810" s="199"/>
      <c r="W810" s="73"/>
      <c r="X810" s="43"/>
      <c r="Y810" s="192"/>
      <c r="Z810" s="3"/>
      <c r="AA810" s="192"/>
      <c r="AB810" s="3"/>
      <c r="AC810" s="3"/>
      <c r="AD810" s="3"/>
      <c r="AE810" s="3"/>
      <c r="AF810" s="3"/>
      <c r="AG810" s="3"/>
      <c r="AH810" s="194"/>
      <c r="AI810" s="193"/>
      <c r="AJ810" s="194"/>
      <c r="AK810" s="130"/>
      <c r="AL810" s="203"/>
      <c r="AM810" s="203"/>
      <c r="AN810" s="3"/>
      <c r="AO810" s="3"/>
      <c r="AP810" s="137"/>
      <c r="AQ810" s="132"/>
      <c r="AR810" s="132"/>
      <c r="AS810" s="3"/>
      <c r="AT810" s="3"/>
      <c r="AU810" s="3"/>
      <c r="AV810" s="3"/>
      <c r="AW810" s="192"/>
      <c r="AX810" s="133"/>
      <c r="AY810" s="195"/>
      <c r="AZ810" s="40"/>
      <c r="BA810" s="40"/>
      <c r="BB810" s="40"/>
      <c r="BC810" s="40"/>
      <c r="BD810" s="135"/>
      <c r="BE810" s="135"/>
      <c r="BF810" s="40"/>
      <c r="BG810" s="135"/>
      <c r="BH810" s="135"/>
      <c r="BI810" s="49"/>
      <c r="BJ810" s="49"/>
      <c r="BK810" s="66"/>
      <c r="BL810" s="66"/>
      <c r="BM810" s="51"/>
      <c r="BN810" s="51"/>
      <c r="BO810" s="136"/>
      <c r="BP810" s="40"/>
      <c r="BQ810" s="40"/>
      <c r="BR810" s="67"/>
      <c r="BS810" s="54"/>
      <c r="BT810" s="3"/>
      <c r="BU810" s="3"/>
      <c r="BV810" s="3"/>
      <c r="BW810" s="3"/>
      <c r="BX810" s="70"/>
      <c r="BY810" s="70"/>
      <c r="BZ810" s="59"/>
      <c r="CA810" s="59"/>
      <c r="CB810" s="59"/>
      <c r="CC810" s="59"/>
      <c r="CD810" s="60"/>
      <c r="CE810" s="60"/>
      <c r="CF810" s="61"/>
      <c r="CG810" s="61"/>
      <c r="CH810" s="61"/>
      <c r="CI810" s="41"/>
      <c r="CJ810" s="40"/>
      <c r="CK810" s="3"/>
      <c r="CL810" s="62"/>
      <c r="CM810" s="63"/>
      <c r="CN810" s="3"/>
      <c r="CO810" s="3"/>
      <c r="CP810" s="41"/>
      <c r="CQ810" s="3"/>
      <c r="CR810" s="40"/>
      <c r="CS810" s="40"/>
      <c r="CT810" s="40"/>
      <c r="CU810" s="40"/>
      <c r="CV810" s="40"/>
      <c r="CW810" s="40"/>
      <c r="CX810" s="40"/>
      <c r="CY810" s="40"/>
      <c r="CZ810" s="40"/>
      <c r="DA810" s="40"/>
    </row>
    <row r="811" spans="1:105" ht="18.95" customHeight="1">
      <c r="A811" s="3">
        <v>902</v>
      </c>
      <c r="B811" s="92" t="s">
        <v>199</v>
      </c>
      <c r="C811" s="3"/>
      <c r="D811" s="202" t="s">
        <v>215</v>
      </c>
      <c r="E811" s="39">
        <v>45420</v>
      </c>
      <c r="F811" s="3" t="s">
        <v>186</v>
      </c>
      <c r="G811" s="3" t="s">
        <v>107</v>
      </c>
      <c r="H811" s="3">
        <v>2010</v>
      </c>
      <c r="I811" s="40" t="str">
        <f t="shared" si="11"/>
        <v>U14</v>
      </c>
      <c r="J811" s="40" t="s">
        <v>109</v>
      </c>
      <c r="K811" s="3">
        <v>172.9</v>
      </c>
      <c r="L811" s="3">
        <v>172.9</v>
      </c>
      <c r="M811" s="3"/>
      <c r="N811" s="3">
        <v>163</v>
      </c>
      <c r="O811" s="3">
        <v>163</v>
      </c>
      <c r="P811" s="3"/>
      <c r="Q811" s="3">
        <v>65.5</v>
      </c>
      <c r="R811" s="3">
        <v>65.5</v>
      </c>
      <c r="S811" s="3"/>
      <c r="T811" s="42">
        <v>172.9</v>
      </c>
      <c r="U811" s="188" cm="1">
        <f t="array" ref="U811">AVERAGE(paper3[[#This Row],[Sittende høyde 1]:[Sittende høyde 2]]-70.2)</f>
        <v>92.8</v>
      </c>
      <c r="V811" s="12">
        <f>paper3[[#This Row],[height]]-paper3[[#This Row],[sittingheight]]</f>
        <v>80.100000000000009</v>
      </c>
      <c r="W811" s="73">
        <v>65.5</v>
      </c>
      <c r="X811" s="43" cm="1">
        <f t="array" ref="X811">INDEX([1]!phvny[yphv], MATCH(1, (paper3[[#This Row],[id]]=[1]!phvny[id])*(paper3[[#This Row],[time]]=[1]!phvny[time]), 0))</f>
        <v>2.6916581727206479</v>
      </c>
      <c r="Y811" s="192">
        <v>1.327</v>
      </c>
      <c r="Z811" s="3">
        <v>2.9249999999999998</v>
      </c>
      <c r="AA811" s="192">
        <v>4.484</v>
      </c>
      <c r="AB811" s="3">
        <v>1.339</v>
      </c>
      <c r="AC811" s="3">
        <v>2.9540000000000002</v>
      </c>
      <c r="AD811" s="3">
        <v>4.4980000000000002</v>
      </c>
      <c r="AE811" s="3">
        <v>1.462</v>
      </c>
      <c r="AF811" s="3">
        <v>3.073</v>
      </c>
      <c r="AG811" s="3">
        <v>4.6669999999999998</v>
      </c>
      <c r="AH811" s="194"/>
      <c r="AI811" s="193"/>
      <c r="AJ811" s="194"/>
      <c r="AK811" s="130"/>
      <c r="AL811" s="203">
        <v>10.63</v>
      </c>
      <c r="AM811" s="203">
        <v>10.57</v>
      </c>
      <c r="AN811" s="3">
        <v>11.09</v>
      </c>
      <c r="AO811" s="3">
        <v>11.24</v>
      </c>
      <c r="AP811" s="137">
        <f>MIN(AQ811:AR811)</f>
        <v>10.57</v>
      </c>
      <c r="AQ811" s="132">
        <v>10.57</v>
      </c>
      <c r="AR811" s="132">
        <v>11.09</v>
      </c>
      <c r="AS811" s="3"/>
      <c r="AT811" s="3"/>
      <c r="AU811" s="3"/>
      <c r="AV811" s="3"/>
      <c r="AW811" s="192"/>
      <c r="AX811" s="133">
        <v>19.3</v>
      </c>
      <c r="AY811" s="195" t="s">
        <v>247</v>
      </c>
      <c r="AZ811" s="40">
        <v>9</v>
      </c>
      <c r="BA811" s="40"/>
      <c r="BB811" s="40"/>
      <c r="BC811" s="40"/>
      <c r="BD811" s="135">
        <v>1131.0658242355121</v>
      </c>
      <c r="BE811" s="135">
        <v>992.60024020009109</v>
      </c>
      <c r="BF811" s="40"/>
      <c r="BG811" s="135">
        <v>410.12088651715112</v>
      </c>
      <c r="BH811" s="135">
        <v>387.50184951683212</v>
      </c>
      <c r="BI811" s="49"/>
      <c r="BJ811" s="49">
        <f>IFERROR(SUM(paper3[[#This Row],[Pwr ikke-dominant]:[Pwr dominant]]),"")</f>
        <v>797.6227360339833</v>
      </c>
      <c r="BK811" s="66"/>
      <c r="BL811" s="66"/>
      <c r="BM811" s="51"/>
      <c r="BN811" s="51">
        <f>IFERROR(paper3[[#This Row],[totpwr]]/paper3[[#This Row],[bodymass]],"")</f>
        <v>12.177446351663868</v>
      </c>
      <c r="BO811" s="136"/>
      <c r="BP811" s="40"/>
      <c r="BQ811" s="40"/>
      <c r="BR811" s="67"/>
      <c r="BS811" s="54"/>
      <c r="BT811" s="3"/>
      <c r="BU811" s="3"/>
      <c r="BV811" s="3"/>
      <c r="BW811" s="3"/>
      <c r="BX811" s="70"/>
      <c r="BY811" s="70"/>
      <c r="BZ811" s="59"/>
      <c r="CA811" s="59"/>
      <c r="CB811" s="59"/>
      <c r="CC811" s="59"/>
      <c r="CD811" s="60"/>
      <c r="CE811" s="60"/>
      <c r="CF811" s="61"/>
      <c r="CG811" s="61"/>
      <c r="CH811" s="61"/>
      <c r="CI811" s="41">
        <v>13.4</v>
      </c>
      <c r="CJ811" s="40">
        <f>VLOOKUP(CI811,$DB:$DC,2)</f>
        <v>440</v>
      </c>
      <c r="CK811" s="3"/>
      <c r="CL811" s="62"/>
      <c r="CM811" s="63"/>
      <c r="CN811" s="3"/>
      <c r="CO811" s="3"/>
      <c r="CP811" s="41">
        <v>13.383333333333333</v>
      </c>
      <c r="CQ811" s="3"/>
      <c r="CR811" s="40"/>
      <c r="CS811" s="40"/>
      <c r="CT811" s="40"/>
      <c r="CU811" s="40"/>
      <c r="CV811" s="40"/>
      <c r="CW811" s="40"/>
      <c r="CX811" s="40"/>
      <c r="CY811" s="40"/>
      <c r="CZ811" s="40"/>
      <c r="DA811" s="40"/>
    </row>
    <row r="812" spans="1:105" ht="15.75" customHeight="1">
      <c r="A812" s="3">
        <v>903</v>
      </c>
      <c r="B812" s="92" t="s">
        <v>199</v>
      </c>
      <c r="C812" s="3"/>
      <c r="D812" s="202" t="s">
        <v>215</v>
      </c>
      <c r="E812" s="39">
        <v>45420</v>
      </c>
      <c r="F812" s="3" t="s">
        <v>186</v>
      </c>
      <c r="G812" s="3" t="s">
        <v>107</v>
      </c>
      <c r="H812" s="3">
        <v>2010</v>
      </c>
      <c r="I812" s="40" t="str">
        <f t="shared" si="11"/>
        <v>U14</v>
      </c>
      <c r="J812" s="40" t="s">
        <v>109</v>
      </c>
      <c r="K812" s="3">
        <v>164.4</v>
      </c>
      <c r="L812" s="3">
        <v>164.4</v>
      </c>
      <c r="M812" s="3"/>
      <c r="N812" s="3">
        <v>157.30000000000001</v>
      </c>
      <c r="O812" s="3">
        <v>157.19999999999999</v>
      </c>
      <c r="P812" s="3"/>
      <c r="Q812" s="3">
        <v>63.6</v>
      </c>
      <c r="R812" s="3">
        <v>63.6</v>
      </c>
      <c r="S812" s="3"/>
      <c r="T812" s="42">
        <v>164.4</v>
      </c>
      <c r="U812" s="188" cm="1">
        <f t="array" ref="U812">AVERAGE(paper3[[#This Row],[Sittende høyde 1]:[Sittende høyde 2]]-70.2)</f>
        <v>87.05</v>
      </c>
      <c r="V812" s="12">
        <f>paper3[[#This Row],[height]]-paper3[[#This Row],[sittingheight]]</f>
        <v>77.350000000000009</v>
      </c>
      <c r="W812" s="73">
        <v>63.6</v>
      </c>
      <c r="X812" s="43" cm="1">
        <f t="array" ref="X812">INDEX([1]!phvny[yphv], MATCH(1, (paper3[[#This Row],[id]]=[1]!phvny[id])*(paper3[[#This Row],[time]]=[1]!phvny[time]), 0))</f>
        <v>2.1076204931745748</v>
      </c>
      <c r="Y812" s="192">
        <v>1.7909999999999999</v>
      </c>
      <c r="Z812" s="3">
        <v>3.2930000000000001</v>
      </c>
      <c r="AA812" s="192">
        <v>4.7320000000000002</v>
      </c>
      <c r="AB812" s="3">
        <v>1.819</v>
      </c>
      <c r="AC812" s="3">
        <v>3.3530000000000002</v>
      </c>
      <c r="AD812" s="3">
        <v>4.82</v>
      </c>
      <c r="AE812" s="3">
        <v>1.84</v>
      </c>
      <c r="AF812" s="3">
        <v>3.423</v>
      </c>
      <c r="AG812" s="3">
        <v>4.9649999999999999</v>
      </c>
      <c r="AH812" s="194">
        <v>1.7909999999999999</v>
      </c>
      <c r="AI812" s="193">
        <v>3.2930000000000001</v>
      </c>
      <c r="AJ812" s="194">
        <v>4.7320000000000002</v>
      </c>
      <c r="AK812" s="130"/>
      <c r="AL812" s="203">
        <v>10.27</v>
      </c>
      <c r="AM812" s="203">
        <v>10.37</v>
      </c>
      <c r="AN812" s="3" t="s">
        <v>214</v>
      </c>
      <c r="AO812" s="3">
        <v>10.34</v>
      </c>
      <c r="AP812" s="137">
        <f>MIN(AQ812:AR812)</f>
        <v>10.27</v>
      </c>
      <c r="AQ812" s="132">
        <v>10.27</v>
      </c>
      <c r="AR812" s="132">
        <v>10.34</v>
      </c>
      <c r="AS812" s="3"/>
      <c r="AT812" s="3"/>
      <c r="AU812" s="3"/>
      <c r="AV812" s="3"/>
      <c r="AW812" s="192"/>
      <c r="AX812" s="133">
        <v>24.5</v>
      </c>
      <c r="AY812" s="195" t="s">
        <v>255</v>
      </c>
      <c r="AZ812" s="40">
        <v>9</v>
      </c>
      <c r="BA812" s="40"/>
      <c r="BB812" s="40"/>
      <c r="BC812" s="40"/>
      <c r="BD812" s="135">
        <v>1042.9264365030135</v>
      </c>
      <c r="BE812" s="135">
        <v>1002.9080914809459</v>
      </c>
      <c r="BF812" s="40"/>
      <c r="BG812" s="135">
        <v>414.46663652051416</v>
      </c>
      <c r="BH812" s="135">
        <v>385.97286850383045</v>
      </c>
      <c r="BI812" s="49">
        <f>IFERROR(SUM(paper3[[#This Row],[Kraft ikke-dominant]:[Kraft dominant]]),"")</f>
        <v>2045.8345279839596</v>
      </c>
      <c r="BJ812" s="49">
        <f>IFERROR(SUM(paper3[[#This Row],[Pwr ikke-dominant]:[Pwr dominant]]),"")</f>
        <v>800.43950502434461</v>
      </c>
      <c r="BK812" s="66"/>
      <c r="BL812" s="66"/>
      <c r="BM812" s="51">
        <f>IFERROR(paper3[[#This Row],[totforce]]/paper3[[#This Row],[bodymass]],"")</f>
        <v>32.167209559496222</v>
      </c>
      <c r="BN812" s="51">
        <f>IFERROR(paper3[[#This Row],[totpwr]]/paper3[[#This Row],[bodymass]],"")</f>
        <v>12.585526808558877</v>
      </c>
      <c r="BO812" s="136"/>
      <c r="BP812" s="40"/>
      <c r="BQ812" s="40"/>
      <c r="BR812" s="67"/>
      <c r="BS812" s="54"/>
      <c r="BT812" s="3"/>
      <c r="BU812" s="3"/>
      <c r="BV812" s="3"/>
      <c r="BW812" s="3"/>
      <c r="BX812" s="70"/>
      <c r="BY812" s="70"/>
      <c r="BZ812" s="59"/>
      <c r="CA812" s="59"/>
      <c r="CB812" s="59"/>
      <c r="CC812" s="59"/>
      <c r="CD812" s="60"/>
      <c r="CE812" s="60"/>
      <c r="CF812" s="61"/>
      <c r="CG812" s="61"/>
      <c r="CH812" s="61"/>
      <c r="CI812" s="41">
        <v>14.8</v>
      </c>
      <c r="CJ812" s="40">
        <f>VLOOKUP(CI812,$DB:$DC,2)</f>
        <v>760</v>
      </c>
      <c r="CK812" s="3"/>
      <c r="CL812" s="62"/>
      <c r="CM812" s="63"/>
      <c r="CN812" s="3"/>
      <c r="CO812" s="3"/>
      <c r="CP812" s="41">
        <v>13.341666666666667</v>
      </c>
      <c r="CQ812" s="3"/>
      <c r="CR812" s="40"/>
      <c r="CS812" s="40"/>
      <c r="CT812" s="40"/>
      <c r="CU812" s="40"/>
      <c r="CV812" s="40"/>
      <c r="CW812" s="40"/>
      <c r="CX812" s="40"/>
      <c r="CY812" s="40"/>
      <c r="CZ812" s="40"/>
      <c r="DA812" s="40"/>
    </row>
    <row r="813" spans="1:105" ht="15.75" customHeight="1">
      <c r="A813" s="3">
        <v>904</v>
      </c>
      <c r="B813" s="92" t="s">
        <v>199</v>
      </c>
      <c r="C813" s="3" t="s">
        <v>104</v>
      </c>
      <c r="D813" s="202" t="s">
        <v>215</v>
      </c>
      <c r="E813" s="39">
        <v>45420</v>
      </c>
      <c r="F813" s="3" t="s">
        <v>186</v>
      </c>
      <c r="G813" s="3" t="s">
        <v>107</v>
      </c>
      <c r="H813" s="3">
        <v>2010</v>
      </c>
      <c r="I813" s="40" t="str">
        <f t="shared" si="11"/>
        <v>U14</v>
      </c>
      <c r="J813" s="40" t="s">
        <v>109</v>
      </c>
      <c r="K813" s="3">
        <v>157.5</v>
      </c>
      <c r="L813" s="3">
        <v>157.6</v>
      </c>
      <c r="M813" s="3"/>
      <c r="N813" s="3">
        <v>155.4</v>
      </c>
      <c r="O813" s="3">
        <v>155.4</v>
      </c>
      <c r="P813" s="3"/>
      <c r="Q813" s="3">
        <v>63.5</v>
      </c>
      <c r="R813" s="3">
        <v>63.5</v>
      </c>
      <c r="S813" s="3"/>
      <c r="T813" s="42">
        <v>157.55000000000001</v>
      </c>
      <c r="U813" s="188" cm="1">
        <f t="array" ref="U813">AVERAGE(paper3[[#This Row],[Sittende høyde 1]:[Sittende høyde 2]]-70.2)</f>
        <v>85.2</v>
      </c>
      <c r="V813" s="12">
        <f>paper3[[#This Row],[height]]-paper3[[#This Row],[sittingheight]]</f>
        <v>72.350000000000009</v>
      </c>
      <c r="W813" s="73">
        <v>63.5</v>
      </c>
      <c r="X813" s="43" cm="1">
        <f t="array" ref="X813">INDEX([1]!phvny[yphv], MATCH(1, (paper3[[#This Row],[id]]=[1]!phvny[id])*(paper3[[#This Row],[time]]=[1]!phvny[time]), 0))</f>
        <v>1.4041477683991319</v>
      </c>
      <c r="Y813" s="192">
        <v>1.0249999999999999</v>
      </c>
      <c r="Z813" s="3">
        <v>2.472</v>
      </c>
      <c r="AA813" s="192">
        <v>3.8740000000000001</v>
      </c>
      <c r="AB813" s="3"/>
      <c r="AC813" s="3"/>
      <c r="AD813" s="3"/>
      <c r="AE813" s="3"/>
      <c r="AF813" s="3"/>
      <c r="AG813" s="3"/>
      <c r="AH813" s="194"/>
      <c r="AI813" s="193"/>
      <c r="AJ813" s="194"/>
      <c r="AK813" s="130"/>
      <c r="AL813" s="203">
        <v>10.18</v>
      </c>
      <c r="AM813" s="203">
        <v>9.93</v>
      </c>
      <c r="AN813" s="3">
        <v>10.42</v>
      </c>
      <c r="AO813" s="3">
        <v>9.94</v>
      </c>
      <c r="AP813" s="137">
        <f>MIN(AQ813:AR813)</f>
        <v>9.93</v>
      </c>
      <c r="AQ813" s="132">
        <v>9.93</v>
      </c>
      <c r="AR813" s="132">
        <v>9.94</v>
      </c>
      <c r="AS813" s="3"/>
      <c r="AT813" s="3"/>
      <c r="AU813" s="3"/>
      <c r="AV813" s="3"/>
      <c r="AW813" s="192"/>
      <c r="AX813" s="133">
        <v>32.799999999999997</v>
      </c>
      <c r="AY813" s="195" t="s">
        <v>247</v>
      </c>
      <c r="AZ813" s="40">
        <v>7</v>
      </c>
      <c r="BA813" s="40"/>
      <c r="BB813" s="40"/>
      <c r="BC813" s="40"/>
      <c r="BD813" s="135">
        <v>1265.116935838385</v>
      </c>
      <c r="BE813" s="135">
        <v>1312.9210765521098</v>
      </c>
      <c r="BF813" s="40"/>
      <c r="BG813" s="135">
        <v>567.50428434089565</v>
      </c>
      <c r="BH813" s="135">
        <v>516.30321006821271</v>
      </c>
      <c r="BI813" s="49">
        <f>IFERROR(SUM(paper3[[#This Row],[Kraft ikke-dominant]:[Kraft dominant]]),"")</f>
        <v>2578.0380123904947</v>
      </c>
      <c r="BJ813" s="49">
        <f>IFERROR(SUM(paper3[[#This Row],[Pwr ikke-dominant]:[Pwr dominant]]),"")</f>
        <v>1083.8074944091084</v>
      </c>
      <c r="BK813" s="66"/>
      <c r="BL813" s="66"/>
      <c r="BM813" s="51">
        <f>IFERROR(paper3[[#This Row],[totforce]]/paper3[[#This Row],[bodymass]],"")</f>
        <v>40.599023817173148</v>
      </c>
      <c r="BN813" s="51">
        <f>IFERROR(paper3[[#This Row],[totpwr]]/paper3[[#This Row],[bodymass]],"")</f>
        <v>17.067834557623755</v>
      </c>
      <c r="BO813" s="136"/>
      <c r="BP813" s="40"/>
      <c r="BQ813" s="40"/>
      <c r="BR813" s="67"/>
      <c r="BS813" s="54"/>
      <c r="BT813" s="3"/>
      <c r="BU813" s="3"/>
      <c r="BV813" s="3"/>
      <c r="BW813" s="3"/>
      <c r="BX813" s="70"/>
      <c r="BY813" s="70"/>
      <c r="BZ813" s="59"/>
      <c r="CA813" s="59"/>
      <c r="CB813" s="59"/>
      <c r="CC813" s="59"/>
      <c r="CD813" s="60"/>
      <c r="CE813" s="60"/>
      <c r="CF813" s="61"/>
      <c r="CG813" s="61"/>
      <c r="CH813" s="61"/>
      <c r="CI813" s="41">
        <v>14.4</v>
      </c>
      <c r="CJ813" s="40">
        <f>VLOOKUP(CI813,$DB:$DC,2)</f>
        <v>600</v>
      </c>
      <c r="CK813" s="3"/>
      <c r="CL813" s="62"/>
      <c r="CM813" s="63"/>
      <c r="CN813" s="3"/>
      <c r="CO813" s="3"/>
      <c r="CP813" s="41">
        <v>12.491666666666667</v>
      </c>
      <c r="CQ813" s="3"/>
      <c r="CR813" s="40"/>
      <c r="CS813" s="40"/>
      <c r="CT813" s="40"/>
      <c r="CU813" s="40"/>
      <c r="CV813" s="40"/>
      <c r="CW813" s="40"/>
      <c r="CX813" s="40"/>
      <c r="CY813" s="40"/>
      <c r="CZ813" s="40"/>
      <c r="DA813" s="40"/>
    </row>
    <row r="814" spans="1:105" ht="15.75" customHeight="1">
      <c r="A814" s="3">
        <v>905</v>
      </c>
      <c r="B814" s="92" t="s">
        <v>199</v>
      </c>
      <c r="C814" s="3" t="s">
        <v>104</v>
      </c>
      <c r="D814" s="202" t="s">
        <v>215</v>
      </c>
      <c r="E814" s="39">
        <v>45420</v>
      </c>
      <c r="F814" s="3" t="s">
        <v>186</v>
      </c>
      <c r="G814" s="3" t="s">
        <v>107</v>
      </c>
      <c r="H814" s="3">
        <v>2010</v>
      </c>
      <c r="I814" s="40" t="str">
        <f t="shared" si="11"/>
        <v>U14</v>
      </c>
      <c r="J814" s="40" t="s">
        <v>109</v>
      </c>
      <c r="K814" s="3">
        <v>168.4</v>
      </c>
      <c r="L814" s="3">
        <v>168.4</v>
      </c>
      <c r="M814" s="3"/>
      <c r="N814" s="3">
        <v>157.19999999999999</v>
      </c>
      <c r="O814" s="3">
        <v>157.19999999999999</v>
      </c>
      <c r="P814" s="3"/>
      <c r="Q814" s="3">
        <v>61.5</v>
      </c>
      <c r="R814" s="3">
        <v>61.5</v>
      </c>
      <c r="S814" s="3"/>
      <c r="T814" s="42">
        <v>168.4</v>
      </c>
      <c r="U814" s="188" cm="1">
        <f t="array" ref="U814">AVERAGE(paper3[[#This Row],[Sittende høyde 1]:[Sittende høyde 2]]-70.2)</f>
        <v>86.999999999999986</v>
      </c>
      <c r="V814" s="12">
        <f>paper3[[#This Row],[height]]-paper3[[#This Row],[sittingheight]]</f>
        <v>81.40000000000002</v>
      </c>
      <c r="W814" s="73">
        <v>61.5</v>
      </c>
      <c r="X814" s="43" cm="1">
        <f t="array" ref="X814">INDEX([1]!phvny[yphv], MATCH(1, (paper3[[#This Row],[id]]=[1]!phvny[id])*(paper3[[#This Row],[time]]=[1]!phvny[time]), 0))</f>
        <v>2.0031866451939822</v>
      </c>
      <c r="Y814" s="192">
        <v>1.76</v>
      </c>
      <c r="Z814" s="3">
        <v>3.327</v>
      </c>
      <c r="AA814" s="192">
        <v>4.8860000000000001</v>
      </c>
      <c r="AB814" s="3">
        <v>1.7569999999999999</v>
      </c>
      <c r="AC814" s="3">
        <v>3.367</v>
      </c>
      <c r="AD814" s="3">
        <v>4.9660000000000002</v>
      </c>
      <c r="AE814" s="3">
        <v>1.7829999999999999</v>
      </c>
      <c r="AF814" s="3">
        <v>3.3820000000000001</v>
      </c>
      <c r="AG814" s="3">
        <v>5.008</v>
      </c>
      <c r="AH814" s="194">
        <v>1.7569999999999999</v>
      </c>
      <c r="AI814" s="193">
        <v>3.327</v>
      </c>
      <c r="AJ814" s="194">
        <v>4.8860000000000001</v>
      </c>
      <c r="AK814" s="130"/>
      <c r="AL814" s="203"/>
      <c r="AM814" s="203"/>
      <c r="AN814" s="3"/>
      <c r="AO814" s="3"/>
      <c r="AP814" s="137"/>
      <c r="AQ814" s="132"/>
      <c r="AR814" s="132"/>
      <c r="AS814" s="3"/>
      <c r="AT814" s="3"/>
      <c r="AU814" s="3"/>
      <c r="AV814" s="3"/>
      <c r="AW814" s="192"/>
      <c r="AX814" s="133">
        <v>29.6</v>
      </c>
      <c r="AY814" s="195" t="s">
        <v>255</v>
      </c>
      <c r="AZ814" s="40">
        <v>8</v>
      </c>
      <c r="BA814" s="40"/>
      <c r="BB814" s="40"/>
      <c r="BC814" s="40"/>
      <c r="BD814" s="135">
        <v>936</v>
      </c>
      <c r="BE814" s="135">
        <v>920</v>
      </c>
      <c r="BF814" s="40"/>
      <c r="BG814" s="135">
        <v>294</v>
      </c>
      <c r="BH814" s="135">
        <v>315</v>
      </c>
      <c r="BI814" s="49">
        <f>IFERROR(SUM(paper3[[#This Row],[Kraft ikke-dominant]:[Kraft dominant]]),"")</f>
        <v>1856</v>
      </c>
      <c r="BJ814" s="49">
        <f>IFERROR(SUM(paper3[[#This Row],[Pwr ikke-dominant]:[Pwr dominant]]),"")</f>
        <v>609</v>
      </c>
      <c r="BK814" s="66"/>
      <c r="BL814" s="66"/>
      <c r="BM814" s="51">
        <f>IFERROR(paper3[[#This Row],[totforce]]/paper3[[#This Row],[bodymass]],"")</f>
        <v>30.178861788617887</v>
      </c>
      <c r="BN814" s="51">
        <f>IFERROR(paper3[[#This Row],[totpwr]]/paper3[[#This Row],[bodymass]],"")</f>
        <v>9.9024390243902438</v>
      </c>
      <c r="BO814" s="136"/>
      <c r="BP814" s="40"/>
      <c r="BQ814" s="40"/>
      <c r="BR814" s="67"/>
      <c r="BS814" s="54"/>
      <c r="BT814" s="3"/>
      <c r="BU814" s="3"/>
      <c r="BV814" s="3"/>
      <c r="BW814" s="3"/>
      <c r="BX814" s="70"/>
      <c r="BY814" s="70"/>
      <c r="BZ814" s="59"/>
      <c r="CA814" s="59"/>
      <c r="CB814" s="59"/>
      <c r="CC814" s="59"/>
      <c r="CD814" s="60"/>
      <c r="CE814" s="60"/>
      <c r="CF814" s="61"/>
      <c r="CG814" s="61"/>
      <c r="CH814" s="61"/>
      <c r="CI814" s="41"/>
      <c r="CJ814" s="40"/>
      <c r="CK814" s="3"/>
      <c r="CL814" s="62"/>
      <c r="CM814" s="63"/>
      <c r="CN814" s="3"/>
      <c r="CO814" s="3"/>
      <c r="CP814" s="41">
        <v>12.95</v>
      </c>
      <c r="CQ814" s="3"/>
      <c r="CR814" s="40"/>
      <c r="CS814" s="40"/>
      <c r="CT814" s="40"/>
      <c r="CU814" s="40"/>
      <c r="CV814" s="40"/>
      <c r="CW814" s="40"/>
      <c r="CX814" s="40"/>
      <c r="CY814" s="40"/>
      <c r="CZ814" s="40"/>
      <c r="DA814" s="40"/>
    </row>
    <row r="815" spans="1:105" ht="18.95" customHeight="1">
      <c r="A815" s="3">
        <v>906</v>
      </c>
      <c r="B815" s="92" t="s">
        <v>199</v>
      </c>
      <c r="C815" s="3"/>
      <c r="D815" s="202" t="s">
        <v>215</v>
      </c>
      <c r="E815" s="39">
        <v>45420</v>
      </c>
      <c r="F815" s="3" t="s">
        <v>186</v>
      </c>
      <c r="G815" s="3" t="s">
        <v>107</v>
      </c>
      <c r="H815" s="3">
        <v>2010</v>
      </c>
      <c r="I815" s="40" t="str">
        <f t="shared" si="11"/>
        <v>U14</v>
      </c>
      <c r="J815" s="40" t="s">
        <v>109</v>
      </c>
      <c r="K815" s="3">
        <v>177</v>
      </c>
      <c r="L815" s="3">
        <v>177</v>
      </c>
      <c r="M815" s="3"/>
      <c r="N815" s="3">
        <v>161</v>
      </c>
      <c r="O815" s="3">
        <v>161</v>
      </c>
      <c r="P815" s="3"/>
      <c r="Q815" s="3">
        <v>62.8</v>
      </c>
      <c r="R815" s="3">
        <v>62.8</v>
      </c>
      <c r="S815" s="3"/>
      <c r="T815" s="42">
        <v>177</v>
      </c>
      <c r="U815" s="188" cm="1">
        <f t="array" ref="U815">AVERAGE(paper3[[#This Row],[Sittende høyde 1]:[Sittende høyde 2]]-70.2)</f>
        <v>90.8</v>
      </c>
      <c r="V815" s="12">
        <f>paper3[[#This Row],[height]]-paper3[[#This Row],[sittingheight]]</f>
        <v>86.2</v>
      </c>
      <c r="W815" s="73">
        <v>62.8</v>
      </c>
      <c r="X815" s="43" cm="1">
        <f t="array" ref="X815">INDEX([1]!phvny[yphv], MATCH(1, (paper3[[#This Row],[id]]=[1]!phvny[id])*(paper3[[#This Row],[time]]=[1]!phvny[time]), 0))</f>
        <v>2.7371137117551787</v>
      </c>
      <c r="Y815" s="206"/>
      <c r="Z815" s="128"/>
      <c r="AA815" s="206"/>
      <c r="AB815" s="3">
        <v>1.83</v>
      </c>
      <c r="AC815" s="3">
        <v>3.3959999999999999</v>
      </c>
      <c r="AD815" s="3">
        <v>4.8819999999999997</v>
      </c>
      <c r="AE815" s="3">
        <v>1.84</v>
      </c>
      <c r="AF815" s="3">
        <v>3.4060000000000001</v>
      </c>
      <c r="AG815" s="3">
        <v>4.9020000000000001</v>
      </c>
      <c r="AH815" s="130">
        <f>MIN(AE815,AB815,Y815)</f>
        <v>1.83</v>
      </c>
      <c r="AI815" s="194">
        <f>MIN(AF815,AC815,Z815)</f>
        <v>3.3959999999999999</v>
      </c>
      <c r="AJ815" s="194">
        <f>MIN(AG815,AD815,AA815)</f>
        <v>4.8819999999999997</v>
      </c>
      <c r="AK815" s="130"/>
      <c r="AL815" s="203">
        <v>10.48</v>
      </c>
      <c r="AM815" s="203">
        <v>10.32</v>
      </c>
      <c r="AN815" s="3">
        <v>10.45</v>
      </c>
      <c r="AO815" s="3">
        <v>10.41</v>
      </c>
      <c r="AP815" s="137">
        <f>MIN(AQ815:AR815)</f>
        <v>10.32</v>
      </c>
      <c r="AQ815" s="132">
        <v>10.32</v>
      </c>
      <c r="AR815" s="132">
        <v>10.41</v>
      </c>
      <c r="AS815" s="3"/>
      <c r="AT815" s="3"/>
      <c r="AU815" s="3"/>
      <c r="AV815" s="3"/>
      <c r="AW815" s="192"/>
      <c r="AX815" s="133">
        <v>23.4</v>
      </c>
      <c r="AY815" s="195" t="s">
        <v>247</v>
      </c>
      <c r="AZ815" s="40">
        <v>11</v>
      </c>
      <c r="BA815" s="40"/>
      <c r="BB815" s="40"/>
      <c r="BC815" s="40"/>
      <c r="BD815" s="135">
        <v>1222.2385804098824</v>
      </c>
      <c r="BE815" s="135">
        <v>1224.7914634702274</v>
      </c>
      <c r="BF815" s="40"/>
      <c r="BG815" s="135">
        <v>404.28572987552434</v>
      </c>
      <c r="BH815" s="135">
        <v>425.90998684759143</v>
      </c>
      <c r="BI815" s="49">
        <f>IFERROR(SUM(paper3[[#This Row],[Kraft ikke-dominant]:[Kraft dominant]]),"")</f>
        <v>2447.0300438801096</v>
      </c>
      <c r="BJ815" s="49">
        <f>IFERROR(SUM(paper3[[#This Row],[Pwr ikke-dominant]:[Pwr dominant]]),"")</f>
        <v>830.19571672311577</v>
      </c>
      <c r="BK815" s="66"/>
      <c r="BL815" s="66"/>
      <c r="BM815" s="51">
        <f>IFERROR(paper3[[#This Row],[totforce]]/paper3[[#This Row],[bodymass]],"")</f>
        <v>38.965446558600476</v>
      </c>
      <c r="BN815" s="51">
        <f>IFERROR(paper3[[#This Row],[totpwr]]/paper3[[#This Row],[bodymass]],"")</f>
        <v>13.21967701788401</v>
      </c>
      <c r="BO815" s="136"/>
      <c r="BP815" s="40"/>
      <c r="BQ815" s="40"/>
      <c r="BR815" s="67"/>
      <c r="BS815" s="54"/>
      <c r="BT815" s="3"/>
      <c r="BU815" s="3"/>
      <c r="BV815" s="3"/>
      <c r="BW815" s="3"/>
      <c r="BX815" s="70"/>
      <c r="BY815" s="70"/>
      <c r="BZ815" s="59"/>
      <c r="CA815" s="59"/>
      <c r="CB815" s="59"/>
      <c r="CC815" s="59"/>
      <c r="CD815" s="60"/>
      <c r="CE815" s="60"/>
      <c r="CF815" s="61"/>
      <c r="CG815" s="61"/>
      <c r="CH815" s="61"/>
      <c r="CI815" s="41">
        <v>14.7</v>
      </c>
      <c r="CJ815" s="40">
        <f>VLOOKUP(CI815,$DB:$DC,2)</f>
        <v>720</v>
      </c>
      <c r="CK815" s="3"/>
      <c r="CL815" s="62"/>
      <c r="CM815" s="63"/>
      <c r="CN815" s="3"/>
      <c r="CO815" s="3"/>
      <c r="CP815" s="41">
        <v>13.388888888888889</v>
      </c>
      <c r="CQ815" s="3"/>
      <c r="CR815" s="40"/>
      <c r="CS815" s="40"/>
      <c r="CT815" s="40"/>
      <c r="CU815" s="40"/>
      <c r="CV815" s="40"/>
      <c r="CW815" s="40"/>
      <c r="CX815" s="40"/>
      <c r="CY815" s="40"/>
    </row>
    <row r="816" spans="1:105" ht="18.95" customHeight="1">
      <c r="A816" s="3">
        <v>907</v>
      </c>
      <c r="B816" s="92" t="s">
        <v>199</v>
      </c>
      <c r="C816" s="3"/>
      <c r="D816" s="202" t="s">
        <v>215</v>
      </c>
      <c r="E816" s="39">
        <v>45420</v>
      </c>
      <c r="F816" s="3" t="s">
        <v>186</v>
      </c>
      <c r="G816" s="3" t="s">
        <v>107</v>
      </c>
      <c r="H816" s="3">
        <v>2010</v>
      </c>
      <c r="I816" s="40" t="str">
        <f t="shared" si="11"/>
        <v>U14</v>
      </c>
      <c r="J816" s="40" t="s">
        <v>109</v>
      </c>
      <c r="K816" s="3"/>
      <c r="L816" s="3"/>
      <c r="M816" s="3"/>
      <c r="N816" s="3"/>
      <c r="O816" s="3"/>
      <c r="P816" s="3"/>
      <c r="Q816" s="3"/>
      <c r="R816" s="3"/>
      <c r="S816" s="3"/>
      <c r="T816" s="42"/>
      <c r="U816" s="188"/>
      <c r="V816" s="199"/>
      <c r="W816" s="73"/>
      <c r="X816" s="43"/>
      <c r="Y816" s="192"/>
      <c r="Z816" s="3"/>
      <c r="AA816" s="192"/>
      <c r="AB816" s="3"/>
      <c r="AC816" s="3"/>
      <c r="AD816" s="3"/>
      <c r="AE816" s="3"/>
      <c r="AF816" s="3"/>
      <c r="AG816" s="3"/>
      <c r="AH816" s="194"/>
      <c r="AI816" s="193"/>
      <c r="AJ816" s="194"/>
      <c r="AK816" s="130"/>
      <c r="AL816" s="203">
        <v>10.02</v>
      </c>
      <c r="AM816" s="203">
        <v>9.83</v>
      </c>
      <c r="AN816" s="3">
        <v>9.99</v>
      </c>
      <c r="AO816" s="3">
        <v>9.99</v>
      </c>
      <c r="AP816" s="137">
        <f>MIN(AQ816:AR816)</f>
        <v>9.83</v>
      </c>
      <c r="AQ816" s="132">
        <v>9.83</v>
      </c>
      <c r="AR816" s="132">
        <v>9.99</v>
      </c>
      <c r="AS816" s="3"/>
      <c r="AT816" s="3"/>
      <c r="AU816" s="3"/>
      <c r="AV816" s="3"/>
      <c r="AW816" s="192"/>
      <c r="AX816" s="133"/>
      <c r="AY816" s="195"/>
      <c r="AZ816" s="40"/>
      <c r="BA816" s="40"/>
      <c r="BB816" s="40"/>
      <c r="BC816" s="40"/>
      <c r="BD816" s="135"/>
      <c r="BE816" s="135"/>
      <c r="BF816" s="40"/>
      <c r="BG816" s="135"/>
      <c r="BH816" s="135"/>
      <c r="BI816" s="49"/>
      <c r="BJ816" s="49"/>
      <c r="BK816" s="66"/>
      <c r="BL816" s="66"/>
      <c r="BM816" s="51"/>
      <c r="BN816" s="51"/>
      <c r="BO816" s="136"/>
      <c r="BP816" s="40"/>
      <c r="BQ816" s="40"/>
      <c r="BR816" s="67"/>
      <c r="BS816" s="54"/>
      <c r="BT816" s="3"/>
      <c r="BU816" s="3"/>
      <c r="BV816" s="3"/>
      <c r="BW816" s="3"/>
      <c r="BX816" s="70"/>
      <c r="BY816" s="70"/>
      <c r="BZ816" s="59"/>
      <c r="CA816" s="59"/>
      <c r="CB816" s="59"/>
      <c r="CC816" s="59"/>
      <c r="CD816" s="60"/>
      <c r="CE816" s="60"/>
      <c r="CF816" s="61"/>
      <c r="CG816" s="61"/>
      <c r="CH816" s="61"/>
      <c r="CI816" s="41">
        <v>15.8</v>
      </c>
      <c r="CJ816" s="40">
        <f>VLOOKUP(CI816,$DB:$DC,2)</f>
        <v>1080</v>
      </c>
      <c r="CK816" s="3"/>
      <c r="CL816" s="62"/>
      <c r="CM816" s="63"/>
      <c r="CN816" s="3"/>
      <c r="CO816" s="3"/>
      <c r="CP816" s="41">
        <v>12.533333333333333</v>
      </c>
      <c r="CQ816" s="3"/>
      <c r="CR816" s="40"/>
      <c r="CS816" s="40"/>
      <c r="CT816" s="40"/>
      <c r="CU816" s="40"/>
      <c r="CV816" s="40"/>
      <c r="CW816" s="40"/>
      <c r="CX816" s="40"/>
      <c r="CY816" s="40"/>
    </row>
    <row r="817" spans="1:103" ht="18.95" customHeight="1">
      <c r="A817" s="3">
        <v>908</v>
      </c>
      <c r="B817" s="92" t="s">
        <v>199</v>
      </c>
      <c r="C817" s="3"/>
      <c r="D817" s="202" t="s">
        <v>215</v>
      </c>
      <c r="E817" s="39">
        <v>45420</v>
      </c>
      <c r="F817" s="3" t="s">
        <v>186</v>
      </c>
      <c r="G817" s="3" t="s">
        <v>107</v>
      </c>
      <c r="H817" s="3">
        <v>2010</v>
      </c>
      <c r="I817" s="40" t="str">
        <f t="shared" si="11"/>
        <v>U14</v>
      </c>
      <c r="J817" s="40" t="s">
        <v>109</v>
      </c>
      <c r="K817" s="3"/>
      <c r="L817" s="3"/>
      <c r="M817" s="3"/>
      <c r="N817" s="3"/>
      <c r="O817" s="3"/>
      <c r="P817" s="3"/>
      <c r="Q817" s="3"/>
      <c r="R817" s="3"/>
      <c r="S817" s="3"/>
      <c r="T817" s="42"/>
      <c r="U817" s="188"/>
      <c r="V817" s="199"/>
      <c r="W817" s="73"/>
      <c r="X817" s="43"/>
      <c r="Y817" s="192"/>
      <c r="Z817" s="3"/>
      <c r="AA817" s="192"/>
      <c r="AB817" s="3"/>
      <c r="AC817" s="3"/>
      <c r="AD817" s="3"/>
      <c r="AE817" s="3"/>
      <c r="AF817" s="3"/>
      <c r="AG817" s="3"/>
      <c r="AH817" s="194"/>
      <c r="AI817" s="193"/>
      <c r="AJ817" s="194"/>
      <c r="AK817" s="130"/>
      <c r="AL817" s="203"/>
      <c r="AM817" s="203"/>
      <c r="AN817" s="3"/>
      <c r="AO817" s="3"/>
      <c r="AP817" s="137"/>
      <c r="AQ817" s="132"/>
      <c r="AR817" s="132"/>
      <c r="AS817" s="3"/>
      <c r="AT817" s="3"/>
      <c r="AU817" s="3"/>
      <c r="AV817" s="3"/>
      <c r="AW817" s="192"/>
      <c r="AX817" s="133"/>
      <c r="AY817" s="195"/>
      <c r="AZ817" s="40"/>
      <c r="BA817" s="40"/>
      <c r="BB817" s="40"/>
      <c r="BC817" s="40"/>
      <c r="BD817" s="135"/>
      <c r="BE817" s="135"/>
      <c r="BF817" s="40"/>
      <c r="BG817" s="135"/>
      <c r="BH817" s="135"/>
      <c r="BI817" s="49"/>
      <c r="BJ817" s="49"/>
      <c r="BK817" s="66"/>
      <c r="BL817" s="66"/>
      <c r="BM817" s="51"/>
      <c r="BN817" s="51"/>
      <c r="BO817" s="136"/>
      <c r="BP817" s="40"/>
      <c r="BQ817" s="40"/>
      <c r="BR817" s="67"/>
      <c r="BS817" s="54"/>
      <c r="BT817" s="3"/>
      <c r="BU817" s="3"/>
      <c r="BV817" s="3"/>
      <c r="BW817" s="3"/>
      <c r="BX817" s="70"/>
      <c r="BY817" s="70"/>
      <c r="BZ817" s="59"/>
      <c r="CA817" s="59"/>
      <c r="CB817" s="59"/>
      <c r="CC817" s="59"/>
      <c r="CD817" s="60"/>
      <c r="CE817" s="60"/>
      <c r="CF817" s="61"/>
      <c r="CG817" s="61"/>
      <c r="CH817" s="61"/>
      <c r="CI817" s="41"/>
      <c r="CJ817" s="40"/>
      <c r="CK817" s="3"/>
      <c r="CL817" s="62"/>
      <c r="CM817" s="63"/>
      <c r="CN817" s="3"/>
      <c r="CO817" s="3"/>
      <c r="CP817" s="41"/>
      <c r="CQ817" s="3"/>
      <c r="CR817" s="40"/>
      <c r="CS817" s="40"/>
      <c r="CT817" s="40"/>
      <c r="CU817" s="40"/>
      <c r="CV817" s="40"/>
      <c r="CW817" s="40"/>
      <c r="CX817" s="40"/>
      <c r="CY817" s="40"/>
    </row>
    <row r="818" spans="1:103" ht="18.95" customHeight="1">
      <c r="A818" s="3">
        <v>909</v>
      </c>
      <c r="B818" s="92" t="s">
        <v>199</v>
      </c>
      <c r="C818" s="3" t="s">
        <v>104</v>
      </c>
      <c r="D818" s="202" t="s">
        <v>215</v>
      </c>
      <c r="E818" s="39">
        <v>45420</v>
      </c>
      <c r="F818" s="3" t="s">
        <v>186</v>
      </c>
      <c r="G818" s="3" t="s">
        <v>107</v>
      </c>
      <c r="H818" s="3">
        <v>2010</v>
      </c>
      <c r="I818" s="40" t="str">
        <f t="shared" si="11"/>
        <v>U14</v>
      </c>
      <c r="J818" s="40" t="s">
        <v>109</v>
      </c>
      <c r="K818" s="3"/>
      <c r="L818" s="3"/>
      <c r="M818" s="3"/>
      <c r="N818" s="3"/>
      <c r="O818" s="3"/>
      <c r="P818" s="3"/>
      <c r="Q818" s="3"/>
      <c r="R818" s="3"/>
      <c r="S818" s="3"/>
      <c r="T818" s="42"/>
      <c r="U818" s="188"/>
      <c r="V818" s="199"/>
      <c r="W818" s="73"/>
      <c r="X818" s="43"/>
      <c r="Y818" s="192"/>
      <c r="Z818" s="3"/>
      <c r="AA818" s="192"/>
      <c r="AB818" s="3"/>
      <c r="AC818" s="3"/>
      <c r="AD818" s="3"/>
      <c r="AE818" s="3"/>
      <c r="AF818" s="3"/>
      <c r="AG818" s="3"/>
      <c r="AH818" s="194"/>
      <c r="AI818" s="193"/>
      <c r="AJ818" s="194"/>
      <c r="AK818" s="130"/>
      <c r="AL818" s="203"/>
      <c r="AM818" s="203"/>
      <c r="AN818" s="3"/>
      <c r="AO818" s="3"/>
      <c r="AP818" s="137"/>
      <c r="AQ818" s="132"/>
      <c r="AR818" s="132"/>
      <c r="AS818" s="3"/>
      <c r="AT818" s="3"/>
      <c r="AU818" s="3"/>
      <c r="AV818" s="3"/>
      <c r="AW818" s="192"/>
      <c r="AX818" s="133"/>
      <c r="AY818" s="195"/>
      <c r="AZ818" s="40"/>
      <c r="BA818" s="40"/>
      <c r="BB818" s="40"/>
      <c r="BC818" s="40"/>
      <c r="BD818" s="135"/>
      <c r="BE818" s="135"/>
      <c r="BF818" s="40"/>
      <c r="BG818" s="135"/>
      <c r="BH818" s="135"/>
      <c r="BI818" s="49"/>
      <c r="BJ818" s="49"/>
      <c r="BK818" s="66"/>
      <c r="BL818" s="66"/>
      <c r="BM818" s="51"/>
      <c r="BN818" s="51"/>
      <c r="BO818" s="136"/>
      <c r="BP818" s="40"/>
      <c r="BQ818" s="40"/>
      <c r="BR818" s="67"/>
      <c r="BS818" s="54"/>
      <c r="BT818" s="3"/>
      <c r="BU818" s="3"/>
      <c r="BV818" s="3"/>
      <c r="BW818" s="3"/>
      <c r="BX818" s="70"/>
      <c r="BY818" s="70"/>
      <c r="BZ818" s="59"/>
      <c r="CA818" s="59"/>
      <c r="CB818" s="59"/>
      <c r="CC818" s="59"/>
      <c r="CD818" s="60"/>
      <c r="CE818" s="60"/>
      <c r="CF818" s="61"/>
      <c r="CG818" s="61"/>
      <c r="CH818" s="61"/>
      <c r="CI818" s="41"/>
      <c r="CJ818" s="40"/>
      <c r="CK818" s="3"/>
      <c r="CL818" s="62"/>
      <c r="CM818" s="63"/>
      <c r="CN818" s="3"/>
      <c r="CO818" s="3"/>
      <c r="CP818" s="41">
        <v>12.622222222222222</v>
      </c>
      <c r="CQ818" s="3"/>
      <c r="CR818" s="40"/>
      <c r="CS818" s="40"/>
      <c r="CT818" s="40"/>
      <c r="CU818" s="40"/>
      <c r="CV818" s="40"/>
      <c r="CW818" s="40"/>
      <c r="CX818" s="40"/>
      <c r="CY818" s="40"/>
    </row>
    <row r="819" spans="1:103" ht="18.75">
      <c r="A819" s="3">
        <v>910</v>
      </c>
      <c r="B819" s="92" t="s">
        <v>199</v>
      </c>
      <c r="C819" s="3" t="s">
        <v>104</v>
      </c>
      <c r="D819" s="202" t="s">
        <v>215</v>
      </c>
      <c r="E819" s="39">
        <v>45420</v>
      </c>
      <c r="F819" s="3" t="s">
        <v>186</v>
      </c>
      <c r="G819" s="3" t="s">
        <v>107</v>
      </c>
      <c r="H819" s="3">
        <v>2010</v>
      </c>
      <c r="I819" s="40" t="str">
        <f t="shared" si="11"/>
        <v>U14</v>
      </c>
      <c r="J819" s="40" t="s">
        <v>109</v>
      </c>
      <c r="K819" s="3">
        <v>165</v>
      </c>
      <c r="L819" s="3">
        <v>165</v>
      </c>
      <c r="M819" s="3"/>
      <c r="N819" s="3">
        <v>156.1</v>
      </c>
      <c r="O819" s="3">
        <v>156.1</v>
      </c>
      <c r="P819" s="3"/>
      <c r="Q819" s="3">
        <v>64.900000000000006</v>
      </c>
      <c r="R819" s="3">
        <v>64.900000000000006</v>
      </c>
      <c r="S819" s="3"/>
      <c r="T819" s="42">
        <v>165</v>
      </c>
      <c r="U819" s="188" cm="1">
        <f t="array" ref="U819">AVERAGE(paper3[[#This Row],[Sittende høyde 1]:[Sittende høyde 2]]-70.2)</f>
        <v>85.899999999999991</v>
      </c>
      <c r="V819" s="12">
        <f>paper3[[#This Row],[height]]-paper3[[#This Row],[sittingheight]]</f>
        <v>79.100000000000009</v>
      </c>
      <c r="W819" s="73">
        <v>64.900000000000006</v>
      </c>
      <c r="X819" s="43" cm="1">
        <f t="array" ref="X819">INDEX([1]!phvny[yphv], MATCH(1, (paper3[[#This Row],[id]]=[1]!phvny[id])*(paper3[[#This Row],[time]]=[1]!phvny[time]), 0))</f>
        <v>1.8638446849444437</v>
      </c>
      <c r="Y819" s="192"/>
      <c r="Z819" s="3"/>
      <c r="AA819" s="192"/>
      <c r="AB819" s="3"/>
      <c r="AC819" s="3"/>
      <c r="AD819" s="3"/>
      <c r="AE819" s="3"/>
      <c r="AF819" s="3"/>
      <c r="AG819" s="3"/>
      <c r="AH819" s="194"/>
      <c r="AI819" s="193"/>
      <c r="AJ819" s="194"/>
      <c r="AK819" s="130"/>
      <c r="AL819" s="203">
        <v>10.82</v>
      </c>
      <c r="AM819" s="203">
        <v>10.78</v>
      </c>
      <c r="AN819" s="3">
        <v>10.97</v>
      </c>
      <c r="AO819" s="3">
        <v>10.65</v>
      </c>
      <c r="AP819" s="137">
        <f>MIN(AQ819:AR819)</f>
        <v>10.65</v>
      </c>
      <c r="AQ819" s="132">
        <v>10.78</v>
      </c>
      <c r="AR819" s="132">
        <v>10.65</v>
      </c>
      <c r="AS819" s="3"/>
      <c r="AT819" s="3"/>
      <c r="AU819" s="3"/>
      <c r="AV819" s="3"/>
      <c r="AW819" s="192"/>
      <c r="AX819" s="133">
        <v>19.2</v>
      </c>
      <c r="AY819" s="195" t="s">
        <v>247</v>
      </c>
      <c r="AZ819" s="40">
        <v>9</v>
      </c>
      <c r="BA819" s="40"/>
      <c r="BB819" s="40"/>
      <c r="BC819" s="40"/>
      <c r="BD819" s="135">
        <v>1250.8244209604773</v>
      </c>
      <c r="BE819" s="135">
        <v>1247.322813854903</v>
      </c>
      <c r="BF819" s="40"/>
      <c r="BG819" s="135">
        <v>345.2771159872118</v>
      </c>
      <c r="BH819" s="135">
        <v>362.56165899257775</v>
      </c>
      <c r="BI819" s="49">
        <f>IFERROR(SUM(paper3[[#This Row],[Kraft ikke-dominant]:[Kraft dominant]]),"")</f>
        <v>2498.1472348153802</v>
      </c>
      <c r="BJ819" s="49">
        <f>IFERROR(SUM(paper3[[#This Row],[Pwr ikke-dominant]:[Pwr dominant]]),"")</f>
        <v>707.8387749797896</v>
      </c>
      <c r="BK819" s="66"/>
      <c r="BL819" s="66"/>
      <c r="BM819" s="51">
        <f>IFERROR(paper3[[#This Row],[totforce]]/paper3[[#This Row],[bodymass]],"")</f>
        <v>38.49225323290262</v>
      </c>
      <c r="BN819" s="51">
        <f>IFERROR(paper3[[#This Row],[totpwr]]/paper3[[#This Row],[bodymass]],"")</f>
        <v>10.906606702308006</v>
      </c>
      <c r="BO819" s="136"/>
      <c r="BP819" s="40"/>
      <c r="BQ819" s="40"/>
      <c r="BR819" s="67"/>
      <c r="BS819" s="54"/>
      <c r="BT819" s="3"/>
      <c r="BU819" s="3"/>
      <c r="BV819" s="3"/>
      <c r="BW819" s="3"/>
      <c r="BX819" s="70"/>
      <c r="BY819" s="70"/>
      <c r="BZ819" s="59"/>
      <c r="CA819" s="59"/>
      <c r="CB819" s="59"/>
      <c r="CC819" s="59"/>
      <c r="CD819" s="60"/>
      <c r="CE819" s="60"/>
      <c r="CF819" s="61"/>
      <c r="CG819" s="61"/>
      <c r="CH819" s="61"/>
      <c r="CI819" s="41">
        <v>13.2</v>
      </c>
      <c r="CJ819" s="40">
        <f>VLOOKUP(CI819,$DB:$DC,2)</f>
        <v>360</v>
      </c>
      <c r="CK819" s="3"/>
      <c r="CL819" s="62"/>
      <c r="CM819" s="63"/>
      <c r="CN819" s="3"/>
      <c r="CO819" s="3"/>
      <c r="CP819" s="41">
        <v>12.866666666666667</v>
      </c>
      <c r="CQ819" s="3"/>
      <c r="CR819" s="40"/>
      <c r="CS819" s="40"/>
      <c r="CT819" s="40"/>
      <c r="CU819" s="40"/>
      <c r="CV819" s="40"/>
      <c r="CW819" s="40"/>
      <c r="CX819" s="40"/>
      <c r="CY819" s="40"/>
    </row>
    <row r="820" spans="1:103" ht="18.95" customHeight="1">
      <c r="A820" s="3">
        <v>911</v>
      </c>
      <c r="B820" s="92" t="s">
        <v>199</v>
      </c>
      <c r="C820" s="3" t="s">
        <v>104</v>
      </c>
      <c r="D820" s="202" t="s">
        <v>215</v>
      </c>
      <c r="E820" s="39">
        <v>45420</v>
      </c>
      <c r="F820" s="3" t="s">
        <v>186</v>
      </c>
      <c r="G820" s="3" t="s">
        <v>107</v>
      </c>
      <c r="H820" s="3">
        <v>2010</v>
      </c>
      <c r="I820" s="40" t="str">
        <f t="shared" si="11"/>
        <v>U14</v>
      </c>
      <c r="J820" s="40" t="s">
        <v>109</v>
      </c>
      <c r="K820" s="3"/>
      <c r="L820" s="3"/>
      <c r="M820" s="3"/>
      <c r="N820" s="3"/>
      <c r="O820" s="3"/>
      <c r="P820" s="3"/>
      <c r="Q820" s="3"/>
      <c r="R820" s="3"/>
      <c r="S820" s="3"/>
      <c r="T820" s="42"/>
      <c r="U820" s="188"/>
      <c r="V820" s="199"/>
      <c r="W820" s="73"/>
      <c r="X820" s="43"/>
      <c r="Y820" s="192"/>
      <c r="Z820" s="3"/>
      <c r="AA820" s="192"/>
      <c r="AB820" s="3"/>
      <c r="AC820" s="3"/>
      <c r="AD820" s="3"/>
      <c r="AE820" s="3"/>
      <c r="AF820" s="3"/>
      <c r="AG820" s="3"/>
      <c r="AH820" s="194"/>
      <c r="AI820" s="193"/>
      <c r="AJ820" s="194"/>
      <c r="AK820" s="130"/>
      <c r="AL820" s="203"/>
      <c r="AM820" s="203"/>
      <c r="AN820" s="3"/>
      <c r="AO820" s="3"/>
      <c r="AP820" s="137"/>
      <c r="AQ820" s="132"/>
      <c r="AR820" s="132"/>
      <c r="AS820" s="3"/>
      <c r="AT820" s="3"/>
      <c r="AU820" s="3"/>
      <c r="AV820" s="3"/>
      <c r="AW820" s="192"/>
      <c r="AX820" s="133"/>
      <c r="AY820" s="195"/>
      <c r="AZ820" s="40"/>
      <c r="BA820" s="40"/>
      <c r="BB820" s="40"/>
      <c r="BC820" s="40"/>
      <c r="BD820" s="135"/>
      <c r="BE820" s="135"/>
      <c r="BF820" s="40"/>
      <c r="BG820" s="135"/>
      <c r="BH820" s="135"/>
      <c r="BI820" s="49"/>
      <c r="BJ820" s="49"/>
      <c r="BK820" s="66"/>
      <c r="BL820" s="66"/>
      <c r="BM820" s="51"/>
      <c r="BN820" s="51"/>
      <c r="BO820" s="136"/>
      <c r="BP820" s="40"/>
      <c r="BQ820" s="40"/>
      <c r="BR820" s="67"/>
      <c r="BS820" s="54"/>
      <c r="BT820" s="3"/>
      <c r="BU820" s="3"/>
      <c r="BV820" s="3"/>
      <c r="BW820" s="3"/>
      <c r="BX820" s="70"/>
      <c r="BY820" s="70"/>
      <c r="BZ820" s="59"/>
      <c r="CA820" s="59"/>
      <c r="CB820" s="59"/>
      <c r="CC820" s="59"/>
      <c r="CD820" s="60"/>
      <c r="CE820" s="60"/>
      <c r="CF820" s="61"/>
      <c r="CG820" s="61"/>
      <c r="CH820" s="61"/>
      <c r="CI820" s="41"/>
      <c r="CJ820" s="40"/>
      <c r="CK820" s="3"/>
      <c r="CL820" s="62"/>
      <c r="CM820" s="63"/>
      <c r="CN820" s="3"/>
      <c r="CO820" s="3"/>
      <c r="CP820" s="41"/>
      <c r="CQ820" s="3"/>
      <c r="CR820" s="40"/>
      <c r="CS820" s="40"/>
      <c r="CT820" s="40"/>
      <c r="CU820" s="40"/>
      <c r="CV820" s="40"/>
      <c r="CW820" s="40"/>
      <c r="CX820" s="40"/>
      <c r="CY820" s="40"/>
    </row>
    <row r="821" spans="1:103" ht="18.95" customHeight="1">
      <c r="A821" s="3">
        <v>912</v>
      </c>
      <c r="B821" s="92" t="s">
        <v>199</v>
      </c>
      <c r="C821" s="3"/>
      <c r="D821" s="202" t="s">
        <v>215</v>
      </c>
      <c r="E821" s="39">
        <v>45420</v>
      </c>
      <c r="F821" s="3" t="s">
        <v>186</v>
      </c>
      <c r="G821" s="3" t="s">
        <v>107</v>
      </c>
      <c r="H821" s="3">
        <v>2010</v>
      </c>
      <c r="I821" s="40" t="str">
        <f t="shared" si="11"/>
        <v>U14</v>
      </c>
      <c r="J821" s="40" t="s">
        <v>109</v>
      </c>
      <c r="K821" s="3">
        <v>164</v>
      </c>
      <c r="L821" s="3">
        <v>164</v>
      </c>
      <c r="M821" s="3"/>
      <c r="N821" s="3">
        <v>157.19999999999999</v>
      </c>
      <c r="O821" s="3">
        <v>157.19999999999999</v>
      </c>
      <c r="P821" s="3"/>
      <c r="Q821" s="3">
        <v>55.8</v>
      </c>
      <c r="R821" s="3">
        <v>55.8</v>
      </c>
      <c r="S821" s="3"/>
      <c r="T821" s="42">
        <v>164</v>
      </c>
      <c r="U821" s="188" cm="1">
        <f t="array" ref="U821">AVERAGE(paper3[[#This Row],[Sittende høyde 1]:[Sittende høyde 2]]-70.2)</f>
        <v>86.999999999999986</v>
      </c>
      <c r="V821" s="12">
        <f>paper3[[#This Row],[height]]-paper3[[#This Row],[sittingheight]]</f>
        <v>77.000000000000014</v>
      </c>
      <c r="W821" s="73">
        <v>55.8</v>
      </c>
      <c r="X821" s="43" cm="1">
        <f t="array" ref="X821">INDEX([1]!phvny[yphv], MATCH(1, (paper3[[#This Row],[id]]=[1]!phvny[id])*(paper3[[#This Row],[time]]=[1]!phvny[time]), 0))</f>
        <v>1.9088162603523022</v>
      </c>
      <c r="Y821" s="192"/>
      <c r="Z821" s="3"/>
      <c r="AA821" s="192"/>
      <c r="AB821" s="3">
        <v>1.754</v>
      </c>
      <c r="AC821" s="3">
        <v>3.2469999999999999</v>
      </c>
      <c r="AD821" s="3">
        <v>4.7439999999999998</v>
      </c>
      <c r="AE821" s="3">
        <v>1.804</v>
      </c>
      <c r="AF821" s="3">
        <v>3.3620000000000001</v>
      </c>
      <c r="AG821" s="3">
        <v>4.8460000000000001</v>
      </c>
      <c r="AH821" s="194">
        <v>1.754</v>
      </c>
      <c r="AI821" s="193">
        <v>3.2469999999999999</v>
      </c>
      <c r="AJ821" s="194">
        <v>4.7439999999999998</v>
      </c>
      <c r="AK821" s="130"/>
      <c r="AL821" s="203">
        <v>10.41</v>
      </c>
      <c r="AM821" s="203">
        <v>10.48</v>
      </c>
      <c r="AN821" s="3">
        <v>10.48</v>
      </c>
      <c r="AO821" s="3">
        <v>10.53</v>
      </c>
      <c r="AP821" s="137">
        <f>MIN(AQ821:AR821)</f>
        <v>10.41</v>
      </c>
      <c r="AQ821" s="132">
        <v>10.41</v>
      </c>
      <c r="AR821" s="132">
        <v>10.48</v>
      </c>
      <c r="AS821" s="3"/>
      <c r="AT821" s="3"/>
      <c r="AU821" s="3"/>
      <c r="AV821" s="3"/>
      <c r="AW821" s="192"/>
      <c r="AX821" s="133">
        <v>20.5</v>
      </c>
      <c r="AY821" s="195" t="s">
        <v>247</v>
      </c>
      <c r="AZ821" s="40">
        <v>9</v>
      </c>
      <c r="BA821" s="40"/>
      <c r="BB821" s="40"/>
      <c r="BC821" s="40"/>
      <c r="BD821" s="135">
        <v>1110.059295980509</v>
      </c>
      <c r="BE821" s="135">
        <v>1273.7899631693488</v>
      </c>
      <c r="BF821" s="40"/>
      <c r="BG821" s="135">
        <v>401.61574028833019</v>
      </c>
      <c r="BH821" s="135">
        <v>383.67557631358886</v>
      </c>
      <c r="BI821" s="49"/>
      <c r="BJ821" s="49">
        <f>IFERROR(SUM(paper3[[#This Row],[Pwr ikke-dominant]:[Pwr dominant]]),"")</f>
        <v>785.29131660191911</v>
      </c>
      <c r="BK821" s="66"/>
      <c r="BL821" s="66"/>
      <c r="BM821" s="51"/>
      <c r="BN821" s="51">
        <f>IFERROR(paper3[[#This Row],[totpwr]]/paper3[[#This Row],[bodymass]],"")</f>
        <v>14.073321086055898</v>
      </c>
      <c r="BO821" s="136"/>
      <c r="BP821" s="40"/>
      <c r="BQ821" s="40"/>
      <c r="BR821" s="67"/>
      <c r="BS821" s="54"/>
      <c r="BT821" s="3"/>
      <c r="BU821" s="3"/>
      <c r="BV821" s="3"/>
      <c r="BW821" s="3"/>
      <c r="BX821" s="70"/>
      <c r="BY821" s="70"/>
      <c r="BZ821" s="59"/>
      <c r="CA821" s="59"/>
      <c r="CB821" s="59"/>
      <c r="CC821" s="59"/>
      <c r="CD821" s="60"/>
      <c r="CE821" s="60"/>
      <c r="CF821" s="61"/>
      <c r="CG821" s="61"/>
      <c r="CH821" s="61"/>
      <c r="CI821" s="41">
        <v>14.3</v>
      </c>
      <c r="CJ821" s="40">
        <f>VLOOKUP(CI821,$DB:$DC,2)</f>
        <v>560</v>
      </c>
      <c r="CK821" s="3"/>
      <c r="CL821" s="62"/>
      <c r="CM821" s="63"/>
      <c r="CN821" s="3"/>
      <c r="CO821" s="3"/>
      <c r="CP821" s="41">
        <v>13.080555555555556</v>
      </c>
      <c r="CQ821" s="3"/>
      <c r="CR821" s="40"/>
      <c r="CS821" s="40"/>
      <c r="CT821" s="40"/>
      <c r="CU821" s="40"/>
      <c r="CV821" s="40"/>
      <c r="CW821" s="40"/>
      <c r="CX821" s="40"/>
      <c r="CY821" s="40"/>
    </row>
    <row r="822" spans="1:103" ht="18.95" customHeight="1">
      <c r="A822" s="3">
        <v>913</v>
      </c>
      <c r="B822" s="92" t="s">
        <v>199</v>
      </c>
      <c r="C822" s="3" t="s">
        <v>104</v>
      </c>
      <c r="D822" s="202" t="s">
        <v>215</v>
      </c>
      <c r="E822" s="39">
        <v>45420</v>
      </c>
      <c r="F822" s="3" t="s">
        <v>186</v>
      </c>
      <c r="G822" s="3" t="s">
        <v>107</v>
      </c>
      <c r="H822" s="3">
        <v>2010</v>
      </c>
      <c r="I822" s="40" t="str">
        <f t="shared" si="11"/>
        <v>U14</v>
      </c>
      <c r="J822" s="40" t="s">
        <v>109</v>
      </c>
      <c r="K822" s="3">
        <v>171.5</v>
      </c>
      <c r="L822" s="3">
        <v>171.3</v>
      </c>
      <c r="M822" s="3"/>
      <c r="N822" s="3">
        <v>160.19999999999999</v>
      </c>
      <c r="O822" s="3">
        <v>160.1</v>
      </c>
      <c r="P822" s="3"/>
      <c r="Q822" s="3">
        <v>64.900000000000006</v>
      </c>
      <c r="R822" s="3">
        <v>64.900000000000006</v>
      </c>
      <c r="S822" s="3"/>
      <c r="T822" s="42">
        <v>171.4</v>
      </c>
      <c r="U822" s="188" cm="1">
        <f t="array" ref="U822">AVERAGE(paper3[[#This Row],[Sittende høyde 1]:[Sittende høyde 2]]-70.2)</f>
        <v>89.949999999999989</v>
      </c>
      <c r="V822" s="12">
        <f>paper3[[#This Row],[height]]-paper3[[#This Row],[sittingheight]]</f>
        <v>81.450000000000017</v>
      </c>
      <c r="W822" s="73">
        <v>64.900000000000006</v>
      </c>
      <c r="X822" s="43" cm="1">
        <f t="array" ref="X822">INDEX([1]!phvny[yphv], MATCH(1, (paper3[[#This Row],[id]]=[1]!phvny[id])*(paper3[[#This Row],[time]]=[1]!phvny[time]), 0))</f>
        <v>2.4225756329285284</v>
      </c>
      <c r="Y822" s="192">
        <v>1.875</v>
      </c>
      <c r="Z822" s="3">
        <v>3.4630000000000001</v>
      </c>
      <c r="AA822" s="192">
        <v>4.9969999999999999</v>
      </c>
      <c r="AB822" s="3">
        <v>1.9259999999999999</v>
      </c>
      <c r="AC822" s="3">
        <v>3.5409999999999999</v>
      </c>
      <c r="AD822" s="3">
        <v>5.0890000000000004</v>
      </c>
      <c r="AE822" s="3">
        <v>1.9330000000000001</v>
      </c>
      <c r="AF822" s="3">
        <v>3.5630000000000002</v>
      </c>
      <c r="AG822" s="3">
        <v>5.1269999999999998</v>
      </c>
      <c r="AH822" s="194">
        <v>1.875</v>
      </c>
      <c r="AI822" s="193">
        <v>3.4630000000000001</v>
      </c>
      <c r="AJ822" s="194">
        <v>4.9969999999999999</v>
      </c>
      <c r="AK822" s="130"/>
      <c r="AL822" s="203"/>
      <c r="AM822" s="203"/>
      <c r="AN822" s="3"/>
      <c r="AO822" s="3"/>
      <c r="AP822" s="137"/>
      <c r="AQ822" s="132"/>
      <c r="AR822" s="132"/>
      <c r="AS822" s="3"/>
      <c r="AT822" s="3"/>
      <c r="AU822" s="3"/>
      <c r="AV822" s="3"/>
      <c r="AW822" s="192"/>
      <c r="AX822" s="133">
        <v>19</v>
      </c>
      <c r="AY822" s="195" t="s">
        <v>255</v>
      </c>
      <c r="AZ822" s="40">
        <v>10</v>
      </c>
      <c r="BA822" s="40"/>
      <c r="BB822" s="40"/>
      <c r="BC822" s="40"/>
      <c r="BD822" s="135">
        <v>1266.0820604326514</v>
      </c>
      <c r="BE822" s="135">
        <v>1308.06218157803</v>
      </c>
      <c r="BF822" s="40"/>
      <c r="BG822" s="135">
        <v>360.36063776486128</v>
      </c>
      <c r="BH822" s="135">
        <v>368.36298065456668</v>
      </c>
      <c r="BI822" s="49"/>
      <c r="BJ822" s="49">
        <f>IFERROR(SUM(paper3[[#This Row],[Pwr ikke-dominant]:[Pwr dominant]]),"")</f>
        <v>728.72361841942802</v>
      </c>
      <c r="BK822" s="66"/>
      <c r="BL822" s="66"/>
      <c r="BM822" s="51"/>
      <c r="BN822" s="51">
        <f>IFERROR(paper3[[#This Row],[totpwr]]/paper3[[#This Row],[bodymass]],"")</f>
        <v>11.228407063473465</v>
      </c>
      <c r="BO822" s="136"/>
      <c r="BP822" s="40"/>
      <c r="BQ822" s="40"/>
      <c r="BR822" s="67"/>
      <c r="BS822" s="54"/>
      <c r="BT822" s="3"/>
      <c r="BU822" s="3"/>
      <c r="BV822" s="3"/>
      <c r="BW822" s="3"/>
      <c r="BX822" s="70"/>
      <c r="BY822" s="70"/>
      <c r="BZ822" s="59"/>
      <c r="CA822" s="59"/>
      <c r="CB822" s="59"/>
      <c r="CC822" s="59"/>
      <c r="CD822" s="60"/>
      <c r="CE822" s="60"/>
      <c r="CF822" s="61"/>
      <c r="CG822" s="61"/>
      <c r="CH822" s="61"/>
      <c r="CI822" s="41"/>
      <c r="CJ822" s="40"/>
      <c r="CK822" s="3"/>
      <c r="CL822" s="62"/>
      <c r="CM822" s="63"/>
      <c r="CN822" s="3"/>
      <c r="CO822" s="3"/>
      <c r="CP822" s="41">
        <v>13.194444444444445</v>
      </c>
      <c r="CQ822" s="3"/>
      <c r="CR822" s="40"/>
      <c r="CS822" s="40"/>
      <c r="CT822" s="40"/>
      <c r="CU822" s="40"/>
      <c r="CV822" s="40"/>
      <c r="CW822" s="40"/>
      <c r="CX822" s="40"/>
      <c r="CY822" s="40"/>
    </row>
    <row r="823" spans="1:103" ht="18.95" customHeight="1">
      <c r="A823" s="3">
        <v>914</v>
      </c>
      <c r="B823" s="92" t="s">
        <v>199</v>
      </c>
      <c r="C823" s="3" t="s">
        <v>104</v>
      </c>
      <c r="D823" s="202" t="s">
        <v>215</v>
      </c>
      <c r="E823" s="39">
        <v>45420</v>
      </c>
      <c r="F823" s="3" t="s">
        <v>186</v>
      </c>
      <c r="G823" s="3" t="s">
        <v>107</v>
      </c>
      <c r="H823" s="3">
        <v>2010</v>
      </c>
      <c r="I823" s="40" t="str">
        <f t="shared" si="11"/>
        <v>U14</v>
      </c>
      <c r="J823" s="40" t="s">
        <v>109</v>
      </c>
      <c r="K823" s="3">
        <v>176</v>
      </c>
      <c r="L823" s="3">
        <v>176</v>
      </c>
      <c r="M823" s="3"/>
      <c r="N823" s="3">
        <v>160.5</v>
      </c>
      <c r="O823" s="3">
        <v>160.5</v>
      </c>
      <c r="P823" s="3"/>
      <c r="Q823" s="3">
        <v>51.9</v>
      </c>
      <c r="R823" s="3">
        <v>51.9</v>
      </c>
      <c r="S823" s="3"/>
      <c r="T823" s="42">
        <v>176</v>
      </c>
      <c r="U823" s="188" cm="1">
        <f t="array" ref="U823">AVERAGE(paper3[[#This Row],[Sittende høyde 1]:[Sittende høyde 2]]-70.2)</f>
        <v>90.3</v>
      </c>
      <c r="V823" s="12">
        <f>paper3[[#This Row],[height]]-paper3[[#This Row],[sittingheight]]</f>
        <v>85.7</v>
      </c>
      <c r="W823" s="73">
        <v>51.9</v>
      </c>
      <c r="X823" s="43" cm="1">
        <f t="array" ref="X823">INDEX([1]!phvny[yphv], MATCH(1, (paper3[[#This Row],[id]]=[1]!phvny[id])*(paper3[[#This Row],[time]]=[1]!phvny[time]), 0))</f>
        <v>2.1187008282878796</v>
      </c>
      <c r="Y823" s="192">
        <v>1.1319999999999999</v>
      </c>
      <c r="Z823" s="3">
        <v>2.637</v>
      </c>
      <c r="AA823" s="192">
        <v>4.0679999999999996</v>
      </c>
      <c r="AB823" s="3">
        <v>1.085</v>
      </c>
      <c r="AC823" s="3">
        <v>2.5590000000000002</v>
      </c>
      <c r="AD823" s="3">
        <v>4.0129999999999999</v>
      </c>
      <c r="AE823" s="3">
        <v>1.0349999999999999</v>
      </c>
      <c r="AF823" s="3">
        <v>2.5350000000000001</v>
      </c>
      <c r="AG823" s="3">
        <v>3.9849999999999999</v>
      </c>
      <c r="AH823" s="194"/>
      <c r="AI823" s="193"/>
      <c r="AJ823" s="194"/>
      <c r="AK823" s="130"/>
      <c r="AL823" s="203">
        <v>9.86</v>
      </c>
      <c r="AM823" s="203">
        <v>10.06</v>
      </c>
      <c r="AN823" s="3">
        <v>10.43</v>
      </c>
      <c r="AO823" s="3">
        <v>10.43</v>
      </c>
      <c r="AP823" s="137">
        <f>MIN(AQ823:AR823)</f>
        <v>9.86</v>
      </c>
      <c r="AQ823" s="132">
        <v>9.86</v>
      </c>
      <c r="AR823" s="132">
        <v>10.43</v>
      </c>
      <c r="AS823" s="3"/>
      <c r="AT823" s="3"/>
      <c r="AU823" s="3"/>
      <c r="AV823" s="3"/>
      <c r="AW823" s="192"/>
      <c r="AX823" s="133">
        <v>23.6</v>
      </c>
      <c r="AY823" s="195" t="s">
        <v>247</v>
      </c>
      <c r="AZ823" s="40">
        <v>9</v>
      </c>
      <c r="BA823" s="40"/>
      <c r="BB823" s="40"/>
      <c r="BC823" s="40"/>
      <c r="BD823" s="135">
        <v>758.59870404760113</v>
      </c>
      <c r="BE823" s="135">
        <v>826.00381708168948</v>
      </c>
      <c r="BF823" s="40"/>
      <c r="BG823" s="135">
        <v>241.14010578273121</v>
      </c>
      <c r="BH823" s="135">
        <v>249.21230704501016</v>
      </c>
      <c r="BI823" s="49">
        <f>IFERROR(SUM(paper3[[#This Row],[Kraft ikke-dominant]:[Kraft dominant]]),"")</f>
        <v>1584.6025211292906</v>
      </c>
      <c r="BJ823" s="49">
        <f>IFERROR(SUM(paper3[[#This Row],[Pwr ikke-dominant]:[Pwr dominant]]),"")</f>
        <v>490.35241282774138</v>
      </c>
      <c r="BK823" s="66"/>
      <c r="BL823" s="66"/>
      <c r="BM823" s="51">
        <f>IFERROR(paper3[[#This Row],[totforce]]/paper3[[#This Row],[bodymass]],"")</f>
        <v>30.531840484186716</v>
      </c>
      <c r="BN823" s="51">
        <f>IFERROR(paper3[[#This Row],[totpwr]]/paper3[[#This Row],[bodymass]],"")</f>
        <v>9.4480233685499311</v>
      </c>
      <c r="BO823" s="136"/>
      <c r="BP823" s="40"/>
      <c r="BQ823" s="40"/>
      <c r="BR823" s="67"/>
      <c r="BS823" s="54"/>
      <c r="BT823" s="3"/>
      <c r="BU823" s="3"/>
      <c r="BV823" s="3"/>
      <c r="BW823" s="3"/>
      <c r="BX823" s="70"/>
      <c r="BY823" s="70"/>
      <c r="BZ823" s="59"/>
      <c r="CA823" s="59"/>
      <c r="CB823" s="59"/>
      <c r="CC823" s="59"/>
      <c r="CD823" s="60"/>
      <c r="CE823" s="60"/>
      <c r="CF823" s="61"/>
      <c r="CG823" s="61"/>
      <c r="CH823" s="61"/>
      <c r="CI823" s="41">
        <v>14.2</v>
      </c>
      <c r="CJ823" s="40">
        <f>VLOOKUP(CI823,$DB:$DC,2)</f>
        <v>520</v>
      </c>
      <c r="CK823" s="3"/>
      <c r="CL823" s="62"/>
      <c r="CM823" s="63"/>
      <c r="CN823" s="3"/>
      <c r="CO823" s="3"/>
      <c r="CP823" s="41">
        <v>12.527777777777779</v>
      </c>
      <c r="CQ823" s="3"/>
      <c r="CR823" s="40"/>
      <c r="CS823" s="40"/>
      <c r="CT823" s="40"/>
      <c r="CU823" s="40"/>
      <c r="CV823" s="40"/>
      <c r="CW823" s="40"/>
      <c r="CX823" s="40"/>
      <c r="CY823" s="40"/>
    </row>
    <row r="824" spans="1:103" ht="18.95" customHeight="1">
      <c r="A824" s="3">
        <v>915</v>
      </c>
      <c r="B824" s="92" t="s">
        <v>199</v>
      </c>
      <c r="C824" s="3" t="s">
        <v>104</v>
      </c>
      <c r="D824" s="202" t="s">
        <v>215</v>
      </c>
      <c r="E824" s="39">
        <v>45420</v>
      </c>
      <c r="F824" s="3" t="s">
        <v>186</v>
      </c>
      <c r="G824" s="3" t="s">
        <v>107</v>
      </c>
      <c r="H824" s="3">
        <v>2010</v>
      </c>
      <c r="I824" s="40" t="str">
        <f t="shared" si="11"/>
        <v>U14</v>
      </c>
      <c r="J824" s="40" t="s">
        <v>109</v>
      </c>
      <c r="K824" s="3"/>
      <c r="L824" s="3"/>
      <c r="M824" s="3"/>
      <c r="N824" s="3"/>
      <c r="O824" s="3"/>
      <c r="P824" s="3"/>
      <c r="Q824" s="3"/>
      <c r="R824" s="3"/>
      <c r="S824" s="3"/>
      <c r="T824" s="42"/>
      <c r="U824" s="188"/>
      <c r="V824" s="199"/>
      <c r="W824" s="73"/>
      <c r="X824" s="43"/>
      <c r="Y824" s="192"/>
      <c r="Z824" s="3"/>
      <c r="AA824" s="192"/>
      <c r="AB824" s="3"/>
      <c r="AC824" s="3"/>
      <c r="AD824" s="3"/>
      <c r="AE824" s="3"/>
      <c r="AF824" s="3"/>
      <c r="AG824" s="3"/>
      <c r="AH824" s="194"/>
      <c r="AI824" s="193"/>
      <c r="AJ824" s="194"/>
      <c r="AK824" s="130"/>
      <c r="AL824" s="203"/>
      <c r="AM824" s="203"/>
      <c r="AN824" s="3"/>
      <c r="AO824" s="3"/>
      <c r="AP824" s="137"/>
      <c r="AQ824" s="132"/>
      <c r="AR824" s="132"/>
      <c r="AS824" s="3"/>
      <c r="AT824" s="3"/>
      <c r="AU824" s="3"/>
      <c r="AV824" s="3"/>
      <c r="AW824" s="192"/>
      <c r="AX824" s="133"/>
      <c r="AY824" s="195"/>
      <c r="AZ824" s="40"/>
      <c r="BA824" s="40"/>
      <c r="BB824" s="40"/>
      <c r="BC824" s="40"/>
      <c r="BD824" s="135"/>
      <c r="BE824" s="135"/>
      <c r="BF824" s="40"/>
      <c r="BG824" s="135"/>
      <c r="BH824" s="135"/>
      <c r="BI824" s="49"/>
      <c r="BJ824" s="49"/>
      <c r="BK824" s="66"/>
      <c r="BL824" s="66"/>
      <c r="BM824" s="51"/>
      <c r="BN824" s="51"/>
      <c r="BO824" s="136"/>
      <c r="BP824" s="40"/>
      <c r="BQ824" s="40"/>
      <c r="BR824" s="67"/>
      <c r="BS824" s="54"/>
      <c r="BT824" s="3"/>
      <c r="BU824" s="3"/>
      <c r="BV824" s="3"/>
      <c r="BW824" s="3"/>
      <c r="BX824" s="70"/>
      <c r="BY824" s="70"/>
      <c r="BZ824" s="59"/>
      <c r="CA824" s="59"/>
      <c r="CB824" s="59"/>
      <c r="CC824" s="59"/>
      <c r="CD824" s="60"/>
      <c r="CE824" s="60"/>
      <c r="CF824" s="61"/>
      <c r="CG824" s="61"/>
      <c r="CH824" s="61"/>
      <c r="CI824" s="41"/>
      <c r="CJ824" s="40"/>
      <c r="CK824" s="3"/>
      <c r="CL824" s="62"/>
      <c r="CM824" s="63"/>
      <c r="CN824" s="3"/>
      <c r="CO824" s="3"/>
      <c r="CP824" s="41"/>
      <c r="CQ824" s="3"/>
      <c r="CR824" s="40"/>
      <c r="CS824" s="40"/>
      <c r="CT824" s="40"/>
      <c r="CU824" s="40"/>
      <c r="CV824" s="40"/>
      <c r="CW824" s="40"/>
      <c r="CX824" s="40"/>
      <c r="CY824" s="40"/>
    </row>
    <row r="825" spans="1:103" ht="18.95" customHeight="1">
      <c r="A825" s="3">
        <v>916</v>
      </c>
      <c r="B825" s="92" t="s">
        <v>199</v>
      </c>
      <c r="C825" s="3" t="s">
        <v>171</v>
      </c>
      <c r="D825" s="202" t="s">
        <v>215</v>
      </c>
      <c r="E825" s="39">
        <v>45420</v>
      </c>
      <c r="F825" s="3" t="s">
        <v>186</v>
      </c>
      <c r="G825" s="3" t="s">
        <v>107</v>
      </c>
      <c r="H825" s="3">
        <v>2010</v>
      </c>
      <c r="I825" s="40" t="str">
        <f t="shared" si="11"/>
        <v>U14</v>
      </c>
      <c r="J825" s="40" t="s">
        <v>109</v>
      </c>
      <c r="K825" s="3">
        <v>160.5</v>
      </c>
      <c r="L825" s="3">
        <v>160.5</v>
      </c>
      <c r="M825" s="3"/>
      <c r="N825" s="3">
        <v>153</v>
      </c>
      <c r="O825" s="3">
        <v>153</v>
      </c>
      <c r="P825" s="3"/>
      <c r="Q825" s="3">
        <v>46.5</v>
      </c>
      <c r="R825" s="3">
        <v>46.5</v>
      </c>
      <c r="S825" s="3"/>
      <c r="T825" s="42">
        <v>160.5</v>
      </c>
      <c r="U825" s="188" cm="1">
        <f t="array" ref="U825">AVERAGE(paper3[[#This Row],[Sittende høyde 1]:[Sittende høyde 2]]-70.2)</f>
        <v>82.8</v>
      </c>
      <c r="V825" s="12">
        <f>paper3[[#This Row],[height]]-paper3[[#This Row],[sittingheight]]</f>
        <v>77.7</v>
      </c>
      <c r="W825" s="73">
        <v>46.5</v>
      </c>
      <c r="X825" s="43" cm="1">
        <f t="array" ref="X825">INDEX([1]!phvny[yphv], MATCH(1, (paper3[[#This Row],[id]]=[1]!phvny[id])*(paper3[[#This Row],[time]]=[1]!phvny[time]), 0))</f>
        <v>1.3970024694454828</v>
      </c>
      <c r="Y825" s="192"/>
      <c r="Z825" s="3"/>
      <c r="AA825" s="192"/>
      <c r="AB825" s="3"/>
      <c r="AC825" s="3"/>
      <c r="AD825" s="3"/>
      <c r="AE825" s="3"/>
      <c r="AF825" s="3"/>
      <c r="AG825" s="3"/>
      <c r="AH825" s="194"/>
      <c r="AI825" s="193"/>
      <c r="AJ825" s="194"/>
      <c r="AK825" s="130"/>
      <c r="AL825" s="203">
        <v>10.27</v>
      </c>
      <c r="AM825" s="203">
        <v>10.28</v>
      </c>
      <c r="AN825" s="3">
        <v>9.7899999999999991</v>
      </c>
      <c r="AO825" s="3">
        <v>10.01</v>
      </c>
      <c r="AP825" s="137">
        <f>MIN(AQ825:AR825)</f>
        <v>9.7899999999999991</v>
      </c>
      <c r="AQ825" s="132">
        <v>10.27</v>
      </c>
      <c r="AR825" s="132">
        <v>9.7899999999999991</v>
      </c>
      <c r="AS825" s="3"/>
      <c r="AT825" s="3"/>
      <c r="AU825" s="3"/>
      <c r="AV825" s="3"/>
      <c r="AW825" s="192"/>
      <c r="AX825" s="133">
        <v>28.9</v>
      </c>
      <c r="AY825" s="195" t="s">
        <v>247</v>
      </c>
      <c r="AZ825" s="40">
        <v>8</v>
      </c>
      <c r="BA825" s="40"/>
      <c r="BB825" s="40"/>
      <c r="BC825" s="40"/>
      <c r="BD825" s="135">
        <v>956.1414357372928</v>
      </c>
      <c r="BE825" s="135">
        <v>1073.3353729515911</v>
      </c>
      <c r="BF825" s="40"/>
      <c r="BG825" s="135">
        <v>371.08178354852754</v>
      </c>
      <c r="BH825" s="135">
        <v>336.1183989444126</v>
      </c>
      <c r="BI825" s="49">
        <f>IFERROR(SUM(paper3[[#This Row],[Kraft ikke-dominant]:[Kraft dominant]]),"")</f>
        <v>2029.4768086888839</v>
      </c>
      <c r="BJ825" s="49">
        <f>IFERROR(SUM(paper3[[#This Row],[Pwr ikke-dominant]:[Pwr dominant]]),"")</f>
        <v>707.20018249294014</v>
      </c>
      <c r="BK825" s="66"/>
      <c r="BL825" s="66"/>
      <c r="BM825" s="51">
        <f>IFERROR(paper3[[#This Row],[totforce]]/paper3[[#This Row],[bodymass]],"")</f>
        <v>43.64466255244912</v>
      </c>
      <c r="BN825" s="51">
        <f>IFERROR(paper3[[#This Row],[totpwr]]/paper3[[#This Row],[bodymass]],"")</f>
        <v>15.208606075116993</v>
      </c>
      <c r="BO825" s="136"/>
      <c r="BP825" s="40"/>
      <c r="BQ825" s="40"/>
      <c r="BR825" s="67"/>
      <c r="BS825" s="54"/>
      <c r="BT825" s="3"/>
      <c r="BU825" s="3"/>
      <c r="BV825" s="3"/>
      <c r="BW825" s="3"/>
      <c r="BX825" s="70"/>
      <c r="BY825" s="70"/>
      <c r="BZ825" s="59"/>
      <c r="CA825" s="59"/>
      <c r="CB825" s="59"/>
      <c r="CC825" s="59"/>
      <c r="CD825" s="60"/>
      <c r="CE825" s="60"/>
      <c r="CF825" s="61"/>
      <c r="CG825" s="61"/>
      <c r="CH825" s="61"/>
      <c r="CI825" s="41">
        <v>14.3</v>
      </c>
      <c r="CJ825" s="40">
        <f>VLOOKUP(CI825,$DB:$DC,2)</f>
        <v>560</v>
      </c>
      <c r="CK825" s="3"/>
      <c r="CL825" s="62"/>
      <c r="CM825" s="63"/>
      <c r="CN825" s="3"/>
      <c r="CO825" s="3"/>
      <c r="CP825" s="41">
        <v>12.897222222222222</v>
      </c>
      <c r="CQ825" s="3"/>
      <c r="CR825" s="40"/>
      <c r="CS825" s="40"/>
      <c r="CT825" s="40"/>
      <c r="CU825" s="40"/>
      <c r="CV825" s="40"/>
      <c r="CW825" s="40"/>
      <c r="CX825" s="40"/>
      <c r="CY825" s="40"/>
    </row>
    <row r="826" spans="1:103" ht="18.95" customHeight="1">
      <c r="A826" s="3">
        <v>919</v>
      </c>
      <c r="B826" s="92" t="s">
        <v>199</v>
      </c>
      <c r="C826" s="3" t="s">
        <v>104</v>
      </c>
      <c r="D826" s="202" t="s">
        <v>215</v>
      </c>
      <c r="E826" s="39">
        <v>45460</v>
      </c>
      <c r="F826" s="3" t="s">
        <v>186</v>
      </c>
      <c r="G826" s="3" t="s">
        <v>107</v>
      </c>
      <c r="H826" s="3">
        <v>2006</v>
      </c>
      <c r="I826" s="40" t="str">
        <f t="shared" si="11"/>
        <v>U18</v>
      </c>
      <c r="J826" s="40" t="s">
        <v>120</v>
      </c>
      <c r="K826" s="3">
        <v>170.6</v>
      </c>
      <c r="L826" s="3">
        <v>170.6</v>
      </c>
      <c r="M826" s="3"/>
      <c r="N826" s="3">
        <v>160.5</v>
      </c>
      <c r="O826" s="3">
        <v>160.5</v>
      </c>
      <c r="P826" s="3"/>
      <c r="Q826" s="3">
        <v>72.900000000000006</v>
      </c>
      <c r="R826" s="3">
        <v>72.900000000000006</v>
      </c>
      <c r="S826" s="3"/>
      <c r="T826" s="42">
        <v>170.6</v>
      </c>
      <c r="U826" s="188" cm="1">
        <f t="array" ref="U826">AVERAGE(paper3[[#This Row],[Sittende høyde 1]:[Sittende høyde 2]]-70.2)</f>
        <v>90.3</v>
      </c>
      <c r="V826" s="12">
        <f>paper3[[#This Row],[height]]-paper3[[#This Row],[sittingheight]]</f>
        <v>80.3</v>
      </c>
      <c r="W826" s="73">
        <v>72.900000000000006</v>
      </c>
      <c r="X826" s="43" cm="1">
        <f t="array" ref="X826">INDEX([1]!phvny[yphv], MATCH(1, (paper3[[#This Row],[id]]=[1]!phvny[id])*(paper3[[#This Row],[time]]=[1]!phvny[time]), 0))</f>
        <v>4.6221941873320942</v>
      </c>
      <c r="Y826" s="192">
        <v>1.895</v>
      </c>
      <c r="Z826" s="3">
        <v>3.4929999999999999</v>
      </c>
      <c r="AA826" s="192">
        <v>5.0599999999999996</v>
      </c>
      <c r="AB826" s="3">
        <v>1.982</v>
      </c>
      <c r="AC826" s="3">
        <v>3.5939999999999999</v>
      </c>
      <c r="AD826" s="3">
        <v>5.1390000000000002</v>
      </c>
      <c r="AE826" s="3">
        <v>1.9359999999999999</v>
      </c>
      <c r="AF826" s="3">
        <v>3.58</v>
      </c>
      <c r="AG826" s="3">
        <v>5.2009999999999996</v>
      </c>
      <c r="AH826" s="194">
        <v>1.895</v>
      </c>
      <c r="AI826" s="193">
        <v>3.4929999999999999</v>
      </c>
      <c r="AJ826" s="194">
        <v>5.0599999999999996</v>
      </c>
      <c r="AK826" s="130"/>
      <c r="AL826" s="203">
        <v>10.76</v>
      </c>
      <c r="AM826" s="203">
        <v>10.94</v>
      </c>
      <c r="AN826" s="3">
        <v>10.94</v>
      </c>
      <c r="AO826" s="3">
        <v>11.01</v>
      </c>
      <c r="AP826" s="137">
        <f>MIN(AQ826:AR826)</f>
        <v>10.76</v>
      </c>
      <c r="AQ826" s="132">
        <v>10.76</v>
      </c>
      <c r="AR826" s="132">
        <v>10.94</v>
      </c>
      <c r="AS826" s="3"/>
      <c r="AT826" s="3"/>
      <c r="AU826" s="3"/>
      <c r="AV826" s="3"/>
      <c r="AW826" s="192"/>
      <c r="AX826" s="133">
        <v>19.8</v>
      </c>
      <c r="AY826" s="195" t="s">
        <v>254</v>
      </c>
      <c r="AZ826" s="40">
        <v>8</v>
      </c>
      <c r="BA826" s="40"/>
      <c r="BB826" s="40"/>
      <c r="BC826" s="40"/>
      <c r="BD826" s="135">
        <v>805.59805791381973</v>
      </c>
      <c r="BE826" s="135">
        <v>844.3374064253087</v>
      </c>
      <c r="BF826" s="40"/>
      <c r="BG826" s="135">
        <v>466.81189280625199</v>
      </c>
      <c r="BH826" s="135">
        <v>454.67150008581768</v>
      </c>
      <c r="BI826" s="49">
        <f>IFERROR(SUM(paper3[[#This Row],[Kraft ikke-dominant]:[Kraft dominant]]),"")</f>
        <v>1649.9354643391284</v>
      </c>
      <c r="BJ826" s="49">
        <f>IFERROR(SUM(paper3[[#This Row],[Pwr ikke-dominant]:[Pwr dominant]]),"")</f>
        <v>921.48339289206967</v>
      </c>
      <c r="BK826" s="66"/>
      <c r="BL826" s="66"/>
      <c r="BM826" s="51">
        <f>IFERROR(paper3[[#This Row],[totforce]]/paper3[[#This Row],[bodymass]],"")</f>
        <v>22.632859593129332</v>
      </c>
      <c r="BN826" s="51">
        <f>IFERROR(paper3[[#This Row],[totpwr]]/paper3[[#This Row],[bodymass]],"")</f>
        <v>12.640375759836346</v>
      </c>
      <c r="BO826" s="136"/>
      <c r="BP826" s="40"/>
      <c r="BQ826" s="40"/>
      <c r="BR826" s="67"/>
      <c r="BS826" s="54"/>
      <c r="BT826" s="3"/>
      <c r="BU826" s="3"/>
      <c r="BV826" s="3"/>
      <c r="BW826" s="3"/>
      <c r="BX826" s="70"/>
      <c r="BY826" s="70"/>
      <c r="BZ826" s="59"/>
      <c r="CA826" s="59"/>
      <c r="CB826" s="59"/>
      <c r="CC826" s="59"/>
      <c r="CD826" s="60"/>
      <c r="CE826" s="60"/>
      <c r="CF826" s="61"/>
      <c r="CG826" s="61"/>
      <c r="CH826" s="61"/>
      <c r="CI826" s="41">
        <v>14.3</v>
      </c>
      <c r="CJ826" s="40">
        <f>VLOOKUP(CI826,$DB:$DC,2)</f>
        <v>560</v>
      </c>
      <c r="CK826" s="3"/>
      <c r="CL826" s="62"/>
      <c r="CM826" s="63"/>
      <c r="CN826" s="3"/>
      <c r="CO826" s="3"/>
      <c r="CP826" s="41">
        <v>17.291666666666668</v>
      </c>
      <c r="CQ826" s="3"/>
      <c r="CR826" s="40"/>
      <c r="CS826" s="40"/>
      <c r="CT826" s="40"/>
      <c r="CU826" s="40"/>
      <c r="CV826" s="40"/>
      <c r="CW826" s="40"/>
      <c r="CX826" s="40"/>
      <c r="CY826" s="40"/>
    </row>
    <row r="827" spans="1:103" ht="18.95" customHeight="1">
      <c r="A827" s="3">
        <v>920</v>
      </c>
      <c r="B827" s="92" t="s">
        <v>199</v>
      </c>
      <c r="C827" s="3" t="s">
        <v>104</v>
      </c>
      <c r="D827" s="202" t="s">
        <v>215</v>
      </c>
      <c r="E827" s="39">
        <v>45460</v>
      </c>
      <c r="F827" s="3" t="s">
        <v>186</v>
      </c>
      <c r="G827" s="3" t="s">
        <v>107</v>
      </c>
      <c r="H827" s="3">
        <v>2006</v>
      </c>
      <c r="I827" s="40" t="str">
        <f t="shared" si="11"/>
        <v>U18</v>
      </c>
      <c r="J827" s="40" t="s">
        <v>120</v>
      </c>
      <c r="K827" s="3"/>
      <c r="L827" s="3"/>
      <c r="M827" s="3"/>
      <c r="N827" s="3"/>
      <c r="O827" s="3"/>
      <c r="P827" s="3"/>
      <c r="Q827" s="3"/>
      <c r="R827" s="3"/>
      <c r="S827" s="3"/>
      <c r="T827" s="42"/>
      <c r="U827" s="188"/>
      <c r="V827" s="199"/>
      <c r="W827" s="73"/>
      <c r="X827" s="43"/>
      <c r="Y827" s="192"/>
      <c r="Z827" s="3"/>
      <c r="AA827" s="192"/>
      <c r="AB827" s="3"/>
      <c r="AC827" s="3"/>
      <c r="AD827" s="3"/>
      <c r="AE827" s="3"/>
      <c r="AF827" s="3"/>
      <c r="AG827" s="3"/>
      <c r="AH827" s="194"/>
      <c r="AI827" s="193"/>
      <c r="AJ827" s="194"/>
      <c r="AK827" s="130"/>
      <c r="AL827" s="203"/>
      <c r="AM827" s="203"/>
      <c r="AN827" s="3"/>
      <c r="AO827" s="3"/>
      <c r="AP827" s="137"/>
      <c r="AQ827" s="132"/>
      <c r="AR827" s="132"/>
      <c r="AS827" s="3"/>
      <c r="AT827" s="3"/>
      <c r="AU827" s="3"/>
      <c r="AV827" s="3"/>
      <c r="AW827" s="192"/>
      <c r="AX827" s="133"/>
      <c r="AY827" s="195"/>
      <c r="AZ827" s="40"/>
      <c r="BA827" s="40"/>
      <c r="BB827" s="40"/>
      <c r="BC827" s="40"/>
      <c r="BD827" s="135"/>
      <c r="BE827" s="135"/>
      <c r="BF827" s="40"/>
      <c r="BG827" s="135"/>
      <c r="BH827" s="135"/>
      <c r="BI827" s="49"/>
      <c r="BJ827" s="49"/>
      <c r="BK827" s="66"/>
      <c r="BL827" s="66"/>
      <c r="BM827" s="51"/>
      <c r="BN827" s="51"/>
      <c r="BO827" s="136"/>
      <c r="BP827" s="40"/>
      <c r="BQ827" s="40"/>
      <c r="BR827" s="67"/>
      <c r="BS827" s="54"/>
      <c r="BT827" s="3"/>
      <c r="BU827" s="3"/>
      <c r="BV827" s="3"/>
      <c r="BW827" s="3"/>
      <c r="BX827" s="70"/>
      <c r="BY827" s="70"/>
      <c r="BZ827" s="59"/>
      <c r="CA827" s="59"/>
      <c r="CB827" s="59"/>
      <c r="CC827" s="59"/>
      <c r="CD827" s="60"/>
      <c r="CE827" s="60"/>
      <c r="CF827" s="61"/>
      <c r="CG827" s="61"/>
      <c r="CH827" s="61"/>
      <c r="CI827" s="41"/>
      <c r="CJ827" s="40"/>
      <c r="CK827" s="3"/>
      <c r="CL827" s="62"/>
      <c r="CM827" s="63"/>
      <c r="CN827" s="3"/>
      <c r="CO827" s="3"/>
      <c r="CP827" s="41"/>
      <c r="CQ827" s="3"/>
      <c r="CR827" s="40"/>
      <c r="CS827" s="40"/>
      <c r="CT827" s="40"/>
      <c r="CU827" s="40"/>
      <c r="CV827" s="40"/>
      <c r="CW827" s="40"/>
      <c r="CX827" s="40"/>
      <c r="CY827" s="40"/>
    </row>
    <row r="828" spans="1:103" ht="18.95" customHeight="1">
      <c r="A828" s="3">
        <v>921</v>
      </c>
      <c r="B828" s="92" t="s">
        <v>199</v>
      </c>
      <c r="C828" s="3" t="s">
        <v>104</v>
      </c>
      <c r="D828" s="202" t="s">
        <v>215</v>
      </c>
      <c r="E828" s="39">
        <v>45460</v>
      </c>
      <c r="F828" s="3" t="s">
        <v>186</v>
      </c>
      <c r="G828" s="3" t="s">
        <v>107</v>
      </c>
      <c r="H828" s="3">
        <v>2006</v>
      </c>
      <c r="I828" s="40" t="str">
        <f t="shared" si="11"/>
        <v>U18</v>
      </c>
      <c r="J828" s="40" t="s">
        <v>120</v>
      </c>
      <c r="K828" s="3">
        <v>167</v>
      </c>
      <c r="L828" s="3">
        <v>167</v>
      </c>
      <c r="M828" s="3"/>
      <c r="N828" s="3">
        <v>162.5</v>
      </c>
      <c r="O828" s="3">
        <v>162.4</v>
      </c>
      <c r="P828" s="3"/>
      <c r="Q828" s="3">
        <v>66.099999999999994</v>
      </c>
      <c r="R828" s="3">
        <v>66.099999999999994</v>
      </c>
      <c r="S828" s="3"/>
      <c r="T828" s="42">
        <v>167</v>
      </c>
      <c r="U828" s="188" cm="1">
        <f t="array" ref="U828">AVERAGE(paper3[[#This Row],[Sittende høyde 1]:[Sittende høyde 2]]-70.2)</f>
        <v>92.25</v>
      </c>
      <c r="V828" s="12">
        <f>paper3[[#This Row],[height]]-paper3[[#This Row],[sittingheight]]</f>
        <v>74.75</v>
      </c>
      <c r="W828" s="73">
        <v>66.099999999999994</v>
      </c>
      <c r="X828" s="43" cm="1">
        <f t="array" ref="X828">INDEX([1]!phvny[yphv], MATCH(1, (paper3[[#This Row],[id]]=[1]!phvny[id])*(paper3[[#This Row],[time]]=[1]!phvny[time]), 0))</f>
        <v>4.2552100466600127</v>
      </c>
      <c r="Y828" s="192">
        <v>1.845</v>
      </c>
      <c r="Z828" s="3">
        <v>3.33</v>
      </c>
      <c r="AA828" s="192">
        <v>4.7679999999999998</v>
      </c>
      <c r="AB828" s="3">
        <v>1.8440000000000001</v>
      </c>
      <c r="AC828" s="3">
        <v>3.323</v>
      </c>
      <c r="AD828" s="3">
        <v>4.7329999999999997</v>
      </c>
      <c r="AE828" s="3">
        <v>1.8640000000000001</v>
      </c>
      <c r="AF828" s="3">
        <v>3.37</v>
      </c>
      <c r="AG828" s="3">
        <v>4.79</v>
      </c>
      <c r="AH828" s="194">
        <v>1.8440000000000001</v>
      </c>
      <c r="AI828" s="193">
        <v>3.323</v>
      </c>
      <c r="AJ828" s="194">
        <v>4.7329999999999997</v>
      </c>
      <c r="AK828" s="130"/>
      <c r="AL828" s="203"/>
      <c r="AM828" s="203"/>
      <c r="AN828" s="3"/>
      <c r="AO828" s="3"/>
      <c r="AP828" s="137"/>
      <c r="AQ828" s="132"/>
      <c r="AR828" s="132"/>
      <c r="AS828" s="3"/>
      <c r="AT828" s="3"/>
      <c r="AU828" s="3"/>
      <c r="AV828" s="3"/>
      <c r="AW828" s="192"/>
      <c r="AX828" s="133">
        <v>24.5</v>
      </c>
      <c r="AY828" s="195" t="s">
        <v>254</v>
      </c>
      <c r="AZ828" s="40">
        <v>7</v>
      </c>
      <c r="BA828" s="40"/>
      <c r="BB828" s="40"/>
      <c r="BC828" s="40"/>
      <c r="BD828" s="135">
        <v>926.31877424513937</v>
      </c>
      <c r="BE828" s="135">
        <v>948.60020173551425</v>
      </c>
      <c r="BF828" s="40"/>
      <c r="BG828" s="135">
        <v>427.10830998716938</v>
      </c>
      <c r="BH828" s="135">
        <v>435.15289646502117</v>
      </c>
      <c r="BI828" s="49">
        <f>IFERROR(SUM(paper3[[#This Row],[Kraft ikke-dominant]:[Kraft dominant]]),"")</f>
        <v>1874.9189759806536</v>
      </c>
      <c r="BJ828" s="49">
        <f>IFERROR(SUM(paper3[[#This Row],[Pwr ikke-dominant]:[Pwr dominant]]),"")</f>
        <v>862.26120645219055</v>
      </c>
      <c r="BK828" s="66"/>
      <c r="BL828" s="66"/>
      <c r="BM828" s="51">
        <f>IFERROR(paper3[[#This Row],[totforce]]/paper3[[#This Row],[bodymass]],"")</f>
        <v>28.364886172173279</v>
      </c>
      <c r="BN828" s="51">
        <f>IFERROR(paper3[[#This Row],[totpwr]]/paper3[[#This Row],[bodymass]],"")</f>
        <v>13.044798887325124</v>
      </c>
      <c r="BO828" s="136"/>
      <c r="BP828" s="40"/>
      <c r="BQ828" s="40"/>
      <c r="BR828" s="67"/>
      <c r="BS828" s="54"/>
      <c r="BT828" s="3"/>
      <c r="BU828" s="3"/>
      <c r="BV828" s="3"/>
      <c r="BW828" s="3"/>
      <c r="BX828" s="70"/>
      <c r="BY828" s="70"/>
      <c r="BZ828" s="59"/>
      <c r="CA828" s="59"/>
      <c r="CB828" s="59"/>
      <c r="CC828" s="59"/>
      <c r="CD828" s="60"/>
      <c r="CE828" s="60"/>
      <c r="CF828" s="61"/>
      <c r="CG828" s="61"/>
      <c r="CH828" s="61"/>
      <c r="CI828" s="41"/>
      <c r="CJ828" s="40"/>
      <c r="CK828" s="3"/>
      <c r="CL828" s="62"/>
      <c r="CM828" s="63"/>
      <c r="CN828" s="3"/>
      <c r="CO828" s="3"/>
      <c r="CP828" s="41">
        <v>16.583333333333332</v>
      </c>
      <c r="CQ828" s="3"/>
      <c r="CR828" s="40"/>
      <c r="CS828" s="40"/>
      <c r="CT828" s="40"/>
      <c r="CU828" s="40"/>
      <c r="CV828" s="40"/>
      <c r="CW828" s="40"/>
      <c r="CX828" s="40"/>
      <c r="CY828" s="40"/>
    </row>
    <row r="829" spans="1:103" ht="18.95" customHeight="1">
      <c r="A829" s="3">
        <v>922</v>
      </c>
      <c r="B829" s="92" t="s">
        <v>199</v>
      </c>
      <c r="C829" s="3" t="s">
        <v>104</v>
      </c>
      <c r="D829" s="202" t="s">
        <v>215</v>
      </c>
      <c r="E829" s="39">
        <v>45460</v>
      </c>
      <c r="F829" s="3" t="s">
        <v>186</v>
      </c>
      <c r="G829" s="3" t="s">
        <v>107</v>
      </c>
      <c r="H829" s="3">
        <v>2006</v>
      </c>
      <c r="I829" s="40" t="str">
        <f t="shared" si="11"/>
        <v>U18</v>
      </c>
      <c r="J829" s="84" t="s">
        <v>120</v>
      </c>
      <c r="K829" s="3"/>
      <c r="L829" s="3"/>
      <c r="M829" s="3"/>
      <c r="N829" s="3"/>
      <c r="O829" s="3"/>
      <c r="P829" s="3"/>
      <c r="Q829" s="3"/>
      <c r="R829" s="3"/>
      <c r="S829" s="3"/>
      <c r="T829" s="42"/>
      <c r="U829" s="188"/>
      <c r="V829" s="199"/>
      <c r="W829" s="73"/>
      <c r="X829" s="43"/>
      <c r="Y829" s="192"/>
      <c r="Z829" s="3"/>
      <c r="AA829" s="192"/>
      <c r="AB829" s="3"/>
      <c r="AC829" s="3"/>
      <c r="AD829" s="3"/>
      <c r="AE829" s="3"/>
      <c r="AF829" s="3"/>
      <c r="AG829" s="3"/>
      <c r="AH829" s="194"/>
      <c r="AI829" s="193"/>
      <c r="AJ829" s="194"/>
      <c r="AK829" s="130"/>
      <c r="AL829" s="203"/>
      <c r="AM829" s="203"/>
      <c r="AN829" s="3"/>
      <c r="AO829" s="3"/>
      <c r="AP829" s="137"/>
      <c r="AQ829" s="132"/>
      <c r="AR829" s="132"/>
      <c r="AS829" s="3"/>
      <c r="AT829" s="3"/>
      <c r="AU829" s="3"/>
      <c r="AV829" s="3"/>
      <c r="AW829" s="192"/>
      <c r="AX829" s="133"/>
      <c r="AY829" s="195"/>
      <c r="AZ829" s="40"/>
      <c r="BA829" s="40"/>
      <c r="BB829" s="40"/>
      <c r="BC829" s="40"/>
      <c r="BD829" s="135"/>
      <c r="BE829" s="135"/>
      <c r="BF829" s="40"/>
      <c r="BG829" s="135"/>
      <c r="BH829" s="135"/>
      <c r="BI829" s="49"/>
      <c r="BJ829" s="49"/>
      <c r="BK829" s="66"/>
      <c r="BL829" s="66"/>
      <c r="BM829" s="51"/>
      <c r="BN829" s="51"/>
      <c r="BO829" s="136"/>
      <c r="BP829" s="40"/>
      <c r="BQ829" s="40"/>
      <c r="BR829" s="67"/>
      <c r="BS829" s="54"/>
      <c r="BT829" s="3"/>
      <c r="BU829" s="3"/>
      <c r="BV829" s="3"/>
      <c r="BW829" s="3"/>
      <c r="BX829" s="70"/>
      <c r="BY829" s="70"/>
      <c r="BZ829" s="59"/>
      <c r="CA829" s="59"/>
      <c r="CB829" s="59"/>
      <c r="CC829" s="59"/>
      <c r="CD829" s="60"/>
      <c r="CE829" s="60"/>
      <c r="CF829" s="61"/>
      <c r="CG829" s="61"/>
      <c r="CH829" s="61"/>
      <c r="CI829" s="41"/>
      <c r="CJ829" s="40"/>
      <c r="CK829" s="3"/>
      <c r="CL829" s="62"/>
      <c r="CM829" s="63"/>
      <c r="CN829" s="3"/>
      <c r="CO829" s="3"/>
      <c r="CP829" s="41"/>
      <c r="CQ829" s="3"/>
      <c r="CR829" s="40"/>
      <c r="CS829" s="40"/>
      <c r="CT829" s="40"/>
      <c r="CU829" s="40"/>
      <c r="CV829" s="40"/>
      <c r="CW829" s="40"/>
      <c r="CX829" s="40"/>
      <c r="CY829" s="40"/>
    </row>
    <row r="830" spans="1:103" ht="18.95" customHeight="1">
      <c r="A830" s="3">
        <v>923</v>
      </c>
      <c r="B830" s="92" t="s">
        <v>199</v>
      </c>
      <c r="C830" s="3" t="s">
        <v>104</v>
      </c>
      <c r="D830" s="202" t="s">
        <v>215</v>
      </c>
      <c r="E830" s="39">
        <v>45460</v>
      </c>
      <c r="F830" s="3" t="s">
        <v>186</v>
      </c>
      <c r="G830" s="3" t="s">
        <v>107</v>
      </c>
      <c r="H830" s="3">
        <v>2006</v>
      </c>
      <c r="I830" s="40" t="str">
        <f t="shared" si="11"/>
        <v>U18</v>
      </c>
      <c r="J830" s="84" t="s">
        <v>120</v>
      </c>
      <c r="K830" s="3"/>
      <c r="L830" s="3"/>
      <c r="M830" s="3"/>
      <c r="N830" s="3"/>
      <c r="O830" s="3"/>
      <c r="P830" s="3"/>
      <c r="Q830" s="3"/>
      <c r="R830" s="3"/>
      <c r="S830" s="3"/>
      <c r="T830" s="42"/>
      <c r="U830" s="188"/>
      <c r="V830" s="199"/>
      <c r="W830" s="73"/>
      <c r="X830" s="43"/>
      <c r="Y830" s="192"/>
      <c r="Z830" s="3"/>
      <c r="AA830" s="192"/>
      <c r="AB830" s="3"/>
      <c r="AC830" s="3"/>
      <c r="AD830" s="3"/>
      <c r="AE830" s="3"/>
      <c r="AF830" s="3"/>
      <c r="AG830" s="3"/>
      <c r="AH830" s="194"/>
      <c r="AI830" s="193"/>
      <c r="AJ830" s="194"/>
      <c r="AK830" s="130"/>
      <c r="AL830" s="203"/>
      <c r="AM830" s="203"/>
      <c r="AN830" s="3"/>
      <c r="AO830" s="3"/>
      <c r="AP830" s="137"/>
      <c r="AQ830" s="132"/>
      <c r="AR830" s="132"/>
      <c r="AS830" s="3"/>
      <c r="AT830" s="3"/>
      <c r="AU830" s="3"/>
      <c r="AV830" s="3"/>
      <c r="AW830" s="192"/>
      <c r="AX830" s="133"/>
      <c r="AY830" s="195"/>
      <c r="AZ830" s="40"/>
      <c r="BA830" s="40"/>
      <c r="BB830" s="40"/>
      <c r="BC830" s="40"/>
      <c r="BD830" s="135"/>
      <c r="BE830" s="135">
        <v>1510.5730405731526</v>
      </c>
      <c r="BF830" s="40"/>
      <c r="BG830" s="135">
        <v>924.47148930828689</v>
      </c>
      <c r="BH830" s="135">
        <v>887.83369037091063</v>
      </c>
      <c r="BI830" s="49">
        <f>IFERROR(SUM(paper3[[#This Row],[Kraft ikke-dominant]:[Kraft dominant]]),"")</f>
        <v>1510.5730405731526</v>
      </c>
      <c r="BJ830" s="49">
        <f>IFERROR(SUM(paper3[[#This Row],[Pwr ikke-dominant]:[Pwr dominant]]),"")</f>
        <v>1812.3051796791974</v>
      </c>
      <c r="BK830" s="66"/>
      <c r="BL830" s="66"/>
      <c r="BM830" s="51" t="str">
        <f>IFERROR(paper3[[#This Row],[totforce]]/paper3[[#This Row],[bodymass]],"")</f>
        <v/>
      </c>
      <c r="BN830" s="51" t="str">
        <f>IFERROR(paper3[[#This Row],[totpwr]]/paper3[[#This Row],[bodymass]],"")</f>
        <v/>
      </c>
      <c r="BO830" s="136"/>
      <c r="BP830" s="40"/>
      <c r="BQ830" s="40"/>
      <c r="BR830" s="67"/>
      <c r="BS830" s="54"/>
      <c r="BT830" s="3"/>
      <c r="BU830" s="3"/>
      <c r="BV830" s="3"/>
      <c r="BW830" s="3"/>
      <c r="BX830" s="70"/>
      <c r="BY830" s="70"/>
      <c r="BZ830" s="59"/>
      <c r="CA830" s="59"/>
      <c r="CB830" s="59"/>
      <c r="CC830" s="59"/>
      <c r="CD830" s="60"/>
      <c r="CE830" s="60"/>
      <c r="CF830" s="61"/>
      <c r="CG830" s="61"/>
      <c r="CH830" s="61"/>
      <c r="CI830" s="41"/>
      <c r="CJ830" s="40"/>
      <c r="CK830" s="3"/>
      <c r="CL830" s="62"/>
      <c r="CM830" s="63"/>
      <c r="CN830" s="3"/>
      <c r="CO830" s="3"/>
      <c r="CP830" s="41">
        <v>17.352777777777778</v>
      </c>
      <c r="CQ830" s="3"/>
      <c r="CR830" s="40"/>
      <c r="CS830" s="40"/>
      <c r="CT830" s="40"/>
      <c r="CU830" s="40"/>
      <c r="CV830" s="40"/>
      <c r="CW830" s="40"/>
      <c r="CX830" s="40"/>
      <c r="CY830" s="40"/>
    </row>
    <row r="831" spans="1:103" ht="18.95" customHeight="1">
      <c r="A831" s="3">
        <v>924</v>
      </c>
      <c r="B831" s="92" t="s">
        <v>199</v>
      </c>
      <c r="C831" s="3" t="s">
        <v>104</v>
      </c>
      <c r="D831" s="202" t="s">
        <v>215</v>
      </c>
      <c r="E831" s="39">
        <v>45460</v>
      </c>
      <c r="F831" s="3" t="s">
        <v>186</v>
      </c>
      <c r="G831" s="3" t="s">
        <v>107</v>
      </c>
      <c r="H831" s="3">
        <v>2006</v>
      </c>
      <c r="I831" s="40" t="str">
        <f t="shared" si="11"/>
        <v>U18</v>
      </c>
      <c r="J831" s="84" t="s">
        <v>120</v>
      </c>
      <c r="K831" s="3"/>
      <c r="L831" s="3"/>
      <c r="M831" s="3"/>
      <c r="N831" s="3"/>
      <c r="O831" s="3"/>
      <c r="P831" s="3"/>
      <c r="Q831" s="3"/>
      <c r="R831" s="3"/>
      <c r="S831" s="3"/>
      <c r="T831" s="42"/>
      <c r="U831" s="188"/>
      <c r="V831" s="199"/>
      <c r="W831" s="73"/>
      <c r="X831" s="43"/>
      <c r="Y831" s="192"/>
      <c r="Z831" s="3"/>
      <c r="AA831" s="192"/>
      <c r="AB831" s="3"/>
      <c r="AC831" s="3"/>
      <c r="AD831" s="3"/>
      <c r="AE831" s="3"/>
      <c r="AF831" s="3"/>
      <c r="AG831" s="3"/>
      <c r="AH831" s="194"/>
      <c r="AI831" s="193"/>
      <c r="AJ831" s="194"/>
      <c r="AK831" s="130"/>
      <c r="AL831" s="203"/>
      <c r="AM831" s="203"/>
      <c r="AN831" s="3"/>
      <c r="AO831" s="3"/>
      <c r="AP831" s="137"/>
      <c r="AQ831" s="132"/>
      <c r="AR831" s="132"/>
      <c r="AS831" s="3"/>
      <c r="AT831" s="3"/>
      <c r="AU831" s="3"/>
      <c r="AV831" s="3"/>
      <c r="AW831" s="192"/>
      <c r="AX831" s="133"/>
      <c r="AY831" s="195"/>
      <c r="AZ831" s="40"/>
      <c r="BA831" s="40"/>
      <c r="BB831" s="40"/>
      <c r="BC831" s="40"/>
      <c r="BD831" s="135"/>
      <c r="BE831" s="135"/>
      <c r="BF831" s="40"/>
      <c r="BG831" s="135"/>
      <c r="BH831" s="135"/>
      <c r="BI831" s="49"/>
      <c r="BJ831" s="49"/>
      <c r="BK831" s="66"/>
      <c r="BL831" s="66"/>
      <c r="BM831" s="51"/>
      <c r="BN831" s="51"/>
      <c r="BO831" s="136"/>
      <c r="BP831" s="40"/>
      <c r="BQ831" s="40"/>
      <c r="BR831" s="67"/>
      <c r="BS831" s="54"/>
      <c r="BT831" s="3"/>
      <c r="BU831" s="3"/>
      <c r="BV831" s="3"/>
      <c r="BW831" s="3"/>
      <c r="BX831" s="70"/>
      <c r="BY831" s="70"/>
      <c r="BZ831" s="59"/>
      <c r="CA831" s="59"/>
      <c r="CB831" s="59"/>
      <c r="CC831" s="59"/>
      <c r="CD831" s="60"/>
      <c r="CE831" s="60"/>
      <c r="CF831" s="61"/>
      <c r="CG831" s="61"/>
      <c r="CH831" s="61"/>
      <c r="CI831" s="41"/>
      <c r="CJ831" s="40"/>
      <c r="CK831" s="3"/>
      <c r="CL831" s="62"/>
      <c r="CM831" s="63"/>
      <c r="CN831" s="3"/>
      <c r="CO831" s="3"/>
      <c r="CP831" s="41"/>
      <c r="CQ831" s="3"/>
      <c r="CR831" s="40"/>
      <c r="CS831" s="40"/>
      <c r="CT831" s="40"/>
      <c r="CU831" s="40"/>
      <c r="CV831" s="40"/>
      <c r="CW831" s="40"/>
      <c r="CX831" s="40"/>
      <c r="CY831" s="40"/>
    </row>
    <row r="832" spans="1:103" ht="18.95" customHeight="1">
      <c r="A832" s="3">
        <v>925</v>
      </c>
      <c r="B832" s="92" t="s">
        <v>199</v>
      </c>
      <c r="C832" s="3" t="s">
        <v>171</v>
      </c>
      <c r="D832" s="202" t="s">
        <v>215</v>
      </c>
      <c r="E832" s="39">
        <v>45460</v>
      </c>
      <c r="F832" s="3" t="s">
        <v>186</v>
      </c>
      <c r="G832" s="3" t="s">
        <v>107</v>
      </c>
      <c r="H832" s="3">
        <v>2006</v>
      </c>
      <c r="I832" s="40" t="str">
        <f t="shared" si="11"/>
        <v>U18</v>
      </c>
      <c r="J832" s="84" t="s">
        <v>120</v>
      </c>
      <c r="K832" s="3"/>
      <c r="L832" s="3"/>
      <c r="M832" s="3"/>
      <c r="N832" s="3"/>
      <c r="O832" s="3"/>
      <c r="P832" s="3"/>
      <c r="Q832" s="3"/>
      <c r="R832" s="3"/>
      <c r="S832" s="3"/>
      <c r="T832" s="42"/>
      <c r="U832" s="188"/>
      <c r="V832" s="199"/>
      <c r="W832" s="73"/>
      <c r="X832" s="43"/>
      <c r="Y832" s="192"/>
      <c r="Z832" s="3"/>
      <c r="AA832" s="192"/>
      <c r="AB832" s="3"/>
      <c r="AC832" s="3"/>
      <c r="AD832" s="3"/>
      <c r="AE832" s="3"/>
      <c r="AF832" s="3"/>
      <c r="AG832" s="3"/>
      <c r="AH832" s="194"/>
      <c r="AI832" s="193"/>
      <c r="AJ832" s="194"/>
      <c r="AK832" s="130"/>
      <c r="AL832" s="203"/>
      <c r="AM832" s="203"/>
      <c r="AN832" s="3"/>
      <c r="AO832" s="3"/>
      <c r="AP832" s="137"/>
      <c r="AQ832" s="132"/>
      <c r="AR832" s="132"/>
      <c r="AS832" s="3"/>
      <c r="AT832" s="3"/>
      <c r="AU832" s="3"/>
      <c r="AV832" s="3"/>
      <c r="AW832" s="192"/>
      <c r="AX832" s="133"/>
      <c r="AY832" s="195"/>
      <c r="AZ832" s="40"/>
      <c r="BA832" s="40"/>
      <c r="BB832" s="40"/>
      <c r="BC832" s="40"/>
      <c r="BD832" s="135"/>
      <c r="BE832" s="135"/>
      <c r="BF832" s="40"/>
      <c r="BG832" s="135"/>
      <c r="BH832" s="135"/>
      <c r="BI832" s="49"/>
      <c r="BJ832" s="49"/>
      <c r="BK832" s="66"/>
      <c r="BL832" s="66"/>
      <c r="BM832" s="51"/>
      <c r="BN832" s="51"/>
      <c r="BO832" s="136"/>
      <c r="BP832" s="40"/>
      <c r="BQ832" s="40"/>
      <c r="BR832" s="67"/>
      <c r="BS832" s="54"/>
      <c r="BT832" s="3"/>
      <c r="BU832" s="3"/>
      <c r="BV832" s="3"/>
      <c r="BW832" s="3"/>
      <c r="BX832" s="70"/>
      <c r="BY832" s="70"/>
      <c r="BZ832" s="59"/>
      <c r="CA832" s="59"/>
      <c r="CB832" s="59"/>
      <c r="CC832" s="59"/>
      <c r="CD832" s="60"/>
      <c r="CE832" s="60"/>
      <c r="CF832" s="61"/>
      <c r="CG832" s="61"/>
      <c r="CH832" s="61"/>
      <c r="CI832" s="41"/>
      <c r="CJ832" s="40"/>
      <c r="CK832" s="3"/>
      <c r="CL832" s="62"/>
      <c r="CM832" s="63"/>
      <c r="CN832" s="3"/>
      <c r="CO832" s="3"/>
      <c r="CP832" s="41"/>
      <c r="CQ832" s="3"/>
      <c r="CR832" s="40"/>
      <c r="CS832" s="40"/>
      <c r="CT832" s="40"/>
      <c r="CU832" s="40"/>
      <c r="CV832" s="40"/>
      <c r="CW832" s="40"/>
      <c r="CX832" s="40"/>
      <c r="CY832" s="40"/>
    </row>
    <row r="833" spans="1:103" ht="18.95" customHeight="1">
      <c r="A833" s="3">
        <v>926</v>
      </c>
      <c r="B833" s="92" t="s">
        <v>199</v>
      </c>
      <c r="C833" s="3" t="s">
        <v>104</v>
      </c>
      <c r="D833" s="202" t="s">
        <v>215</v>
      </c>
      <c r="E833" s="39">
        <v>45460</v>
      </c>
      <c r="F833" s="3" t="s">
        <v>186</v>
      </c>
      <c r="G833" s="3" t="s">
        <v>107</v>
      </c>
      <c r="H833" s="3">
        <v>2006</v>
      </c>
      <c r="I833" s="40" t="str">
        <f t="shared" si="11"/>
        <v>U18</v>
      </c>
      <c r="J833" s="84" t="s">
        <v>120</v>
      </c>
      <c r="K833" s="3"/>
      <c r="L833" s="3"/>
      <c r="M833" s="3"/>
      <c r="N833" s="3"/>
      <c r="O833" s="3"/>
      <c r="P833" s="3"/>
      <c r="Q833" s="3"/>
      <c r="R833" s="3"/>
      <c r="S833" s="3"/>
      <c r="T833" s="42"/>
      <c r="U833" s="188"/>
      <c r="V833" s="199"/>
      <c r="W833" s="73"/>
      <c r="X833" s="43"/>
      <c r="Y833" s="192"/>
      <c r="Z833" s="3"/>
      <c r="AA833" s="192"/>
      <c r="AB833" s="3"/>
      <c r="AC833" s="3"/>
      <c r="AD833" s="3"/>
      <c r="AE833" s="3"/>
      <c r="AF833" s="3"/>
      <c r="AG833" s="3"/>
      <c r="AH833" s="194"/>
      <c r="AI833" s="193"/>
      <c r="AJ833" s="194"/>
      <c r="AK833" s="130"/>
      <c r="AL833" s="203"/>
      <c r="AM833" s="203"/>
      <c r="AN833" s="3"/>
      <c r="AO833" s="3"/>
      <c r="AP833" s="137"/>
      <c r="AQ833" s="132"/>
      <c r="AR833" s="132"/>
      <c r="AS833" s="3"/>
      <c r="AT833" s="3"/>
      <c r="AU833" s="3"/>
      <c r="AV833" s="3"/>
      <c r="AW833" s="192"/>
      <c r="AX833" s="133"/>
      <c r="AY833" s="195"/>
      <c r="AZ833" s="40"/>
      <c r="BA833" s="40"/>
      <c r="BB833" s="40"/>
      <c r="BC833" s="40"/>
      <c r="BD833" s="135"/>
      <c r="BE833" s="135"/>
      <c r="BF833" s="40"/>
      <c r="BG833" s="135"/>
      <c r="BH833" s="135"/>
      <c r="BI833" s="49"/>
      <c r="BJ833" s="49"/>
      <c r="BK833" s="66"/>
      <c r="BL833" s="66"/>
      <c r="BM833" s="51"/>
      <c r="BN833" s="51"/>
      <c r="BO833" s="136"/>
      <c r="BP833" s="40"/>
      <c r="BQ833" s="40"/>
      <c r="BR833" s="67"/>
      <c r="BS833" s="54"/>
      <c r="BT833" s="3"/>
      <c r="BU833" s="3"/>
      <c r="BV833" s="3"/>
      <c r="BW833" s="3"/>
      <c r="BX833" s="70"/>
      <c r="BY833" s="70"/>
      <c r="BZ833" s="59"/>
      <c r="CA833" s="59"/>
      <c r="CB833" s="59"/>
      <c r="CC833" s="59"/>
      <c r="CD833" s="60"/>
      <c r="CE833" s="60"/>
      <c r="CF833" s="61"/>
      <c r="CG833" s="61"/>
      <c r="CH833" s="61"/>
      <c r="CI833" s="41"/>
      <c r="CJ833" s="40"/>
      <c r="CK833" s="3"/>
      <c r="CL833" s="62"/>
      <c r="CM833" s="63"/>
      <c r="CN833" s="3"/>
      <c r="CO833" s="3"/>
      <c r="CP833" s="41"/>
      <c r="CQ833" s="3"/>
      <c r="CR833" s="40"/>
      <c r="CS833" s="40"/>
      <c r="CT833" s="40"/>
      <c r="CU833" s="40"/>
      <c r="CV833" s="40"/>
      <c r="CW833" s="40"/>
      <c r="CX833" s="40"/>
      <c r="CY833" s="40"/>
    </row>
    <row r="834" spans="1:103" ht="18.95" customHeight="1">
      <c r="A834" s="3">
        <v>927</v>
      </c>
      <c r="B834" s="92" t="s">
        <v>199</v>
      </c>
      <c r="C834" s="3" t="s">
        <v>104</v>
      </c>
      <c r="D834" s="202" t="s">
        <v>215</v>
      </c>
      <c r="E834" s="39">
        <v>45460</v>
      </c>
      <c r="F834" s="3" t="s">
        <v>186</v>
      </c>
      <c r="G834" s="3" t="s">
        <v>107</v>
      </c>
      <c r="H834" s="3">
        <v>2006</v>
      </c>
      <c r="I834" s="40" t="str">
        <f t="shared" si="11"/>
        <v>U18</v>
      </c>
      <c r="J834" s="84" t="s">
        <v>120</v>
      </c>
      <c r="K834" s="3"/>
      <c r="L834" s="3"/>
      <c r="M834" s="3"/>
      <c r="N834" s="3"/>
      <c r="O834" s="3"/>
      <c r="P834" s="3"/>
      <c r="Q834" s="3"/>
      <c r="R834" s="3"/>
      <c r="S834" s="3"/>
      <c r="T834" s="42"/>
      <c r="U834" s="188"/>
      <c r="V834" s="199"/>
      <c r="W834" s="73"/>
      <c r="X834" s="43"/>
      <c r="Y834" s="192"/>
      <c r="Z834" s="3"/>
      <c r="AA834" s="192"/>
      <c r="AB834" s="3"/>
      <c r="AC834" s="3"/>
      <c r="AD834" s="3"/>
      <c r="AE834" s="3"/>
      <c r="AF834" s="3"/>
      <c r="AG834" s="3"/>
      <c r="AH834" s="194"/>
      <c r="AI834" s="193"/>
      <c r="AJ834" s="194"/>
      <c r="AK834" s="130"/>
      <c r="AL834" s="203"/>
      <c r="AM834" s="203"/>
      <c r="AN834" s="3"/>
      <c r="AO834" s="3"/>
      <c r="AP834" s="137"/>
      <c r="AQ834" s="132"/>
      <c r="AR834" s="132"/>
      <c r="AS834" s="3"/>
      <c r="AT834" s="3"/>
      <c r="AU834" s="3"/>
      <c r="AV834" s="3"/>
      <c r="AW834" s="192"/>
      <c r="AX834" s="133"/>
      <c r="AY834" s="195"/>
      <c r="AZ834" s="40"/>
      <c r="BA834" s="40"/>
      <c r="BB834" s="40"/>
      <c r="BC834" s="40"/>
      <c r="BD834" s="135"/>
      <c r="BE834" s="135"/>
      <c r="BF834" s="40"/>
      <c r="BG834" s="135"/>
      <c r="BH834" s="135"/>
      <c r="BI834" s="49"/>
      <c r="BJ834" s="49"/>
      <c r="BK834" s="66"/>
      <c r="BL834" s="66"/>
      <c r="BM834" s="51"/>
      <c r="BN834" s="51"/>
      <c r="BO834" s="136"/>
      <c r="BP834" s="40"/>
      <c r="BQ834" s="40"/>
      <c r="BR834" s="67"/>
      <c r="BS834" s="54"/>
      <c r="BT834" s="3"/>
      <c r="BU834" s="3"/>
      <c r="BV834" s="3"/>
      <c r="BW834" s="3"/>
      <c r="BX834" s="70"/>
      <c r="BY834" s="70"/>
      <c r="BZ834" s="59"/>
      <c r="CA834" s="59"/>
      <c r="CB834" s="59"/>
      <c r="CC834" s="59"/>
      <c r="CD834" s="60"/>
      <c r="CE834" s="60"/>
      <c r="CF834" s="61"/>
      <c r="CG834" s="61"/>
      <c r="CH834" s="61"/>
      <c r="CI834" s="41"/>
      <c r="CJ834" s="40"/>
      <c r="CK834" s="3"/>
      <c r="CL834" s="62"/>
      <c r="CM834" s="63"/>
      <c r="CN834" s="3"/>
      <c r="CO834" s="3"/>
      <c r="CP834" s="41"/>
      <c r="CQ834" s="3"/>
      <c r="CR834" s="40"/>
      <c r="CS834" s="40"/>
      <c r="CT834" s="40"/>
      <c r="CU834" s="40"/>
      <c r="CV834" s="40"/>
      <c r="CW834" s="40"/>
      <c r="CX834" s="40"/>
      <c r="CY834" s="40"/>
    </row>
    <row r="835" spans="1:103" ht="18.95" customHeight="1">
      <c r="A835" s="3">
        <v>928</v>
      </c>
      <c r="B835" s="92" t="s">
        <v>199</v>
      </c>
      <c r="C835" s="3" t="s">
        <v>104</v>
      </c>
      <c r="D835" s="202" t="s">
        <v>215</v>
      </c>
      <c r="E835" s="39">
        <v>45460</v>
      </c>
      <c r="F835" s="3" t="s">
        <v>186</v>
      </c>
      <c r="G835" s="3" t="s">
        <v>107</v>
      </c>
      <c r="H835" s="3">
        <v>2006</v>
      </c>
      <c r="I835" s="40" t="str">
        <f t="shared" si="11"/>
        <v>U18</v>
      </c>
      <c r="J835" s="84" t="s">
        <v>120</v>
      </c>
      <c r="K835" s="3"/>
      <c r="L835" s="3"/>
      <c r="M835" s="3"/>
      <c r="N835" s="3"/>
      <c r="O835" s="3"/>
      <c r="P835" s="3"/>
      <c r="Q835" s="3"/>
      <c r="R835" s="3"/>
      <c r="S835" s="3"/>
      <c r="T835" s="42"/>
      <c r="U835" s="188"/>
      <c r="V835" s="199"/>
      <c r="W835" s="73"/>
      <c r="X835" s="43"/>
      <c r="Y835" s="192"/>
      <c r="Z835" s="3"/>
      <c r="AA835" s="192"/>
      <c r="AB835" s="3"/>
      <c r="AC835" s="3"/>
      <c r="AD835" s="3"/>
      <c r="AE835" s="3"/>
      <c r="AF835" s="3"/>
      <c r="AG835" s="3"/>
      <c r="AH835" s="194"/>
      <c r="AI835" s="193"/>
      <c r="AJ835" s="194"/>
      <c r="AK835" s="130"/>
      <c r="AL835" s="203"/>
      <c r="AM835" s="203"/>
      <c r="AN835" s="3"/>
      <c r="AO835" s="3"/>
      <c r="AP835" s="137"/>
      <c r="AQ835" s="132"/>
      <c r="AR835" s="132"/>
      <c r="AS835" s="3"/>
      <c r="AT835" s="3"/>
      <c r="AU835" s="3"/>
      <c r="AV835" s="3"/>
      <c r="AW835" s="192"/>
      <c r="AX835" s="133"/>
      <c r="AY835" s="195"/>
      <c r="AZ835" s="40"/>
      <c r="BA835" s="40"/>
      <c r="BB835" s="40"/>
      <c r="BC835" s="40"/>
      <c r="BD835" s="135"/>
      <c r="BE835" s="135"/>
      <c r="BF835" s="40"/>
      <c r="BG835" s="135"/>
      <c r="BH835" s="135"/>
      <c r="BI835" s="49"/>
      <c r="BJ835" s="49"/>
      <c r="BK835" s="66"/>
      <c r="BL835" s="66"/>
      <c r="BM835" s="51"/>
      <c r="BN835" s="51"/>
      <c r="BO835" s="136"/>
      <c r="BP835" s="40"/>
      <c r="BQ835" s="40"/>
      <c r="BR835" s="67"/>
      <c r="BS835" s="54"/>
      <c r="BT835" s="3"/>
      <c r="BU835" s="3"/>
      <c r="BV835" s="3"/>
      <c r="BW835" s="3"/>
      <c r="BX835" s="70"/>
      <c r="BY835" s="70"/>
      <c r="BZ835" s="59"/>
      <c r="CA835" s="59"/>
      <c r="CB835" s="59"/>
      <c r="CC835" s="59"/>
      <c r="CD835" s="60"/>
      <c r="CE835" s="60"/>
      <c r="CF835" s="61"/>
      <c r="CG835" s="61"/>
      <c r="CH835" s="61"/>
      <c r="CI835" s="41"/>
      <c r="CJ835" s="40"/>
      <c r="CK835" s="3"/>
      <c r="CL835" s="62"/>
      <c r="CM835" s="63"/>
      <c r="CN835" s="3"/>
      <c r="CO835" s="3"/>
      <c r="CP835" s="41"/>
      <c r="CQ835" s="3"/>
      <c r="CR835" s="40"/>
      <c r="CS835" s="40"/>
      <c r="CT835" s="40"/>
      <c r="CU835" s="40"/>
      <c r="CV835" s="40"/>
      <c r="CW835" s="40"/>
      <c r="CX835" s="40"/>
      <c r="CY835" s="40"/>
    </row>
    <row r="836" spans="1:103" ht="18.95" customHeight="1">
      <c r="A836" s="3">
        <v>929</v>
      </c>
      <c r="B836" s="92" t="s">
        <v>199</v>
      </c>
      <c r="C836" s="3" t="s">
        <v>104</v>
      </c>
      <c r="D836" s="202" t="s">
        <v>215</v>
      </c>
      <c r="E836" s="39">
        <v>45460</v>
      </c>
      <c r="F836" s="3" t="s">
        <v>186</v>
      </c>
      <c r="G836" s="3" t="s">
        <v>107</v>
      </c>
      <c r="H836" s="3">
        <v>2006</v>
      </c>
      <c r="I836" s="40" t="str">
        <f t="shared" si="11"/>
        <v>U18</v>
      </c>
      <c r="J836" s="84" t="s">
        <v>120</v>
      </c>
      <c r="K836" s="3"/>
      <c r="L836" s="3"/>
      <c r="M836" s="3"/>
      <c r="N836" s="3"/>
      <c r="O836" s="3"/>
      <c r="P836" s="3"/>
      <c r="Q836" s="3"/>
      <c r="R836" s="3"/>
      <c r="S836" s="3"/>
      <c r="T836" s="42"/>
      <c r="U836" s="188"/>
      <c r="V836" s="199"/>
      <c r="W836" s="73"/>
      <c r="X836" s="43"/>
      <c r="Y836" s="192"/>
      <c r="Z836" s="3"/>
      <c r="AA836" s="192"/>
      <c r="AB836" s="3"/>
      <c r="AC836" s="3"/>
      <c r="AD836" s="3"/>
      <c r="AE836" s="3"/>
      <c r="AF836" s="3"/>
      <c r="AG836" s="3"/>
      <c r="AH836" s="194"/>
      <c r="AI836" s="193"/>
      <c r="AJ836" s="194"/>
      <c r="AK836" s="130"/>
      <c r="AL836" s="203"/>
      <c r="AM836" s="203"/>
      <c r="AN836" s="3"/>
      <c r="AO836" s="3"/>
      <c r="AP836" s="137"/>
      <c r="AQ836" s="132"/>
      <c r="AR836" s="132"/>
      <c r="AS836" s="3"/>
      <c r="AT836" s="3"/>
      <c r="AU836" s="3"/>
      <c r="AV836" s="3"/>
      <c r="AW836" s="192"/>
      <c r="AX836" s="133"/>
      <c r="AY836" s="195"/>
      <c r="AZ836" s="40"/>
      <c r="BA836" s="40"/>
      <c r="BB836" s="40"/>
      <c r="BC836" s="40"/>
      <c r="BD836" s="135"/>
      <c r="BE836" s="135"/>
      <c r="BF836" s="40"/>
      <c r="BG836" s="135"/>
      <c r="BH836" s="135"/>
      <c r="BI836" s="49"/>
      <c r="BJ836" s="49"/>
      <c r="BK836" s="66"/>
      <c r="BL836" s="66"/>
      <c r="BM836" s="51"/>
      <c r="BN836" s="51"/>
      <c r="BO836" s="136"/>
      <c r="BP836" s="40"/>
      <c r="BQ836" s="40"/>
      <c r="BR836" s="67"/>
      <c r="BS836" s="54"/>
      <c r="BT836" s="3"/>
      <c r="BU836" s="3"/>
      <c r="BV836" s="3"/>
      <c r="BW836" s="3"/>
      <c r="BX836" s="70"/>
      <c r="BY836" s="70"/>
      <c r="BZ836" s="59"/>
      <c r="CA836" s="59"/>
      <c r="CB836" s="59"/>
      <c r="CC836" s="59"/>
      <c r="CD836" s="60"/>
      <c r="CE836" s="60"/>
      <c r="CF836" s="61"/>
      <c r="CG836" s="61"/>
      <c r="CH836" s="61"/>
      <c r="CI836" s="41"/>
      <c r="CJ836" s="40"/>
      <c r="CK836" s="3"/>
      <c r="CL836" s="62"/>
      <c r="CM836" s="63"/>
      <c r="CN836" s="3"/>
      <c r="CO836" s="3"/>
      <c r="CP836" s="41"/>
      <c r="CQ836" s="3"/>
      <c r="CR836" s="40"/>
      <c r="CS836" s="40"/>
      <c r="CT836" s="40"/>
      <c r="CU836" s="40"/>
      <c r="CV836" s="40"/>
      <c r="CW836" s="40"/>
      <c r="CX836" s="40"/>
      <c r="CY836" s="40"/>
    </row>
    <row r="837" spans="1:103" ht="18.95" customHeight="1">
      <c r="A837" s="3">
        <v>930</v>
      </c>
      <c r="B837" s="92" t="s">
        <v>199</v>
      </c>
      <c r="C837" s="3" t="s">
        <v>104</v>
      </c>
      <c r="D837" s="202" t="s">
        <v>215</v>
      </c>
      <c r="E837" s="39">
        <v>45460</v>
      </c>
      <c r="F837" s="3" t="s">
        <v>186</v>
      </c>
      <c r="G837" s="3" t="s">
        <v>107</v>
      </c>
      <c r="H837" s="3">
        <v>2006</v>
      </c>
      <c r="I837" s="40" t="str">
        <f t="shared" si="11"/>
        <v>U18</v>
      </c>
      <c r="J837" s="40" t="s">
        <v>120</v>
      </c>
      <c r="K837" s="3">
        <v>169.5</v>
      </c>
      <c r="L837" s="3">
        <v>169.5</v>
      </c>
      <c r="M837" s="3"/>
      <c r="N837" s="3">
        <v>163.1</v>
      </c>
      <c r="O837" s="3">
        <v>163.19999999999999</v>
      </c>
      <c r="P837" s="3"/>
      <c r="Q837" s="3">
        <v>59.2</v>
      </c>
      <c r="R837" s="3">
        <v>59.2</v>
      </c>
      <c r="S837" s="3"/>
      <c r="T837" s="42">
        <v>169.5</v>
      </c>
      <c r="U837" s="188" cm="1">
        <f t="array" ref="U837">AVERAGE(paper3[[#This Row],[Sittende høyde 1]:[Sittende høyde 2]]-70.2)</f>
        <v>92.949999999999989</v>
      </c>
      <c r="V837" s="12">
        <f>paper3[[#This Row],[height]]-paper3[[#This Row],[sittingheight]]</f>
        <v>76.550000000000011</v>
      </c>
      <c r="W837" s="73">
        <v>59.2</v>
      </c>
      <c r="X837" s="43" cm="1">
        <f t="array" ref="X837">INDEX([1]!phvny[yphv], MATCH(1, (paper3[[#This Row],[id]]=[1]!phvny[id])*(paper3[[#This Row],[time]]=[1]!phvny[time]), 0))</f>
        <v>4.7769941138596366</v>
      </c>
      <c r="Y837" s="192">
        <v>1.724</v>
      </c>
      <c r="Z837" s="3">
        <v>3.1669999999999998</v>
      </c>
      <c r="AA837" s="192">
        <v>4.5339999999999998</v>
      </c>
      <c r="AB837" s="3">
        <v>1.732</v>
      </c>
      <c r="AC837" s="3">
        <v>3.2109999999999999</v>
      </c>
      <c r="AD837" s="3">
        <v>4.6070000000000002</v>
      </c>
      <c r="AE837" s="3">
        <v>1.6970000000000001</v>
      </c>
      <c r="AF837" s="3">
        <v>3.1890000000000001</v>
      </c>
      <c r="AG837" s="3">
        <v>4.5970000000000004</v>
      </c>
      <c r="AH837" s="194">
        <v>1.6970000000000001</v>
      </c>
      <c r="AI837" s="193">
        <v>3.1669999999999998</v>
      </c>
      <c r="AJ837" s="194">
        <v>4.5339999999999998</v>
      </c>
      <c r="AK837" s="130"/>
      <c r="AL837" s="203">
        <v>9.6999999999999993</v>
      </c>
      <c r="AM837" s="203">
        <v>9.82</v>
      </c>
      <c r="AN837" s="3">
        <v>9.85</v>
      </c>
      <c r="AO837" s="3">
        <v>10.36</v>
      </c>
      <c r="AP837" s="137">
        <f>MIN(AQ837:AR837)</f>
        <v>9.6999999999999993</v>
      </c>
      <c r="AQ837" s="132">
        <v>9.6999999999999993</v>
      </c>
      <c r="AR837" s="132">
        <v>9.85</v>
      </c>
      <c r="AS837" s="3"/>
      <c r="AT837" s="3"/>
      <c r="AU837" s="3"/>
      <c r="AV837" s="3"/>
      <c r="AW837" s="192"/>
      <c r="AX837" s="133">
        <v>24.3</v>
      </c>
      <c r="AY837" s="195" t="s">
        <v>256</v>
      </c>
      <c r="AZ837" s="40" t="s">
        <v>257</v>
      </c>
      <c r="BA837" s="40"/>
      <c r="BB837" s="40"/>
      <c r="BC837" s="40"/>
      <c r="BD837" s="135">
        <v>1035.2885359874131</v>
      </c>
      <c r="BE837" s="135">
        <v>1006.0016537026356</v>
      </c>
      <c r="BF837" s="40"/>
      <c r="BG837" s="135">
        <v>502.49188989874352</v>
      </c>
      <c r="BH837" s="135">
        <v>479.5366212469375</v>
      </c>
      <c r="BI837" s="49">
        <f>IFERROR(SUM(paper3[[#This Row],[Kraft ikke-dominant]:[Kraft dominant]]),"")</f>
        <v>2041.2901896900487</v>
      </c>
      <c r="BJ837" s="49">
        <f>IFERROR(SUM(paper3[[#This Row],[Pwr ikke-dominant]:[Pwr dominant]]),"")</f>
        <v>982.02851114568102</v>
      </c>
      <c r="BK837" s="66"/>
      <c r="BL837" s="66"/>
      <c r="BM837" s="51">
        <f>IFERROR(paper3[[#This Row],[totforce]]/paper3[[#This Row],[bodymass]],"")</f>
        <v>34.48125320422379</v>
      </c>
      <c r="BN837" s="51">
        <f>IFERROR(paper3[[#This Row],[totpwr]]/paper3[[#This Row],[bodymass]],"")</f>
        <v>16.588319445028397</v>
      </c>
      <c r="BO837" s="136"/>
      <c r="BP837" s="40"/>
      <c r="BQ837" s="40"/>
      <c r="BR837" s="67"/>
      <c r="BS837" s="54"/>
      <c r="BT837" s="3"/>
      <c r="BU837" s="3"/>
      <c r="BV837" s="3"/>
      <c r="BW837" s="3"/>
      <c r="BX837" s="70"/>
      <c r="BY837" s="70"/>
      <c r="BZ837" s="59"/>
      <c r="CA837" s="59"/>
      <c r="CB837" s="59"/>
      <c r="CC837" s="59"/>
      <c r="CD837" s="60"/>
      <c r="CE837" s="60"/>
      <c r="CF837" s="61"/>
      <c r="CG837" s="61"/>
      <c r="CH837" s="61"/>
      <c r="CI837" s="41">
        <v>15.7</v>
      </c>
      <c r="CJ837" s="40">
        <f>VLOOKUP(CI837,$DB:$DC,2)</f>
        <v>1040</v>
      </c>
      <c r="CK837" s="3"/>
      <c r="CL837" s="62"/>
      <c r="CM837" s="63"/>
      <c r="CN837" s="3"/>
      <c r="CO837" s="3"/>
      <c r="CP837" s="41">
        <v>17.258333333333333</v>
      </c>
      <c r="CQ837" s="3"/>
      <c r="CR837" s="40"/>
      <c r="CS837" s="40"/>
      <c r="CT837" s="40"/>
      <c r="CU837" s="40"/>
      <c r="CV837" s="40"/>
      <c r="CW837" s="40"/>
      <c r="CX837" s="40"/>
      <c r="CY837" s="40"/>
    </row>
    <row r="838" spans="1:103" ht="18.95" customHeight="1">
      <c r="A838" s="3">
        <v>931</v>
      </c>
      <c r="B838" s="92" t="s">
        <v>199</v>
      </c>
      <c r="C838" s="3" t="s">
        <v>171</v>
      </c>
      <c r="D838" s="46" t="s">
        <v>215</v>
      </c>
      <c r="E838" s="39">
        <v>45460</v>
      </c>
      <c r="F838" s="3" t="s">
        <v>186</v>
      </c>
      <c r="G838" s="3" t="s">
        <v>122</v>
      </c>
      <c r="H838" s="3">
        <v>2006</v>
      </c>
      <c r="I838" s="40" t="s">
        <v>121</v>
      </c>
      <c r="J838" s="40" t="s">
        <v>160</v>
      </c>
      <c r="K838" s="3">
        <v>179</v>
      </c>
      <c r="L838" s="3">
        <v>179</v>
      </c>
      <c r="M838" s="3"/>
      <c r="N838" s="3">
        <v>162.5</v>
      </c>
      <c r="O838" s="3">
        <v>162.5</v>
      </c>
      <c r="P838" s="3"/>
      <c r="Q838" s="3">
        <v>79.7</v>
      </c>
      <c r="R838" s="3">
        <v>79.7</v>
      </c>
      <c r="S838" s="3"/>
      <c r="T838" s="42">
        <v>179</v>
      </c>
      <c r="U838" s="188" cm="1">
        <f t="array" ref="U838">AVERAGE(paper3[[#This Row],[Sittende høyde 1]:[Sittende høyde 2]]-70.2)</f>
        <v>92.3</v>
      </c>
      <c r="V838" s="12">
        <f>paper3[[#This Row],[height]]-paper3[[#This Row],[sittingheight]]</f>
        <v>86.7</v>
      </c>
      <c r="W838" s="73">
        <v>79.7</v>
      </c>
      <c r="X838" s="43" cm="1">
        <f t="array" ref="X838">INDEX([1]!phvny[yphv], MATCH(1, (paper3[[#This Row],[id]]=[1]!phvny[id])*(paper3[[#This Row],[time]]=[1]!phvny[time]), 0))</f>
        <v>3.1043204285617625</v>
      </c>
      <c r="Y838" s="192">
        <v>1.6160000000000001</v>
      </c>
      <c r="Z838" s="3">
        <v>2.9489999999999998</v>
      </c>
      <c r="AA838" s="192">
        <v>4.2140000000000004</v>
      </c>
      <c r="AB838" s="3">
        <v>1.579</v>
      </c>
      <c r="AC838" s="3">
        <v>2.9039999999999999</v>
      </c>
      <c r="AD838" s="3">
        <v>4.1669999999999998</v>
      </c>
      <c r="AE838" s="3">
        <v>1.667</v>
      </c>
      <c r="AF838" s="3">
        <v>2.9969999999999999</v>
      </c>
      <c r="AG838" s="3">
        <v>4.25</v>
      </c>
      <c r="AH838" s="194">
        <v>1.579</v>
      </c>
      <c r="AI838" s="193">
        <v>2.9039999999999999</v>
      </c>
      <c r="AJ838" s="194">
        <v>4.1669999999999998</v>
      </c>
      <c r="AK838" s="130"/>
      <c r="AL838" s="203"/>
      <c r="AM838" s="203"/>
      <c r="AN838" s="3"/>
      <c r="AO838" s="3"/>
      <c r="AP838" s="137"/>
      <c r="AQ838" s="132"/>
      <c r="AR838" s="132"/>
      <c r="AS838" s="3"/>
      <c r="AT838" s="3"/>
      <c r="AU838" s="3"/>
      <c r="AV838" s="3"/>
      <c r="AW838" s="192"/>
      <c r="AX838" s="133">
        <v>33.299999999999997</v>
      </c>
      <c r="AY838" s="195"/>
      <c r="AZ838" s="40" t="s">
        <v>258</v>
      </c>
      <c r="BA838" s="40">
        <v>9</v>
      </c>
      <c r="BB838" s="40"/>
      <c r="BC838" s="40"/>
      <c r="BD838" s="135">
        <v>1631.2784291435805</v>
      </c>
      <c r="BE838" s="135">
        <v>1651.269751568525</v>
      </c>
      <c r="BF838" s="40"/>
      <c r="BG838" s="135">
        <v>818.83022691681742</v>
      </c>
      <c r="BH838" s="135">
        <v>853.89143387893409</v>
      </c>
      <c r="BI838" s="49">
        <f>IFERROR(SUM(paper3[[#This Row],[Kraft ikke-dominant]:[Kraft dominant]]),"")</f>
        <v>3282.5481807121055</v>
      </c>
      <c r="BJ838" s="49">
        <f>IFERROR(SUM(paper3[[#This Row],[Pwr ikke-dominant]:[Pwr dominant]]),"")</f>
        <v>1672.7216607957516</v>
      </c>
      <c r="BK838" s="66"/>
      <c r="BL838" s="66"/>
      <c r="BM838" s="51">
        <f>IFERROR(paper3[[#This Row],[totforce]]/paper3[[#This Row],[bodymass]],"")</f>
        <v>41.186300887228427</v>
      </c>
      <c r="BN838" s="51">
        <f>IFERROR(paper3[[#This Row],[totpwr]]/paper3[[#This Row],[bodymass]],"")</f>
        <v>20.98772472767568</v>
      </c>
      <c r="BO838" s="136"/>
      <c r="BP838" s="40"/>
      <c r="BQ838" s="40"/>
      <c r="BR838" s="67"/>
      <c r="BS838" s="54"/>
      <c r="BT838" s="3"/>
      <c r="BU838" s="3"/>
      <c r="BV838" s="3"/>
      <c r="BW838" s="3"/>
      <c r="BX838" s="70"/>
      <c r="BY838" s="70"/>
      <c r="BZ838" s="59"/>
      <c r="CA838" s="59"/>
      <c r="CB838" s="59"/>
      <c r="CC838" s="59"/>
      <c r="CD838" s="60"/>
      <c r="CE838" s="60"/>
      <c r="CF838" s="61"/>
      <c r="CG838" s="61"/>
      <c r="CH838" s="61"/>
      <c r="CI838" s="41"/>
      <c r="CJ838" s="40"/>
      <c r="CK838" s="3"/>
      <c r="CL838" s="62"/>
      <c r="CM838" s="63"/>
      <c r="CN838" s="3"/>
      <c r="CO838" s="3"/>
      <c r="CP838" s="41">
        <f>_xlfn.MAXIFS([1]!phvny[age],[1]!phvny[id],paper3[[#This Row],[id]],[1]!phvny[time],paper3[[#This Row],[time]])</f>
        <v>17.538888888888888</v>
      </c>
      <c r="CQ838" s="3"/>
      <c r="CR838" s="40"/>
      <c r="CS838" s="40"/>
      <c r="CT838" s="40"/>
      <c r="CU838" s="40"/>
      <c r="CV838" s="40"/>
      <c r="CW838" s="40"/>
      <c r="CX838" s="40"/>
      <c r="CY838" s="40"/>
    </row>
    <row r="839" spans="1:103" ht="18.95" customHeight="1">
      <c r="A839" s="3">
        <v>932</v>
      </c>
      <c r="B839" s="92" t="s">
        <v>199</v>
      </c>
      <c r="C839" s="3" t="s">
        <v>104</v>
      </c>
      <c r="D839" s="46" t="s">
        <v>215</v>
      </c>
      <c r="E839" s="39">
        <v>45460</v>
      </c>
      <c r="F839" s="3" t="s">
        <v>186</v>
      </c>
      <c r="G839" s="3" t="s">
        <v>122</v>
      </c>
      <c r="H839" s="3">
        <v>2006</v>
      </c>
      <c r="I839" s="40" t="s">
        <v>121</v>
      </c>
      <c r="J839" s="40" t="s">
        <v>160</v>
      </c>
      <c r="K839" s="3"/>
      <c r="L839" s="3"/>
      <c r="M839" s="3"/>
      <c r="N839" s="3"/>
      <c r="O839" s="3"/>
      <c r="P839" s="3"/>
      <c r="Q839" s="3"/>
      <c r="R839" s="3"/>
      <c r="S839" s="3"/>
      <c r="T839" s="42"/>
      <c r="U839" s="188"/>
      <c r="V839" s="199"/>
      <c r="W839" s="73"/>
      <c r="X839" s="43"/>
      <c r="Y839" s="192"/>
      <c r="Z839" s="3"/>
      <c r="AA839" s="192"/>
      <c r="AB839" s="3"/>
      <c r="AC839" s="3"/>
      <c r="AD839" s="3"/>
      <c r="AE839" s="3"/>
      <c r="AF839" s="3"/>
      <c r="AG839" s="3"/>
      <c r="AH839" s="194"/>
      <c r="AI839" s="193"/>
      <c r="AJ839" s="194"/>
      <c r="AK839" s="130"/>
      <c r="AL839" s="203"/>
      <c r="AM839" s="203"/>
      <c r="AN839" s="3"/>
      <c r="AO839" s="3"/>
      <c r="AP839" s="137"/>
      <c r="AQ839" s="132"/>
      <c r="AR839" s="132"/>
      <c r="AS839" s="3"/>
      <c r="AT839" s="3"/>
      <c r="AU839" s="3"/>
      <c r="AV839" s="3"/>
      <c r="AW839" s="192"/>
      <c r="AX839" s="133"/>
      <c r="AY839" s="195"/>
      <c r="AZ839" s="40"/>
      <c r="BA839" s="40"/>
      <c r="BB839" s="40"/>
      <c r="BC839" s="40"/>
      <c r="BD839" s="135"/>
      <c r="BE839" s="135"/>
      <c r="BF839" s="40"/>
      <c r="BG839" s="135"/>
      <c r="BH839" s="135"/>
      <c r="BI839" s="49"/>
      <c r="BJ839" s="49"/>
      <c r="BK839" s="66"/>
      <c r="BL839" s="66"/>
      <c r="BM839" s="51"/>
      <c r="BN839" s="51"/>
      <c r="BO839" s="136"/>
      <c r="BP839" s="40"/>
      <c r="BQ839" s="40"/>
      <c r="BR839" s="67"/>
      <c r="BS839" s="54"/>
      <c r="BT839" s="3"/>
      <c r="BU839" s="3"/>
      <c r="BV839" s="3"/>
      <c r="BW839" s="3"/>
      <c r="BX839" s="70"/>
      <c r="BY839" s="70"/>
      <c r="BZ839" s="59"/>
      <c r="CA839" s="59"/>
      <c r="CB839" s="59"/>
      <c r="CC839" s="59"/>
      <c r="CD839" s="60"/>
      <c r="CE839" s="60"/>
      <c r="CF839" s="61"/>
      <c r="CG839" s="61"/>
      <c r="CH839" s="61"/>
      <c r="CI839" s="41"/>
      <c r="CJ839" s="40"/>
      <c r="CK839" s="3"/>
      <c r="CL839" s="62"/>
      <c r="CM839" s="63"/>
      <c r="CN839" s="3"/>
      <c r="CO839" s="3"/>
      <c r="CP839" s="41"/>
      <c r="CQ839" s="3"/>
      <c r="CR839" s="40"/>
      <c r="CS839" s="40"/>
      <c r="CT839" s="40"/>
      <c r="CU839" s="40"/>
      <c r="CV839" s="40"/>
      <c r="CW839" s="40"/>
      <c r="CX839" s="40"/>
      <c r="CY839" s="40"/>
    </row>
    <row r="840" spans="1:103" ht="18.95" customHeight="1">
      <c r="A840" s="3">
        <v>933</v>
      </c>
      <c r="B840" s="92" t="s">
        <v>199</v>
      </c>
      <c r="C840" s="3" t="s">
        <v>104</v>
      </c>
      <c r="D840" s="46" t="s">
        <v>215</v>
      </c>
      <c r="E840" s="39">
        <v>45460</v>
      </c>
      <c r="F840" s="3" t="s">
        <v>186</v>
      </c>
      <c r="G840" s="3" t="s">
        <v>122</v>
      </c>
      <c r="H840" s="3">
        <v>2006</v>
      </c>
      <c r="I840" s="40" t="s">
        <v>121</v>
      </c>
      <c r="J840" s="40" t="s">
        <v>160</v>
      </c>
      <c r="K840" s="3">
        <v>185.8</v>
      </c>
      <c r="L840" s="3">
        <v>185.8</v>
      </c>
      <c r="M840" s="3"/>
      <c r="N840" s="3">
        <v>167.5</v>
      </c>
      <c r="O840" s="3">
        <v>167.5</v>
      </c>
      <c r="P840" s="3"/>
      <c r="Q840" s="3">
        <v>82.8</v>
      </c>
      <c r="R840" s="3">
        <v>82.8</v>
      </c>
      <c r="S840" s="3"/>
      <c r="T840" s="42">
        <v>185.8</v>
      </c>
      <c r="U840" s="188" cm="1">
        <f t="array" ref="U840">AVERAGE(paper3[[#This Row],[Sittende høyde 1]:[Sittende høyde 2]]-70.2)</f>
        <v>97.3</v>
      </c>
      <c r="V840" s="12">
        <f>paper3[[#This Row],[height]]-paper3[[#This Row],[sittingheight]]</f>
        <v>88.500000000000014</v>
      </c>
      <c r="W840" s="73">
        <v>82.8</v>
      </c>
      <c r="X840" s="43" cm="1">
        <f t="array" ref="X840">INDEX([1]!phvny[yphv], MATCH(1, (paper3[[#This Row],[id]]=[1]!phvny[id])*(paper3[[#This Row],[time]]=[1]!phvny[time]), 0))</f>
        <v>4.214128958332136</v>
      </c>
      <c r="Y840" s="192">
        <v>1.597</v>
      </c>
      <c r="Z840" s="3">
        <v>2.8759999999999999</v>
      </c>
      <c r="AA840" s="192">
        <v>4.0720000000000001</v>
      </c>
      <c r="AB840" s="3">
        <v>1.569</v>
      </c>
      <c r="AC840" s="3">
        <v>2.867</v>
      </c>
      <c r="AD840" s="3">
        <v>4.0439999999999996</v>
      </c>
      <c r="AE840" s="3">
        <v>1.587</v>
      </c>
      <c r="AF840" s="3">
        <v>2.8740000000000001</v>
      </c>
      <c r="AG840" s="3">
        <v>4.0599999999999996</v>
      </c>
      <c r="AH840" s="194">
        <v>1.569</v>
      </c>
      <c r="AI840" s="193">
        <v>2.867</v>
      </c>
      <c r="AJ840" s="194">
        <v>4.0439999999999996</v>
      </c>
      <c r="AK840" s="130"/>
      <c r="AL840" s="203">
        <v>9.1999999999999993</v>
      </c>
      <c r="AM840" s="203">
        <v>8.9700000000000006</v>
      </c>
      <c r="AN840" s="3">
        <v>9.33</v>
      </c>
      <c r="AO840" s="3">
        <v>9.3000000000000007</v>
      </c>
      <c r="AP840" s="137">
        <f>MIN(AQ840:AR840)</f>
        <v>8.9700000000000006</v>
      </c>
      <c r="AQ840" s="132">
        <v>8.9700000000000006</v>
      </c>
      <c r="AR840" s="132">
        <v>9.3000000000000007</v>
      </c>
      <c r="AS840" s="3"/>
      <c r="AT840" s="3"/>
      <c r="AU840" s="3"/>
      <c r="AV840" s="3"/>
      <c r="AW840" s="192"/>
      <c r="AX840" s="133">
        <v>38.4</v>
      </c>
      <c r="AY840" s="195" t="s">
        <v>259</v>
      </c>
      <c r="AZ840" s="40">
        <v>9</v>
      </c>
      <c r="BA840" s="40" t="s">
        <v>260</v>
      </c>
      <c r="BB840" s="40"/>
      <c r="BC840" s="40"/>
      <c r="BD840" s="135"/>
      <c r="BE840" s="135"/>
      <c r="BF840" s="40"/>
      <c r="BG840" s="135"/>
      <c r="BH840" s="135"/>
      <c r="BI840" s="49"/>
      <c r="BJ840" s="49"/>
      <c r="BK840" s="66"/>
      <c r="BL840" s="66"/>
      <c r="BM840" s="51"/>
      <c r="BN840" s="51"/>
      <c r="BO840" s="136"/>
      <c r="BP840" s="40"/>
      <c r="BQ840" s="40"/>
      <c r="BR840" s="67"/>
      <c r="BS840" s="54"/>
      <c r="BT840" s="3"/>
      <c r="BU840" s="3"/>
      <c r="BV840" s="3"/>
      <c r="BW840" s="3"/>
      <c r="BX840" s="70"/>
      <c r="BY840" s="70"/>
      <c r="BZ840" s="59"/>
      <c r="CA840" s="59"/>
      <c r="CB840" s="59"/>
      <c r="CC840" s="59"/>
      <c r="CD840" s="60"/>
      <c r="CE840" s="60"/>
      <c r="CF840" s="61"/>
      <c r="CG840" s="61"/>
      <c r="CH840" s="61"/>
      <c r="CI840" s="41">
        <v>17.5</v>
      </c>
      <c r="CJ840" s="40">
        <f>VLOOKUP(CI840,$DB:$DC,2)</f>
        <v>1600</v>
      </c>
      <c r="CK840" s="3"/>
      <c r="CL840" s="62"/>
      <c r="CM840" s="63"/>
      <c r="CN840" s="3"/>
      <c r="CO840" s="3"/>
      <c r="CP840" s="41">
        <f>_xlfn.MAXIFS([1]!phvny[age],[1]!phvny[id],paper3[[#This Row],[id]],[1]!phvny[time],paper3[[#This Row],[time]])</f>
        <v>18.194444444444443</v>
      </c>
      <c r="CQ840" s="3"/>
      <c r="CR840" s="40"/>
      <c r="CS840" s="40"/>
      <c r="CT840" s="40"/>
      <c r="CU840" s="40"/>
      <c r="CV840" s="40"/>
      <c r="CW840" s="40"/>
      <c r="CX840" s="40"/>
      <c r="CY840" s="40"/>
    </row>
    <row r="841" spans="1:103" ht="18.95" customHeight="1">
      <c r="A841" s="3">
        <v>934</v>
      </c>
      <c r="B841" s="92" t="s">
        <v>199</v>
      </c>
      <c r="C841" s="3" t="s">
        <v>104</v>
      </c>
      <c r="D841" s="46" t="s">
        <v>215</v>
      </c>
      <c r="E841" s="39">
        <v>45460</v>
      </c>
      <c r="F841" s="3" t="s">
        <v>186</v>
      </c>
      <c r="G841" s="3" t="s">
        <v>122</v>
      </c>
      <c r="H841" s="3">
        <v>2005</v>
      </c>
      <c r="I841" s="40" t="s">
        <v>121</v>
      </c>
      <c r="J841" s="40" t="s">
        <v>160</v>
      </c>
      <c r="K841" s="3"/>
      <c r="L841" s="3"/>
      <c r="M841" s="3"/>
      <c r="N841" s="3"/>
      <c r="O841" s="3"/>
      <c r="P841" s="3"/>
      <c r="Q841" s="3"/>
      <c r="R841" s="3"/>
      <c r="S841" s="3"/>
      <c r="T841" s="42"/>
      <c r="U841" s="188"/>
      <c r="V841" s="199"/>
      <c r="W841" s="73"/>
      <c r="X841" s="43"/>
      <c r="Y841" s="192"/>
      <c r="Z841" s="3"/>
      <c r="AA841" s="192"/>
      <c r="AB841" s="3"/>
      <c r="AC841" s="3"/>
      <c r="AD841" s="3"/>
      <c r="AE841" s="3"/>
      <c r="AF841" s="3"/>
      <c r="AG841" s="3"/>
      <c r="AH841" s="194"/>
      <c r="AI841" s="193"/>
      <c r="AJ841" s="194"/>
      <c r="AK841" s="130"/>
      <c r="AL841" s="203"/>
      <c r="AM841" s="203"/>
      <c r="AN841" s="3"/>
      <c r="AO841" s="3"/>
      <c r="AP841" s="137"/>
      <c r="AQ841" s="132"/>
      <c r="AR841" s="132"/>
      <c r="AS841" s="3"/>
      <c r="AT841" s="3"/>
      <c r="AU841" s="3"/>
      <c r="AV841" s="3"/>
      <c r="AW841" s="192"/>
      <c r="AX841" s="133"/>
      <c r="AY841" s="195"/>
      <c r="AZ841" s="40"/>
      <c r="BA841" s="40"/>
      <c r="BB841" s="40"/>
      <c r="BC841" s="40"/>
      <c r="BD841" s="135"/>
      <c r="BE841" s="135"/>
      <c r="BF841" s="40"/>
      <c r="BG841" s="135"/>
      <c r="BH841" s="135"/>
      <c r="BI841" s="49"/>
      <c r="BJ841" s="49"/>
      <c r="BK841" s="66"/>
      <c r="BL841" s="66"/>
      <c r="BM841" s="51"/>
      <c r="BN841" s="51"/>
      <c r="BO841" s="136"/>
      <c r="BP841" s="40"/>
      <c r="BQ841" s="40"/>
      <c r="BR841" s="67"/>
      <c r="BS841" s="54"/>
      <c r="BT841" s="3"/>
      <c r="BU841" s="3"/>
      <c r="BV841" s="3"/>
      <c r="BW841" s="3"/>
      <c r="BX841" s="70"/>
      <c r="BY841" s="70"/>
      <c r="BZ841" s="59"/>
      <c r="CA841" s="59"/>
      <c r="CB841" s="59"/>
      <c r="CC841" s="59"/>
      <c r="CD841" s="60"/>
      <c r="CE841" s="60"/>
      <c r="CF841" s="61"/>
      <c r="CG841" s="61"/>
      <c r="CH841" s="61"/>
      <c r="CI841" s="41"/>
      <c r="CJ841" s="40"/>
      <c r="CK841" s="3"/>
      <c r="CL841" s="62"/>
      <c r="CM841" s="63"/>
      <c r="CN841" s="3"/>
      <c r="CO841" s="3"/>
      <c r="CP841" s="41"/>
      <c r="CQ841" s="3"/>
      <c r="CR841" s="40"/>
      <c r="CS841" s="40"/>
      <c r="CT841" s="40"/>
      <c r="CU841" s="40"/>
      <c r="CV841" s="40"/>
      <c r="CW841" s="40"/>
      <c r="CX841" s="40"/>
      <c r="CY841" s="40"/>
    </row>
    <row r="842" spans="1:103" ht="18.95" customHeight="1">
      <c r="A842" s="3">
        <v>935</v>
      </c>
      <c r="B842" s="92" t="s">
        <v>199</v>
      </c>
      <c r="C842" s="3" t="s">
        <v>104</v>
      </c>
      <c r="D842" s="46" t="s">
        <v>215</v>
      </c>
      <c r="E842" s="39">
        <v>45460</v>
      </c>
      <c r="F842" s="3" t="s">
        <v>186</v>
      </c>
      <c r="G842" s="3" t="s">
        <v>122</v>
      </c>
      <c r="H842" s="3">
        <v>2006</v>
      </c>
      <c r="I842" s="40" t="s">
        <v>121</v>
      </c>
      <c r="J842" s="40" t="s">
        <v>160</v>
      </c>
      <c r="K842" s="3">
        <v>163.5</v>
      </c>
      <c r="L842" s="3">
        <v>163.5</v>
      </c>
      <c r="M842" s="3"/>
      <c r="N842" s="3">
        <v>156.6</v>
      </c>
      <c r="O842" s="3">
        <v>156.6</v>
      </c>
      <c r="P842" s="3"/>
      <c r="Q842" s="3">
        <v>62.3</v>
      </c>
      <c r="R842" s="3">
        <v>62.3</v>
      </c>
      <c r="S842" s="3"/>
      <c r="T842" s="42">
        <v>163.5</v>
      </c>
      <c r="U842" s="188" cm="1">
        <f t="array" ref="U842">AVERAGE(paper3[[#This Row],[Sittende høyde 1]:[Sittende høyde 2]]-70.2)</f>
        <v>86.399999999999991</v>
      </c>
      <c r="V842" s="12">
        <f>paper3[[#This Row],[height]]-paper3[[#This Row],[sittingheight]]</f>
        <v>77.100000000000009</v>
      </c>
      <c r="W842" s="73">
        <v>62.3</v>
      </c>
      <c r="X842" s="43" cm="1">
        <f t="array" ref="X842">INDEX([1]!phvny[yphv], MATCH(1, (paper3[[#This Row],[id]]=[1]!phvny[id])*(paper3[[#This Row],[time]]=[1]!phvny[time]), 0))</f>
        <v>2.3749324029327195</v>
      </c>
      <c r="Y842" s="192">
        <v>1.657</v>
      </c>
      <c r="Z842" s="3">
        <v>2.9929999999999999</v>
      </c>
      <c r="AA842" s="192">
        <v>4.2320000000000002</v>
      </c>
      <c r="AB842" s="3">
        <v>1.6339999999999999</v>
      </c>
      <c r="AC842" s="3">
        <v>3.02</v>
      </c>
      <c r="AD842" s="3">
        <v>4.2670000000000003</v>
      </c>
      <c r="AE842" s="3">
        <v>1.7350000000000001</v>
      </c>
      <c r="AF842" s="3">
        <v>3.085</v>
      </c>
      <c r="AG842" s="3">
        <v>4.3499999999999996</v>
      </c>
      <c r="AH842" s="194">
        <v>1.6339999999999999</v>
      </c>
      <c r="AI842" s="193">
        <v>2.9929999999999999</v>
      </c>
      <c r="AJ842" s="194">
        <v>4.2320000000000002</v>
      </c>
      <c r="AK842" s="130"/>
      <c r="AL842" s="203">
        <v>9.75</v>
      </c>
      <c r="AM842" s="203">
        <v>9.51</v>
      </c>
      <c r="AN842" s="3">
        <v>10.02</v>
      </c>
      <c r="AO842" s="3">
        <v>9.6199999999999992</v>
      </c>
      <c r="AP842" s="137">
        <f>MIN(AQ842:AR842)</f>
        <v>9.51</v>
      </c>
      <c r="AQ842" s="132">
        <v>9.51</v>
      </c>
      <c r="AR842" s="132">
        <v>9.6199999999999992</v>
      </c>
      <c r="AS842" s="3"/>
      <c r="AT842" s="3"/>
      <c r="AU842" s="3"/>
      <c r="AV842" s="3"/>
      <c r="AW842" s="192"/>
      <c r="AX842" s="133">
        <v>33.200000000000003</v>
      </c>
      <c r="AY842" s="195" t="s">
        <v>258</v>
      </c>
      <c r="AZ842" s="40">
        <v>8</v>
      </c>
      <c r="BA842" s="40"/>
      <c r="BB842" s="40"/>
      <c r="BC842" s="40"/>
      <c r="BD842" s="135">
        <v>1110.2649114204303</v>
      </c>
      <c r="BE842" s="135">
        <v>1078.6211168463933</v>
      </c>
      <c r="BF842" s="40"/>
      <c r="BG842" s="135">
        <v>520.54597110883799</v>
      </c>
      <c r="BH842" s="135">
        <v>546.87672421687535</v>
      </c>
      <c r="BI842" s="49">
        <f>IFERROR(SUM(paper3[[#This Row],[Kraft ikke-dominant]:[Kraft dominant]]),"")</f>
        <v>2188.8860282668238</v>
      </c>
      <c r="BJ842" s="49">
        <f>IFERROR(SUM(paper3[[#This Row],[Pwr ikke-dominant]:[Pwr dominant]]),"")</f>
        <v>1067.4226953257134</v>
      </c>
      <c r="BK842" s="66"/>
      <c r="BL842" s="66"/>
      <c r="BM842" s="51">
        <f>IFERROR(paper3[[#This Row],[totforce]]/paper3[[#This Row],[bodymass]],"")</f>
        <v>35.134607195294123</v>
      </c>
      <c r="BN842" s="51">
        <f>IFERROR(paper3[[#This Row],[totpwr]]/paper3[[#This Row],[bodymass]],"")</f>
        <v>17.13359061517999</v>
      </c>
      <c r="BO842" s="136"/>
      <c r="BP842" s="40"/>
      <c r="BQ842" s="40"/>
      <c r="BR842" s="67"/>
      <c r="BS842" s="54"/>
      <c r="BT842" s="3"/>
      <c r="BU842" s="3"/>
      <c r="BV842" s="3"/>
      <c r="BW842" s="3"/>
      <c r="BX842" s="70"/>
      <c r="BY842" s="70"/>
      <c r="BZ842" s="59"/>
      <c r="CA842" s="59"/>
      <c r="CB842" s="59"/>
      <c r="CC842" s="59"/>
      <c r="CD842" s="60"/>
      <c r="CE842" s="60"/>
      <c r="CF842" s="61"/>
      <c r="CG842" s="61"/>
      <c r="CH842" s="61"/>
      <c r="CI842" s="41">
        <v>15.3</v>
      </c>
      <c r="CJ842" s="40">
        <f>VLOOKUP(CI842,$DB:$DC,2)</f>
        <v>880</v>
      </c>
      <c r="CK842" s="3"/>
      <c r="CL842" s="62"/>
      <c r="CM842" s="63"/>
      <c r="CN842" s="3"/>
      <c r="CO842" s="3"/>
      <c r="CP842" s="41">
        <f>_xlfn.MAXIFS([1]!phvny[age],[1]!phvny[id],paper3[[#This Row],[id]],[1]!phvny[time],paper3[[#This Row],[time]])</f>
        <v>18.038888888888888</v>
      </c>
      <c r="CQ842" s="3"/>
      <c r="CR842" s="40"/>
      <c r="CS842" s="40"/>
      <c r="CT842" s="40"/>
      <c r="CU842" s="40"/>
      <c r="CV842" s="40"/>
      <c r="CW842" s="40"/>
      <c r="CX842" s="40"/>
      <c r="CY842" s="40"/>
    </row>
    <row r="843" spans="1:103" ht="18.95" customHeight="1">
      <c r="A843" s="3">
        <v>936</v>
      </c>
      <c r="B843" s="92" t="s">
        <v>199</v>
      </c>
      <c r="C843" s="3" t="s">
        <v>104</v>
      </c>
      <c r="D843" s="46" t="s">
        <v>215</v>
      </c>
      <c r="E843" s="39">
        <v>45460</v>
      </c>
      <c r="F843" s="3" t="s">
        <v>186</v>
      </c>
      <c r="G843" s="3" t="s">
        <v>122</v>
      </c>
      <c r="H843" s="3">
        <v>2006</v>
      </c>
      <c r="I843" s="40" t="s">
        <v>121</v>
      </c>
      <c r="J843" s="40" t="s">
        <v>160</v>
      </c>
      <c r="K843" s="3"/>
      <c r="L843" s="3"/>
      <c r="M843" s="3"/>
      <c r="N843" s="3"/>
      <c r="O843" s="3"/>
      <c r="P843" s="3"/>
      <c r="Q843" s="3"/>
      <c r="R843" s="3"/>
      <c r="S843" s="3"/>
      <c r="T843" s="42"/>
      <c r="U843" s="188"/>
      <c r="V843" s="199"/>
      <c r="W843" s="73"/>
      <c r="X843" s="43"/>
      <c r="Y843" s="192"/>
      <c r="Z843" s="3"/>
      <c r="AA843" s="192"/>
      <c r="AB843" s="3"/>
      <c r="AC843" s="3"/>
      <c r="AD843" s="3"/>
      <c r="AE843" s="3"/>
      <c r="AF843" s="3"/>
      <c r="AG843" s="3"/>
      <c r="AH843" s="194"/>
      <c r="AI843" s="193"/>
      <c r="AJ843" s="194"/>
      <c r="AK843" s="130"/>
      <c r="AL843" s="203"/>
      <c r="AM843" s="203"/>
      <c r="AN843" s="3"/>
      <c r="AO843" s="3"/>
      <c r="AP843" s="137"/>
      <c r="AQ843" s="132"/>
      <c r="AR843" s="132"/>
      <c r="AS843" s="3"/>
      <c r="AT843" s="3"/>
      <c r="AU843" s="3"/>
      <c r="AV843" s="3"/>
      <c r="AW843" s="192"/>
      <c r="AX843" s="133"/>
      <c r="AY843" s="195"/>
      <c r="AZ843" s="40"/>
      <c r="BA843" s="40"/>
      <c r="BB843" s="40"/>
      <c r="BC843" s="40"/>
      <c r="BD843" s="135"/>
      <c r="BE843" s="135"/>
      <c r="BF843" s="40"/>
      <c r="BG843" s="135"/>
      <c r="BH843" s="135"/>
      <c r="BI843" s="49"/>
      <c r="BJ843" s="49"/>
      <c r="BK843" s="66"/>
      <c r="BL843" s="66"/>
      <c r="BM843" s="51"/>
      <c r="BN843" s="51"/>
      <c r="BO843" s="136"/>
      <c r="BP843" s="40"/>
      <c r="BQ843" s="40"/>
      <c r="BR843" s="67"/>
      <c r="BS843" s="54"/>
      <c r="BT843" s="3"/>
      <c r="BU843" s="3"/>
      <c r="BV843" s="3"/>
      <c r="BW843" s="3"/>
      <c r="BX843" s="70"/>
      <c r="BY843" s="70"/>
      <c r="BZ843" s="59"/>
      <c r="CA843" s="59"/>
      <c r="CB843" s="59"/>
      <c r="CC843" s="59"/>
      <c r="CD843" s="60"/>
      <c r="CE843" s="60"/>
      <c r="CF843" s="61"/>
      <c r="CG843" s="61"/>
      <c r="CH843" s="61"/>
      <c r="CI843" s="41"/>
      <c r="CJ843" s="40"/>
      <c r="CK843" s="3"/>
      <c r="CL843" s="62"/>
      <c r="CM843" s="63"/>
      <c r="CN843" s="3"/>
      <c r="CO843" s="3"/>
      <c r="CP843" s="41"/>
      <c r="CQ843" s="3"/>
      <c r="CR843" s="40"/>
      <c r="CS843" s="40"/>
      <c r="CT843" s="40"/>
      <c r="CU843" s="40"/>
      <c r="CV843" s="40"/>
      <c r="CW843" s="40"/>
      <c r="CX843" s="40"/>
      <c r="CY843" s="40"/>
    </row>
    <row r="844" spans="1:103" ht="18.95" customHeight="1">
      <c r="A844" s="3">
        <v>937</v>
      </c>
      <c r="B844" s="92" t="s">
        <v>199</v>
      </c>
      <c r="C844" s="3" t="s">
        <v>104</v>
      </c>
      <c r="D844" s="46" t="s">
        <v>215</v>
      </c>
      <c r="E844" s="39">
        <v>45460</v>
      </c>
      <c r="F844" s="3" t="s">
        <v>186</v>
      </c>
      <c r="G844" s="3" t="s">
        <v>122</v>
      </c>
      <c r="H844" s="3">
        <v>2006</v>
      </c>
      <c r="I844" s="40" t="s">
        <v>121</v>
      </c>
      <c r="J844" s="40" t="s">
        <v>160</v>
      </c>
      <c r="K844" s="3"/>
      <c r="L844" s="3"/>
      <c r="M844" s="3"/>
      <c r="N844" s="3"/>
      <c r="O844" s="3"/>
      <c r="P844" s="3"/>
      <c r="Q844" s="3"/>
      <c r="R844" s="3"/>
      <c r="S844" s="3"/>
      <c r="T844" s="42"/>
      <c r="U844" s="188"/>
      <c r="V844" s="199"/>
      <c r="W844" s="73"/>
      <c r="X844" s="43"/>
      <c r="Y844" s="192"/>
      <c r="Z844" s="3"/>
      <c r="AA844" s="192"/>
      <c r="AB844" s="3"/>
      <c r="AC844" s="3"/>
      <c r="AD844" s="3"/>
      <c r="AE844" s="3"/>
      <c r="AF844" s="3"/>
      <c r="AG844" s="3"/>
      <c r="AH844" s="194"/>
      <c r="AI844" s="193"/>
      <c r="AJ844" s="194"/>
      <c r="AK844" s="130"/>
      <c r="AL844" s="203"/>
      <c r="AM844" s="203"/>
      <c r="AN844" s="3"/>
      <c r="AO844" s="3"/>
      <c r="AP844" s="137"/>
      <c r="AQ844" s="132"/>
      <c r="AR844" s="132"/>
      <c r="AS844" s="3"/>
      <c r="AT844" s="3"/>
      <c r="AU844" s="3"/>
      <c r="AV844" s="3"/>
      <c r="AW844" s="192"/>
      <c r="AX844" s="133"/>
      <c r="AY844" s="195"/>
      <c r="AZ844" s="40"/>
      <c r="BA844" s="40"/>
      <c r="BB844" s="40"/>
      <c r="BC844" s="40"/>
      <c r="BD844" s="135"/>
      <c r="BE844" s="135"/>
      <c r="BF844" s="40"/>
      <c r="BG844" s="135"/>
      <c r="BH844" s="135"/>
      <c r="BI844" s="49"/>
      <c r="BJ844" s="49"/>
      <c r="BK844" s="66"/>
      <c r="BL844" s="66"/>
      <c r="BM844" s="51"/>
      <c r="BN844" s="51"/>
      <c r="BO844" s="136"/>
      <c r="BP844" s="40"/>
      <c r="BQ844" s="40"/>
      <c r="BR844" s="67"/>
      <c r="BS844" s="54"/>
      <c r="BT844" s="3"/>
      <c r="BU844" s="3"/>
      <c r="BV844" s="3"/>
      <c r="BW844" s="3"/>
      <c r="BX844" s="70"/>
      <c r="BY844" s="70"/>
      <c r="BZ844" s="59"/>
      <c r="CA844" s="59"/>
      <c r="CB844" s="59"/>
      <c r="CC844" s="59"/>
      <c r="CD844" s="60"/>
      <c r="CE844" s="60"/>
      <c r="CF844" s="61"/>
      <c r="CG844" s="61"/>
      <c r="CH844" s="61"/>
      <c r="CI844" s="41"/>
      <c r="CJ844" s="40"/>
      <c r="CK844" s="3"/>
      <c r="CL844" s="62"/>
      <c r="CM844" s="63"/>
      <c r="CN844" s="3"/>
      <c r="CO844" s="3"/>
      <c r="CP844" s="41"/>
      <c r="CQ844" s="3"/>
      <c r="CR844" s="40"/>
      <c r="CS844" s="40"/>
      <c r="CT844" s="40"/>
      <c r="CU844" s="40"/>
      <c r="CV844" s="40"/>
      <c r="CW844" s="40"/>
      <c r="CX844" s="40"/>
      <c r="CY844" s="40"/>
    </row>
    <row r="845" spans="1:103" ht="18.95" customHeight="1">
      <c r="A845" s="3">
        <v>938</v>
      </c>
      <c r="B845" s="92" t="s">
        <v>199</v>
      </c>
      <c r="C845" s="3" t="s">
        <v>104</v>
      </c>
      <c r="D845" s="46" t="s">
        <v>215</v>
      </c>
      <c r="E845" s="39">
        <v>45460</v>
      </c>
      <c r="F845" s="3" t="s">
        <v>186</v>
      </c>
      <c r="G845" s="3" t="s">
        <v>122</v>
      </c>
      <c r="H845" s="3">
        <v>2006</v>
      </c>
      <c r="I845" s="40" t="s">
        <v>121</v>
      </c>
      <c r="J845" s="40" t="s">
        <v>160</v>
      </c>
      <c r="K845" s="3"/>
      <c r="L845" s="3"/>
      <c r="M845" s="3"/>
      <c r="N845" s="3"/>
      <c r="O845" s="3"/>
      <c r="P845" s="3"/>
      <c r="Q845" s="3"/>
      <c r="R845" s="3"/>
      <c r="S845" s="3"/>
      <c r="T845" s="42"/>
      <c r="U845" s="188"/>
      <c r="V845" s="199"/>
      <c r="W845" s="73"/>
      <c r="X845" s="43"/>
      <c r="Y845" s="192"/>
      <c r="Z845" s="3"/>
      <c r="AA845" s="192"/>
      <c r="AB845" s="3"/>
      <c r="AC845" s="3"/>
      <c r="AD845" s="3"/>
      <c r="AE845" s="3"/>
      <c r="AF845" s="3"/>
      <c r="AG845" s="3"/>
      <c r="AH845" s="194"/>
      <c r="AI845" s="193"/>
      <c r="AJ845" s="194"/>
      <c r="AK845" s="130"/>
      <c r="AL845" s="203"/>
      <c r="AM845" s="203"/>
      <c r="AN845" s="3"/>
      <c r="AO845" s="3"/>
      <c r="AP845" s="137"/>
      <c r="AQ845" s="132"/>
      <c r="AR845" s="132"/>
      <c r="AS845" s="3"/>
      <c r="AT845" s="3"/>
      <c r="AU845" s="3"/>
      <c r="AV845" s="3"/>
      <c r="AW845" s="192"/>
      <c r="AX845" s="133"/>
      <c r="AY845" s="195"/>
      <c r="AZ845" s="40"/>
      <c r="BA845" s="40"/>
      <c r="BB845" s="40"/>
      <c r="BC845" s="40"/>
      <c r="BD845" s="135"/>
      <c r="BE845" s="135"/>
      <c r="BF845" s="40"/>
      <c r="BG845" s="135"/>
      <c r="BH845" s="135"/>
      <c r="BI845" s="49"/>
      <c r="BJ845" s="49"/>
      <c r="BK845" s="66"/>
      <c r="BL845" s="66"/>
      <c r="BM845" s="51" t="str">
        <f>IFERROR(paper3[[#This Row],[totforce]]/paper3[[#This Row],[bodymass]],"")</f>
        <v/>
      </c>
      <c r="BN845" s="51" t="str">
        <f>IFERROR(paper3[[#This Row],[totpwr]]/paper3[[#This Row],[bodymass]],"")</f>
        <v/>
      </c>
      <c r="BO845" s="136"/>
      <c r="BP845" s="40"/>
      <c r="BQ845" s="40"/>
      <c r="BR845" s="67"/>
      <c r="BS845" s="54"/>
      <c r="BT845" s="3"/>
      <c r="BU845" s="3"/>
      <c r="BV845" s="3"/>
      <c r="BW845" s="3"/>
      <c r="BX845" s="70"/>
      <c r="BY845" s="70"/>
      <c r="BZ845" s="59"/>
      <c r="CA845" s="59"/>
      <c r="CB845" s="59"/>
      <c r="CC845" s="59"/>
      <c r="CD845" s="60"/>
      <c r="CE845" s="60"/>
      <c r="CF845" s="61"/>
      <c r="CG845" s="61"/>
      <c r="CH845" s="61"/>
      <c r="CI845" s="41"/>
      <c r="CJ845" s="40"/>
      <c r="CK845" s="3"/>
      <c r="CL845" s="62"/>
      <c r="CM845" s="63"/>
      <c r="CN845" s="3"/>
      <c r="CO845" s="3"/>
      <c r="CP845" s="41"/>
      <c r="CQ845" s="3"/>
      <c r="CR845" s="40"/>
      <c r="CS845" s="40"/>
      <c r="CT845" s="40"/>
      <c r="CU845" s="40"/>
      <c r="CV845" s="40"/>
      <c r="CW845" s="40"/>
      <c r="CX845" s="40"/>
      <c r="CY845" s="40"/>
    </row>
    <row r="846" spans="1:103" ht="18.95" customHeight="1">
      <c r="A846" s="3">
        <v>939</v>
      </c>
      <c r="B846" s="92" t="s">
        <v>199</v>
      </c>
      <c r="C846" s="3" t="s">
        <v>104</v>
      </c>
      <c r="D846" s="46" t="s">
        <v>215</v>
      </c>
      <c r="E846" s="39">
        <v>45460</v>
      </c>
      <c r="F846" s="3" t="s">
        <v>186</v>
      </c>
      <c r="G846" s="3" t="s">
        <v>122</v>
      </c>
      <c r="H846" s="3">
        <v>2006</v>
      </c>
      <c r="I846" s="40" t="s">
        <v>121</v>
      </c>
      <c r="J846" s="40" t="s">
        <v>160</v>
      </c>
      <c r="K846" s="3"/>
      <c r="L846" s="3"/>
      <c r="M846" s="3"/>
      <c r="N846" s="3"/>
      <c r="O846" s="3"/>
      <c r="P846" s="3"/>
      <c r="Q846" s="3"/>
      <c r="R846" s="3"/>
      <c r="S846" s="3"/>
      <c r="T846" s="42"/>
      <c r="U846" s="188"/>
      <c r="V846" s="199"/>
      <c r="W846" s="73"/>
      <c r="X846" s="43"/>
      <c r="Y846" s="192"/>
      <c r="Z846" s="3"/>
      <c r="AA846" s="192"/>
      <c r="AB846" s="3"/>
      <c r="AC846" s="3"/>
      <c r="AD846" s="3"/>
      <c r="AE846" s="3"/>
      <c r="AF846" s="3"/>
      <c r="AG846" s="3"/>
      <c r="AH846" s="194"/>
      <c r="AI846" s="193"/>
      <c r="AJ846" s="194"/>
      <c r="AK846" s="130"/>
      <c r="AL846" s="203">
        <v>10.029999999999999</v>
      </c>
      <c r="AM846" s="203">
        <v>10.14</v>
      </c>
      <c r="AN846" s="3" t="s">
        <v>261</v>
      </c>
      <c r="AO846" s="3" t="s">
        <v>261</v>
      </c>
      <c r="AP846" s="137">
        <f>MIN(AQ846:AR846)</f>
        <v>10.029999999999999</v>
      </c>
      <c r="AQ846" s="132">
        <v>10.029999999999999</v>
      </c>
      <c r="AR846" s="132"/>
      <c r="AS846" s="3"/>
      <c r="AT846" s="3"/>
      <c r="AU846" s="3"/>
      <c r="AV846" s="3"/>
      <c r="AW846" s="192"/>
      <c r="AX846" s="133"/>
      <c r="AY846" s="195"/>
      <c r="AZ846" s="40"/>
      <c r="BA846" s="40"/>
      <c r="BB846" s="40"/>
      <c r="BC846" s="40"/>
      <c r="BD846" s="135"/>
      <c r="BE846" s="135"/>
      <c r="BF846" s="40"/>
      <c r="BG846" s="135"/>
      <c r="BH846" s="135"/>
      <c r="BI846" s="49"/>
      <c r="BJ846" s="49"/>
      <c r="BK846" s="66"/>
      <c r="BL846" s="66"/>
      <c r="BM846" s="51" t="str">
        <f>IFERROR(paper3[[#This Row],[totforce]]/paper3[[#This Row],[bodymass]],"")</f>
        <v/>
      </c>
      <c r="BN846" s="51" t="str">
        <f>IFERROR(paper3[[#This Row],[totpwr]]/paper3[[#This Row],[bodymass]],"")</f>
        <v/>
      </c>
      <c r="BO846" s="136"/>
      <c r="BP846" s="40"/>
      <c r="BQ846" s="40"/>
      <c r="BR846" s="67"/>
      <c r="BS846" s="54"/>
      <c r="BT846" s="3"/>
      <c r="BU846" s="3"/>
      <c r="BV846" s="3"/>
      <c r="BW846" s="3"/>
      <c r="BX846" s="70"/>
      <c r="BY846" s="70"/>
      <c r="BZ846" s="59"/>
      <c r="CA846" s="59"/>
      <c r="CB846" s="59"/>
      <c r="CC846" s="59"/>
      <c r="CD846" s="60"/>
      <c r="CE846" s="60"/>
      <c r="CF846" s="61"/>
      <c r="CG846" s="61"/>
      <c r="CH846" s="61"/>
      <c r="CI846" s="41">
        <v>15.5</v>
      </c>
      <c r="CJ846" s="40">
        <f>VLOOKUP(CI846,$DB:$DC,2)</f>
        <v>960</v>
      </c>
      <c r="CK846" s="3"/>
      <c r="CL846" s="62"/>
      <c r="CM846" s="63"/>
      <c r="CN846" s="3"/>
      <c r="CO846" s="3"/>
      <c r="CP846" s="41">
        <f>_xlfn.MAXIFS([1]!phvny[age],[1]!phvny[id],paper3[[#This Row],[id]],[1]!phvny[time],paper3[[#This Row],[time]])</f>
        <v>17.880555555555556</v>
      </c>
      <c r="CQ846" s="3"/>
      <c r="CR846" s="40"/>
      <c r="CS846" s="40"/>
      <c r="CT846" s="40"/>
      <c r="CU846" s="40"/>
      <c r="CV846" s="40"/>
      <c r="CW846" s="40"/>
      <c r="CX846" s="40"/>
      <c r="CY846" s="40"/>
    </row>
    <row r="847" spans="1:103" ht="18.95" customHeight="1">
      <c r="A847" s="3">
        <v>940</v>
      </c>
      <c r="B847" s="92" t="s">
        <v>199</v>
      </c>
      <c r="C847" s="3" t="s">
        <v>104</v>
      </c>
      <c r="D847" s="46" t="s">
        <v>215</v>
      </c>
      <c r="E847" s="39">
        <v>45460</v>
      </c>
      <c r="F847" s="3" t="s">
        <v>186</v>
      </c>
      <c r="G847" s="3" t="s">
        <v>122</v>
      </c>
      <c r="H847" s="3">
        <v>2005</v>
      </c>
      <c r="I847" s="40"/>
      <c r="J847" s="40"/>
      <c r="K847" s="3"/>
      <c r="L847" s="3"/>
      <c r="M847" s="3"/>
      <c r="N847" s="3"/>
      <c r="O847" s="3"/>
      <c r="P847" s="3"/>
      <c r="Q847" s="3"/>
      <c r="R847" s="3"/>
      <c r="S847" s="3"/>
      <c r="T847" s="42"/>
      <c r="U847" s="188"/>
      <c r="V847" s="199"/>
      <c r="W847" s="73"/>
      <c r="X847" s="43"/>
      <c r="Y847" s="192"/>
      <c r="Z847" s="3"/>
      <c r="AA847" s="192"/>
      <c r="AB847" s="3"/>
      <c r="AC847" s="3"/>
      <c r="AD847" s="3"/>
      <c r="AE847" s="3"/>
      <c r="AF847" s="3"/>
      <c r="AG847" s="3"/>
      <c r="AH847" s="194"/>
      <c r="AI847" s="193"/>
      <c r="AJ847" s="194"/>
      <c r="AK847" s="130"/>
      <c r="AL847" s="203"/>
      <c r="AM847" s="203"/>
      <c r="AN847" s="3"/>
      <c r="AO847" s="3"/>
      <c r="AP847" s="137"/>
      <c r="AQ847" s="132"/>
      <c r="AR847" s="132"/>
      <c r="AS847" s="3"/>
      <c r="AT847" s="3"/>
      <c r="AU847" s="3"/>
      <c r="AV847" s="3"/>
      <c r="AW847" s="192"/>
      <c r="AX847" s="133"/>
      <c r="AY847" s="195"/>
      <c r="AZ847" s="40"/>
      <c r="BA847" s="40"/>
      <c r="BB847" s="40"/>
      <c r="BC847" s="40"/>
      <c r="BD847" s="135"/>
      <c r="BE847" s="135"/>
      <c r="BF847" s="40"/>
      <c r="BG847" s="135"/>
      <c r="BH847" s="135"/>
      <c r="BI847" s="49"/>
      <c r="BJ847" s="49"/>
      <c r="BK847" s="66"/>
      <c r="BL847" s="66"/>
      <c r="BM847" s="51" t="str">
        <f>IFERROR(paper3[[#This Row],[totforce]]/paper3[[#This Row],[bodymass]],"")</f>
        <v/>
      </c>
      <c r="BN847" s="51" t="str">
        <f>IFERROR(paper3[[#This Row],[totpwr]]/paper3[[#This Row],[bodymass]],"")</f>
        <v/>
      </c>
      <c r="BO847" s="136"/>
      <c r="BP847" s="40"/>
      <c r="BQ847" s="40"/>
      <c r="BR847" s="67"/>
      <c r="BS847" s="54"/>
      <c r="BT847" s="3"/>
      <c r="BU847" s="3"/>
      <c r="BV847" s="3"/>
      <c r="BW847" s="3"/>
      <c r="BX847" s="70"/>
      <c r="BY847" s="70"/>
      <c r="BZ847" s="59"/>
      <c r="CA847" s="59"/>
      <c r="CB847" s="59"/>
      <c r="CC847" s="59"/>
      <c r="CD847" s="60"/>
      <c r="CE847" s="60"/>
      <c r="CF847" s="61"/>
      <c r="CG847" s="61"/>
      <c r="CH847" s="61"/>
      <c r="CI847" s="41"/>
      <c r="CJ847" s="40"/>
      <c r="CK847" s="3"/>
      <c r="CL847" s="62"/>
      <c r="CM847" s="63"/>
      <c r="CN847" s="3"/>
      <c r="CO847" s="3"/>
      <c r="CP847" s="41"/>
      <c r="CQ847" s="3"/>
      <c r="CR847" s="40"/>
      <c r="CS847" s="40"/>
      <c r="CT847" s="40"/>
      <c r="CU847" s="40"/>
      <c r="CV847" s="40"/>
      <c r="CW847" s="40"/>
      <c r="CX847" s="40"/>
      <c r="CY847" s="40"/>
    </row>
    <row r="848" spans="1:103" ht="18.95" customHeight="1">
      <c r="A848" s="3">
        <v>941</v>
      </c>
      <c r="B848" s="92" t="s">
        <v>199</v>
      </c>
      <c r="C848" s="3" t="s">
        <v>104</v>
      </c>
      <c r="D848" s="46" t="s">
        <v>215</v>
      </c>
      <c r="E848" s="39">
        <v>45460</v>
      </c>
      <c r="F848" s="3" t="s">
        <v>186</v>
      </c>
      <c r="G848" s="3" t="s">
        <v>122</v>
      </c>
      <c r="H848" s="3">
        <v>0</v>
      </c>
      <c r="I848" s="40"/>
      <c r="J848" s="40"/>
      <c r="K848" s="3">
        <v>185.5</v>
      </c>
      <c r="L848" s="3">
        <v>185.5</v>
      </c>
      <c r="M848" s="3"/>
      <c r="N848" s="3">
        <v>168.5</v>
      </c>
      <c r="O848" s="3">
        <v>168.5</v>
      </c>
      <c r="P848" s="3"/>
      <c r="Q848" s="3">
        <v>78.3</v>
      </c>
      <c r="R848" s="3">
        <v>78.3</v>
      </c>
      <c r="S848" s="3"/>
      <c r="T848" s="42">
        <v>185.5</v>
      </c>
      <c r="U848" s="188">
        <f>168.5-70.2</f>
        <v>98.3</v>
      </c>
      <c r="V848" s="12">
        <f>paper3[[#This Row],[height]]-paper3[[#This Row],[sittingheight]]</f>
        <v>87.2</v>
      </c>
      <c r="W848" s="73">
        <v>78.3</v>
      </c>
      <c r="X848" s="43" cm="1">
        <f t="array" ref="X848">INDEX([1]!phvny[yphv], MATCH(1, (paper3[[#This Row],[id]]=[1]!phvny[id])*(paper3[[#This Row],[time]]=[1]!phvny[time]), 0))</f>
        <v>4.43302954144115</v>
      </c>
      <c r="Y848" s="192">
        <v>1.6479999999999999</v>
      </c>
      <c r="Z848" s="3">
        <v>2.9489999999999998</v>
      </c>
      <c r="AA848" s="192">
        <v>4.1520000000000001</v>
      </c>
      <c r="AB848" s="3">
        <v>1.5649999999999999</v>
      </c>
      <c r="AC848" s="3">
        <v>2.8559999999999999</v>
      </c>
      <c r="AD848" s="3">
        <v>4.0679999999999996</v>
      </c>
      <c r="AE848" s="3">
        <v>1.5529999999999999</v>
      </c>
      <c r="AF848" s="3">
        <v>2.843</v>
      </c>
      <c r="AG848" s="3">
        <v>4.056</v>
      </c>
      <c r="AH848" s="194">
        <v>1.5529999999999999</v>
      </c>
      <c r="AI848" s="193">
        <v>2.843</v>
      </c>
      <c r="AJ848" s="194">
        <v>4.056</v>
      </c>
      <c r="AK848" s="130"/>
      <c r="AL848" s="203">
        <v>9.16</v>
      </c>
      <c r="AM848" s="203">
        <v>9.1999999999999993</v>
      </c>
      <c r="AN848" s="3">
        <v>9.24</v>
      </c>
      <c r="AO848" s="3">
        <v>9.65</v>
      </c>
      <c r="AP848" s="137">
        <f>MIN(AQ848:AR848)</f>
        <v>9.16</v>
      </c>
      <c r="AQ848" s="132">
        <v>9.16</v>
      </c>
      <c r="AR848" s="132">
        <v>9.24</v>
      </c>
      <c r="AS848" s="3"/>
      <c r="AT848" s="3"/>
      <c r="AU848" s="3"/>
      <c r="AV848" s="3"/>
      <c r="AW848" s="192"/>
      <c r="AX848" s="133">
        <v>32.1</v>
      </c>
      <c r="AY848" s="195" t="s">
        <v>258</v>
      </c>
      <c r="AZ848" s="40">
        <v>9</v>
      </c>
      <c r="BA848" s="40"/>
      <c r="BB848" s="40"/>
      <c r="BC848" s="40"/>
      <c r="BD848" s="135">
        <v>1246.1899228189384</v>
      </c>
      <c r="BE848" s="135">
        <v>1253.9093776507043</v>
      </c>
      <c r="BF848" s="40"/>
      <c r="BG848" s="135">
        <v>767.17841362057595</v>
      </c>
      <c r="BH848" s="135">
        <v>736.53276695821478</v>
      </c>
      <c r="BI848" s="49">
        <f>IFERROR(SUM(paper3[[#This Row],[Kraft ikke-dominant]:[Kraft dominant]]),"")</f>
        <v>2500.0993004696429</v>
      </c>
      <c r="BJ848" s="49">
        <f>IFERROR(SUM(paper3[[#This Row],[Pwr ikke-dominant]:[Pwr dominant]]),"")</f>
        <v>1503.7111805787908</v>
      </c>
      <c r="BK848" s="66"/>
      <c r="BL848" s="66"/>
      <c r="BM848" s="51">
        <f>IFERROR(paper3[[#This Row],[totforce]]/paper3[[#This Row],[bodymass]],"")</f>
        <v>31.929748409573985</v>
      </c>
      <c r="BN848" s="51">
        <f>IFERROR(paper3[[#This Row],[totpwr]]/paper3[[#This Row],[bodymass]],"")</f>
        <v>19.204485064863231</v>
      </c>
      <c r="BO848" s="136"/>
      <c r="BP848" s="40"/>
      <c r="BQ848" s="40"/>
      <c r="BR848" s="67"/>
      <c r="BS848" s="54"/>
      <c r="BT848" s="3"/>
      <c r="BU848" s="3"/>
      <c r="BV848" s="3"/>
      <c r="BW848" s="3"/>
      <c r="BX848" s="70"/>
      <c r="BY848" s="70"/>
      <c r="BZ848" s="59"/>
      <c r="CA848" s="59"/>
      <c r="CB848" s="59"/>
      <c r="CC848" s="59"/>
      <c r="CD848" s="60"/>
      <c r="CE848" s="60"/>
      <c r="CF848" s="61"/>
      <c r="CG848" s="61"/>
      <c r="CH848" s="61"/>
      <c r="CI848" s="41">
        <v>18.2</v>
      </c>
      <c r="CJ848" s="40">
        <f>VLOOKUP(CI848,$DB:$DC,2)</f>
        <v>1800</v>
      </c>
      <c r="CK848" s="3"/>
      <c r="CL848" s="62"/>
      <c r="CM848" s="63"/>
      <c r="CN848" s="3"/>
      <c r="CO848" s="3"/>
      <c r="CP848" s="41">
        <f>_xlfn.MAXIFS([1]!phvny[age],[1]!phvny[id],paper3[[#This Row],[id]],[1]!phvny[time],paper3[[#This Row],[time]])</f>
        <v>18.394444444444446</v>
      </c>
      <c r="CQ848" s="3"/>
      <c r="CR848" s="40"/>
      <c r="CS848" s="40"/>
      <c r="CT848" s="40"/>
      <c r="CU848" s="40"/>
      <c r="CV848" s="40"/>
      <c r="CW848" s="40"/>
      <c r="CX848" s="40"/>
      <c r="CY848" s="40"/>
    </row>
    <row r="849" spans="1:103" ht="18.95" customHeight="1">
      <c r="A849" s="3">
        <v>950</v>
      </c>
      <c r="B849" s="92" t="s">
        <v>199</v>
      </c>
      <c r="C849" s="3"/>
      <c r="D849" s="202" t="s">
        <v>215</v>
      </c>
      <c r="E849" s="39">
        <v>45442</v>
      </c>
      <c r="F849" s="3" t="s">
        <v>186</v>
      </c>
      <c r="G849" s="3" t="s">
        <v>122</v>
      </c>
      <c r="H849" s="3">
        <v>2008</v>
      </c>
      <c r="I849" s="40" t="str">
        <f t="shared" ref="I849:I894" si="12">RIGHT(J849,3)</f>
        <v>U16</v>
      </c>
      <c r="J849" s="40" t="s">
        <v>157</v>
      </c>
      <c r="K849" s="3"/>
      <c r="L849" s="3"/>
      <c r="M849" s="3"/>
      <c r="N849" s="3"/>
      <c r="O849" s="3"/>
      <c r="P849" s="3"/>
      <c r="Q849" s="3"/>
      <c r="R849" s="3"/>
      <c r="S849" s="3"/>
      <c r="T849" s="42"/>
      <c r="U849" s="188"/>
      <c r="V849" s="199"/>
      <c r="W849" s="73"/>
      <c r="X849" s="43"/>
      <c r="Y849" s="192"/>
      <c r="Z849" s="3"/>
      <c r="AA849" s="192"/>
      <c r="AB849" s="3"/>
      <c r="AC849" s="3"/>
      <c r="AD849" s="3"/>
      <c r="AE849" s="3"/>
      <c r="AF849" s="3"/>
      <c r="AG849" s="3"/>
      <c r="AH849" s="194"/>
      <c r="AI849" s="193"/>
      <c r="AJ849" s="194"/>
      <c r="AK849" s="130"/>
      <c r="AL849" s="203"/>
      <c r="AM849" s="203"/>
      <c r="AN849" s="3"/>
      <c r="AO849" s="3"/>
      <c r="AP849" s="137"/>
      <c r="AQ849" s="132"/>
      <c r="AR849" s="132"/>
      <c r="AS849" s="3"/>
      <c r="AT849" s="3"/>
      <c r="AU849" s="3"/>
      <c r="AV849" s="3"/>
      <c r="AW849" s="192"/>
      <c r="AX849" s="133"/>
      <c r="AY849" s="195"/>
      <c r="AZ849" s="40"/>
      <c r="BA849" s="40"/>
      <c r="BB849" s="40"/>
      <c r="BC849" s="40"/>
      <c r="BD849" s="135"/>
      <c r="BE849" s="135"/>
      <c r="BF849" s="40"/>
      <c r="BG849" s="135"/>
      <c r="BH849" s="135"/>
      <c r="BI849" s="49"/>
      <c r="BJ849" s="49"/>
      <c r="BK849" s="66"/>
      <c r="BL849" s="66"/>
      <c r="BM849" s="51"/>
      <c r="BN849" s="51"/>
      <c r="BO849" s="136"/>
      <c r="BP849" s="40"/>
      <c r="BQ849" s="40"/>
      <c r="BR849" s="67"/>
      <c r="BS849" s="54"/>
      <c r="BT849" s="3"/>
      <c r="BU849" s="3"/>
      <c r="BV849" s="3"/>
      <c r="BW849" s="3"/>
      <c r="BX849" s="70"/>
      <c r="BY849" s="70"/>
      <c r="BZ849" s="59"/>
      <c r="CA849" s="59"/>
      <c r="CB849" s="59"/>
      <c r="CC849" s="59"/>
      <c r="CD849" s="60"/>
      <c r="CE849" s="60"/>
      <c r="CF849" s="61"/>
      <c r="CG849" s="61"/>
      <c r="CH849" s="61"/>
      <c r="CI849" s="41"/>
      <c r="CJ849" s="40"/>
      <c r="CK849" s="3"/>
      <c r="CL849" s="62"/>
      <c r="CM849" s="63"/>
      <c r="CN849" s="3"/>
      <c r="CO849" s="3"/>
      <c r="CP849" s="41"/>
      <c r="CQ849" s="3"/>
      <c r="CR849" s="40"/>
      <c r="CS849" s="40"/>
      <c r="CT849" s="40"/>
      <c r="CU849" s="40"/>
      <c r="CV849" s="40"/>
      <c r="CW849" s="40"/>
      <c r="CX849" s="40"/>
      <c r="CY849" s="40"/>
    </row>
    <row r="850" spans="1:103" ht="18.95" customHeight="1">
      <c r="A850" s="3">
        <v>951</v>
      </c>
      <c r="B850" s="92" t="s">
        <v>199</v>
      </c>
      <c r="C850" s="3" t="s">
        <v>104</v>
      </c>
      <c r="D850" s="202" t="s">
        <v>215</v>
      </c>
      <c r="E850" s="39">
        <v>45442</v>
      </c>
      <c r="F850" s="3" t="s">
        <v>186</v>
      </c>
      <c r="G850" s="3" t="s">
        <v>122</v>
      </c>
      <c r="H850" s="3">
        <v>2008</v>
      </c>
      <c r="I850" s="40" t="str">
        <f t="shared" si="12"/>
        <v>U16</v>
      </c>
      <c r="J850" s="40" t="s">
        <v>157</v>
      </c>
      <c r="K850" s="3"/>
      <c r="L850" s="3"/>
      <c r="M850" s="3"/>
      <c r="N850" s="3"/>
      <c r="O850" s="3"/>
      <c r="P850" s="3"/>
      <c r="Q850" s="3"/>
      <c r="R850" s="3"/>
      <c r="S850" s="3"/>
      <c r="T850" s="42"/>
      <c r="U850" s="188"/>
      <c r="V850" s="199"/>
      <c r="W850" s="73"/>
      <c r="X850" s="43"/>
      <c r="Y850" s="192"/>
      <c r="Z850" s="3"/>
      <c r="AA850" s="192"/>
      <c r="AB850" s="3"/>
      <c r="AC850" s="3"/>
      <c r="AD850" s="3"/>
      <c r="AE850" s="3"/>
      <c r="AF850" s="3"/>
      <c r="AG850" s="3"/>
      <c r="AH850" s="194"/>
      <c r="AI850" s="193"/>
      <c r="AJ850" s="194"/>
      <c r="AK850" s="130"/>
      <c r="AL850" s="203"/>
      <c r="AM850" s="203"/>
      <c r="AN850" s="3"/>
      <c r="AO850" s="3"/>
      <c r="AP850" s="137"/>
      <c r="AQ850" s="132"/>
      <c r="AR850" s="132"/>
      <c r="AS850" s="3"/>
      <c r="AT850" s="3"/>
      <c r="AU850" s="3"/>
      <c r="AV850" s="3"/>
      <c r="AW850" s="192"/>
      <c r="AX850" s="133"/>
      <c r="AY850" s="195"/>
      <c r="AZ850" s="40"/>
      <c r="BA850" s="40"/>
      <c r="BB850" s="40"/>
      <c r="BC850" s="40"/>
      <c r="BD850" s="135"/>
      <c r="BE850" s="135"/>
      <c r="BF850" s="40"/>
      <c r="BG850" s="135"/>
      <c r="BH850" s="135"/>
      <c r="BI850" s="49"/>
      <c r="BJ850" s="49"/>
      <c r="BK850" s="66"/>
      <c r="BL850" s="66"/>
      <c r="BM850" s="51"/>
      <c r="BN850" s="51"/>
      <c r="BO850" s="136"/>
      <c r="BP850" s="40"/>
      <c r="BQ850" s="40"/>
      <c r="BR850" s="67"/>
      <c r="BS850" s="54"/>
      <c r="BT850" s="3"/>
      <c r="BU850" s="3"/>
      <c r="BV850" s="3"/>
      <c r="BW850" s="3"/>
      <c r="BX850" s="70"/>
      <c r="BY850" s="70"/>
      <c r="BZ850" s="59"/>
      <c r="CA850" s="59"/>
      <c r="CB850" s="59"/>
      <c r="CC850" s="59"/>
      <c r="CD850" s="60"/>
      <c r="CE850" s="60"/>
      <c r="CF850" s="61"/>
      <c r="CG850" s="61"/>
      <c r="CH850" s="61"/>
      <c r="CI850" s="41"/>
      <c r="CJ850" s="40"/>
      <c r="CK850" s="3"/>
      <c r="CL850" s="62"/>
      <c r="CM850" s="63"/>
      <c r="CN850" s="3"/>
      <c r="CO850" s="3"/>
      <c r="CP850" s="41"/>
      <c r="CQ850" s="3"/>
      <c r="CR850" s="40"/>
      <c r="CS850" s="40"/>
      <c r="CT850" s="40"/>
      <c r="CU850" s="40"/>
      <c r="CV850" s="40"/>
      <c r="CW850" s="40"/>
      <c r="CX850" s="40"/>
      <c r="CY850" s="40"/>
    </row>
    <row r="851" spans="1:103" ht="18.95" customHeight="1">
      <c r="A851" s="3">
        <v>952</v>
      </c>
      <c r="B851" s="92" t="s">
        <v>199</v>
      </c>
      <c r="C851" s="3" t="s">
        <v>104</v>
      </c>
      <c r="D851" s="202" t="s">
        <v>215</v>
      </c>
      <c r="E851" s="39">
        <v>45442</v>
      </c>
      <c r="F851" s="3" t="s">
        <v>186</v>
      </c>
      <c r="G851" s="3" t="s">
        <v>122</v>
      </c>
      <c r="H851" s="3">
        <v>2008</v>
      </c>
      <c r="I851" s="40" t="str">
        <f t="shared" si="12"/>
        <v>U16</v>
      </c>
      <c r="J851" s="40" t="s">
        <v>157</v>
      </c>
      <c r="K851" s="3">
        <v>185.6</v>
      </c>
      <c r="L851" s="3">
        <v>185.6</v>
      </c>
      <c r="M851" s="3"/>
      <c r="N851" s="3">
        <v>166.4</v>
      </c>
      <c r="O851" s="3">
        <v>166.4</v>
      </c>
      <c r="P851" s="3"/>
      <c r="Q851" s="3">
        <v>62.5</v>
      </c>
      <c r="R851" s="3">
        <v>62.5</v>
      </c>
      <c r="S851" s="3"/>
      <c r="T851" s="42">
        <v>185.6</v>
      </c>
      <c r="U851" s="188" cm="1">
        <f t="array" ref="U851">AVERAGE(paper3[[#This Row],[Sittende høyde 1]:[Sittende høyde 2]]-70.2)</f>
        <v>96.2</v>
      </c>
      <c r="V851" s="12">
        <f>paper3[[#This Row],[height]]-paper3[[#This Row],[sittingheight]]</f>
        <v>89.399999999999991</v>
      </c>
      <c r="W851" s="73">
        <v>62.5</v>
      </c>
      <c r="X851" s="43" cm="1">
        <f t="array" ref="X851">INDEX([1]!phvny[yphv], MATCH(1, (paper3[[#This Row],[id]]=[1]!phvny[id])*(paper3[[#This Row],[time]]=[1]!phvny[time]), 0))</f>
        <v>2.6762302919118786</v>
      </c>
      <c r="Y851" s="192">
        <v>1.6850000000000001</v>
      </c>
      <c r="Z851" s="3">
        <v>3.028</v>
      </c>
      <c r="AA851" s="192">
        <v>4.32</v>
      </c>
      <c r="AB851" s="3">
        <v>1.671</v>
      </c>
      <c r="AC851" s="3">
        <v>3.06</v>
      </c>
      <c r="AD851" s="3">
        <v>4.3869999999999996</v>
      </c>
      <c r="AE851" s="3">
        <v>1.7290000000000001</v>
      </c>
      <c r="AF851" s="3">
        <v>3.1110000000000002</v>
      </c>
      <c r="AG851" s="3">
        <v>4.45</v>
      </c>
      <c r="AH851" s="194">
        <v>1.671</v>
      </c>
      <c r="AI851" s="193">
        <v>3.028</v>
      </c>
      <c r="AJ851" s="194">
        <v>4.32</v>
      </c>
      <c r="AK851" s="130"/>
      <c r="AL851" s="203"/>
      <c r="AM851" s="203"/>
      <c r="AN851" s="3"/>
      <c r="AO851" s="3"/>
      <c r="AP851" s="137"/>
      <c r="AQ851" s="132"/>
      <c r="AR851" s="132"/>
      <c r="AS851" s="3"/>
      <c r="AT851" s="3"/>
      <c r="AU851" s="3"/>
      <c r="AV851" s="3"/>
      <c r="AW851" s="192"/>
      <c r="AX851" s="133">
        <v>29.1</v>
      </c>
      <c r="AY851" s="195" t="s">
        <v>254</v>
      </c>
      <c r="AZ851" s="40">
        <v>10</v>
      </c>
      <c r="BA851" s="40"/>
      <c r="BB851" s="40"/>
      <c r="BC851" s="40"/>
      <c r="BD851" s="135">
        <v>1016.4770872662839</v>
      </c>
      <c r="BE851" s="135">
        <v>956.6991199294514</v>
      </c>
      <c r="BF851" s="40"/>
      <c r="BG851" s="135">
        <v>478.47166857675126</v>
      </c>
      <c r="BH851" s="135">
        <v>498.72627247397213</v>
      </c>
      <c r="BI851" s="49">
        <f>IFERROR(SUM(paper3[[#This Row],[Kraft ikke-dominant]:[Kraft dominant]]),"")</f>
        <v>1973.1762071957353</v>
      </c>
      <c r="BJ851" s="49">
        <f>IFERROR(SUM(paper3[[#This Row],[Pwr ikke-dominant]:[Pwr dominant]]),"")</f>
        <v>977.19794105072333</v>
      </c>
      <c r="BK851" s="66"/>
      <c r="BL851" s="66"/>
      <c r="BM851" s="51">
        <f>IFERROR(paper3[[#This Row],[totforce]]/paper3[[#This Row],[bodymass]],"")</f>
        <v>31.570819315131764</v>
      </c>
      <c r="BN851" s="51">
        <f>IFERROR(paper3[[#This Row],[totpwr]]/paper3[[#This Row],[bodymass]],"")</f>
        <v>15.635167056811573</v>
      </c>
      <c r="BO851" s="136"/>
      <c r="BP851" s="40"/>
      <c r="BQ851" s="40"/>
      <c r="BR851" s="67"/>
      <c r="BS851" s="54"/>
      <c r="BT851" s="3"/>
      <c r="BU851" s="3"/>
      <c r="BV851" s="3"/>
      <c r="BW851" s="3"/>
      <c r="BX851" s="70"/>
      <c r="BY851" s="70"/>
      <c r="BZ851" s="59"/>
      <c r="CA851" s="59"/>
      <c r="CB851" s="59"/>
      <c r="CC851" s="59"/>
      <c r="CD851" s="60"/>
      <c r="CE851" s="60"/>
      <c r="CF851" s="61"/>
      <c r="CG851" s="61"/>
      <c r="CH851" s="61"/>
      <c r="CI851" s="41"/>
      <c r="CJ851" s="40"/>
      <c r="CK851" s="3"/>
      <c r="CL851" s="62"/>
      <c r="CM851" s="63"/>
      <c r="CN851" s="3"/>
      <c r="CO851" s="3"/>
      <c r="CP851" s="41">
        <v>15.21111111111111</v>
      </c>
      <c r="CQ851" s="3"/>
      <c r="CR851" s="40"/>
      <c r="CS851" s="40"/>
      <c r="CT851" s="40"/>
      <c r="CU851" s="40"/>
      <c r="CV851" s="40"/>
      <c r="CW851" s="40"/>
      <c r="CX851" s="40"/>
      <c r="CY851" s="40"/>
    </row>
    <row r="852" spans="1:103" ht="18.95" customHeight="1">
      <c r="A852" s="3">
        <v>953</v>
      </c>
      <c r="B852" s="92" t="s">
        <v>199</v>
      </c>
      <c r="C852" s="3" t="s">
        <v>104</v>
      </c>
      <c r="D852" s="202" t="s">
        <v>215</v>
      </c>
      <c r="E852" s="39">
        <v>45442</v>
      </c>
      <c r="F852" s="3" t="s">
        <v>186</v>
      </c>
      <c r="G852" s="3" t="s">
        <v>122</v>
      </c>
      <c r="H852" s="3">
        <v>2008</v>
      </c>
      <c r="I852" s="40" t="str">
        <f t="shared" si="12"/>
        <v>U16</v>
      </c>
      <c r="J852" s="40" t="s">
        <v>157</v>
      </c>
      <c r="K852" s="3">
        <v>188.8</v>
      </c>
      <c r="L852" s="3">
        <v>188.8</v>
      </c>
      <c r="M852" s="3"/>
      <c r="N852" s="3">
        <v>167.8</v>
      </c>
      <c r="O852" s="3">
        <v>167.8</v>
      </c>
      <c r="P852" s="3"/>
      <c r="Q852" s="3">
        <v>83.4</v>
      </c>
      <c r="R852" s="3">
        <v>83.4</v>
      </c>
      <c r="S852" s="3"/>
      <c r="T852" s="42">
        <v>188.8</v>
      </c>
      <c r="U852" s="188" cm="1">
        <f t="array" ref="U852">AVERAGE(paper3[[#This Row],[Sittende høyde 1]:[Sittende høyde 2]]-70.2)</f>
        <v>97.600000000000009</v>
      </c>
      <c r="V852" s="12">
        <f>paper3[[#This Row],[height]]-paper3[[#This Row],[sittingheight]]</f>
        <v>91.2</v>
      </c>
      <c r="W852" s="73">
        <v>83.4</v>
      </c>
      <c r="X852" s="43" cm="1">
        <f t="array" ref="X852">INDEX([1]!phvny[yphv], MATCH(1, (paper3[[#This Row],[id]]=[1]!phvny[id])*(paper3[[#This Row],[time]]=[1]!phvny[time]), 0))</f>
        <v>3.1377293159623378</v>
      </c>
      <c r="Y852" s="192">
        <v>1.5640000000000001</v>
      </c>
      <c r="Z852" s="3">
        <v>2.891</v>
      </c>
      <c r="AA852" s="192">
        <v>4.1319999999999997</v>
      </c>
      <c r="AB852" s="3">
        <v>1.581</v>
      </c>
      <c r="AC852" s="3">
        <v>2.8849999999999998</v>
      </c>
      <c r="AD852" s="3">
        <v>4.149</v>
      </c>
      <c r="AE852" s="3">
        <v>1.59</v>
      </c>
      <c r="AF852" s="3">
        <v>2.9239999999999999</v>
      </c>
      <c r="AG852" s="3">
        <v>4.1920000000000002</v>
      </c>
      <c r="AH852" s="194">
        <v>1.5640000000000001</v>
      </c>
      <c r="AI852" s="193">
        <v>2.8849999999999998</v>
      </c>
      <c r="AJ852" s="194">
        <v>4.1319999999999997</v>
      </c>
      <c r="AK852" s="130"/>
      <c r="AL852" s="203">
        <v>9.65</v>
      </c>
      <c r="AM852" s="203">
        <v>9.4</v>
      </c>
      <c r="AN852" s="3">
        <v>8.9700000000000006</v>
      </c>
      <c r="AO852" s="3">
        <v>9.1300000000000008</v>
      </c>
      <c r="AP852" s="137">
        <f>MIN(AQ852:AR852)</f>
        <v>8.9700000000000006</v>
      </c>
      <c r="AQ852" s="132">
        <v>9.4</v>
      </c>
      <c r="AR852" s="132">
        <v>8.9700000000000006</v>
      </c>
      <c r="AS852" s="3"/>
      <c r="AT852" s="3"/>
      <c r="AU852" s="3"/>
      <c r="AV852" s="3"/>
      <c r="AW852" s="192"/>
      <c r="AX852" s="133">
        <v>31.9</v>
      </c>
      <c r="AY852" s="195" t="s">
        <v>254</v>
      </c>
      <c r="AZ852" s="40">
        <v>11</v>
      </c>
      <c r="BA852" s="40"/>
      <c r="BB852" s="40"/>
      <c r="BC852" s="40"/>
      <c r="BD852" s="135">
        <v>1460.9074872012495</v>
      </c>
      <c r="BE852" s="135">
        <v>1336.5397631995065</v>
      </c>
      <c r="BF852" s="40"/>
      <c r="BG852" s="135">
        <v>735.24559458467786</v>
      </c>
      <c r="BH852" s="135">
        <v>690.91036800501513</v>
      </c>
      <c r="BI852" s="49">
        <f>IFERROR(SUM(paper3[[#This Row],[Kraft ikke-dominant]:[Kraft dominant]]),"")</f>
        <v>2797.4472504007563</v>
      </c>
      <c r="BJ852" s="49">
        <f>IFERROR(SUM(paper3[[#This Row],[Pwr ikke-dominant]:[Pwr dominant]]),"")</f>
        <v>1426.155962589693</v>
      </c>
      <c r="BK852" s="66"/>
      <c r="BL852" s="66"/>
      <c r="BM852" s="51">
        <f>IFERROR(paper3[[#This Row],[totforce]]/paper3[[#This Row],[bodymass]],"")</f>
        <v>33.54253297842633</v>
      </c>
      <c r="BN852" s="51">
        <f>IFERROR(paper3[[#This Row],[totpwr]]/paper3[[#This Row],[bodymass]],"")</f>
        <v>17.10019139795795</v>
      </c>
      <c r="BO852" s="136"/>
      <c r="BP852" s="40"/>
      <c r="BQ852" s="40"/>
      <c r="BR852" s="67"/>
      <c r="BS852" s="54"/>
      <c r="BT852" s="3"/>
      <c r="BU852" s="3"/>
      <c r="BV852" s="3"/>
      <c r="BW852" s="3"/>
      <c r="BX852" s="70"/>
      <c r="BY852" s="70"/>
      <c r="BZ852" s="59"/>
      <c r="CA852" s="59"/>
      <c r="CB852" s="59"/>
      <c r="CC852" s="59"/>
      <c r="CD852" s="60"/>
      <c r="CE852" s="60"/>
      <c r="CF852" s="61"/>
      <c r="CG852" s="61"/>
      <c r="CH852" s="61"/>
      <c r="CI852" s="41">
        <v>15.8</v>
      </c>
      <c r="CJ852" s="40">
        <f>VLOOKUP(CI852,$DB:$DC,2)</f>
        <v>1080</v>
      </c>
      <c r="CK852" s="3"/>
      <c r="CL852" s="62"/>
      <c r="CM852" s="63"/>
      <c r="CN852" s="3"/>
      <c r="CO852" s="3"/>
      <c r="CP852" s="41">
        <v>15.255555555555556</v>
      </c>
      <c r="CQ852" s="3"/>
      <c r="CR852" s="40"/>
      <c r="CS852" s="40"/>
      <c r="CT852" s="40"/>
      <c r="CU852" s="40"/>
      <c r="CV852" s="40"/>
      <c r="CW852" s="40"/>
      <c r="CX852" s="40"/>
      <c r="CY852" s="40"/>
    </row>
    <row r="853" spans="1:103" ht="18.95" customHeight="1">
      <c r="A853" s="3">
        <v>954</v>
      </c>
      <c r="B853" s="92" t="s">
        <v>199</v>
      </c>
      <c r="C853" s="3"/>
      <c r="D853" s="202" t="s">
        <v>215</v>
      </c>
      <c r="E853" s="39">
        <v>45442</v>
      </c>
      <c r="F853" s="3" t="s">
        <v>186</v>
      </c>
      <c r="G853" s="3" t="s">
        <v>122</v>
      </c>
      <c r="H853" s="3">
        <v>2008</v>
      </c>
      <c r="I853" s="40" t="str">
        <f t="shared" si="12"/>
        <v>U16</v>
      </c>
      <c r="J853" s="40" t="s">
        <v>157</v>
      </c>
      <c r="K853" s="3"/>
      <c r="L853" s="3"/>
      <c r="M853" s="3"/>
      <c r="N853" s="3"/>
      <c r="O853" s="3"/>
      <c r="P853" s="3"/>
      <c r="Q853" s="3"/>
      <c r="R853" s="3"/>
      <c r="S853" s="3"/>
      <c r="T853" s="42"/>
      <c r="U853" s="188"/>
      <c r="V853" s="199"/>
      <c r="W853" s="73"/>
      <c r="X853" s="43"/>
      <c r="Y853" s="192"/>
      <c r="Z853" s="3"/>
      <c r="AA853" s="192"/>
      <c r="AB853" s="3"/>
      <c r="AC853" s="3"/>
      <c r="AD853" s="3"/>
      <c r="AE853" s="3"/>
      <c r="AF853" s="3"/>
      <c r="AG853" s="3"/>
      <c r="AH853" s="194"/>
      <c r="AI853" s="193"/>
      <c r="AJ853" s="194"/>
      <c r="AK853" s="130"/>
      <c r="AL853" s="203"/>
      <c r="AM853" s="203"/>
      <c r="AN853" s="3"/>
      <c r="AO853" s="3"/>
      <c r="AP853" s="137"/>
      <c r="AQ853" s="132"/>
      <c r="AR853" s="132"/>
      <c r="AS853" s="3"/>
      <c r="AT853" s="3"/>
      <c r="AU853" s="3"/>
      <c r="AV853" s="3"/>
      <c r="AW853" s="192"/>
      <c r="AX853" s="133"/>
      <c r="AY853" s="195"/>
      <c r="AZ853" s="40"/>
      <c r="BA853" s="40"/>
      <c r="BB853" s="40"/>
      <c r="BC853" s="40"/>
      <c r="BD853" s="135"/>
      <c r="BE853" s="135"/>
      <c r="BF853" s="40"/>
      <c r="BG853" s="135"/>
      <c r="BH853" s="135"/>
      <c r="BI853" s="49"/>
      <c r="BJ853" s="49"/>
      <c r="BK853" s="66"/>
      <c r="BL853" s="66"/>
      <c r="BM853" s="51"/>
      <c r="BN853" s="51"/>
      <c r="BO853" s="136"/>
      <c r="BP853" s="40"/>
      <c r="BQ853" s="40"/>
      <c r="BR853" s="67"/>
      <c r="BS853" s="54"/>
      <c r="BT853" s="3"/>
      <c r="BU853" s="3"/>
      <c r="BV853" s="3"/>
      <c r="BW853" s="3"/>
      <c r="BX853" s="70"/>
      <c r="BY853" s="70"/>
      <c r="BZ853" s="59"/>
      <c r="CA853" s="59"/>
      <c r="CB853" s="59"/>
      <c r="CC853" s="59"/>
      <c r="CD853" s="60"/>
      <c r="CE853" s="60"/>
      <c r="CF853" s="61"/>
      <c r="CG853" s="61"/>
      <c r="CH853" s="61"/>
      <c r="CI853" s="41"/>
      <c r="CJ853" s="40"/>
      <c r="CK853" s="3"/>
      <c r="CL853" s="62"/>
      <c r="CM853" s="63"/>
      <c r="CN853" s="3"/>
      <c r="CO853" s="3"/>
      <c r="CP853" s="41"/>
      <c r="CQ853" s="3"/>
      <c r="CR853" s="40"/>
      <c r="CS853" s="40"/>
      <c r="CT853" s="40"/>
      <c r="CU853" s="40"/>
      <c r="CV853" s="40"/>
      <c r="CW853" s="40"/>
      <c r="CX853" s="40"/>
      <c r="CY853" s="40"/>
    </row>
    <row r="854" spans="1:103" ht="18.95" customHeight="1">
      <c r="A854" s="3">
        <v>955</v>
      </c>
      <c r="B854" s="92" t="s">
        <v>199</v>
      </c>
      <c r="C854" s="3" t="s">
        <v>104</v>
      </c>
      <c r="D854" s="202" t="s">
        <v>215</v>
      </c>
      <c r="E854" s="39">
        <v>45442</v>
      </c>
      <c r="F854" s="3" t="s">
        <v>186</v>
      </c>
      <c r="G854" s="3" t="s">
        <v>122</v>
      </c>
      <c r="H854" s="3">
        <v>2008</v>
      </c>
      <c r="I854" s="40" t="str">
        <f t="shared" si="12"/>
        <v>U16</v>
      </c>
      <c r="J854" s="40" t="s">
        <v>157</v>
      </c>
      <c r="K854" s="3">
        <v>183.9</v>
      </c>
      <c r="L854" s="3">
        <v>183.9</v>
      </c>
      <c r="M854" s="3"/>
      <c r="N854" s="3">
        <v>164.5</v>
      </c>
      <c r="O854" s="3">
        <v>164.5</v>
      </c>
      <c r="P854" s="3"/>
      <c r="Q854" s="3">
        <v>69</v>
      </c>
      <c r="R854" s="3">
        <v>69</v>
      </c>
      <c r="S854" s="3"/>
      <c r="T854" s="42">
        <v>183.9</v>
      </c>
      <c r="U854" s="188" cm="1">
        <f t="array" ref="U854">AVERAGE(paper3[[#This Row],[Sittende høyde 1]:[Sittende høyde 2]]-70.2)</f>
        <v>94.3</v>
      </c>
      <c r="V854" s="12">
        <f>paper3[[#This Row],[height]]-paper3[[#This Row],[sittingheight]]</f>
        <v>89.600000000000009</v>
      </c>
      <c r="W854" s="73">
        <v>69</v>
      </c>
      <c r="X854" s="43" cm="1">
        <f t="array" ref="X854">INDEX([1]!phvny[yphv], MATCH(1, (paper3[[#This Row],[id]]=[1]!phvny[id])*(paper3[[#This Row],[time]]=[1]!phvny[time]), 0))</f>
        <v>2.4287429975725927</v>
      </c>
      <c r="Y854" s="192">
        <v>1.694</v>
      </c>
      <c r="Z854" s="3">
        <v>3.0249999999999999</v>
      </c>
      <c r="AA854" s="192">
        <v>4.3019999999999996</v>
      </c>
      <c r="AB854" s="3">
        <v>1.67</v>
      </c>
      <c r="AC854" s="3">
        <v>3.0230000000000001</v>
      </c>
      <c r="AD854" s="3">
        <v>4.3010000000000002</v>
      </c>
      <c r="AE854" s="3">
        <v>1.6930000000000001</v>
      </c>
      <c r="AF854" s="3">
        <v>3.0840000000000001</v>
      </c>
      <c r="AG854" s="3">
        <v>4.367</v>
      </c>
      <c r="AH854" s="194">
        <v>1.67</v>
      </c>
      <c r="AI854" s="193">
        <v>3.0230000000000001</v>
      </c>
      <c r="AJ854" s="194">
        <v>4.3010000000000002</v>
      </c>
      <c r="AK854" s="130"/>
      <c r="AL854" s="203">
        <v>10.07</v>
      </c>
      <c r="AM854" s="203">
        <v>9.9499999999999993</v>
      </c>
      <c r="AN854" s="3">
        <v>9.77</v>
      </c>
      <c r="AO854" s="3">
        <v>9.9</v>
      </c>
      <c r="AP854" s="137">
        <f>MIN(AQ854:AR854)</f>
        <v>9.77</v>
      </c>
      <c r="AQ854" s="132">
        <v>9.9499999999999993</v>
      </c>
      <c r="AR854" s="132">
        <v>9.77</v>
      </c>
      <c r="AS854" s="3"/>
      <c r="AT854" s="3"/>
      <c r="AU854" s="3"/>
      <c r="AV854" s="3"/>
      <c r="AW854" s="192"/>
      <c r="AX854" s="133">
        <v>30.8</v>
      </c>
      <c r="AY854" s="195" t="s">
        <v>254</v>
      </c>
      <c r="AZ854" s="40">
        <v>10</v>
      </c>
      <c r="BA854" s="40"/>
      <c r="BB854" s="40"/>
      <c r="BC854" s="40"/>
      <c r="BD854" s="135">
        <v>993.84910827712315</v>
      </c>
      <c r="BE854" s="135">
        <v>1071.3562293435214</v>
      </c>
      <c r="BF854" s="40"/>
      <c r="BG854" s="135">
        <v>538.89447232429802</v>
      </c>
      <c r="BH854" s="135">
        <v>562.35607249014402</v>
      </c>
      <c r="BI854" s="49">
        <f>IFERROR(SUM(paper3[[#This Row],[Kraft ikke-dominant]:[Kraft dominant]]),"")</f>
        <v>2065.2053376206445</v>
      </c>
      <c r="BJ854" s="49">
        <f>IFERROR(SUM(paper3[[#This Row],[Pwr ikke-dominant]:[Pwr dominant]]),"")</f>
        <v>1101.250544814442</v>
      </c>
      <c r="BK854" s="66"/>
      <c r="BL854" s="66"/>
      <c r="BM854" s="51">
        <f>IFERROR(paper3[[#This Row],[totforce]]/paper3[[#This Row],[bodymass]],"")</f>
        <v>29.930512139429631</v>
      </c>
      <c r="BN854" s="51">
        <f>IFERROR(paper3[[#This Row],[totpwr]]/paper3[[#This Row],[bodymass]],"")</f>
        <v>15.96015282339771</v>
      </c>
      <c r="BO854" s="136"/>
      <c r="BP854" s="40"/>
      <c r="BQ854" s="40"/>
      <c r="BR854" s="67"/>
      <c r="BS854" s="54"/>
      <c r="BT854" s="3"/>
      <c r="BU854" s="3"/>
      <c r="BV854" s="3"/>
      <c r="BW854" s="3"/>
      <c r="BX854" s="70"/>
      <c r="BY854" s="70"/>
      <c r="BZ854" s="59"/>
      <c r="CA854" s="59"/>
      <c r="CB854" s="59"/>
      <c r="CC854" s="59"/>
      <c r="CD854" s="60"/>
      <c r="CE854" s="60"/>
      <c r="CF854" s="61"/>
      <c r="CG854" s="61"/>
      <c r="CH854" s="61"/>
      <c r="CI854" s="41">
        <v>16.7</v>
      </c>
      <c r="CJ854" s="40">
        <f>VLOOKUP(CI854,$DB:$DC,2)</f>
        <v>1360</v>
      </c>
      <c r="CK854" s="3"/>
      <c r="CL854" s="62"/>
      <c r="CM854" s="63"/>
      <c r="CN854" s="3"/>
      <c r="CO854" s="3"/>
      <c r="CP854" s="41">
        <v>15.083333333333334</v>
      </c>
      <c r="CQ854" s="3"/>
      <c r="CR854" s="40"/>
      <c r="CS854" s="40"/>
      <c r="CT854" s="40"/>
      <c r="CU854" s="40"/>
      <c r="CV854" s="40"/>
      <c r="CW854" s="40"/>
      <c r="CX854" s="40"/>
      <c r="CY854" s="40"/>
    </row>
    <row r="855" spans="1:103" ht="18.95" customHeight="1">
      <c r="A855" s="3">
        <v>956</v>
      </c>
      <c r="B855" s="92" t="s">
        <v>199</v>
      </c>
      <c r="C855" s="3" t="s">
        <v>104</v>
      </c>
      <c r="D855" s="202" t="s">
        <v>215</v>
      </c>
      <c r="E855" s="39">
        <v>45442</v>
      </c>
      <c r="F855" s="3" t="s">
        <v>186</v>
      </c>
      <c r="G855" s="3" t="s">
        <v>122</v>
      </c>
      <c r="H855" s="3">
        <v>2008</v>
      </c>
      <c r="I855" s="40" t="str">
        <f t="shared" si="12"/>
        <v>U16</v>
      </c>
      <c r="J855" s="40" t="s">
        <v>157</v>
      </c>
      <c r="K855" s="3">
        <v>178.1</v>
      </c>
      <c r="L855" s="3">
        <v>178.1</v>
      </c>
      <c r="M855" s="3"/>
      <c r="N855" s="3">
        <v>161</v>
      </c>
      <c r="O855" s="3">
        <v>161</v>
      </c>
      <c r="P855" s="3"/>
      <c r="Q855" s="3">
        <v>65</v>
      </c>
      <c r="R855" s="3">
        <v>65</v>
      </c>
      <c r="S855" s="3"/>
      <c r="T855" s="42">
        <v>178.1</v>
      </c>
      <c r="U855" s="188" cm="1">
        <f t="array" ref="U855">AVERAGE(paper3[[#This Row],[Sittende høyde 1]:[Sittende høyde 2]]-70.2)</f>
        <v>90.8</v>
      </c>
      <c r="V855" s="12">
        <f>paper3[[#This Row],[height]]-paper3[[#This Row],[sittingheight]]</f>
        <v>87.3</v>
      </c>
      <c r="W855" s="73">
        <v>65</v>
      </c>
      <c r="X855" s="43" cm="1">
        <f t="array" ref="X855">INDEX([1]!phvny[yphv], MATCH(1, (paper3[[#This Row],[id]]=[1]!phvny[id])*(paper3[[#This Row],[time]]=[1]!phvny[time]), 0))</f>
        <v>1.683763249587185</v>
      </c>
      <c r="Y855" s="192"/>
      <c r="Z855" s="3"/>
      <c r="AA855" s="192"/>
      <c r="AB855" s="3">
        <v>1.639</v>
      </c>
      <c r="AC855" s="3">
        <v>3.0459999999999998</v>
      </c>
      <c r="AD855" s="3">
        <v>4.37</v>
      </c>
      <c r="AE855" s="3">
        <v>1.6930000000000001</v>
      </c>
      <c r="AF855" s="3">
        <v>3.1139999999999999</v>
      </c>
      <c r="AG855" s="3">
        <v>4.4459999999999997</v>
      </c>
      <c r="AH855" s="194">
        <v>1.639</v>
      </c>
      <c r="AI855" s="193">
        <v>3.0459999999999998</v>
      </c>
      <c r="AJ855" s="194">
        <v>4.37</v>
      </c>
      <c r="AK855" s="130"/>
      <c r="AL855" s="203">
        <v>9.2799999999999994</v>
      </c>
      <c r="AM855" s="203">
        <v>9.15</v>
      </c>
      <c r="AN855" s="3">
        <v>9.34</v>
      </c>
      <c r="AO855" s="3">
        <v>9.1999999999999993</v>
      </c>
      <c r="AP855" s="137">
        <f>MIN(AQ855:AR855)</f>
        <v>9.15</v>
      </c>
      <c r="AQ855" s="132">
        <v>9.15</v>
      </c>
      <c r="AR855" s="132">
        <v>9.1999999999999993</v>
      </c>
      <c r="AS855" s="3"/>
      <c r="AT855" s="3"/>
      <c r="AU855" s="3"/>
      <c r="AV855" s="3"/>
      <c r="AW855" s="192"/>
      <c r="AX855" s="133">
        <v>29.8</v>
      </c>
      <c r="AY855" s="195" t="s">
        <v>254</v>
      </c>
      <c r="AZ855" s="40">
        <v>9</v>
      </c>
      <c r="BA855" s="40"/>
      <c r="BB855" s="40"/>
      <c r="BC855" s="40"/>
      <c r="BD855" s="135">
        <v>1146.3112136543148</v>
      </c>
      <c r="BE855" s="135">
        <v>1146.5119465006628</v>
      </c>
      <c r="BF855" s="40"/>
      <c r="BG855" s="135">
        <v>449.83860648318006</v>
      </c>
      <c r="BH855" s="135">
        <v>437.17021859781141</v>
      </c>
      <c r="BI855" s="49">
        <f>IFERROR(SUM(paper3[[#This Row],[Kraft ikke-dominant]:[Kraft dominant]]),"")</f>
        <v>2292.8231601549778</v>
      </c>
      <c r="BJ855" s="49">
        <f>IFERROR(SUM(paper3[[#This Row],[Pwr ikke-dominant]:[Pwr dominant]]),"")</f>
        <v>887.00882508099153</v>
      </c>
      <c r="BK855" s="66"/>
      <c r="BL855" s="66"/>
      <c r="BM855" s="51">
        <f>IFERROR(paper3[[#This Row],[totforce]]/paper3[[#This Row],[bodymass]],"")</f>
        <v>35.274202463922734</v>
      </c>
      <c r="BN855" s="51">
        <f>IFERROR(paper3[[#This Row],[totpwr]]/paper3[[#This Row],[bodymass]],"")</f>
        <v>13.646289616630639</v>
      </c>
      <c r="BO855" s="136"/>
      <c r="BP855" s="40"/>
      <c r="BQ855" s="40"/>
      <c r="BR855" s="67"/>
      <c r="BS855" s="54"/>
      <c r="BT855" s="3"/>
      <c r="BU855" s="3"/>
      <c r="BV855" s="3"/>
      <c r="BW855" s="3"/>
      <c r="BX855" s="70"/>
      <c r="BY855" s="70"/>
      <c r="BZ855" s="59"/>
      <c r="CA855" s="59"/>
      <c r="CB855" s="59"/>
      <c r="CC855" s="59"/>
      <c r="CD855" s="60"/>
      <c r="CE855" s="60"/>
      <c r="CF855" s="61"/>
      <c r="CG855" s="61"/>
      <c r="CH855" s="61"/>
      <c r="CI855" s="41">
        <v>17.7</v>
      </c>
      <c r="CJ855" s="40">
        <f>VLOOKUP(CI855,$DB:$DC,2)</f>
        <v>1680</v>
      </c>
      <c r="CK855" s="3"/>
      <c r="CL855" s="62"/>
      <c r="CM855" s="63"/>
      <c r="CN855" s="3"/>
      <c r="CO855" s="3"/>
      <c r="CP855" s="41">
        <v>14.619444444444444</v>
      </c>
      <c r="CQ855" s="3"/>
      <c r="CR855" s="40"/>
      <c r="CS855" s="40"/>
      <c r="CT855" s="40"/>
      <c r="CU855" s="40"/>
      <c r="CV855" s="40"/>
      <c r="CW855" s="40"/>
      <c r="CX855" s="40"/>
      <c r="CY855" s="40"/>
    </row>
    <row r="856" spans="1:103" ht="18.95" customHeight="1">
      <c r="A856" s="3">
        <v>957</v>
      </c>
      <c r="B856" s="92" t="s">
        <v>199</v>
      </c>
      <c r="C856" s="3" t="s">
        <v>104</v>
      </c>
      <c r="D856" s="202" t="s">
        <v>215</v>
      </c>
      <c r="E856" s="39">
        <v>45442</v>
      </c>
      <c r="F856" s="3" t="s">
        <v>186</v>
      </c>
      <c r="G856" s="3" t="s">
        <v>122</v>
      </c>
      <c r="H856" s="3">
        <v>2008</v>
      </c>
      <c r="I856" s="40" t="str">
        <f t="shared" si="12"/>
        <v>U16</v>
      </c>
      <c r="J856" s="40" t="s">
        <v>157</v>
      </c>
      <c r="K856" s="3">
        <v>187</v>
      </c>
      <c r="L856" s="3">
        <v>187</v>
      </c>
      <c r="M856" s="3"/>
      <c r="N856" s="3">
        <v>169.6</v>
      </c>
      <c r="O856" s="3">
        <v>169.4</v>
      </c>
      <c r="P856" s="3"/>
      <c r="Q856" s="3">
        <v>86.7</v>
      </c>
      <c r="R856" s="3">
        <v>86.7</v>
      </c>
      <c r="S856" s="3"/>
      <c r="T856" s="42">
        <v>187</v>
      </c>
      <c r="U856" s="188" cm="1">
        <f t="array" ref="U856">AVERAGE(paper3[[#This Row],[Sittende høyde 1]:[Sittende høyde 2]]-70.2)</f>
        <v>99.3</v>
      </c>
      <c r="V856" s="12">
        <f>paper3[[#This Row],[height]]-paper3[[#This Row],[sittingheight]]</f>
        <v>87.7</v>
      </c>
      <c r="W856" s="73">
        <v>86.7</v>
      </c>
      <c r="X856" s="43" cm="1">
        <f t="array" ref="X856">INDEX([1]!phvny[yphv], MATCH(1, (paper3[[#This Row],[id]]=[1]!phvny[id])*(paper3[[#This Row],[time]]=[1]!phvny[time]), 0))</f>
        <v>3.2195027620656567</v>
      </c>
      <c r="Y856" s="192">
        <v>1.7030000000000001</v>
      </c>
      <c r="Z856" s="3">
        <v>3.1920000000000002</v>
      </c>
      <c r="AA856" s="192">
        <v>4.5129999999999999</v>
      </c>
      <c r="AB856" s="3">
        <v>1.7170000000000001</v>
      </c>
      <c r="AC856" s="3">
        <v>3.1560000000000001</v>
      </c>
      <c r="AD856" s="3">
        <v>4.5410000000000004</v>
      </c>
      <c r="AE856" s="3">
        <v>1.7490000000000001</v>
      </c>
      <c r="AF856" s="3">
        <v>3.2130000000000001</v>
      </c>
      <c r="AG856" s="3">
        <v>4.6070000000000002</v>
      </c>
      <c r="AH856" s="194">
        <v>1.7030000000000001</v>
      </c>
      <c r="AI856" s="193">
        <v>3.1560000000000001</v>
      </c>
      <c r="AJ856" s="194">
        <v>4.5129999999999999</v>
      </c>
      <c r="AK856" s="130"/>
      <c r="AL856" s="203"/>
      <c r="AM856" s="203"/>
      <c r="AN856" s="3"/>
      <c r="AO856" s="3"/>
      <c r="AP856" s="137"/>
      <c r="AQ856" s="132"/>
      <c r="AR856" s="132"/>
      <c r="AS856" s="3"/>
      <c r="AT856" s="3"/>
      <c r="AU856" s="3"/>
      <c r="AV856" s="3"/>
      <c r="AW856" s="192"/>
      <c r="AX856" s="133">
        <v>24.8</v>
      </c>
      <c r="AY856" s="195" t="s">
        <v>254</v>
      </c>
      <c r="AZ856" s="40">
        <v>9</v>
      </c>
      <c r="BA856" s="40"/>
      <c r="BB856" s="40"/>
      <c r="BC856" s="40"/>
      <c r="BD856" s="135">
        <v>1274.4726768452188</v>
      </c>
      <c r="BE856" s="135">
        <v>1200.7560094803864</v>
      </c>
      <c r="BF856" s="40"/>
      <c r="BG856" s="135">
        <v>562.35343214997374</v>
      </c>
      <c r="BH856" s="135">
        <v>624.98412086502344</v>
      </c>
      <c r="BI856" s="49">
        <f>IFERROR(SUM(paper3[[#This Row],[Kraft ikke-dominant]:[Kraft dominant]]),"")</f>
        <v>2475.2286863256049</v>
      </c>
      <c r="BJ856" s="49">
        <f>IFERROR(SUM(paper3[[#This Row],[Pwr ikke-dominant]:[Pwr dominant]]),"")</f>
        <v>1187.3375530149972</v>
      </c>
      <c r="BK856" s="66"/>
      <c r="BL856" s="66"/>
      <c r="BM856" s="51">
        <f>IFERROR(paper3[[#This Row],[totforce]]/paper3[[#This Row],[bodymass]],"")</f>
        <v>28.549350476650574</v>
      </c>
      <c r="BN856" s="51">
        <f>IFERROR(paper3[[#This Row],[totpwr]]/paper3[[#This Row],[bodymass]],"")</f>
        <v>13.6947814649942</v>
      </c>
      <c r="BO856" s="136"/>
      <c r="BP856" s="40"/>
      <c r="BQ856" s="40"/>
      <c r="BR856" s="67"/>
      <c r="BS856" s="54"/>
      <c r="BT856" s="3"/>
      <c r="BU856" s="3"/>
      <c r="BV856" s="3"/>
      <c r="BW856" s="3"/>
      <c r="BX856" s="70"/>
      <c r="BY856" s="70"/>
      <c r="BZ856" s="59"/>
      <c r="CA856" s="59"/>
      <c r="CB856" s="59"/>
      <c r="CC856" s="59"/>
      <c r="CD856" s="60"/>
      <c r="CE856" s="60"/>
      <c r="CF856" s="61"/>
      <c r="CG856" s="61"/>
      <c r="CH856" s="61"/>
      <c r="CI856" s="41"/>
      <c r="CJ856" s="40"/>
      <c r="CK856" s="3"/>
      <c r="CL856" s="62"/>
      <c r="CM856" s="63"/>
      <c r="CN856" s="3"/>
      <c r="CO856" s="3"/>
      <c r="CP856" s="41">
        <v>14.888888888888889</v>
      </c>
      <c r="CQ856" s="3"/>
      <c r="CR856" s="40"/>
      <c r="CS856" s="40"/>
      <c r="CT856" s="40"/>
      <c r="CU856" s="40"/>
      <c r="CV856" s="40"/>
      <c r="CW856" s="40"/>
      <c r="CX856" s="40"/>
      <c r="CY856" s="40"/>
    </row>
    <row r="857" spans="1:103" ht="18.95" customHeight="1">
      <c r="A857" s="3">
        <v>958</v>
      </c>
      <c r="B857" s="92" t="s">
        <v>199</v>
      </c>
      <c r="C857" s="3" t="s">
        <v>104</v>
      </c>
      <c r="D857" s="202" t="s">
        <v>215</v>
      </c>
      <c r="E857" s="39">
        <v>45442</v>
      </c>
      <c r="F857" s="3" t="s">
        <v>186</v>
      </c>
      <c r="G857" s="3" t="s">
        <v>122</v>
      </c>
      <c r="H857" s="3">
        <v>2008</v>
      </c>
      <c r="I857" s="40" t="str">
        <f t="shared" si="12"/>
        <v>U16</v>
      </c>
      <c r="J857" s="40" t="s">
        <v>157</v>
      </c>
      <c r="K857" s="3">
        <v>166</v>
      </c>
      <c r="L857" s="3">
        <v>166</v>
      </c>
      <c r="M857" s="3"/>
      <c r="N857" s="3">
        <v>158.6</v>
      </c>
      <c r="O857" s="3">
        <v>158.6</v>
      </c>
      <c r="P857" s="3"/>
      <c r="Q857" s="3">
        <v>60.2</v>
      </c>
      <c r="R857" s="3">
        <v>60.2</v>
      </c>
      <c r="S857" s="3"/>
      <c r="T857" s="42">
        <v>166</v>
      </c>
      <c r="U857" s="188" cm="1">
        <f t="array" ref="U857">AVERAGE(paper3[[#This Row],[Sittende høyde 1]:[Sittende høyde 2]]-70.2)</f>
        <v>88.399999999999991</v>
      </c>
      <c r="V857" s="12">
        <f>paper3[[#This Row],[height]]-paper3[[#This Row],[sittingheight]]</f>
        <v>77.600000000000009</v>
      </c>
      <c r="W857" s="73">
        <v>60.2</v>
      </c>
      <c r="X857" s="43" cm="1">
        <f t="array" ref="X857">INDEX([1]!phvny[yphv], MATCH(1, (paper3[[#This Row],[id]]=[1]!phvny[id])*(paper3[[#This Row],[time]]=[1]!phvny[time]), 0))</f>
        <v>1.7752923327228893</v>
      </c>
      <c r="Y857" s="192">
        <v>1.665</v>
      </c>
      <c r="Z857" s="3">
        <v>3.0339999999999998</v>
      </c>
      <c r="AA857" s="192">
        <v>4.3220000000000001</v>
      </c>
      <c r="AB857" s="3">
        <v>1.7110000000000001</v>
      </c>
      <c r="AC857" s="3">
        <v>3.109</v>
      </c>
      <c r="AD857" s="3">
        <v>4.4379999999999997</v>
      </c>
      <c r="AE857" s="3">
        <v>1.7350000000000001</v>
      </c>
      <c r="AF857" s="3">
        <v>3.1509999999999998</v>
      </c>
      <c r="AG857" s="3">
        <v>4.51</v>
      </c>
      <c r="AH857" s="194">
        <v>1.665</v>
      </c>
      <c r="AI857" s="193">
        <v>3.0339999999999998</v>
      </c>
      <c r="AJ857" s="194">
        <v>4.3220000000000001</v>
      </c>
      <c r="AK857" s="130"/>
      <c r="AL857" s="203">
        <v>9.5299999999999994</v>
      </c>
      <c r="AM857" s="203">
        <v>9.56</v>
      </c>
      <c r="AN857" s="3">
        <v>10.06</v>
      </c>
      <c r="AO857" s="3">
        <v>9.76</v>
      </c>
      <c r="AP857" s="137">
        <f>MIN(AQ857:AR857)</f>
        <v>9.5299999999999994</v>
      </c>
      <c r="AQ857" s="132">
        <v>9.5299999999999994</v>
      </c>
      <c r="AR857" s="132">
        <v>9.76</v>
      </c>
      <c r="AS857" s="3"/>
      <c r="AT857" s="3"/>
      <c r="AU857" s="3"/>
      <c r="AV857" s="3"/>
      <c r="AW857" s="192"/>
      <c r="AX857" s="133">
        <v>24.1</v>
      </c>
      <c r="AY857" s="195" t="s">
        <v>254</v>
      </c>
      <c r="AZ857" s="40">
        <v>9</v>
      </c>
      <c r="BA857" s="40"/>
      <c r="BB857" s="40"/>
      <c r="BC857" s="40"/>
      <c r="BD857" s="135">
        <v>1182.0856213107254</v>
      </c>
      <c r="BE857" s="135">
        <v>1258.6275729246122</v>
      </c>
      <c r="BF857" s="40"/>
      <c r="BG857" s="135">
        <v>556.2458182666229</v>
      </c>
      <c r="BH857" s="135">
        <v>552.53302168454434</v>
      </c>
      <c r="BI857" s="49">
        <f>IFERROR(SUM(paper3[[#This Row],[Kraft ikke-dominant]:[Kraft dominant]]),"")</f>
        <v>2440.7131942353376</v>
      </c>
      <c r="BJ857" s="49">
        <f>IFERROR(SUM(paper3[[#This Row],[Pwr ikke-dominant]:[Pwr dominant]]),"")</f>
        <v>1108.7788399511674</v>
      </c>
      <c r="BK857" s="66"/>
      <c r="BL857" s="66"/>
      <c r="BM857" s="51">
        <f>IFERROR(paper3[[#This Row],[totforce]]/paper3[[#This Row],[bodymass]],"")</f>
        <v>40.543408542115237</v>
      </c>
      <c r="BN857" s="51">
        <f>IFERROR(paper3[[#This Row],[totpwr]]/paper3[[#This Row],[bodymass]],"")</f>
        <v>18.418253155335005</v>
      </c>
      <c r="BO857" s="136"/>
      <c r="BP857" s="40"/>
      <c r="BQ857" s="40"/>
      <c r="BR857" s="67"/>
      <c r="BS857" s="54"/>
      <c r="BT857" s="3"/>
      <c r="BU857" s="3"/>
      <c r="BV857" s="3"/>
      <c r="BW857" s="3"/>
      <c r="BX857" s="70"/>
      <c r="BY857" s="70"/>
      <c r="BZ857" s="59"/>
      <c r="CA857" s="59"/>
      <c r="CB857" s="59"/>
      <c r="CC857" s="59"/>
      <c r="CD857" s="60"/>
      <c r="CE857" s="60"/>
      <c r="CF857" s="61"/>
      <c r="CG857" s="61"/>
      <c r="CH857" s="61"/>
      <c r="CI857" s="41">
        <v>16.2</v>
      </c>
      <c r="CJ857" s="40">
        <f>VLOOKUP(CI857,$DB:$DC,2)</f>
        <v>1160</v>
      </c>
      <c r="CK857" s="3"/>
      <c r="CL857" s="62"/>
      <c r="CM857" s="63"/>
      <c r="CN857" s="3"/>
      <c r="CO857" s="3"/>
      <c r="CP857" s="41">
        <v>15.41388888888889</v>
      </c>
      <c r="CQ857" s="3"/>
      <c r="CR857" s="40"/>
      <c r="CS857" s="40"/>
      <c r="CT857" s="40"/>
      <c r="CU857" s="40"/>
      <c r="CV857" s="40"/>
      <c r="CW857" s="40"/>
      <c r="CX857" s="40"/>
      <c r="CY857" s="40"/>
    </row>
    <row r="858" spans="1:103" ht="18.95" customHeight="1">
      <c r="A858" s="3">
        <v>959</v>
      </c>
      <c r="B858" s="92" t="s">
        <v>199</v>
      </c>
      <c r="C858" s="3" t="s">
        <v>104</v>
      </c>
      <c r="D858" s="202" t="s">
        <v>215</v>
      </c>
      <c r="E858" s="39">
        <v>45442</v>
      </c>
      <c r="F858" s="3" t="s">
        <v>186</v>
      </c>
      <c r="G858" s="3" t="s">
        <v>122</v>
      </c>
      <c r="H858" s="3">
        <v>2008</v>
      </c>
      <c r="I858" s="40" t="str">
        <f t="shared" si="12"/>
        <v>U16</v>
      </c>
      <c r="J858" s="40" t="s">
        <v>157</v>
      </c>
      <c r="K858" s="3"/>
      <c r="L858" s="3"/>
      <c r="M858" s="3"/>
      <c r="N858" s="3"/>
      <c r="O858" s="3"/>
      <c r="P858" s="3"/>
      <c r="Q858" s="3"/>
      <c r="R858" s="3"/>
      <c r="S858" s="3"/>
      <c r="T858" s="42"/>
      <c r="U858" s="188"/>
      <c r="V858" s="199"/>
      <c r="W858" s="73"/>
      <c r="X858" s="43"/>
      <c r="Y858" s="192"/>
      <c r="Z858" s="3"/>
      <c r="AA858" s="192"/>
      <c r="AB858" s="3"/>
      <c r="AC858" s="3"/>
      <c r="AD858" s="3"/>
      <c r="AE858" s="3"/>
      <c r="AF858" s="3"/>
      <c r="AG858" s="3"/>
      <c r="AH858" s="194"/>
      <c r="AI858" s="193"/>
      <c r="AJ858" s="194"/>
      <c r="AK858" s="130"/>
      <c r="AL858" s="203"/>
      <c r="AM858" s="203"/>
      <c r="AN858" s="3"/>
      <c r="AO858" s="3"/>
      <c r="AP858" s="137"/>
      <c r="AQ858" s="132"/>
      <c r="AR858" s="132"/>
      <c r="AS858" s="3"/>
      <c r="AT858" s="3"/>
      <c r="AU858" s="3"/>
      <c r="AV858" s="3"/>
      <c r="AW858" s="192"/>
      <c r="AX858" s="133"/>
      <c r="AY858" s="195"/>
      <c r="AZ858" s="40"/>
      <c r="BA858" s="40"/>
      <c r="BB858" s="40"/>
      <c r="BC858" s="40"/>
      <c r="BD858" s="135"/>
      <c r="BE858" s="135"/>
      <c r="BF858" s="40"/>
      <c r="BG858" s="135"/>
      <c r="BH858" s="135"/>
      <c r="BI858" s="49"/>
      <c r="BJ858" s="49"/>
      <c r="BK858" s="66"/>
      <c r="BL858" s="66"/>
      <c r="BM858" s="51"/>
      <c r="BN858" s="51"/>
      <c r="BO858" s="136"/>
      <c r="BP858" s="40"/>
      <c r="BQ858" s="40"/>
      <c r="BR858" s="67"/>
      <c r="BS858" s="54"/>
      <c r="BT858" s="3"/>
      <c r="BU858" s="3"/>
      <c r="BV858" s="3"/>
      <c r="BW858" s="3"/>
      <c r="BX858" s="70"/>
      <c r="BY858" s="70"/>
      <c r="BZ858" s="59"/>
      <c r="CA858" s="59"/>
      <c r="CB858" s="59"/>
      <c r="CC858" s="59"/>
      <c r="CD858" s="60"/>
      <c r="CE858" s="60"/>
      <c r="CF858" s="61"/>
      <c r="CG858" s="61"/>
      <c r="CH858" s="61"/>
      <c r="CI858" s="41"/>
      <c r="CJ858" s="40"/>
      <c r="CK858" s="3"/>
      <c r="CL858" s="62"/>
      <c r="CM858" s="63"/>
      <c r="CN858" s="3"/>
      <c r="CO858" s="3"/>
      <c r="CP858" s="41"/>
      <c r="CQ858" s="3"/>
      <c r="CR858" s="40"/>
      <c r="CS858" s="40"/>
      <c r="CT858" s="40"/>
      <c r="CU858" s="40"/>
      <c r="CV858" s="40"/>
      <c r="CW858" s="40"/>
      <c r="CX858" s="40"/>
      <c r="CY858" s="40"/>
    </row>
    <row r="859" spans="1:103" ht="18.95" customHeight="1">
      <c r="A859" s="3">
        <v>960</v>
      </c>
      <c r="B859" s="92" t="s">
        <v>199</v>
      </c>
      <c r="C859" s="3" t="s">
        <v>104</v>
      </c>
      <c r="D859" s="202" t="s">
        <v>215</v>
      </c>
      <c r="E859" s="39">
        <v>45442</v>
      </c>
      <c r="F859" s="3" t="s">
        <v>186</v>
      </c>
      <c r="G859" s="3" t="s">
        <v>122</v>
      </c>
      <c r="H859" s="3">
        <v>2008</v>
      </c>
      <c r="I859" s="40" t="str">
        <f t="shared" si="12"/>
        <v>U16</v>
      </c>
      <c r="J859" s="40" t="s">
        <v>157</v>
      </c>
      <c r="K859" s="3">
        <v>173.4</v>
      </c>
      <c r="L859" s="3">
        <v>173.4</v>
      </c>
      <c r="M859" s="3"/>
      <c r="N859" s="3">
        <v>163.19999999999999</v>
      </c>
      <c r="O859" s="3">
        <v>163.19999999999999</v>
      </c>
      <c r="P859" s="3"/>
      <c r="Q859" s="3">
        <v>69.099999999999994</v>
      </c>
      <c r="R859" s="3">
        <v>69.099999999999994</v>
      </c>
      <c r="S859" s="3"/>
      <c r="T859" s="42">
        <v>173.4</v>
      </c>
      <c r="U859" s="188" cm="1">
        <f t="array" ref="U859">AVERAGE(paper3[[#This Row],[Sittende høyde 1]:[Sittende høyde 2]]-70.2)</f>
        <v>92.999999999999986</v>
      </c>
      <c r="V859" s="12">
        <f>paper3[[#This Row],[height]]-paper3[[#This Row],[sittingheight]]</f>
        <v>80.40000000000002</v>
      </c>
      <c r="W859" s="73">
        <v>69.099999999999994</v>
      </c>
      <c r="X859" s="43" cm="1">
        <f t="array" ref="X859">INDEX([1]!phvny[yphv], MATCH(1, (paper3[[#This Row],[id]]=[1]!phvny[id])*(paper3[[#This Row],[time]]=[1]!phvny[time]), 0))</f>
        <v>2.3032993417993048</v>
      </c>
      <c r="Y859" s="192">
        <v>1.6779999999999999</v>
      </c>
      <c r="Z859" s="3">
        <v>3.0779999999999998</v>
      </c>
      <c r="AA859" s="192">
        <v>4.4669999999999996</v>
      </c>
      <c r="AB859" s="3">
        <v>1.6950000000000001</v>
      </c>
      <c r="AC859" s="3">
        <v>3.1349999999999998</v>
      </c>
      <c r="AD859" s="3">
        <v>4.5430000000000001</v>
      </c>
      <c r="AE859" s="3">
        <v>1.704</v>
      </c>
      <c r="AF859" s="3">
        <v>3.1459999999999999</v>
      </c>
      <c r="AG859" s="3">
        <v>4.5519999999999996</v>
      </c>
      <c r="AH859" s="194">
        <v>1.6779999999999999</v>
      </c>
      <c r="AI859" s="193">
        <v>3.0779999999999998</v>
      </c>
      <c r="AJ859" s="194">
        <v>4.4669999999999996</v>
      </c>
      <c r="AK859" s="130"/>
      <c r="AL859" s="203">
        <v>9.68</v>
      </c>
      <c r="AM859" s="203">
        <v>9.76</v>
      </c>
      <c r="AN859" s="3">
        <v>9.89</v>
      </c>
      <c r="AO859" s="3">
        <v>9.8699999999999992</v>
      </c>
      <c r="AP859" s="137">
        <f>MIN(AQ859:AR859)</f>
        <v>9.68</v>
      </c>
      <c r="AQ859" s="132">
        <v>9.68</v>
      </c>
      <c r="AR859" s="132">
        <v>9.8699999999999992</v>
      </c>
      <c r="AS859" s="3"/>
      <c r="AT859" s="3"/>
      <c r="AU859" s="3"/>
      <c r="AV859" s="3"/>
      <c r="AW859" s="192"/>
      <c r="AX859" s="133">
        <v>28.7</v>
      </c>
      <c r="AY859" s="195" t="s">
        <v>254</v>
      </c>
      <c r="AZ859" s="40">
        <v>9</v>
      </c>
      <c r="BA859" s="40"/>
      <c r="BB859" s="40"/>
      <c r="BC859" s="40"/>
      <c r="BD859" s="135">
        <v>1279.8215236742412</v>
      </c>
      <c r="BE859" s="135">
        <v>1198.4348437991646</v>
      </c>
      <c r="BF859" s="40"/>
      <c r="BG859" s="135">
        <v>486.74140939687169</v>
      </c>
      <c r="BH859" s="135">
        <v>504.45145128522864</v>
      </c>
      <c r="BI859" s="49">
        <f>IFERROR(SUM(paper3[[#This Row],[Kraft ikke-dominant]:[Kraft dominant]]),"")</f>
        <v>2478.2563674734056</v>
      </c>
      <c r="BJ859" s="49">
        <f>IFERROR(SUM(paper3[[#This Row],[Pwr ikke-dominant]:[Pwr dominant]]),"")</f>
        <v>991.19286068210033</v>
      </c>
      <c r="BK859" s="66"/>
      <c r="BL859" s="66"/>
      <c r="BM859" s="51">
        <f>IFERROR(paper3[[#This Row],[totforce]]/paper3[[#This Row],[bodymass]],"")</f>
        <v>35.864781005403849</v>
      </c>
      <c r="BN859" s="51">
        <f>IFERROR(paper3[[#This Row],[totpwr]]/paper3[[#This Row],[bodymass]],"")</f>
        <v>14.344325046050658</v>
      </c>
      <c r="BO859" s="136"/>
      <c r="BP859" s="40"/>
      <c r="BQ859" s="40"/>
      <c r="BR859" s="67"/>
      <c r="BS859" s="54"/>
      <c r="BT859" s="3"/>
      <c r="BU859" s="3"/>
      <c r="BV859" s="3"/>
      <c r="BW859" s="3"/>
      <c r="BX859" s="70"/>
      <c r="BY859" s="70"/>
      <c r="BZ859" s="59"/>
      <c r="CA859" s="59"/>
      <c r="CB859" s="59"/>
      <c r="CC859" s="59"/>
      <c r="CD859" s="60"/>
      <c r="CE859" s="60"/>
      <c r="CF859" s="61"/>
      <c r="CG859" s="61"/>
      <c r="CH859" s="61"/>
      <c r="CI859" s="41">
        <v>16.2</v>
      </c>
      <c r="CJ859" s="40">
        <f>VLOOKUP(CI859,$DB:$DC,2)</f>
        <v>1160</v>
      </c>
      <c r="CK859" s="3"/>
      <c r="CL859" s="62"/>
      <c r="CM859" s="63"/>
      <c r="CN859" s="3"/>
      <c r="CO859" s="3"/>
      <c r="CP859" s="41">
        <v>15.063888888888888</v>
      </c>
      <c r="CQ859" s="3"/>
      <c r="CR859" s="40"/>
      <c r="CS859" s="40"/>
      <c r="CT859" s="40"/>
      <c r="CU859" s="40"/>
      <c r="CV859" s="40"/>
      <c r="CW859" s="40"/>
      <c r="CX859" s="40"/>
      <c r="CY859" s="40"/>
    </row>
    <row r="860" spans="1:103" ht="18.75">
      <c r="A860" s="3">
        <v>961</v>
      </c>
      <c r="B860" s="92" t="s">
        <v>199</v>
      </c>
      <c r="C860" s="3" t="s">
        <v>104</v>
      </c>
      <c r="D860" s="202" t="s">
        <v>215</v>
      </c>
      <c r="E860" s="39">
        <v>45442</v>
      </c>
      <c r="F860" s="3" t="s">
        <v>186</v>
      </c>
      <c r="G860" s="3" t="s">
        <v>122</v>
      </c>
      <c r="H860" s="3">
        <v>2008</v>
      </c>
      <c r="I860" s="40" t="str">
        <f t="shared" si="12"/>
        <v>U16</v>
      </c>
      <c r="J860" s="40" t="s">
        <v>157</v>
      </c>
      <c r="K860" s="3"/>
      <c r="L860" s="3"/>
      <c r="M860" s="3"/>
      <c r="N860" s="3"/>
      <c r="O860" s="3"/>
      <c r="P860" s="3"/>
      <c r="Q860" s="3"/>
      <c r="R860" s="3"/>
      <c r="S860" s="3"/>
      <c r="T860" s="42"/>
      <c r="U860" s="188"/>
      <c r="V860" s="199"/>
      <c r="W860" s="73"/>
      <c r="X860" s="43"/>
      <c r="Y860" s="192"/>
      <c r="Z860" s="3"/>
      <c r="AA860" s="192"/>
      <c r="AB860" s="3"/>
      <c r="AC860" s="3"/>
      <c r="AD860" s="3"/>
      <c r="AE860" s="3"/>
      <c r="AF860" s="3"/>
      <c r="AG860" s="3"/>
      <c r="AH860" s="194"/>
      <c r="AI860" s="193"/>
      <c r="AJ860" s="194"/>
      <c r="AK860" s="130"/>
      <c r="AL860" s="203"/>
      <c r="AM860" s="203"/>
      <c r="AN860" s="3"/>
      <c r="AO860" s="3"/>
      <c r="AP860" s="137"/>
      <c r="AQ860" s="132"/>
      <c r="AR860" s="132"/>
      <c r="AS860" s="3"/>
      <c r="AT860" s="3"/>
      <c r="AU860" s="3"/>
      <c r="AV860" s="3"/>
      <c r="AW860" s="192"/>
      <c r="AX860" s="133"/>
      <c r="AY860" s="195"/>
      <c r="AZ860" s="40"/>
      <c r="BA860" s="40"/>
      <c r="BB860" s="40"/>
      <c r="BC860" s="40"/>
      <c r="BD860" s="135"/>
      <c r="BE860" s="135"/>
      <c r="BF860" s="40"/>
      <c r="BG860" s="135"/>
      <c r="BH860" s="135"/>
      <c r="BI860" s="49"/>
      <c r="BJ860" s="49"/>
      <c r="BK860" s="66"/>
      <c r="BL860" s="66"/>
      <c r="BM860" s="51"/>
      <c r="BN860" s="51"/>
      <c r="BO860" s="136"/>
      <c r="BP860" s="40"/>
      <c r="BQ860" s="40"/>
      <c r="BR860" s="67"/>
      <c r="BS860" s="54"/>
      <c r="BT860" s="3"/>
      <c r="BU860" s="3"/>
      <c r="BV860" s="3"/>
      <c r="BW860" s="3"/>
      <c r="BX860" s="70"/>
      <c r="BY860" s="70"/>
      <c r="BZ860" s="59"/>
      <c r="CA860" s="59"/>
      <c r="CB860" s="59"/>
      <c r="CC860" s="59"/>
      <c r="CD860" s="60"/>
      <c r="CE860" s="60"/>
      <c r="CF860" s="61"/>
      <c r="CG860" s="61"/>
      <c r="CH860" s="61"/>
      <c r="CI860" s="41"/>
      <c r="CJ860" s="40"/>
      <c r="CK860" s="3"/>
      <c r="CL860" s="62"/>
      <c r="CM860" s="63"/>
      <c r="CN860" s="3"/>
      <c r="CO860" s="3"/>
      <c r="CP860" s="41"/>
      <c r="CQ860" s="3"/>
      <c r="CR860" s="40"/>
      <c r="CS860" s="40"/>
      <c r="CT860" s="40"/>
      <c r="CU860" s="40"/>
      <c r="CV860" s="40"/>
      <c r="CW860" s="40"/>
      <c r="CX860" s="40"/>
      <c r="CY860" s="40"/>
    </row>
    <row r="861" spans="1:103" ht="18.95" customHeight="1">
      <c r="A861" s="3">
        <v>962</v>
      </c>
      <c r="B861" s="92" t="s">
        <v>199</v>
      </c>
      <c r="C861" s="3" t="s">
        <v>171</v>
      </c>
      <c r="D861" s="202" t="s">
        <v>215</v>
      </c>
      <c r="E861" s="39">
        <v>45442</v>
      </c>
      <c r="F861" s="3" t="s">
        <v>186</v>
      </c>
      <c r="G861" s="3" t="s">
        <v>122</v>
      </c>
      <c r="H861" s="3">
        <v>2008</v>
      </c>
      <c r="I861" s="40" t="str">
        <f t="shared" si="12"/>
        <v>U16</v>
      </c>
      <c r="J861" s="40" t="s">
        <v>157</v>
      </c>
      <c r="K861" s="3"/>
      <c r="L861" s="3"/>
      <c r="M861" s="3"/>
      <c r="N861" s="3"/>
      <c r="O861" s="3"/>
      <c r="P861" s="3"/>
      <c r="Q861" s="3"/>
      <c r="R861" s="3"/>
      <c r="S861" s="3"/>
      <c r="T861" s="42"/>
      <c r="U861" s="188"/>
      <c r="V861" s="199"/>
      <c r="W861" s="73"/>
      <c r="X861" s="43"/>
      <c r="Y861" s="192"/>
      <c r="Z861" s="3"/>
      <c r="AA861" s="192"/>
      <c r="AB861" s="3"/>
      <c r="AC861" s="3"/>
      <c r="AD861" s="3"/>
      <c r="AE861" s="3"/>
      <c r="AF861" s="3"/>
      <c r="AG861" s="3"/>
      <c r="AH861" s="194"/>
      <c r="AI861" s="193"/>
      <c r="AJ861" s="194"/>
      <c r="AK861" s="130"/>
      <c r="AL861" s="203"/>
      <c r="AM861" s="203"/>
      <c r="AN861" s="3"/>
      <c r="AO861" s="3"/>
      <c r="AP861" s="137"/>
      <c r="AQ861" s="132"/>
      <c r="AR861" s="132"/>
      <c r="AS861" s="3"/>
      <c r="AT861" s="3"/>
      <c r="AU861" s="3"/>
      <c r="AV861" s="3"/>
      <c r="AW861" s="192"/>
      <c r="AX861" s="133"/>
      <c r="AY861" s="195"/>
      <c r="AZ861" s="40"/>
      <c r="BA861" s="40"/>
      <c r="BB861" s="40"/>
      <c r="BC861" s="40"/>
      <c r="BD861" s="135"/>
      <c r="BE861" s="135"/>
      <c r="BF861" s="40"/>
      <c r="BG861" s="135"/>
      <c r="BH861" s="135"/>
      <c r="BI861" s="49"/>
      <c r="BJ861" s="49"/>
      <c r="BK861" s="66"/>
      <c r="BL861" s="66"/>
      <c r="BM861" s="51"/>
      <c r="BN861" s="51"/>
      <c r="BO861" s="136"/>
      <c r="BP861" s="40"/>
      <c r="BQ861" s="40"/>
      <c r="BR861" s="67"/>
      <c r="BS861" s="54"/>
      <c r="BT861" s="3"/>
      <c r="BU861" s="3"/>
      <c r="BV861" s="3"/>
      <c r="BW861" s="3"/>
      <c r="BX861" s="70"/>
      <c r="BY861" s="70"/>
      <c r="BZ861" s="59"/>
      <c r="CA861" s="59"/>
      <c r="CB861" s="59"/>
      <c r="CC861" s="59"/>
      <c r="CD861" s="60"/>
      <c r="CE861" s="60"/>
      <c r="CF861" s="61"/>
      <c r="CG861" s="61"/>
      <c r="CH861" s="61"/>
      <c r="CI861" s="41"/>
      <c r="CJ861" s="40"/>
      <c r="CK861" s="3"/>
      <c r="CL861" s="62"/>
      <c r="CM861" s="63"/>
      <c r="CN861" s="3"/>
      <c r="CO861" s="3"/>
      <c r="CP861" s="41"/>
      <c r="CQ861" s="3"/>
      <c r="CR861" s="40"/>
      <c r="CS861" s="40"/>
      <c r="CT861" s="40"/>
      <c r="CU861" s="40"/>
      <c r="CV861" s="40"/>
      <c r="CW861" s="40"/>
      <c r="CX861" s="40"/>
      <c r="CY861" s="40"/>
    </row>
    <row r="862" spans="1:103" ht="18.95" customHeight="1">
      <c r="A862" s="3">
        <v>963</v>
      </c>
      <c r="B862" s="92" t="s">
        <v>199</v>
      </c>
      <c r="C862" s="3" t="s">
        <v>104</v>
      </c>
      <c r="D862" s="202" t="s">
        <v>215</v>
      </c>
      <c r="E862" s="39">
        <v>45442</v>
      </c>
      <c r="F862" s="3" t="s">
        <v>186</v>
      </c>
      <c r="G862" s="3" t="s">
        <v>122</v>
      </c>
      <c r="H862" s="3">
        <v>2008</v>
      </c>
      <c r="I862" s="40" t="str">
        <f t="shared" si="12"/>
        <v>U16</v>
      </c>
      <c r="J862" s="40" t="s">
        <v>157</v>
      </c>
      <c r="K862" s="3">
        <v>168.4</v>
      </c>
      <c r="L862" s="3">
        <v>168.4</v>
      </c>
      <c r="M862" s="3"/>
      <c r="N862" s="3">
        <v>158</v>
      </c>
      <c r="O862" s="3">
        <v>158</v>
      </c>
      <c r="P862" s="3"/>
      <c r="Q862" s="3">
        <v>58.6</v>
      </c>
      <c r="R862" s="3">
        <v>58.6</v>
      </c>
      <c r="S862" s="3"/>
      <c r="T862" s="42">
        <v>168.4</v>
      </c>
      <c r="U862" s="188" cm="1">
        <f t="array" ref="U862">AVERAGE(paper3[[#This Row],[Sittende høyde 1]:[Sittende høyde 2]]-70.2)</f>
        <v>87.8</v>
      </c>
      <c r="V862" s="12">
        <f>paper3[[#This Row],[height]]-paper3[[#This Row],[sittingheight]]</f>
        <v>80.600000000000009</v>
      </c>
      <c r="W862" s="73">
        <v>58.6</v>
      </c>
      <c r="X862" s="43" cm="1">
        <f t="array" ref="X862">INDEX([1]!phvny[yphv], MATCH(1, (paper3[[#This Row],[id]]=[1]!phvny[id])*(paper3[[#This Row],[time]]=[1]!phvny[time]), 0))</f>
        <v>1.220605890555819</v>
      </c>
      <c r="Y862" s="192">
        <v>1.577</v>
      </c>
      <c r="Z862" s="3">
        <v>2.8879999999999999</v>
      </c>
      <c r="AA862" s="192">
        <v>4.1459999999999999</v>
      </c>
      <c r="AB862" s="3">
        <v>1.599</v>
      </c>
      <c r="AC862" s="3">
        <v>2.9020000000000001</v>
      </c>
      <c r="AD862" s="3">
        <v>4.1589999999999998</v>
      </c>
      <c r="AE862" s="3">
        <v>1.6</v>
      </c>
      <c r="AF862" s="3">
        <v>2.9079999999999999</v>
      </c>
      <c r="AG862" s="3">
        <v>4.1660000000000004</v>
      </c>
      <c r="AH862" s="194">
        <v>1.577</v>
      </c>
      <c r="AI862" s="193">
        <v>2.8879999999999999</v>
      </c>
      <c r="AJ862" s="194">
        <v>4.1459999999999999</v>
      </c>
      <c r="AK862" s="130"/>
      <c r="AL862" s="203">
        <v>9.2799999999999994</v>
      </c>
      <c r="AM862" s="203">
        <v>9.1199999999999992</v>
      </c>
      <c r="AN862" s="3">
        <v>9.5399999999999991</v>
      </c>
      <c r="AO862" s="3">
        <v>9.3699999999999992</v>
      </c>
      <c r="AP862" s="137">
        <f>MIN(AQ862:AR862)</f>
        <v>9.1199999999999992</v>
      </c>
      <c r="AQ862" s="132">
        <v>9.1199999999999992</v>
      </c>
      <c r="AR862" s="132">
        <v>9.3699999999999992</v>
      </c>
      <c r="AS862" s="3"/>
      <c r="AT862" s="3"/>
      <c r="AU862" s="3"/>
      <c r="AV862" s="3"/>
      <c r="AW862" s="192"/>
      <c r="AX862" s="133">
        <v>34</v>
      </c>
      <c r="AY862" s="195" t="s">
        <v>254</v>
      </c>
      <c r="AZ862" s="40">
        <v>9</v>
      </c>
      <c r="BA862" s="40"/>
      <c r="BB862" s="40"/>
      <c r="BC862" s="40"/>
      <c r="BD862" s="135">
        <v>1474.2149229939553</v>
      </c>
      <c r="BE862" s="135">
        <v>1421.6457341001746</v>
      </c>
      <c r="BF862" s="40"/>
      <c r="BG862" s="135">
        <v>637.1745434619038</v>
      </c>
      <c r="BH862" s="135">
        <v>599.60848711397159</v>
      </c>
      <c r="BI862" s="49">
        <f>IFERROR(SUM(paper3[[#This Row],[Kraft ikke-dominant]:[Kraft dominant]]),"")</f>
        <v>2895.8606570941301</v>
      </c>
      <c r="BJ862" s="49">
        <f>IFERROR(SUM(paper3[[#This Row],[Pwr ikke-dominant]:[Pwr dominant]]),"")</f>
        <v>1236.7830305758753</v>
      </c>
      <c r="BK862" s="66"/>
      <c r="BL862" s="66"/>
      <c r="BM862" s="51">
        <f>IFERROR(paper3[[#This Row],[totforce]]/paper3[[#This Row],[bodymass]],"")</f>
        <v>49.41741735655512</v>
      </c>
      <c r="BN862" s="51">
        <f>IFERROR(paper3[[#This Row],[totpwr]]/paper3[[#This Row],[bodymass]],"")</f>
        <v>21.105512467165106</v>
      </c>
      <c r="BO862" s="136"/>
      <c r="BP862" s="40"/>
      <c r="BQ862" s="40"/>
      <c r="BR862" s="67"/>
      <c r="BS862" s="54"/>
      <c r="BT862" s="3"/>
      <c r="BU862" s="3"/>
      <c r="BV862" s="3"/>
      <c r="BW862" s="3"/>
      <c r="BX862" s="70"/>
      <c r="BY862" s="70"/>
      <c r="BZ862" s="59"/>
      <c r="CA862" s="59"/>
      <c r="CB862" s="59"/>
      <c r="CC862" s="59"/>
      <c r="CD862" s="60"/>
      <c r="CE862" s="60"/>
      <c r="CF862" s="61"/>
      <c r="CG862" s="61"/>
      <c r="CH862" s="61"/>
      <c r="CI862" s="41">
        <v>16.7</v>
      </c>
      <c r="CJ862" s="40">
        <f>VLOOKUP(CI862,$DB:$DC,2)</f>
        <v>1360</v>
      </c>
      <c r="CK862" s="3"/>
      <c r="CL862" s="62"/>
      <c r="CM862" s="63"/>
      <c r="CN862" s="3"/>
      <c r="CO862" s="3"/>
      <c r="CP862" s="41">
        <v>14.558333333333334</v>
      </c>
      <c r="CQ862" s="3"/>
      <c r="CR862" s="40"/>
      <c r="CS862" s="40"/>
      <c r="CT862" s="40"/>
      <c r="CU862" s="40"/>
      <c r="CV862" s="40"/>
      <c r="CW862" s="40"/>
      <c r="CX862" s="40"/>
      <c r="CY862" s="40"/>
    </row>
    <row r="863" spans="1:103" ht="18.75">
      <c r="A863" s="3">
        <v>964</v>
      </c>
      <c r="B863" s="92" t="s">
        <v>199</v>
      </c>
      <c r="C863" s="3" t="s">
        <v>104</v>
      </c>
      <c r="D863" s="202" t="s">
        <v>215</v>
      </c>
      <c r="E863" s="39">
        <v>45442</v>
      </c>
      <c r="F863" s="3" t="s">
        <v>186</v>
      </c>
      <c r="G863" s="3" t="s">
        <v>122</v>
      </c>
      <c r="H863" s="3">
        <v>2008</v>
      </c>
      <c r="I863" s="40" t="str">
        <f t="shared" si="12"/>
        <v>U16</v>
      </c>
      <c r="J863" s="40" t="s">
        <v>157</v>
      </c>
      <c r="K863" s="3"/>
      <c r="L863" s="3"/>
      <c r="M863" s="3"/>
      <c r="N863" s="3"/>
      <c r="O863" s="3"/>
      <c r="P863" s="3"/>
      <c r="Q863" s="3"/>
      <c r="R863" s="3"/>
      <c r="S863" s="3"/>
      <c r="T863" s="42"/>
      <c r="U863" s="188"/>
      <c r="V863" s="199"/>
      <c r="W863" s="73"/>
      <c r="X863" s="43"/>
      <c r="Y863" s="192"/>
      <c r="Z863" s="3"/>
      <c r="AA863" s="192"/>
      <c r="AB863" s="3"/>
      <c r="AC863" s="3"/>
      <c r="AD863" s="3"/>
      <c r="AE863" s="3"/>
      <c r="AF863" s="3"/>
      <c r="AG863" s="3"/>
      <c r="AH863" s="194"/>
      <c r="AI863" s="193"/>
      <c r="AJ863" s="194"/>
      <c r="AK863" s="130"/>
      <c r="AL863" s="203">
        <v>9.24</v>
      </c>
      <c r="AM863" s="203">
        <v>9.14</v>
      </c>
      <c r="AN863" s="3">
        <v>9.26</v>
      </c>
      <c r="AO863" s="3">
        <v>9.24</v>
      </c>
      <c r="AP863" s="137">
        <f>MIN(AQ863:AR863)</f>
        <v>9.14</v>
      </c>
      <c r="AQ863" s="132">
        <v>9.14</v>
      </c>
      <c r="AR863" s="132">
        <v>9.24</v>
      </c>
      <c r="AS863" s="3"/>
      <c r="AT863" s="3"/>
      <c r="AU863" s="3"/>
      <c r="AV863" s="3"/>
      <c r="AW863" s="192"/>
      <c r="AX863" s="133"/>
      <c r="AY863" s="195"/>
      <c r="AZ863" s="40"/>
      <c r="BA863" s="40"/>
      <c r="BB863" s="40"/>
      <c r="BC863" s="40"/>
      <c r="BD863" s="135"/>
      <c r="BE863" s="135"/>
      <c r="BF863" s="40"/>
      <c r="BG863" s="135"/>
      <c r="BH863" s="135"/>
      <c r="BI863" s="49"/>
      <c r="BJ863" s="49"/>
      <c r="BK863" s="66"/>
      <c r="BL863" s="66"/>
      <c r="BM863" s="51"/>
      <c r="BN863" s="51"/>
      <c r="BO863" s="136"/>
      <c r="BP863" s="40"/>
      <c r="BQ863" s="40"/>
      <c r="BR863" s="67"/>
      <c r="BS863" s="54"/>
      <c r="BT863" s="3"/>
      <c r="BU863" s="3"/>
      <c r="BV863" s="3"/>
      <c r="BW863" s="3"/>
      <c r="BX863" s="70"/>
      <c r="BY863" s="70"/>
      <c r="BZ863" s="59"/>
      <c r="CA863" s="59"/>
      <c r="CB863" s="59"/>
      <c r="CC863" s="59"/>
      <c r="CD863" s="60"/>
      <c r="CE863" s="60"/>
      <c r="CF863" s="61"/>
      <c r="CG863" s="61"/>
      <c r="CH863" s="61"/>
      <c r="CI863" s="41">
        <v>15.4</v>
      </c>
      <c r="CJ863" s="40">
        <f>VLOOKUP(CI863,$DB:$DC,2)</f>
        <v>920</v>
      </c>
      <c r="CK863" s="3"/>
      <c r="CL863" s="62"/>
      <c r="CM863" s="63"/>
      <c r="CN863" s="3"/>
      <c r="CO863" s="3"/>
      <c r="CP863" s="41">
        <v>15.055555555555555</v>
      </c>
      <c r="CQ863" s="3"/>
      <c r="CR863" s="40"/>
      <c r="CS863" s="40"/>
      <c r="CT863" s="40"/>
      <c r="CU863" s="40"/>
      <c r="CV863" s="40"/>
      <c r="CW863" s="40"/>
      <c r="CX863" s="40"/>
      <c r="CY863" s="40"/>
    </row>
    <row r="864" spans="1:103" ht="18.95" customHeight="1">
      <c r="A864" s="3">
        <v>965</v>
      </c>
      <c r="B864" s="92" t="s">
        <v>199</v>
      </c>
      <c r="C864" s="3" t="s">
        <v>104</v>
      </c>
      <c r="D864" s="202" t="s">
        <v>215</v>
      </c>
      <c r="E864" s="39">
        <v>45442</v>
      </c>
      <c r="F864" s="3" t="s">
        <v>186</v>
      </c>
      <c r="G864" s="3" t="s">
        <v>122</v>
      </c>
      <c r="H864" s="3">
        <v>2008</v>
      </c>
      <c r="I864" s="40" t="str">
        <f t="shared" si="12"/>
        <v>U16</v>
      </c>
      <c r="J864" s="40" t="s">
        <v>157</v>
      </c>
      <c r="K864" s="3"/>
      <c r="L864" s="3"/>
      <c r="M864" s="3"/>
      <c r="N864" s="3"/>
      <c r="O864" s="3"/>
      <c r="P864" s="3"/>
      <c r="Q864" s="3"/>
      <c r="R864" s="3"/>
      <c r="S864" s="3"/>
      <c r="T864" s="42"/>
      <c r="U864" s="188"/>
      <c r="V864" s="199"/>
      <c r="W864" s="73"/>
      <c r="X864" s="43"/>
      <c r="Y864" s="192"/>
      <c r="Z864" s="3"/>
      <c r="AA864" s="192"/>
      <c r="AB864" s="3"/>
      <c r="AC864" s="3"/>
      <c r="AD864" s="3"/>
      <c r="AE864" s="3"/>
      <c r="AF864" s="3"/>
      <c r="AG864" s="3"/>
      <c r="AH864" s="194"/>
      <c r="AI864" s="193"/>
      <c r="AJ864" s="194"/>
      <c r="AK864" s="130"/>
      <c r="AL864" s="203"/>
      <c r="AM864" s="203"/>
      <c r="AN864" s="3"/>
      <c r="AO864" s="3"/>
      <c r="AP864" s="137"/>
      <c r="AQ864" s="132"/>
      <c r="AR864" s="132"/>
      <c r="AS864" s="3"/>
      <c r="AT864" s="3"/>
      <c r="AU864" s="3"/>
      <c r="AV864" s="3"/>
      <c r="AW864" s="192"/>
      <c r="AX864" s="133"/>
      <c r="AY864" s="195"/>
      <c r="AZ864" s="40"/>
      <c r="BA864" s="40"/>
      <c r="BB864" s="40"/>
      <c r="BC864" s="40"/>
      <c r="BD864" s="135"/>
      <c r="BE864" s="135"/>
      <c r="BF864" s="40"/>
      <c r="BG864" s="135"/>
      <c r="BH864" s="135"/>
      <c r="BI864" s="49"/>
      <c r="BJ864" s="49"/>
      <c r="BK864" s="66"/>
      <c r="BL864" s="66"/>
      <c r="BM864" s="51"/>
      <c r="BN864" s="51"/>
      <c r="BO864" s="136"/>
      <c r="BP864" s="40"/>
      <c r="BQ864" s="40"/>
      <c r="BR864" s="67"/>
      <c r="BS864" s="54"/>
      <c r="BT864" s="3"/>
      <c r="BU864" s="3"/>
      <c r="BV864" s="3"/>
      <c r="BW864" s="3"/>
      <c r="BX864" s="70"/>
      <c r="BY864" s="70"/>
      <c r="BZ864" s="59"/>
      <c r="CA864" s="59"/>
      <c r="CB864" s="59"/>
      <c r="CC864" s="59"/>
      <c r="CD864" s="60"/>
      <c r="CE864" s="60"/>
      <c r="CF864" s="61"/>
      <c r="CG864" s="61"/>
      <c r="CH864" s="61"/>
      <c r="CI864" s="41"/>
      <c r="CJ864" s="40"/>
      <c r="CK864" s="3"/>
      <c r="CL864" s="62"/>
      <c r="CM864" s="63"/>
      <c r="CN864" s="3"/>
      <c r="CO864" s="3"/>
      <c r="CP864" s="41"/>
      <c r="CQ864" s="3"/>
      <c r="CR864" s="40"/>
      <c r="CS864" s="40"/>
      <c r="CT864" s="40"/>
      <c r="CU864" s="40"/>
      <c r="CV864" s="40"/>
      <c r="CW864" s="40"/>
      <c r="CX864" s="40"/>
      <c r="CY864" s="40"/>
    </row>
    <row r="865" spans="1:103" ht="18.95" customHeight="1">
      <c r="A865" s="3">
        <v>966</v>
      </c>
      <c r="B865" s="92" t="s">
        <v>199</v>
      </c>
      <c r="C865" s="3"/>
      <c r="D865" s="202" t="s">
        <v>215</v>
      </c>
      <c r="E865" s="39">
        <v>45442</v>
      </c>
      <c r="F865" s="3" t="s">
        <v>186</v>
      </c>
      <c r="G865" s="3" t="s">
        <v>122</v>
      </c>
      <c r="H865" s="3">
        <v>2008</v>
      </c>
      <c r="I865" s="40" t="str">
        <f t="shared" si="12"/>
        <v>U16</v>
      </c>
      <c r="J865" s="40" t="s">
        <v>157</v>
      </c>
      <c r="K865" s="3"/>
      <c r="L865" s="3"/>
      <c r="M865" s="3"/>
      <c r="N865" s="3"/>
      <c r="O865" s="3"/>
      <c r="P865" s="3"/>
      <c r="Q865" s="3"/>
      <c r="R865" s="3"/>
      <c r="S865" s="3"/>
      <c r="T865" s="42"/>
      <c r="U865" s="188"/>
      <c r="V865" s="199"/>
      <c r="W865" s="73"/>
      <c r="X865" s="43"/>
      <c r="Y865" s="192"/>
      <c r="Z865" s="3"/>
      <c r="AA865" s="192"/>
      <c r="AB865" s="3"/>
      <c r="AC865" s="3"/>
      <c r="AD865" s="3"/>
      <c r="AE865" s="3"/>
      <c r="AF865" s="3"/>
      <c r="AG865" s="3"/>
      <c r="AH865" s="194"/>
      <c r="AI865" s="193"/>
      <c r="AJ865" s="194"/>
      <c r="AK865" s="130"/>
      <c r="AL865" s="203">
        <v>10.91</v>
      </c>
      <c r="AM865" s="203">
        <v>9.59</v>
      </c>
      <c r="AN865" s="3">
        <v>9.58</v>
      </c>
      <c r="AO865" s="3">
        <v>9.64</v>
      </c>
      <c r="AP865" s="137">
        <f>MIN(AQ865:AR865)</f>
        <v>9.58</v>
      </c>
      <c r="AQ865" s="132">
        <v>9.59</v>
      </c>
      <c r="AR865" s="132">
        <v>9.58</v>
      </c>
      <c r="AS865" s="3"/>
      <c r="AT865" s="3"/>
      <c r="AU865" s="3"/>
      <c r="AV865" s="3"/>
      <c r="AW865" s="192"/>
      <c r="AX865" s="133"/>
      <c r="AY865" s="195"/>
      <c r="AZ865" s="40"/>
      <c r="BA865" s="40"/>
      <c r="BB865" s="40"/>
      <c r="BC865" s="40"/>
      <c r="BD865" s="135"/>
      <c r="BE865" s="135"/>
      <c r="BF865" s="40"/>
      <c r="BG865" s="135"/>
      <c r="BH865" s="135"/>
      <c r="BI865" s="49"/>
      <c r="BJ865" s="49"/>
      <c r="BK865" s="66"/>
      <c r="BL865" s="66"/>
      <c r="BM865" s="51"/>
      <c r="BN865" s="51"/>
      <c r="BO865" s="136"/>
      <c r="BP865" s="40"/>
      <c r="BQ865" s="40"/>
      <c r="BR865" s="67"/>
      <c r="BS865" s="54"/>
      <c r="BT865" s="3"/>
      <c r="BU865" s="3"/>
      <c r="BV865" s="3"/>
      <c r="BW865" s="3"/>
      <c r="BX865" s="70"/>
      <c r="BY865" s="70"/>
      <c r="BZ865" s="59"/>
      <c r="CA865" s="59"/>
      <c r="CB865" s="59"/>
      <c r="CC865" s="59"/>
      <c r="CD865" s="60"/>
      <c r="CE865" s="60"/>
      <c r="CF865" s="61"/>
      <c r="CG865" s="61"/>
      <c r="CH865" s="61"/>
      <c r="CI865" s="41">
        <v>16.600000000000001</v>
      </c>
      <c r="CJ865" s="40">
        <f>VLOOKUP(CI865,$DB:$DC,2)</f>
        <v>1320</v>
      </c>
      <c r="CK865" s="3"/>
      <c r="CL865" s="62"/>
      <c r="CM865" s="63"/>
      <c r="CN865" s="3"/>
      <c r="CO865" s="3"/>
      <c r="CP865" s="41">
        <v>14.736111111111111</v>
      </c>
      <c r="CQ865" s="3"/>
      <c r="CR865" s="40"/>
      <c r="CS865" s="40"/>
      <c r="CT865" s="40"/>
      <c r="CU865" s="40"/>
      <c r="CV865" s="40"/>
      <c r="CW865" s="40"/>
      <c r="CX865" s="40"/>
      <c r="CY865" s="40"/>
    </row>
    <row r="866" spans="1:103" ht="18.75">
      <c r="A866" s="3">
        <v>967</v>
      </c>
      <c r="B866" s="92" t="s">
        <v>199</v>
      </c>
      <c r="C866" s="3" t="s">
        <v>104</v>
      </c>
      <c r="D866" s="202" t="s">
        <v>215</v>
      </c>
      <c r="E866" s="39">
        <v>45442</v>
      </c>
      <c r="F866" s="3" t="s">
        <v>186</v>
      </c>
      <c r="G866" s="3" t="s">
        <v>122</v>
      </c>
      <c r="H866" s="3">
        <v>2008</v>
      </c>
      <c r="I866" s="40" t="str">
        <f t="shared" si="12"/>
        <v>U16</v>
      </c>
      <c r="J866" s="40" t="s">
        <v>157</v>
      </c>
      <c r="K866" s="3"/>
      <c r="L866" s="3"/>
      <c r="M866" s="3"/>
      <c r="N866" s="3"/>
      <c r="O866" s="3"/>
      <c r="P866" s="3"/>
      <c r="Q866" s="3"/>
      <c r="R866" s="3"/>
      <c r="S866" s="3"/>
      <c r="T866" s="42"/>
      <c r="U866" s="188"/>
      <c r="V866" s="199"/>
      <c r="W866" s="73"/>
      <c r="X866" s="43"/>
      <c r="Y866" s="192"/>
      <c r="Z866" s="3"/>
      <c r="AA866" s="192"/>
      <c r="AB866" s="3"/>
      <c r="AC866" s="3"/>
      <c r="AD866" s="3"/>
      <c r="AE866" s="3"/>
      <c r="AF866" s="3"/>
      <c r="AG866" s="3"/>
      <c r="AH866" s="194"/>
      <c r="AI866" s="193"/>
      <c r="AJ866" s="194"/>
      <c r="AK866" s="130"/>
      <c r="AL866" s="203"/>
      <c r="AM866" s="203"/>
      <c r="AN866" s="3"/>
      <c r="AO866" s="3"/>
      <c r="AP866" s="137"/>
      <c r="AQ866" s="132"/>
      <c r="AR866" s="132"/>
      <c r="AS866" s="3"/>
      <c r="AT866" s="3"/>
      <c r="AU866" s="3"/>
      <c r="AV866" s="3"/>
      <c r="AW866" s="192"/>
      <c r="AX866" s="133"/>
      <c r="AY866" s="195"/>
      <c r="AZ866" s="40"/>
      <c r="BA866" s="40"/>
      <c r="BB866" s="40"/>
      <c r="BC866" s="40"/>
      <c r="BD866" s="135"/>
      <c r="BE866" s="135"/>
      <c r="BF866" s="40"/>
      <c r="BG866" s="135"/>
      <c r="BH866" s="135"/>
      <c r="BI866" s="49"/>
      <c r="BJ866" s="49"/>
      <c r="BK866" s="66"/>
      <c r="BL866" s="66"/>
      <c r="BM866" s="51"/>
      <c r="BN866" s="51"/>
      <c r="BO866" s="136"/>
      <c r="BP866" s="40"/>
      <c r="BQ866" s="40"/>
      <c r="BR866" s="67"/>
      <c r="BS866" s="54"/>
      <c r="BT866" s="3"/>
      <c r="BU866" s="3"/>
      <c r="BV866" s="3"/>
      <c r="BW866" s="3"/>
      <c r="BX866" s="70"/>
      <c r="BY866" s="70"/>
      <c r="BZ866" s="59"/>
      <c r="CA866" s="59"/>
      <c r="CB866" s="59"/>
      <c r="CC866" s="59"/>
      <c r="CD866" s="60"/>
      <c r="CE866" s="60"/>
      <c r="CF866" s="61"/>
      <c r="CG866" s="61"/>
      <c r="CH866" s="61"/>
      <c r="CI866" s="41"/>
      <c r="CJ866" s="40"/>
      <c r="CK866" s="3"/>
      <c r="CL866" s="62"/>
      <c r="CM866" s="63"/>
      <c r="CN866" s="3"/>
      <c r="CO866" s="3"/>
      <c r="CP866" s="41"/>
      <c r="CQ866" s="3"/>
      <c r="CR866" s="40"/>
      <c r="CS866" s="40"/>
      <c r="CT866" s="40"/>
      <c r="CU866" s="40"/>
      <c r="CV866" s="40"/>
      <c r="CW866" s="40"/>
      <c r="CX866" s="40"/>
      <c r="CY866" s="40"/>
    </row>
    <row r="867" spans="1:103" ht="18.95" customHeight="1">
      <c r="A867" s="3">
        <v>968</v>
      </c>
      <c r="B867" s="92" t="s">
        <v>199</v>
      </c>
      <c r="C867" s="3" t="s">
        <v>104</v>
      </c>
      <c r="D867" s="202" t="s">
        <v>215</v>
      </c>
      <c r="E867" s="39">
        <v>45442</v>
      </c>
      <c r="F867" s="3" t="s">
        <v>186</v>
      </c>
      <c r="G867" s="3" t="s">
        <v>122</v>
      </c>
      <c r="H867" s="3">
        <v>2008</v>
      </c>
      <c r="I867" s="40" t="str">
        <f t="shared" si="12"/>
        <v>U16</v>
      </c>
      <c r="J867" s="40" t="s">
        <v>157</v>
      </c>
      <c r="K867" s="3"/>
      <c r="L867" s="3"/>
      <c r="M867" s="3"/>
      <c r="N867" s="3"/>
      <c r="O867" s="3"/>
      <c r="P867" s="3"/>
      <c r="Q867" s="3"/>
      <c r="R867" s="3"/>
      <c r="S867" s="3"/>
      <c r="T867" s="42"/>
      <c r="U867" s="188"/>
      <c r="V867" s="199"/>
      <c r="W867" s="73"/>
      <c r="X867" s="43"/>
      <c r="Y867" s="192"/>
      <c r="Z867" s="3"/>
      <c r="AA867" s="192"/>
      <c r="AB867" s="3"/>
      <c r="AC867" s="3"/>
      <c r="AD867" s="3"/>
      <c r="AE867" s="3"/>
      <c r="AF867" s="3"/>
      <c r="AG867" s="3"/>
      <c r="AH867" s="194"/>
      <c r="AI867" s="193"/>
      <c r="AJ867" s="194"/>
      <c r="AK867" s="130"/>
      <c r="AL867" s="203"/>
      <c r="AM867" s="203"/>
      <c r="AN867" s="3"/>
      <c r="AO867" s="3"/>
      <c r="AP867" s="137"/>
      <c r="AQ867" s="132"/>
      <c r="AR867" s="132"/>
      <c r="AS867" s="3"/>
      <c r="AT867" s="3"/>
      <c r="AU867" s="3"/>
      <c r="AV867" s="3"/>
      <c r="AW867" s="192"/>
      <c r="AX867" s="133"/>
      <c r="AY867" s="195"/>
      <c r="AZ867" s="40"/>
      <c r="BA867" s="40"/>
      <c r="BB867" s="40"/>
      <c r="BC867" s="40"/>
      <c r="BD867" s="135"/>
      <c r="BE867" s="135"/>
      <c r="BF867" s="40"/>
      <c r="BG867" s="135"/>
      <c r="BH867" s="135"/>
      <c r="BI867" s="49"/>
      <c r="BJ867" s="49"/>
      <c r="BK867" s="66"/>
      <c r="BL867" s="66"/>
      <c r="BM867" s="51"/>
      <c r="BN867" s="51"/>
      <c r="BO867" s="136"/>
      <c r="BP867" s="40"/>
      <c r="BQ867" s="40"/>
      <c r="BR867" s="67"/>
      <c r="BS867" s="54"/>
      <c r="BT867" s="3"/>
      <c r="BU867" s="3"/>
      <c r="BV867" s="3"/>
      <c r="BW867" s="3"/>
      <c r="BX867" s="70"/>
      <c r="BY867" s="70"/>
      <c r="BZ867" s="59"/>
      <c r="CA867" s="59"/>
      <c r="CB867" s="59"/>
      <c r="CC867" s="59"/>
      <c r="CD867" s="60"/>
      <c r="CE867" s="60"/>
      <c r="CF867" s="61"/>
      <c r="CG867" s="61"/>
      <c r="CH867" s="61"/>
      <c r="CI867" s="41"/>
      <c r="CJ867" s="40"/>
      <c r="CK867" s="3"/>
      <c r="CL867" s="62"/>
      <c r="CM867" s="63"/>
      <c r="CN867" s="3"/>
      <c r="CO867" s="3"/>
      <c r="CP867" s="41"/>
      <c r="CQ867" s="3"/>
      <c r="CR867" s="40"/>
      <c r="CS867" s="40"/>
      <c r="CT867" s="40"/>
      <c r="CU867" s="40"/>
      <c r="CV867" s="40"/>
      <c r="CW867" s="40"/>
      <c r="CX867" s="40"/>
      <c r="CY867" s="40"/>
    </row>
    <row r="868" spans="1:103" ht="18.95" customHeight="1">
      <c r="A868" s="3">
        <v>969</v>
      </c>
      <c r="B868" s="92" t="s">
        <v>199</v>
      </c>
      <c r="C868" s="3" t="s">
        <v>171</v>
      </c>
      <c r="D868" s="202" t="s">
        <v>215</v>
      </c>
      <c r="E868" s="39">
        <v>45442</v>
      </c>
      <c r="F868" s="3" t="s">
        <v>186</v>
      </c>
      <c r="G868" s="3" t="s">
        <v>122</v>
      </c>
      <c r="H868" s="3">
        <v>2008</v>
      </c>
      <c r="I868" s="40" t="str">
        <f t="shared" si="12"/>
        <v>U16</v>
      </c>
      <c r="J868" s="40" t="s">
        <v>157</v>
      </c>
      <c r="K868" s="3"/>
      <c r="L868" s="3"/>
      <c r="M868" s="3"/>
      <c r="N868" s="3"/>
      <c r="O868" s="3"/>
      <c r="P868" s="3"/>
      <c r="Q868" s="3"/>
      <c r="R868" s="3"/>
      <c r="S868" s="3"/>
      <c r="T868" s="42"/>
      <c r="U868" s="188"/>
      <c r="V868" s="199"/>
      <c r="W868" s="73"/>
      <c r="X868" s="43"/>
      <c r="Y868" s="192"/>
      <c r="Z868" s="3"/>
      <c r="AA868" s="192"/>
      <c r="AB868" s="3"/>
      <c r="AC868" s="3"/>
      <c r="AD868" s="3"/>
      <c r="AE868" s="3"/>
      <c r="AF868" s="3"/>
      <c r="AG868" s="3"/>
      <c r="AH868" s="194"/>
      <c r="AI868" s="193"/>
      <c r="AJ868" s="194"/>
      <c r="AK868" s="130"/>
      <c r="AL868" s="203"/>
      <c r="AM868" s="203"/>
      <c r="AN868" s="3"/>
      <c r="AO868" s="3"/>
      <c r="AP868" s="137"/>
      <c r="AQ868" s="132"/>
      <c r="AR868" s="132"/>
      <c r="AS868" s="3"/>
      <c r="AT868" s="3"/>
      <c r="AU868" s="3"/>
      <c r="AV868" s="3"/>
      <c r="AW868" s="192"/>
      <c r="AX868" s="133"/>
      <c r="AY868" s="195"/>
      <c r="AZ868" s="40"/>
      <c r="BA868" s="40"/>
      <c r="BB868" s="40"/>
      <c r="BC868" s="40"/>
      <c r="BD868" s="135"/>
      <c r="BE868" s="135"/>
      <c r="BF868" s="40"/>
      <c r="BG868" s="135"/>
      <c r="BH868" s="135"/>
      <c r="BI868" s="49"/>
      <c r="BJ868" s="49"/>
      <c r="BK868" s="66"/>
      <c r="BL868" s="66"/>
      <c r="BM868" s="51"/>
      <c r="BN868" s="51"/>
      <c r="BO868" s="136"/>
      <c r="BP868" s="40"/>
      <c r="BQ868" s="40"/>
      <c r="BR868" s="67"/>
      <c r="BS868" s="54"/>
      <c r="BT868" s="3"/>
      <c r="BU868" s="3"/>
      <c r="BV868" s="3"/>
      <c r="BW868" s="3"/>
      <c r="BX868" s="70"/>
      <c r="BY868" s="70"/>
      <c r="BZ868" s="59"/>
      <c r="CA868" s="59"/>
      <c r="CB868" s="59"/>
      <c r="CC868" s="59"/>
      <c r="CD868" s="60"/>
      <c r="CE868" s="60"/>
      <c r="CF868" s="61"/>
      <c r="CG868" s="61"/>
      <c r="CH868" s="61"/>
      <c r="CI868" s="41"/>
      <c r="CJ868" s="40"/>
      <c r="CK868" s="3"/>
      <c r="CL868" s="62"/>
      <c r="CM868" s="63"/>
      <c r="CN868" s="3"/>
      <c r="CO868" s="3"/>
      <c r="CP868" s="41"/>
      <c r="CQ868" s="3"/>
      <c r="CR868" s="40"/>
      <c r="CS868" s="40"/>
      <c r="CT868" s="40"/>
      <c r="CU868" s="40"/>
      <c r="CV868" s="40"/>
      <c r="CW868" s="40"/>
      <c r="CX868" s="40"/>
      <c r="CY868" s="40"/>
    </row>
    <row r="869" spans="1:103" ht="18.75">
      <c r="A869" s="3">
        <v>970</v>
      </c>
      <c r="B869" s="92" t="s">
        <v>199</v>
      </c>
      <c r="C869" s="3" t="s">
        <v>104</v>
      </c>
      <c r="D869" s="202" t="s">
        <v>215</v>
      </c>
      <c r="E869" s="39">
        <v>45442</v>
      </c>
      <c r="F869" s="3" t="s">
        <v>186</v>
      </c>
      <c r="G869" s="3" t="s">
        <v>122</v>
      </c>
      <c r="H869" s="3">
        <v>2008</v>
      </c>
      <c r="I869" s="40" t="str">
        <f t="shared" si="12"/>
        <v>U16</v>
      </c>
      <c r="J869" s="40" t="s">
        <v>157</v>
      </c>
      <c r="K869" s="3">
        <v>173</v>
      </c>
      <c r="L869" s="3">
        <v>173</v>
      </c>
      <c r="M869" s="3"/>
      <c r="N869" s="3">
        <v>160.69999999999999</v>
      </c>
      <c r="O869" s="3">
        <v>160.69999999999999</v>
      </c>
      <c r="P869" s="3"/>
      <c r="Q869" s="3">
        <v>57.7</v>
      </c>
      <c r="R869" s="3">
        <v>57.7</v>
      </c>
      <c r="S869" s="3"/>
      <c r="T869" s="42">
        <v>173</v>
      </c>
      <c r="U869" s="188" cm="1">
        <f t="array" ref="U869">AVERAGE(paper3[[#This Row],[Sittende høyde 1]:[Sittende høyde 2]]-70.2)</f>
        <v>90.499999999999986</v>
      </c>
      <c r="V869" s="12">
        <f>paper3[[#This Row],[height]]-paper3[[#This Row],[sittingheight]]</f>
        <v>82.500000000000014</v>
      </c>
      <c r="W869" s="73">
        <v>57.7</v>
      </c>
      <c r="X869" s="43" cm="1">
        <f t="array" ref="X869">INDEX([1]!phvny[yphv], MATCH(1, (paper3[[#This Row],[id]]=[1]!phvny[id])*(paper3[[#This Row],[time]]=[1]!phvny[time]), 0))</f>
        <v>1.9185435629415515</v>
      </c>
      <c r="Y869" s="192">
        <v>1.659</v>
      </c>
      <c r="Z869" s="3">
        <v>3.0009999999999999</v>
      </c>
      <c r="AA869" s="192">
        <v>4.2489999999999997</v>
      </c>
      <c r="AB869" s="3">
        <v>1.673</v>
      </c>
      <c r="AC869" s="3">
        <v>3.0419999999999998</v>
      </c>
      <c r="AD869" s="3">
        <v>4.3019999999999996</v>
      </c>
      <c r="AE869" s="3">
        <v>1.673</v>
      </c>
      <c r="AF869" s="3">
        <v>3.0350000000000001</v>
      </c>
      <c r="AG869" s="3">
        <v>4.3</v>
      </c>
      <c r="AH869" s="194">
        <v>1.659</v>
      </c>
      <c r="AI869" s="193">
        <v>3.0009999999999999</v>
      </c>
      <c r="AJ869" s="194">
        <v>4.2489999999999997</v>
      </c>
      <c r="AK869" s="130"/>
      <c r="AL869" s="203"/>
      <c r="AM869" s="203"/>
      <c r="AN869" s="3"/>
      <c r="AO869" s="3"/>
      <c r="AP869" s="137"/>
      <c r="AQ869" s="132"/>
      <c r="AR869" s="132"/>
      <c r="AS869" s="3"/>
      <c r="AT869" s="3"/>
      <c r="AU869" s="3"/>
      <c r="AV869" s="3"/>
      <c r="AW869" s="192"/>
      <c r="AX869" s="133">
        <v>28.2</v>
      </c>
      <c r="AY869" s="195" t="s">
        <v>254</v>
      </c>
      <c r="AZ869" s="40">
        <v>9</v>
      </c>
      <c r="BA869" s="40"/>
      <c r="BB869" s="40"/>
      <c r="BC869" s="40"/>
      <c r="BD869" s="135">
        <v>868.52218663313806</v>
      </c>
      <c r="BE869" s="135">
        <v>889.7988939013635</v>
      </c>
      <c r="BF869" s="40"/>
      <c r="BG869" s="135">
        <v>466.22260753625045</v>
      </c>
      <c r="BH869" s="135">
        <v>420.98677861641386</v>
      </c>
      <c r="BI869" s="49">
        <f>IFERROR(SUM(paper3[[#This Row],[Kraft ikke-dominant]:[Kraft dominant]]),"")</f>
        <v>1758.3210805345016</v>
      </c>
      <c r="BJ869" s="49">
        <f>IFERROR(SUM(paper3[[#This Row],[Pwr ikke-dominant]:[Pwr dominant]]),"")</f>
        <v>887.20938615266436</v>
      </c>
      <c r="BK869" s="66"/>
      <c r="BL869" s="66"/>
      <c r="BM869" s="51">
        <f>IFERROR(paper3[[#This Row],[totforce]]/paper3[[#This Row],[bodymass]],"")</f>
        <v>30.473502262296385</v>
      </c>
      <c r="BN869" s="51">
        <f>IFERROR(paper3[[#This Row],[totpwr]]/paper3[[#This Row],[bodymass]],"")</f>
        <v>15.376245860531444</v>
      </c>
      <c r="BO869" s="136"/>
      <c r="BP869" s="40"/>
      <c r="BQ869" s="40"/>
      <c r="BR869" s="67"/>
      <c r="BS869" s="54"/>
      <c r="BT869" s="3"/>
      <c r="BU869" s="3"/>
      <c r="BV869" s="3"/>
      <c r="BW869" s="3"/>
      <c r="BX869" s="70"/>
      <c r="BY869" s="70"/>
      <c r="BZ869" s="59"/>
      <c r="CA869" s="59"/>
      <c r="CB869" s="59"/>
      <c r="CC869" s="59"/>
      <c r="CD869" s="60"/>
      <c r="CE869" s="60"/>
      <c r="CF869" s="61"/>
      <c r="CG869" s="61"/>
      <c r="CH869" s="61"/>
      <c r="CI869" s="41"/>
      <c r="CJ869" s="40"/>
      <c r="CK869" s="3"/>
      <c r="CL869" s="62"/>
      <c r="CM869" s="63"/>
      <c r="CN869" s="3"/>
      <c r="CO869" s="3"/>
      <c r="CP869" s="41">
        <v>15.280555555555555</v>
      </c>
      <c r="CQ869" s="3"/>
      <c r="CR869" s="40"/>
      <c r="CS869" s="40"/>
      <c r="CT869" s="40"/>
      <c r="CU869" s="40"/>
      <c r="CV869" s="40"/>
      <c r="CW869" s="40"/>
      <c r="CX869" s="40"/>
      <c r="CY869" s="40"/>
    </row>
    <row r="870" spans="1:103" ht="18.95" customHeight="1">
      <c r="A870" s="46">
        <v>2001</v>
      </c>
      <c r="B870" s="92" t="s">
        <v>199</v>
      </c>
      <c r="C870" s="3" t="s">
        <v>104</v>
      </c>
      <c r="D870" s="207" t="s">
        <v>215</v>
      </c>
      <c r="E870" s="39">
        <v>45443</v>
      </c>
      <c r="F870" s="3" t="s">
        <v>186</v>
      </c>
      <c r="G870" s="3" t="s">
        <v>122</v>
      </c>
      <c r="H870" s="3">
        <v>2010</v>
      </c>
      <c r="I870" s="40" t="str">
        <f t="shared" si="12"/>
        <v>U14</v>
      </c>
      <c r="J870" s="40" t="s">
        <v>123</v>
      </c>
      <c r="K870" s="3">
        <v>161.5</v>
      </c>
      <c r="L870" s="3">
        <v>161.5</v>
      </c>
      <c r="M870" s="3"/>
      <c r="N870" s="3">
        <v>152</v>
      </c>
      <c r="O870" s="3">
        <v>152</v>
      </c>
      <c r="P870" s="3"/>
      <c r="Q870" s="3">
        <v>51.2</v>
      </c>
      <c r="R870" s="3">
        <v>51.2</v>
      </c>
      <c r="S870" s="3"/>
      <c r="T870" s="42">
        <v>161.5</v>
      </c>
      <c r="U870" s="188" cm="1">
        <f t="array" ref="U870">AVERAGE(paper3[[#This Row],[Sittende høyde 1]:[Sittende høyde 2]]-70.2)</f>
        <v>81.8</v>
      </c>
      <c r="V870" s="12">
        <f>paper3[[#This Row],[height]]-paper3[[#This Row],[sittingheight]]</f>
        <v>79.7</v>
      </c>
      <c r="W870" s="73">
        <v>51.2</v>
      </c>
      <c r="X870" s="43" cm="1">
        <f t="array" ref="X870">INDEX([1]!phvny[yphv], MATCH(1, (paper3[[#This Row],[id]]=[1]!phvny[id])*(paper3[[#This Row],[time]]=[1]!phvny[time]), 0))</f>
        <v>-0.15135202238957712</v>
      </c>
      <c r="Y870" s="192">
        <v>1.833</v>
      </c>
      <c r="Z870" s="3">
        <v>3.2410000000000001</v>
      </c>
      <c r="AA870" s="192">
        <v>4.5670000000000002</v>
      </c>
      <c r="AB870" s="3">
        <v>1.831</v>
      </c>
      <c r="AC870" s="3">
        <v>3.2360000000000002</v>
      </c>
      <c r="AD870" s="3">
        <v>4.5620000000000003</v>
      </c>
      <c r="AE870" s="3">
        <v>1.7569999999999999</v>
      </c>
      <c r="AF870" s="3">
        <v>3.1640000000000001</v>
      </c>
      <c r="AG870" s="3">
        <v>4.4989999999999997</v>
      </c>
      <c r="AH870" s="194">
        <f t="shared" ref="AH870:AJ875" si="13">MIN(Y870,AB870,AE870)</f>
        <v>1.7569999999999999</v>
      </c>
      <c r="AI870" s="193">
        <f t="shared" si="13"/>
        <v>3.1640000000000001</v>
      </c>
      <c r="AJ870" s="194">
        <f t="shared" si="13"/>
        <v>4.4989999999999997</v>
      </c>
      <c r="AK870" s="130"/>
      <c r="AL870" s="203"/>
      <c r="AM870" s="203"/>
      <c r="AN870" s="3"/>
      <c r="AO870" s="3"/>
      <c r="AP870" s="137"/>
      <c r="AQ870" s="132"/>
      <c r="AR870" s="132"/>
      <c r="AS870" s="3"/>
      <c r="AT870" s="3"/>
      <c r="AU870" s="3"/>
      <c r="AV870" s="3"/>
      <c r="AW870" s="192"/>
      <c r="AX870" s="133"/>
      <c r="AY870" s="195">
        <v>225</v>
      </c>
      <c r="AZ870" s="40">
        <v>8</v>
      </c>
      <c r="BA870" s="40"/>
      <c r="BB870" s="40"/>
      <c r="BC870" s="40"/>
      <c r="BD870" s="135"/>
      <c r="BE870" s="135"/>
      <c r="BF870" s="40"/>
      <c r="BG870" s="135"/>
      <c r="BH870" s="135"/>
      <c r="BI870" s="49"/>
      <c r="BJ870" s="49"/>
      <c r="BK870" s="66"/>
      <c r="BL870" s="66"/>
      <c r="BM870" s="51"/>
      <c r="BN870" s="51"/>
      <c r="BO870" s="136"/>
      <c r="BP870" s="40"/>
      <c r="BQ870" s="40"/>
      <c r="BR870" s="67"/>
      <c r="BS870" s="54"/>
      <c r="BT870" s="3"/>
      <c r="BU870" s="3"/>
      <c r="BV870" s="3"/>
      <c r="BW870" s="3"/>
      <c r="BX870" s="70"/>
      <c r="BY870" s="70"/>
      <c r="BZ870" s="59"/>
      <c r="CA870" s="59"/>
      <c r="CB870" s="59"/>
      <c r="CC870" s="59"/>
      <c r="CD870" s="60"/>
      <c r="CE870" s="60"/>
      <c r="CF870" s="61"/>
      <c r="CG870" s="61"/>
      <c r="CH870" s="61"/>
      <c r="CI870" s="41"/>
      <c r="CJ870" s="40"/>
      <c r="CK870" s="3"/>
      <c r="CL870" s="62"/>
      <c r="CM870" s="63"/>
      <c r="CN870" s="3"/>
      <c r="CO870" s="3"/>
      <c r="CP870" s="41"/>
      <c r="CQ870" s="3"/>
      <c r="CR870" s="40"/>
      <c r="CS870" s="40"/>
      <c r="CT870" s="40"/>
      <c r="CU870" s="40"/>
      <c r="CV870" s="40"/>
      <c r="CW870" s="40"/>
      <c r="CX870" s="40"/>
      <c r="CY870" s="40"/>
    </row>
    <row r="871" spans="1:103" ht="18.95" customHeight="1">
      <c r="A871" s="46">
        <v>2002</v>
      </c>
      <c r="B871" s="92" t="s">
        <v>199</v>
      </c>
      <c r="C871" s="3" t="s">
        <v>104</v>
      </c>
      <c r="D871" s="207" t="s">
        <v>215</v>
      </c>
      <c r="E871" s="39">
        <v>45443</v>
      </c>
      <c r="F871" s="3" t="s">
        <v>186</v>
      </c>
      <c r="G871" s="3" t="s">
        <v>122</v>
      </c>
      <c r="H871" s="3">
        <v>2010</v>
      </c>
      <c r="I871" s="40" t="str">
        <f t="shared" si="12"/>
        <v>U14</v>
      </c>
      <c r="J871" s="40" t="s">
        <v>123</v>
      </c>
      <c r="K871" s="3">
        <v>163.80000000000001</v>
      </c>
      <c r="L871" s="3">
        <v>163.69999999999999</v>
      </c>
      <c r="M871" s="3"/>
      <c r="N871" s="3">
        <v>154</v>
      </c>
      <c r="O871" s="3">
        <v>154</v>
      </c>
      <c r="P871" s="3"/>
      <c r="Q871" s="3">
        <v>52.2</v>
      </c>
      <c r="R871" s="3">
        <v>52.2</v>
      </c>
      <c r="S871" s="3"/>
      <c r="T871" s="42">
        <v>163.75</v>
      </c>
      <c r="U871" s="188" cm="1">
        <f t="array" ref="U871">AVERAGE(paper3[[#This Row],[Sittende høyde 1]:[Sittende høyde 2]]-70.2)</f>
        <v>83.8</v>
      </c>
      <c r="V871" s="12">
        <f>paper3[[#This Row],[height]]-paper3[[#This Row],[sittingheight]]</f>
        <v>79.95</v>
      </c>
      <c r="W871" s="73">
        <v>52.2</v>
      </c>
      <c r="X871" s="43" cm="1">
        <f t="array" ref="X871">INDEX([1]!phvny[yphv], MATCH(1, (paper3[[#This Row],[id]]=[1]!phvny[id])*(paper3[[#This Row],[time]]=[1]!phvny[time]), 0))</f>
        <v>-0.27402272145186668</v>
      </c>
      <c r="Y871" s="192">
        <v>1.7749999999999999</v>
      </c>
      <c r="Z871" s="3">
        <v>3.2589999999999999</v>
      </c>
      <c r="AA871" s="192">
        <v>4.7009999999999996</v>
      </c>
      <c r="AB871" s="3">
        <v>1.792</v>
      </c>
      <c r="AC871" s="3">
        <v>3.3119999999999998</v>
      </c>
      <c r="AD871" s="3">
        <v>4.7869999999999999</v>
      </c>
      <c r="AE871" s="3">
        <v>1.7969999999999999</v>
      </c>
      <c r="AF871" s="3">
        <v>3.33</v>
      </c>
      <c r="AG871" s="3">
        <v>4.8230000000000004</v>
      </c>
      <c r="AH871" s="194">
        <f t="shared" si="13"/>
        <v>1.7749999999999999</v>
      </c>
      <c r="AI871" s="193">
        <f t="shared" si="13"/>
        <v>3.2589999999999999</v>
      </c>
      <c r="AJ871" s="194">
        <f t="shared" si="13"/>
        <v>4.7009999999999996</v>
      </c>
      <c r="AK871" s="130"/>
      <c r="AL871" s="203">
        <v>10.32</v>
      </c>
      <c r="AM871" s="203">
        <v>10.02</v>
      </c>
      <c r="AN871" s="3">
        <v>10.7</v>
      </c>
      <c r="AO871" s="3">
        <v>10.47</v>
      </c>
      <c r="AP871" s="137">
        <f>MIN(AQ871:AR871)</f>
        <v>10.02</v>
      </c>
      <c r="AQ871" s="132">
        <v>10.02</v>
      </c>
      <c r="AR871" s="132">
        <v>10.47</v>
      </c>
      <c r="AS871" s="3"/>
      <c r="AT871" s="3"/>
      <c r="AU871" s="3"/>
      <c r="AV871" s="3"/>
      <c r="AW871" s="192"/>
      <c r="AX871" s="133"/>
      <c r="AY871" s="195">
        <v>225</v>
      </c>
      <c r="AZ871" s="40">
        <v>8</v>
      </c>
      <c r="BA871" s="40"/>
      <c r="BB871" s="40"/>
      <c r="BC871" s="40"/>
      <c r="BD871" s="135">
        <v>895.90323094953624</v>
      </c>
      <c r="BE871" s="135">
        <v>854.91942205657438</v>
      </c>
      <c r="BF871" s="40"/>
      <c r="BG871" s="135">
        <v>294.16653441750361</v>
      </c>
      <c r="BH871" s="135">
        <v>309.0828846900439</v>
      </c>
      <c r="BI871" s="49">
        <f>IFERROR(SUM(paper3[[#This Row],[Kraft ikke-dominant]:[Kraft dominant]]),"")</f>
        <v>1750.8226530061106</v>
      </c>
      <c r="BJ871" s="49">
        <f>IFERROR(SUM(paper3[[#This Row],[Pwr ikke-dominant]:[Pwr dominant]]),"")</f>
        <v>603.24941910754751</v>
      </c>
      <c r="BK871" s="66"/>
      <c r="BL871" s="66"/>
      <c r="BM871" s="51">
        <f>IFERROR(paper3[[#This Row],[totforce]]/paper3[[#This Row],[bodymass]],"")</f>
        <v>33.540663850691772</v>
      </c>
      <c r="BN871" s="51">
        <f>IFERROR(paper3[[#This Row],[totpwr]]/paper3[[#This Row],[bodymass]],"")</f>
        <v>11.556502281753783</v>
      </c>
      <c r="BO871" s="136"/>
      <c r="BP871" s="40"/>
      <c r="BQ871" s="40"/>
      <c r="BR871" s="67"/>
      <c r="BS871" s="54"/>
      <c r="BT871" s="3"/>
      <c r="BU871" s="3"/>
      <c r="BV871" s="3"/>
      <c r="BW871" s="3"/>
      <c r="BX871" s="70"/>
      <c r="BY871" s="70"/>
      <c r="BZ871" s="59"/>
      <c r="CA871" s="59"/>
      <c r="CB871" s="59"/>
      <c r="CC871" s="59"/>
      <c r="CD871" s="60"/>
      <c r="CE871" s="60"/>
      <c r="CF871" s="61"/>
      <c r="CG871" s="61"/>
      <c r="CH871" s="61"/>
      <c r="CI871" s="41">
        <v>15.4</v>
      </c>
      <c r="CJ871" s="40">
        <f>VLOOKUP(CI871,$DB:$DC,2)</f>
        <v>920</v>
      </c>
      <c r="CK871" s="3"/>
      <c r="CL871" s="62"/>
      <c r="CM871" s="63"/>
      <c r="CN871" s="3"/>
      <c r="CO871" s="3"/>
      <c r="CP871" s="41"/>
      <c r="CQ871" s="3"/>
      <c r="CR871" s="40"/>
      <c r="CS871" s="40"/>
      <c r="CT871" s="40"/>
      <c r="CU871" s="40"/>
      <c r="CV871" s="40"/>
      <c r="CW871" s="40"/>
      <c r="CX871" s="40"/>
      <c r="CY871" s="40"/>
    </row>
    <row r="872" spans="1:103" ht="18.75">
      <c r="A872" s="46">
        <v>2003</v>
      </c>
      <c r="B872" s="92" t="s">
        <v>199</v>
      </c>
      <c r="C872" s="3" t="s">
        <v>104</v>
      </c>
      <c r="D872" s="207" t="s">
        <v>215</v>
      </c>
      <c r="E872" s="39">
        <v>45443</v>
      </c>
      <c r="F872" s="3" t="s">
        <v>186</v>
      </c>
      <c r="G872" s="3" t="s">
        <v>122</v>
      </c>
      <c r="H872" s="3">
        <v>2010</v>
      </c>
      <c r="I872" s="40" t="str">
        <f t="shared" si="12"/>
        <v>U14</v>
      </c>
      <c r="J872" s="40" t="s">
        <v>123</v>
      </c>
      <c r="K872" s="3">
        <v>175.5</v>
      </c>
      <c r="L872" s="3">
        <v>175.5</v>
      </c>
      <c r="M872" s="3"/>
      <c r="N872" s="3">
        <v>160</v>
      </c>
      <c r="O872" s="3">
        <v>160</v>
      </c>
      <c r="P872" s="3"/>
      <c r="Q872" s="3">
        <v>66.5</v>
      </c>
      <c r="R872" s="3">
        <v>66.5</v>
      </c>
      <c r="S872" s="3"/>
      <c r="T872" s="42">
        <v>175.5</v>
      </c>
      <c r="U872" s="188" cm="1">
        <f t="array" ref="U872">AVERAGE(paper3[[#This Row],[Sittende høyde 1]:[Sittende høyde 2]]-70.2)</f>
        <v>89.8</v>
      </c>
      <c r="V872" s="12">
        <f>paper3[[#This Row],[height]]-paper3[[#This Row],[sittingheight]]</f>
        <v>85.7</v>
      </c>
      <c r="W872" s="73">
        <v>66.5</v>
      </c>
      <c r="X872" s="43" cm="1">
        <f t="array" ref="X872">INDEX([1]!phvny[yphv], MATCH(1, (paper3[[#This Row],[id]]=[1]!phvny[id])*(paper3[[#This Row],[time]]=[1]!phvny[time]), 0))</f>
        <v>0.86762287075640976</v>
      </c>
      <c r="Y872" s="192">
        <v>1.988</v>
      </c>
      <c r="Z872" s="3">
        <v>3.6240000000000001</v>
      </c>
      <c r="AA872" s="192">
        <v>5.19</v>
      </c>
      <c r="AB872" s="3">
        <v>2.056</v>
      </c>
      <c r="AC872" s="3">
        <v>3.7069999999999999</v>
      </c>
      <c r="AD872" s="3">
        <v>5.3220000000000001</v>
      </c>
      <c r="AE872" s="3">
        <v>2.1030000000000002</v>
      </c>
      <c r="AF872" s="3">
        <v>3.786</v>
      </c>
      <c r="AG872" s="3">
        <v>5.4189999999999996</v>
      </c>
      <c r="AH872" s="194">
        <f t="shared" si="13"/>
        <v>1.988</v>
      </c>
      <c r="AI872" s="193">
        <f t="shared" si="13"/>
        <v>3.6240000000000001</v>
      </c>
      <c r="AJ872" s="194">
        <f t="shared" si="13"/>
        <v>5.19</v>
      </c>
      <c r="AK872" s="130"/>
      <c r="AL872" s="203"/>
      <c r="AM872" s="203"/>
      <c r="AN872" s="3"/>
      <c r="AO872" s="3"/>
      <c r="AP872" s="137"/>
      <c r="AQ872" s="132"/>
      <c r="AR872" s="132"/>
      <c r="AS872" s="3"/>
      <c r="AT872" s="3"/>
      <c r="AU872" s="3"/>
      <c r="AV872" s="3"/>
      <c r="AW872" s="192"/>
      <c r="AX872" s="133"/>
      <c r="AY872" s="195">
        <v>250</v>
      </c>
      <c r="AZ872" s="40">
        <v>10</v>
      </c>
      <c r="BA872" s="40"/>
      <c r="BB872" s="40"/>
      <c r="BC872" s="40"/>
      <c r="BD872" s="135">
        <v>952.7969273023316</v>
      </c>
      <c r="BE872" s="135">
        <v>1010.3590805985868</v>
      </c>
      <c r="BF872" s="40"/>
      <c r="BG872" s="135">
        <v>393.27860899625853</v>
      </c>
      <c r="BH872" s="135">
        <v>421.94371247386186</v>
      </c>
      <c r="BI872" s="49">
        <f>IFERROR(SUM(paper3[[#This Row],[Kraft ikke-dominant]:[Kraft dominant]]),"")</f>
        <v>1963.1560079009184</v>
      </c>
      <c r="BJ872" s="49">
        <f>IFERROR(SUM(paper3[[#This Row],[Pwr ikke-dominant]:[Pwr dominant]]),"")</f>
        <v>815.22232147012039</v>
      </c>
      <c r="BK872" s="66"/>
      <c r="BL872" s="66"/>
      <c r="BM872" s="51">
        <f>IFERROR(paper3[[#This Row],[totforce]]/paper3[[#This Row],[bodymass]],"")</f>
        <v>29.521142975953662</v>
      </c>
      <c r="BN872" s="51">
        <f>IFERROR(paper3[[#This Row],[totpwr]]/paper3[[#This Row],[bodymass]],"")</f>
        <v>12.258982277746171</v>
      </c>
      <c r="BO872" s="136"/>
      <c r="BP872" s="40"/>
      <c r="BQ872" s="40"/>
      <c r="BR872" s="67"/>
      <c r="BS872" s="54"/>
      <c r="BT872" s="3"/>
      <c r="BU872" s="3"/>
      <c r="BV872" s="3"/>
      <c r="BW872" s="3"/>
      <c r="BX872" s="70"/>
      <c r="BY872" s="70"/>
      <c r="BZ872" s="59"/>
      <c r="CA872" s="59"/>
      <c r="CB872" s="59"/>
      <c r="CC872" s="59"/>
      <c r="CD872" s="60"/>
      <c r="CE872" s="60"/>
      <c r="CF872" s="61"/>
      <c r="CG872" s="61"/>
      <c r="CH872" s="61"/>
      <c r="CI872" s="41"/>
      <c r="CJ872" s="40"/>
      <c r="CK872" s="3"/>
      <c r="CL872" s="62"/>
      <c r="CM872" s="63"/>
      <c r="CN872" s="3"/>
      <c r="CO872" s="3"/>
      <c r="CP872" s="41"/>
      <c r="CQ872" s="3"/>
      <c r="CR872" s="40"/>
      <c r="CS872" s="40"/>
      <c r="CT872" s="40"/>
      <c r="CU872" s="40"/>
      <c r="CV872" s="40"/>
      <c r="CW872" s="40"/>
      <c r="CX872" s="40"/>
      <c r="CY872" s="40"/>
    </row>
    <row r="873" spans="1:103" ht="18.95" customHeight="1">
      <c r="A873" s="46">
        <v>2004</v>
      </c>
      <c r="B873" s="92" t="s">
        <v>199</v>
      </c>
      <c r="C873" s="3" t="s">
        <v>104</v>
      </c>
      <c r="D873" s="207" t="s">
        <v>215</v>
      </c>
      <c r="E873" s="39">
        <v>45443</v>
      </c>
      <c r="F873" s="3" t="s">
        <v>186</v>
      </c>
      <c r="G873" s="3" t="s">
        <v>122</v>
      </c>
      <c r="H873" s="3">
        <v>2010</v>
      </c>
      <c r="I873" s="40" t="str">
        <f t="shared" si="12"/>
        <v>U14</v>
      </c>
      <c r="J873" s="40" t="s">
        <v>123</v>
      </c>
      <c r="K873" s="3">
        <v>164</v>
      </c>
      <c r="L873" s="3">
        <v>164</v>
      </c>
      <c r="M873" s="3"/>
      <c r="N873" s="3">
        <v>157</v>
      </c>
      <c r="O873" s="3">
        <v>157</v>
      </c>
      <c r="P873" s="3"/>
      <c r="Q873" s="3">
        <v>51.6</v>
      </c>
      <c r="R873" s="3">
        <v>51.6</v>
      </c>
      <c r="S873" s="3"/>
      <c r="T873" s="42">
        <v>164</v>
      </c>
      <c r="U873" s="188" cm="1">
        <f t="array" ref="U873">AVERAGE(paper3[[#This Row],[Sittende høyde 1]:[Sittende høyde 2]]-70.2)</f>
        <v>86.8</v>
      </c>
      <c r="V873" s="12">
        <f>paper3[[#This Row],[height]]-paper3[[#This Row],[sittingheight]]</f>
        <v>77.2</v>
      </c>
      <c r="W873" s="73">
        <v>51.6</v>
      </c>
      <c r="X873" s="43" cm="1">
        <f t="array" ref="X873">INDEX([1]!phvny[yphv], MATCH(1, (paper3[[#This Row],[id]]=[1]!phvny[id])*(paper3[[#This Row],[time]]=[1]!phvny[time]), 0))</f>
        <v>0.33351988141463285</v>
      </c>
      <c r="Y873" s="192">
        <v>1.8460000000000001</v>
      </c>
      <c r="Z873" s="3">
        <v>3.262</v>
      </c>
      <c r="AA873" s="192">
        <v>4.62</v>
      </c>
      <c r="AB873" s="3">
        <v>1.819</v>
      </c>
      <c r="AC873" s="3">
        <v>3.25</v>
      </c>
      <c r="AD873" s="3">
        <v>4.6159999999999997</v>
      </c>
      <c r="AE873" s="3">
        <v>1.871</v>
      </c>
      <c r="AF873" s="3">
        <v>3.37</v>
      </c>
      <c r="AG873" s="3">
        <v>4.8499999999999996</v>
      </c>
      <c r="AH873" s="194">
        <f t="shared" si="13"/>
        <v>1.819</v>
      </c>
      <c r="AI873" s="193">
        <f t="shared" si="13"/>
        <v>3.25</v>
      </c>
      <c r="AJ873" s="194">
        <f t="shared" si="13"/>
        <v>4.6159999999999997</v>
      </c>
      <c r="AK873" s="130"/>
      <c r="AL873" s="203">
        <v>9.89</v>
      </c>
      <c r="AM873" s="203" t="s">
        <v>214</v>
      </c>
      <c r="AN873" s="3">
        <v>9.89</v>
      </c>
      <c r="AO873" s="3">
        <v>10.16</v>
      </c>
      <c r="AP873" s="137">
        <f>MIN(AQ873:AR873)</f>
        <v>9.89</v>
      </c>
      <c r="AQ873" s="132">
        <v>9.89</v>
      </c>
      <c r="AR873" s="132">
        <v>9.89</v>
      </c>
      <c r="AS873" s="3"/>
      <c r="AT873" s="3"/>
      <c r="AU873" s="3"/>
      <c r="AV873" s="3"/>
      <c r="AW873" s="192"/>
      <c r="AX873" s="133"/>
      <c r="AY873" s="195">
        <v>225</v>
      </c>
      <c r="AZ873" s="40">
        <v>9</v>
      </c>
      <c r="BA873" s="40"/>
      <c r="BB873" s="40"/>
      <c r="BC873" s="40"/>
      <c r="BD873" s="135"/>
      <c r="BE873" s="135"/>
      <c r="BF873" s="40"/>
      <c r="BG873" s="135"/>
      <c r="BH873" s="135"/>
      <c r="BI873" s="49"/>
      <c r="BJ873" s="49"/>
      <c r="BK873" s="66"/>
      <c r="BL873" s="66"/>
      <c r="BM873" s="51"/>
      <c r="BN873" s="51"/>
      <c r="BO873" s="136"/>
      <c r="BP873" s="40"/>
      <c r="BQ873" s="40"/>
      <c r="BR873" s="67"/>
      <c r="BS873" s="54"/>
      <c r="BT873" s="3"/>
      <c r="BU873" s="3"/>
      <c r="BV873" s="3"/>
      <c r="BW873" s="3"/>
      <c r="BX873" s="70"/>
      <c r="BY873" s="70"/>
      <c r="BZ873" s="59"/>
      <c r="CA873" s="59"/>
      <c r="CB873" s="59"/>
      <c r="CC873" s="59"/>
      <c r="CD873" s="60"/>
      <c r="CE873" s="60"/>
      <c r="CF873" s="61"/>
      <c r="CG873" s="61"/>
      <c r="CH873" s="61"/>
      <c r="CI873" s="41">
        <v>14.4</v>
      </c>
      <c r="CJ873" s="40">
        <f>VLOOKUP(CI873,$DB:$DC,2)</f>
        <v>600</v>
      </c>
      <c r="CK873" s="3"/>
      <c r="CL873" s="62"/>
      <c r="CM873" s="63"/>
      <c r="CN873" s="3"/>
      <c r="CO873" s="3"/>
      <c r="CP873" s="41"/>
      <c r="CQ873" s="3"/>
      <c r="CR873" s="40"/>
      <c r="CS873" s="40"/>
      <c r="CT873" s="40"/>
      <c r="CU873" s="40"/>
      <c r="CV873" s="40"/>
      <c r="CW873" s="40"/>
      <c r="CX873" s="40"/>
      <c r="CY873" s="40"/>
    </row>
    <row r="874" spans="1:103" ht="18.95" customHeight="1">
      <c r="A874" s="46">
        <v>2005</v>
      </c>
      <c r="B874" s="92" t="s">
        <v>199</v>
      </c>
      <c r="C874" s="3" t="s">
        <v>104</v>
      </c>
      <c r="D874" s="207" t="s">
        <v>215</v>
      </c>
      <c r="E874" s="39">
        <v>45443</v>
      </c>
      <c r="F874" s="3" t="s">
        <v>186</v>
      </c>
      <c r="G874" s="3" t="s">
        <v>122</v>
      </c>
      <c r="H874" s="3">
        <v>2010</v>
      </c>
      <c r="I874" s="40" t="str">
        <f t="shared" si="12"/>
        <v>U14</v>
      </c>
      <c r="J874" s="40" t="s">
        <v>123</v>
      </c>
      <c r="K874" s="3">
        <v>157.6</v>
      </c>
      <c r="L874" s="3">
        <v>157.6</v>
      </c>
      <c r="M874" s="3"/>
      <c r="N874" s="3">
        <v>151.30000000000001</v>
      </c>
      <c r="O874" s="3">
        <v>151.1</v>
      </c>
      <c r="P874" s="3"/>
      <c r="Q874" s="3">
        <v>42.8</v>
      </c>
      <c r="R874" s="3">
        <v>42.8</v>
      </c>
      <c r="S874" s="3"/>
      <c r="T874" s="42">
        <v>157.6</v>
      </c>
      <c r="U874" s="188" cm="1">
        <f t="array" ref="U874">AVERAGE(paper3[[#This Row],[Sittende høyde 1]:[Sittende høyde 2]]-70.2)</f>
        <v>81</v>
      </c>
      <c r="V874" s="12">
        <f>paper3[[#This Row],[height]]-paper3[[#This Row],[sittingheight]]</f>
        <v>76.599999999999994</v>
      </c>
      <c r="W874" s="73">
        <v>42.8</v>
      </c>
      <c r="X874" s="43"/>
      <c r="Y874" s="192">
        <v>1.82</v>
      </c>
      <c r="Z874" s="3">
        <v>3.3180000000000001</v>
      </c>
      <c r="AA874" s="192">
        <v>4.774</v>
      </c>
      <c r="AB874" s="3">
        <v>1.825</v>
      </c>
      <c r="AC874" s="3">
        <v>3.3580000000000001</v>
      </c>
      <c r="AD874" s="3">
        <v>4.819</v>
      </c>
      <c r="AE874" s="3">
        <v>1.8109999999999999</v>
      </c>
      <c r="AF874" s="3">
        <v>3.383</v>
      </c>
      <c r="AG874" s="3">
        <v>4.8760000000000003</v>
      </c>
      <c r="AH874" s="194">
        <f t="shared" si="13"/>
        <v>1.8109999999999999</v>
      </c>
      <c r="AI874" s="193">
        <f t="shared" si="13"/>
        <v>3.3180000000000001</v>
      </c>
      <c r="AJ874" s="194">
        <f t="shared" si="13"/>
        <v>4.774</v>
      </c>
      <c r="AK874" s="130"/>
      <c r="AL874" s="203">
        <v>11.11</v>
      </c>
      <c r="AM874" s="203">
        <v>11.05</v>
      </c>
      <c r="AN874" s="3">
        <v>10.76</v>
      </c>
      <c r="AO874" s="3">
        <v>10.65</v>
      </c>
      <c r="AP874" s="137">
        <f>MIN(AQ874:AR874)</f>
        <v>10.65</v>
      </c>
      <c r="AQ874" s="132">
        <v>11.05</v>
      </c>
      <c r="AR874" s="132">
        <v>10.65</v>
      </c>
      <c r="AS874" s="3"/>
      <c r="AT874" s="3"/>
      <c r="AU874" s="3"/>
      <c r="AV874" s="3"/>
      <c r="AW874" s="192"/>
      <c r="AX874" s="133"/>
      <c r="AY874" s="195">
        <v>225</v>
      </c>
      <c r="AZ874" s="40">
        <v>8</v>
      </c>
      <c r="BA874" s="40"/>
      <c r="BB874" s="40"/>
      <c r="BC874" s="40"/>
      <c r="BD874" s="135">
        <v>762.20028726791782</v>
      </c>
      <c r="BE874" s="135">
        <v>746.92826341146758</v>
      </c>
      <c r="BF874" s="40"/>
      <c r="BG874" s="135">
        <v>308.2151076644717</v>
      </c>
      <c r="BH874" s="135">
        <v>294.71675586818196</v>
      </c>
      <c r="BI874" s="49">
        <f>IFERROR(SUM(paper3[[#This Row],[Kraft ikke-dominant]:[Kraft dominant]]),"")</f>
        <v>1509.1285506793854</v>
      </c>
      <c r="BJ874" s="49">
        <f>IFERROR(SUM(paper3[[#This Row],[Pwr ikke-dominant]:[Pwr dominant]]),"")</f>
        <v>602.93186353265367</v>
      </c>
      <c r="BK874" s="66"/>
      <c r="BL874" s="66"/>
      <c r="BM874" s="51">
        <f>IFERROR(paper3[[#This Row],[totforce]]/paper3[[#This Row],[bodymass]],"")</f>
        <v>35.26001286634078</v>
      </c>
      <c r="BN874" s="51">
        <f>IFERROR(paper3[[#This Row],[totpwr]]/paper3[[#This Row],[bodymass]],"")</f>
        <v>14.087193073192843</v>
      </c>
      <c r="BO874" s="136"/>
      <c r="BP874" s="40"/>
      <c r="BQ874" s="40"/>
      <c r="BR874" s="67"/>
      <c r="BS874" s="54"/>
      <c r="BT874" s="3"/>
      <c r="BU874" s="3"/>
      <c r="BV874" s="3"/>
      <c r="BW874" s="3"/>
      <c r="BX874" s="70"/>
      <c r="BY874" s="70"/>
      <c r="BZ874" s="59"/>
      <c r="CA874" s="59"/>
      <c r="CB874" s="59"/>
      <c r="CC874" s="59"/>
      <c r="CD874" s="60"/>
      <c r="CE874" s="60"/>
      <c r="CF874" s="61"/>
      <c r="CG874" s="61"/>
      <c r="CH874" s="61"/>
      <c r="CI874" s="41">
        <v>14.3</v>
      </c>
      <c r="CJ874" s="40">
        <f>VLOOKUP(CI874,$DB:$DC,2)</f>
        <v>560</v>
      </c>
      <c r="CK874" s="3"/>
      <c r="CL874" s="62"/>
      <c r="CM874" s="63"/>
      <c r="CN874" s="3"/>
      <c r="CO874" s="3"/>
      <c r="CP874" s="41"/>
      <c r="CQ874" s="3"/>
      <c r="CR874" s="40"/>
      <c r="CS874" s="40"/>
      <c r="CT874" s="40"/>
      <c r="CU874" s="40"/>
      <c r="CV874" s="40"/>
      <c r="CW874" s="40"/>
      <c r="CX874" s="40"/>
      <c r="CY874" s="40"/>
    </row>
    <row r="875" spans="1:103" ht="18.75">
      <c r="A875" s="46">
        <v>2006</v>
      </c>
      <c r="B875" s="92" t="s">
        <v>199</v>
      </c>
      <c r="C875" s="3" t="s">
        <v>104</v>
      </c>
      <c r="D875" s="207" t="s">
        <v>215</v>
      </c>
      <c r="E875" s="39">
        <v>45443</v>
      </c>
      <c r="F875" s="3" t="s">
        <v>186</v>
      </c>
      <c r="G875" s="3" t="s">
        <v>122</v>
      </c>
      <c r="H875" s="3">
        <v>2010</v>
      </c>
      <c r="I875" s="40" t="str">
        <f t="shared" si="12"/>
        <v>U14</v>
      </c>
      <c r="J875" s="40" t="s">
        <v>123</v>
      </c>
      <c r="K875" s="3">
        <v>180.3</v>
      </c>
      <c r="L875" s="3">
        <v>180.1</v>
      </c>
      <c r="M875" s="3"/>
      <c r="N875" s="3">
        <v>162.19999999999999</v>
      </c>
      <c r="O875" s="3">
        <v>162.19999999999999</v>
      </c>
      <c r="P875" s="3"/>
      <c r="Q875" s="3">
        <v>53.7</v>
      </c>
      <c r="R875" s="3">
        <v>53.7</v>
      </c>
      <c r="S875" s="3"/>
      <c r="T875" s="42">
        <v>180.2</v>
      </c>
      <c r="U875" s="188" cm="1">
        <f t="array" ref="U875">AVERAGE(paper3[[#This Row],[Sittende høyde 1]:[Sittende høyde 2]]-70.2)</f>
        <v>91.999999999999986</v>
      </c>
      <c r="V875" s="12">
        <f>paper3[[#This Row],[height]]-paper3[[#This Row],[sittingheight]]</f>
        <v>88.2</v>
      </c>
      <c r="W875" s="73">
        <v>53.7</v>
      </c>
      <c r="X875" s="43"/>
      <c r="Y875" s="192">
        <v>1.802</v>
      </c>
      <c r="Z875" s="3">
        <v>3.3029999999999999</v>
      </c>
      <c r="AA875" s="192">
        <v>4.7549999999999999</v>
      </c>
      <c r="AB875" s="3">
        <v>1.7889999999999999</v>
      </c>
      <c r="AC875" s="3">
        <v>3.3029999999999999</v>
      </c>
      <c r="AD875" s="3">
        <v>4.774</v>
      </c>
      <c r="AE875" s="3">
        <v>1.86</v>
      </c>
      <c r="AF875" s="3">
        <v>3.3879999999999999</v>
      </c>
      <c r="AG875" s="3">
        <v>4.8319999999999999</v>
      </c>
      <c r="AH875" s="194">
        <f t="shared" si="13"/>
        <v>1.7889999999999999</v>
      </c>
      <c r="AI875" s="193">
        <f t="shared" si="13"/>
        <v>3.3029999999999999</v>
      </c>
      <c r="AJ875" s="194">
        <f t="shared" si="13"/>
        <v>4.7549999999999999</v>
      </c>
      <c r="AK875" s="130"/>
      <c r="AL875" s="203">
        <v>10.3</v>
      </c>
      <c r="AM875" s="203">
        <v>10.37</v>
      </c>
      <c r="AN875" s="3">
        <v>10.38</v>
      </c>
      <c r="AO875" s="3">
        <v>10.220000000000001</v>
      </c>
      <c r="AP875" s="137">
        <f>MIN(AQ875:AR875)</f>
        <v>10.220000000000001</v>
      </c>
      <c r="AQ875" s="132">
        <v>10.3</v>
      </c>
      <c r="AR875" s="132">
        <v>10.220000000000001</v>
      </c>
      <c r="AS875" s="3"/>
      <c r="AT875" s="3"/>
      <c r="AU875" s="3"/>
      <c r="AV875" s="3"/>
      <c r="AW875" s="192"/>
      <c r="AX875" s="133"/>
      <c r="AY875" s="195">
        <v>225</v>
      </c>
      <c r="AZ875" s="40">
        <v>9</v>
      </c>
      <c r="BA875" s="40"/>
      <c r="BB875" s="40"/>
      <c r="BC875" s="40"/>
      <c r="BD875" s="135">
        <v>916.01297385443934</v>
      </c>
      <c r="BE875" s="135">
        <v>959.08820025727755</v>
      </c>
      <c r="BF875" s="40"/>
      <c r="BG875" s="135">
        <v>237.98301459942095</v>
      </c>
      <c r="BH875" s="135">
        <v>229.94074458656701</v>
      </c>
      <c r="BI875" s="49">
        <f>IFERROR(SUM(paper3[[#This Row],[Kraft ikke-dominant]:[Kraft dominant]]),"")</f>
        <v>1875.1011741117168</v>
      </c>
      <c r="BJ875" s="49">
        <f>IFERROR(SUM(paper3[[#This Row],[Pwr ikke-dominant]:[Pwr dominant]]),"")</f>
        <v>467.92375918598793</v>
      </c>
      <c r="BK875" s="66"/>
      <c r="BL875" s="66"/>
      <c r="BM875" s="51">
        <f>IFERROR(paper3[[#This Row],[totforce]]/paper3[[#This Row],[bodymass]],"")</f>
        <v>34.918085178989138</v>
      </c>
      <c r="BN875" s="51">
        <f>IFERROR(paper3[[#This Row],[totpwr]]/paper3[[#This Row],[bodymass]],"")</f>
        <v>8.7136640444318054</v>
      </c>
      <c r="BO875" s="136"/>
      <c r="BP875" s="40"/>
      <c r="BQ875" s="40"/>
      <c r="BR875" s="67"/>
      <c r="BS875" s="54"/>
      <c r="BT875" s="3"/>
      <c r="BU875" s="3"/>
      <c r="BV875" s="3"/>
      <c r="BW875" s="3"/>
      <c r="BX875" s="70"/>
      <c r="BY875" s="70"/>
      <c r="BZ875" s="59"/>
      <c r="CA875" s="59"/>
      <c r="CB875" s="59"/>
      <c r="CC875" s="59"/>
      <c r="CD875" s="60"/>
      <c r="CE875" s="60"/>
      <c r="CF875" s="61"/>
      <c r="CG875" s="61"/>
      <c r="CH875" s="61"/>
      <c r="CI875" s="41">
        <v>15.6</v>
      </c>
      <c r="CJ875" s="40">
        <f>VLOOKUP(CI875,$DB:$DC,2)</f>
        <v>1000</v>
      </c>
      <c r="CK875" s="3"/>
      <c r="CL875" s="62"/>
      <c r="CM875" s="63"/>
      <c r="CN875" s="3"/>
      <c r="CO875" s="3"/>
      <c r="CP875" s="41"/>
      <c r="CQ875" s="3"/>
      <c r="CR875" s="40"/>
      <c r="CS875" s="40"/>
      <c r="CT875" s="40"/>
      <c r="CU875" s="40"/>
      <c r="CV875" s="40"/>
      <c r="CW875" s="40"/>
      <c r="CX875" s="40"/>
      <c r="CY875" s="40"/>
    </row>
    <row r="876" spans="1:103" ht="18.95" customHeight="1">
      <c r="A876" s="46">
        <v>2007</v>
      </c>
      <c r="B876" s="92" t="s">
        <v>199</v>
      </c>
      <c r="C876" s="3"/>
      <c r="D876" s="207" t="s">
        <v>215</v>
      </c>
      <c r="E876" s="39">
        <v>45443</v>
      </c>
      <c r="F876" s="3" t="s">
        <v>186</v>
      </c>
      <c r="G876" s="3" t="s">
        <v>122</v>
      </c>
      <c r="H876" s="3">
        <v>2010</v>
      </c>
      <c r="I876" s="40" t="str">
        <f t="shared" si="12"/>
        <v>U14</v>
      </c>
      <c r="J876" s="40" t="s">
        <v>123</v>
      </c>
      <c r="K876" s="3"/>
      <c r="L876" s="3"/>
      <c r="M876" s="3"/>
      <c r="N876" s="3"/>
      <c r="O876" s="3"/>
      <c r="P876" s="3"/>
      <c r="Q876" s="3"/>
      <c r="R876" s="3"/>
      <c r="S876" s="3"/>
      <c r="T876" s="42"/>
      <c r="U876" s="188"/>
      <c r="V876" s="199"/>
      <c r="W876" s="73"/>
      <c r="X876" s="43"/>
      <c r="Y876" s="192"/>
      <c r="Z876" s="3"/>
      <c r="AA876" s="192"/>
      <c r="AB876" s="3"/>
      <c r="AC876" s="3"/>
      <c r="AD876" s="3"/>
      <c r="AE876" s="3"/>
      <c r="AF876" s="3"/>
      <c r="AG876" s="3"/>
      <c r="AH876" s="194"/>
      <c r="AI876" s="193"/>
      <c r="AJ876" s="194"/>
      <c r="AK876" s="130"/>
      <c r="AL876" s="203"/>
      <c r="AM876" s="203"/>
      <c r="AN876" s="3"/>
      <c r="AO876" s="3"/>
      <c r="AP876" s="137"/>
      <c r="AQ876" s="132"/>
      <c r="AR876" s="132"/>
      <c r="AS876" s="3"/>
      <c r="AT876" s="3"/>
      <c r="AU876" s="3"/>
      <c r="AV876" s="3"/>
      <c r="AW876" s="192"/>
      <c r="AX876" s="133"/>
      <c r="AY876" s="195"/>
      <c r="AZ876" s="40"/>
      <c r="BA876" s="40"/>
      <c r="BB876" s="40"/>
      <c r="BC876" s="40"/>
      <c r="BD876" s="135"/>
      <c r="BE876" s="135"/>
      <c r="BF876" s="40"/>
      <c r="BG876" s="135"/>
      <c r="BH876" s="135"/>
      <c r="BI876" s="49"/>
      <c r="BJ876" s="49"/>
      <c r="BK876" s="66"/>
      <c r="BL876" s="66"/>
      <c r="BM876" s="51"/>
      <c r="BN876" s="51"/>
      <c r="BO876" s="136"/>
      <c r="BP876" s="40"/>
      <c r="BQ876" s="40"/>
      <c r="BR876" s="67"/>
      <c r="BS876" s="54"/>
      <c r="BT876" s="3"/>
      <c r="BU876" s="3"/>
      <c r="BV876" s="3"/>
      <c r="BW876" s="3"/>
      <c r="BX876" s="70"/>
      <c r="BY876" s="70"/>
      <c r="BZ876" s="59"/>
      <c r="CA876" s="59"/>
      <c r="CB876" s="59"/>
      <c r="CC876" s="59"/>
      <c r="CD876" s="60"/>
      <c r="CE876" s="60"/>
      <c r="CF876" s="61"/>
      <c r="CG876" s="61"/>
      <c r="CH876" s="61"/>
      <c r="CI876" s="41"/>
      <c r="CJ876" s="40"/>
      <c r="CK876" s="3"/>
      <c r="CL876" s="62"/>
      <c r="CM876" s="63"/>
      <c r="CN876" s="3"/>
      <c r="CO876" s="3"/>
      <c r="CP876" s="41"/>
      <c r="CQ876" s="3"/>
      <c r="CR876" s="40"/>
      <c r="CS876" s="40"/>
      <c r="CT876" s="40"/>
      <c r="CU876" s="40"/>
      <c r="CV876" s="40"/>
      <c r="CW876" s="40"/>
      <c r="CX876" s="40"/>
      <c r="CY876" s="40"/>
    </row>
    <row r="877" spans="1:103" ht="18.95" customHeight="1">
      <c r="A877" s="46">
        <v>2008</v>
      </c>
      <c r="B877" s="92" t="s">
        <v>199</v>
      </c>
      <c r="C877" s="3"/>
      <c r="D877" s="207" t="s">
        <v>215</v>
      </c>
      <c r="E877" s="39">
        <v>45443</v>
      </c>
      <c r="F877" s="3" t="s">
        <v>186</v>
      </c>
      <c r="G877" s="3" t="s">
        <v>122</v>
      </c>
      <c r="H877" s="3">
        <v>2010</v>
      </c>
      <c r="I877" s="40" t="str">
        <f t="shared" si="12"/>
        <v>U14</v>
      </c>
      <c r="J877" s="40" t="s">
        <v>123</v>
      </c>
      <c r="K877" s="3"/>
      <c r="L877" s="3"/>
      <c r="M877" s="3"/>
      <c r="N877" s="3"/>
      <c r="O877" s="3"/>
      <c r="P877" s="3"/>
      <c r="Q877" s="3"/>
      <c r="R877" s="3"/>
      <c r="S877" s="3"/>
      <c r="T877" s="42"/>
      <c r="U877" s="188"/>
      <c r="V877" s="199"/>
      <c r="W877" s="73"/>
      <c r="X877" s="43"/>
      <c r="Y877" s="192"/>
      <c r="Z877" s="3"/>
      <c r="AA877" s="192"/>
      <c r="AB877" s="3"/>
      <c r="AC877" s="3"/>
      <c r="AD877" s="3"/>
      <c r="AE877" s="3"/>
      <c r="AF877" s="3"/>
      <c r="AG877" s="3"/>
      <c r="AH877" s="194"/>
      <c r="AI877" s="193"/>
      <c r="AJ877" s="194"/>
      <c r="AK877" s="130"/>
      <c r="AL877" s="203"/>
      <c r="AM877" s="203"/>
      <c r="AN877" s="3"/>
      <c r="AO877" s="3"/>
      <c r="AP877" s="137"/>
      <c r="AQ877" s="132"/>
      <c r="AR877" s="132"/>
      <c r="AS877" s="3"/>
      <c r="AT877" s="3"/>
      <c r="AU877" s="3"/>
      <c r="AV877" s="3"/>
      <c r="AW877" s="192"/>
      <c r="AX877" s="133"/>
      <c r="AY877" s="195"/>
      <c r="AZ877" s="40"/>
      <c r="BA877" s="40"/>
      <c r="BB877" s="40"/>
      <c r="BC877" s="40"/>
      <c r="BD877" s="135"/>
      <c r="BE877" s="135"/>
      <c r="BF877" s="40"/>
      <c r="BG877" s="135"/>
      <c r="BH877" s="135"/>
      <c r="BI877" s="49"/>
      <c r="BJ877" s="49"/>
      <c r="BK877" s="66"/>
      <c r="BL877" s="66"/>
      <c r="BM877" s="51"/>
      <c r="BN877" s="51"/>
      <c r="BO877" s="136"/>
      <c r="BP877" s="40"/>
      <c r="BQ877" s="40"/>
      <c r="BR877" s="67"/>
      <c r="BS877" s="54"/>
      <c r="BT877" s="3"/>
      <c r="BU877" s="3"/>
      <c r="BV877" s="3"/>
      <c r="BW877" s="3"/>
      <c r="BX877" s="70"/>
      <c r="BY877" s="70"/>
      <c r="BZ877" s="59"/>
      <c r="CA877" s="59"/>
      <c r="CB877" s="59"/>
      <c r="CC877" s="59"/>
      <c r="CD877" s="60"/>
      <c r="CE877" s="60"/>
      <c r="CF877" s="61"/>
      <c r="CG877" s="61"/>
      <c r="CH877" s="61"/>
      <c r="CI877" s="41"/>
      <c r="CJ877" s="40"/>
      <c r="CK877" s="3"/>
      <c r="CL877" s="62"/>
      <c r="CM877" s="63"/>
      <c r="CN877" s="3"/>
      <c r="CO877" s="3"/>
      <c r="CP877" s="41"/>
      <c r="CQ877" s="3"/>
      <c r="CR877" s="40"/>
      <c r="CS877" s="40"/>
      <c r="CT877" s="40"/>
      <c r="CU877" s="40"/>
      <c r="CV877" s="40"/>
      <c r="CW877" s="40"/>
      <c r="CX877" s="40"/>
      <c r="CY877" s="40"/>
    </row>
    <row r="878" spans="1:103" ht="18.95" customHeight="1">
      <c r="A878" s="46">
        <v>2009</v>
      </c>
      <c r="B878" s="92" t="s">
        <v>199</v>
      </c>
      <c r="C878" s="3" t="s">
        <v>104</v>
      </c>
      <c r="D878" s="207" t="s">
        <v>215</v>
      </c>
      <c r="E878" s="39">
        <v>45443</v>
      </c>
      <c r="F878" s="3" t="s">
        <v>186</v>
      </c>
      <c r="G878" s="3" t="s">
        <v>122</v>
      </c>
      <c r="H878" s="3">
        <v>2010</v>
      </c>
      <c r="I878" s="40" t="str">
        <f t="shared" si="12"/>
        <v>U14</v>
      </c>
      <c r="J878" s="40" t="s">
        <v>123</v>
      </c>
      <c r="K878" s="3">
        <v>160.5</v>
      </c>
      <c r="L878" s="3">
        <v>160.5</v>
      </c>
      <c r="M878" s="3"/>
      <c r="N878" s="3">
        <v>150.5</v>
      </c>
      <c r="O878" s="3">
        <v>150.5</v>
      </c>
      <c r="P878" s="3"/>
      <c r="Q878" s="3">
        <v>45.3</v>
      </c>
      <c r="R878" s="3">
        <v>45.3</v>
      </c>
      <c r="S878" s="3"/>
      <c r="T878" s="42">
        <v>160.5</v>
      </c>
      <c r="U878" s="188" cm="1">
        <f t="array" ref="U878">AVERAGE(paper3[[#This Row],[Sittende høyde 1]:[Sittende høyde 2]]-70.2)</f>
        <v>80.3</v>
      </c>
      <c r="V878" s="12">
        <f>paper3[[#This Row],[height]]-paper3[[#This Row],[sittingheight]]</f>
        <v>80.2</v>
      </c>
      <c r="W878" s="73">
        <v>45.3</v>
      </c>
      <c r="X878" s="43" cm="1">
        <f t="array" ref="X878">INDEX([1]!phvny[yphv], MATCH(1, (paper3[[#This Row],[id]]=[1]!phvny[id])*(paper3[[#This Row],[time]]=[1]!phvny[time]), 0))</f>
        <v>-0.71535533575389376</v>
      </c>
      <c r="Y878" s="192">
        <v>1.7330000000000001</v>
      </c>
      <c r="Z878" s="3">
        <v>3.1859999999999999</v>
      </c>
      <c r="AA878" s="192">
        <v>4.5640000000000001</v>
      </c>
      <c r="AB878" s="3">
        <v>1.6990000000000001</v>
      </c>
      <c r="AC878" s="3">
        <v>3.1709999999999998</v>
      </c>
      <c r="AD878" s="3">
        <v>4.5620000000000003</v>
      </c>
      <c r="AE878" s="3">
        <v>1.8460000000000001</v>
      </c>
      <c r="AF878" s="3">
        <v>3.33</v>
      </c>
      <c r="AG878" s="3">
        <v>4.7519999999999998</v>
      </c>
      <c r="AH878" s="194">
        <f>MIN(Y878,AB878,AE878)</f>
        <v>1.6990000000000001</v>
      </c>
      <c r="AI878" s="193">
        <f>MIN(Z878,AC878,AF878)</f>
        <v>3.1709999999999998</v>
      </c>
      <c r="AJ878" s="194">
        <f>MIN(AA878,AD878,AG878)</f>
        <v>4.5620000000000003</v>
      </c>
      <c r="AK878" s="130"/>
      <c r="AL878" s="203">
        <v>9.73</v>
      </c>
      <c r="AM878" s="203">
        <v>12.07</v>
      </c>
      <c r="AN878" s="3">
        <v>10.1</v>
      </c>
      <c r="AO878" s="3">
        <v>9.92</v>
      </c>
      <c r="AP878" s="137">
        <f>MIN(AQ878:AR878)</f>
        <v>9.73</v>
      </c>
      <c r="AQ878" s="132">
        <v>9.73</v>
      </c>
      <c r="AR878" s="132">
        <v>9.92</v>
      </c>
      <c r="AS878" s="3"/>
      <c r="AT878" s="3"/>
      <c r="AU878" s="3"/>
      <c r="AV878" s="3"/>
      <c r="AW878" s="192"/>
      <c r="AX878" s="133"/>
      <c r="AY878" s="195">
        <v>225</v>
      </c>
      <c r="AZ878" s="40">
        <v>7</v>
      </c>
      <c r="BA878" s="40"/>
      <c r="BB878" s="40"/>
      <c r="BC878" s="40"/>
      <c r="BD878" s="135"/>
      <c r="BE878" s="135"/>
      <c r="BF878" s="40"/>
      <c r="BG878" s="135"/>
      <c r="BH878" s="135"/>
      <c r="BI878" s="49"/>
      <c r="BJ878" s="49"/>
      <c r="BK878" s="66"/>
      <c r="BL878" s="66"/>
      <c r="BM878" s="51"/>
      <c r="BN878" s="51"/>
      <c r="BO878" s="136"/>
      <c r="BP878" s="40"/>
      <c r="BQ878" s="40"/>
      <c r="BR878" s="67"/>
      <c r="BS878" s="54"/>
      <c r="BT878" s="3"/>
      <c r="BU878" s="3"/>
      <c r="BV878" s="3"/>
      <c r="BW878" s="3"/>
      <c r="BX878" s="70"/>
      <c r="BY878" s="70"/>
      <c r="BZ878" s="59"/>
      <c r="CA878" s="59"/>
      <c r="CB878" s="59"/>
      <c r="CC878" s="59"/>
      <c r="CD878" s="60"/>
      <c r="CE878" s="60"/>
      <c r="CF878" s="61"/>
      <c r="CG878" s="61"/>
      <c r="CH878" s="61"/>
      <c r="CI878" s="41">
        <v>15.2</v>
      </c>
      <c r="CJ878" s="40">
        <f>VLOOKUP(CI878,$DB:$DC,2)</f>
        <v>840</v>
      </c>
      <c r="CK878" s="3"/>
      <c r="CL878" s="62"/>
      <c r="CM878" s="63"/>
      <c r="CN878" s="3"/>
      <c r="CO878" s="3"/>
      <c r="CP878" s="41"/>
      <c r="CQ878" s="3"/>
      <c r="CR878" s="40"/>
      <c r="CS878" s="40"/>
      <c r="CT878" s="40"/>
      <c r="CU878" s="40"/>
      <c r="CV878" s="40"/>
      <c r="CW878" s="40"/>
      <c r="CX878" s="40"/>
      <c r="CY878" s="40"/>
    </row>
    <row r="879" spans="1:103" ht="18.95" customHeight="1">
      <c r="A879" s="46">
        <v>2010</v>
      </c>
      <c r="B879" s="92" t="s">
        <v>199</v>
      </c>
      <c r="C879" s="3"/>
      <c r="D879" s="207" t="s">
        <v>215</v>
      </c>
      <c r="E879" s="39">
        <v>45443</v>
      </c>
      <c r="F879" s="3" t="s">
        <v>186</v>
      </c>
      <c r="G879" s="3" t="s">
        <v>122</v>
      </c>
      <c r="H879" s="3">
        <v>2010</v>
      </c>
      <c r="I879" s="40" t="str">
        <f t="shared" si="12"/>
        <v>U14</v>
      </c>
      <c r="J879" s="40" t="s">
        <v>123</v>
      </c>
      <c r="K879" s="3"/>
      <c r="L879" s="3"/>
      <c r="M879" s="3"/>
      <c r="N879" s="3"/>
      <c r="O879" s="3"/>
      <c r="P879" s="3"/>
      <c r="Q879" s="3"/>
      <c r="R879" s="3"/>
      <c r="S879" s="3"/>
      <c r="T879" s="42"/>
      <c r="U879" s="188"/>
      <c r="V879" s="199"/>
      <c r="W879" s="73"/>
      <c r="X879" s="43"/>
      <c r="Y879" s="192"/>
      <c r="Z879" s="3"/>
      <c r="AA879" s="192"/>
      <c r="AB879" s="3"/>
      <c r="AC879" s="3"/>
      <c r="AD879" s="3"/>
      <c r="AE879" s="3"/>
      <c r="AF879" s="3"/>
      <c r="AG879" s="3"/>
      <c r="AH879" s="194"/>
      <c r="AI879" s="193"/>
      <c r="AJ879" s="194"/>
      <c r="AK879" s="130"/>
      <c r="AL879" s="203"/>
      <c r="AM879" s="203"/>
      <c r="AN879" s="3"/>
      <c r="AO879" s="3"/>
      <c r="AP879" s="137"/>
      <c r="AQ879" s="132"/>
      <c r="AR879" s="132"/>
      <c r="AS879" s="3"/>
      <c r="AT879" s="3"/>
      <c r="AU879" s="3"/>
      <c r="AV879" s="3"/>
      <c r="AW879" s="192"/>
      <c r="AX879" s="133"/>
      <c r="AY879" s="195"/>
      <c r="AZ879" s="40"/>
      <c r="BA879" s="40"/>
      <c r="BB879" s="40"/>
      <c r="BC879" s="40"/>
      <c r="BD879" s="135"/>
      <c r="BE879" s="135"/>
      <c r="BF879" s="40"/>
      <c r="BG879" s="135"/>
      <c r="BH879" s="135"/>
      <c r="BI879" s="49"/>
      <c r="BJ879" s="49"/>
      <c r="BK879" s="66"/>
      <c r="BL879" s="66"/>
      <c r="BM879" s="51"/>
      <c r="BN879" s="51"/>
      <c r="BO879" s="136"/>
      <c r="BP879" s="40"/>
      <c r="BQ879" s="40"/>
      <c r="BR879" s="67"/>
      <c r="BS879" s="54"/>
      <c r="BT879" s="3"/>
      <c r="BU879" s="3"/>
      <c r="BV879" s="3"/>
      <c r="BW879" s="3"/>
      <c r="BX879" s="70"/>
      <c r="BY879" s="70"/>
      <c r="BZ879" s="59"/>
      <c r="CA879" s="59"/>
      <c r="CB879" s="59"/>
      <c r="CC879" s="59"/>
      <c r="CD879" s="60"/>
      <c r="CE879" s="60"/>
      <c r="CF879" s="61"/>
      <c r="CG879" s="61"/>
      <c r="CH879" s="61"/>
      <c r="CI879" s="41"/>
      <c r="CJ879" s="40"/>
      <c r="CK879" s="3"/>
      <c r="CL879" s="62"/>
      <c r="CM879" s="63"/>
      <c r="CN879" s="3"/>
      <c r="CO879" s="3"/>
      <c r="CP879" s="41"/>
      <c r="CQ879" s="3"/>
      <c r="CR879" s="40"/>
      <c r="CS879" s="40"/>
      <c r="CT879" s="40"/>
      <c r="CU879" s="40"/>
      <c r="CV879" s="40"/>
      <c r="CW879" s="40"/>
      <c r="CX879" s="40"/>
      <c r="CY879" s="40"/>
    </row>
    <row r="880" spans="1:103" ht="18.95" customHeight="1">
      <c r="A880" s="46">
        <v>2011</v>
      </c>
      <c r="B880" s="92" t="s">
        <v>199</v>
      </c>
      <c r="C880" s="3" t="s">
        <v>104</v>
      </c>
      <c r="D880" s="207" t="s">
        <v>215</v>
      </c>
      <c r="E880" s="39">
        <v>45443</v>
      </c>
      <c r="F880" s="3" t="s">
        <v>186</v>
      </c>
      <c r="G880" s="3" t="s">
        <v>122</v>
      </c>
      <c r="H880" s="3">
        <v>2010</v>
      </c>
      <c r="I880" s="40" t="str">
        <f t="shared" si="12"/>
        <v>U14</v>
      </c>
      <c r="J880" s="40" t="s">
        <v>123</v>
      </c>
      <c r="K880" s="3">
        <v>178.5</v>
      </c>
      <c r="L880" s="3">
        <v>178.5</v>
      </c>
      <c r="M880" s="3"/>
      <c r="N880" s="3">
        <v>163.19999999999999</v>
      </c>
      <c r="O880" s="3">
        <v>163.19999999999999</v>
      </c>
      <c r="P880" s="3"/>
      <c r="Q880" s="3">
        <v>66</v>
      </c>
      <c r="R880" s="3">
        <v>66</v>
      </c>
      <c r="S880" s="3"/>
      <c r="T880" s="42">
        <v>178.5</v>
      </c>
      <c r="U880" s="188" cm="1">
        <f t="array" ref="U880">AVERAGE(paper3[[#This Row],[Sittende høyde 1]:[Sittende høyde 2]]-70.2)</f>
        <v>92.999999999999986</v>
      </c>
      <c r="V880" s="12">
        <f>paper3[[#This Row],[height]]-paper3[[#This Row],[sittingheight]]</f>
        <v>85.500000000000014</v>
      </c>
      <c r="W880" s="73">
        <v>66</v>
      </c>
      <c r="X880" s="43" cm="1">
        <f t="array" ref="X880">INDEX([1]!phvny[yphv], MATCH(1, (paper3[[#This Row],[id]]=[1]!phvny[id])*(paper3[[#This Row],[time]]=[1]!phvny[time]), 0))</f>
        <v>1.1928561182072799</v>
      </c>
      <c r="Y880" s="192" t="s">
        <v>262</v>
      </c>
      <c r="Z880" s="3" t="s">
        <v>263</v>
      </c>
      <c r="AA880" s="192" t="s">
        <v>264</v>
      </c>
      <c r="AB880" s="3">
        <v>1.8089999999999999</v>
      </c>
      <c r="AC880" s="3">
        <v>3.3610000000000002</v>
      </c>
      <c r="AD880" s="3">
        <v>4.8339999999999996</v>
      </c>
      <c r="AE880" s="3">
        <v>1.77</v>
      </c>
      <c r="AF880" s="3">
        <v>3.3130000000000002</v>
      </c>
      <c r="AG880" s="3">
        <v>4.7910000000000004</v>
      </c>
      <c r="AH880" s="194">
        <f t="shared" ref="AH880:AJ882" si="14">MIN(Y880,AB880,AE880)</f>
        <v>1.77</v>
      </c>
      <c r="AI880" s="193">
        <f t="shared" si="14"/>
        <v>3.3130000000000002</v>
      </c>
      <c r="AJ880" s="194">
        <f t="shared" si="14"/>
        <v>4.7910000000000004</v>
      </c>
      <c r="AK880" s="130"/>
      <c r="AL880" s="203">
        <v>10</v>
      </c>
      <c r="AM880" s="203">
        <v>9.82</v>
      </c>
      <c r="AN880" s="3">
        <v>9.84</v>
      </c>
      <c r="AO880" s="3">
        <v>9.77</v>
      </c>
      <c r="AP880" s="137">
        <f>MIN(AQ880:AR880)</f>
        <v>9.77</v>
      </c>
      <c r="AQ880" s="132">
        <v>9.82</v>
      </c>
      <c r="AR880" s="132">
        <v>9.77</v>
      </c>
      <c r="AS880" s="3"/>
      <c r="AT880" s="3"/>
      <c r="AU880" s="3"/>
      <c r="AV880" s="3"/>
      <c r="AW880" s="192"/>
      <c r="AX880" s="133"/>
      <c r="AY880" s="195">
        <v>250</v>
      </c>
      <c r="AZ880" s="40">
        <v>9</v>
      </c>
      <c r="BA880" s="40"/>
      <c r="BB880" s="40"/>
      <c r="BC880" s="40"/>
      <c r="BD880" s="135">
        <v>1110.3841068805104</v>
      </c>
      <c r="BE880" s="135">
        <v>1098.3191794024783</v>
      </c>
      <c r="BF880" s="40"/>
      <c r="BG880" s="135">
        <v>540.78801844088912</v>
      </c>
      <c r="BH880" s="135">
        <v>526.23766245497598</v>
      </c>
      <c r="BI880" s="49">
        <f>IFERROR(SUM(paper3[[#This Row],[Kraft ikke-dominant]:[Kraft dominant]]),"")</f>
        <v>2208.7032862829888</v>
      </c>
      <c r="BJ880" s="49">
        <f>IFERROR(SUM(paper3[[#This Row],[Pwr ikke-dominant]:[Pwr dominant]]),"")</f>
        <v>1067.0256808958652</v>
      </c>
      <c r="BK880" s="66"/>
      <c r="BL880" s="66"/>
      <c r="BM880" s="51">
        <f>IFERROR(paper3[[#This Row],[totforce]]/paper3[[#This Row],[bodymass]],"")</f>
        <v>33.465201307318011</v>
      </c>
      <c r="BN880" s="51">
        <f>IFERROR(paper3[[#This Row],[totpwr]]/paper3[[#This Row],[bodymass]],"")</f>
        <v>16.167055771149474</v>
      </c>
      <c r="BO880" s="136"/>
      <c r="BP880" s="40"/>
      <c r="BQ880" s="40"/>
      <c r="BR880" s="67"/>
      <c r="BS880" s="54"/>
      <c r="BT880" s="3"/>
      <c r="BU880" s="3"/>
      <c r="BV880" s="3"/>
      <c r="BW880" s="3"/>
      <c r="BX880" s="70"/>
      <c r="BY880" s="70"/>
      <c r="BZ880" s="59"/>
      <c r="CA880" s="59"/>
      <c r="CB880" s="59"/>
      <c r="CC880" s="59"/>
      <c r="CD880" s="60"/>
      <c r="CE880" s="60"/>
      <c r="CF880" s="61"/>
      <c r="CG880" s="61"/>
      <c r="CH880" s="61"/>
      <c r="CI880" s="41">
        <v>16.5</v>
      </c>
      <c r="CJ880" s="40">
        <f>VLOOKUP(CI880,$DB:$DC,2)</f>
        <v>1280</v>
      </c>
      <c r="CK880" s="3"/>
      <c r="CL880" s="62"/>
      <c r="CM880" s="63"/>
      <c r="CN880" s="3"/>
      <c r="CO880" s="3"/>
      <c r="CP880" s="41"/>
      <c r="CQ880" s="3"/>
      <c r="CR880" s="40"/>
      <c r="CS880" s="40"/>
      <c r="CT880" s="40"/>
      <c r="CU880" s="40"/>
      <c r="CV880" s="40"/>
      <c r="CW880" s="40"/>
      <c r="CX880" s="40"/>
      <c r="CY880" s="40"/>
    </row>
    <row r="881" spans="1:103" ht="18.95" customHeight="1">
      <c r="A881" s="46">
        <v>2012</v>
      </c>
      <c r="B881" s="92" t="s">
        <v>199</v>
      </c>
      <c r="C881" s="3" t="s">
        <v>104</v>
      </c>
      <c r="D881" s="207" t="s">
        <v>215</v>
      </c>
      <c r="E881" s="39">
        <v>45443</v>
      </c>
      <c r="F881" s="3" t="s">
        <v>186</v>
      </c>
      <c r="G881" s="3" t="s">
        <v>122</v>
      </c>
      <c r="H881" s="3">
        <v>2010</v>
      </c>
      <c r="I881" s="40" t="str">
        <f t="shared" si="12"/>
        <v>U14</v>
      </c>
      <c r="J881" s="40" t="s">
        <v>123</v>
      </c>
      <c r="K881" s="3">
        <v>157.5</v>
      </c>
      <c r="L881" s="3">
        <v>157.5</v>
      </c>
      <c r="M881" s="3"/>
      <c r="N881" s="3">
        <v>149</v>
      </c>
      <c r="O881" s="3">
        <v>149</v>
      </c>
      <c r="P881" s="3"/>
      <c r="Q881" s="3">
        <v>50.5</v>
      </c>
      <c r="R881" s="3">
        <v>50.5</v>
      </c>
      <c r="S881" s="3"/>
      <c r="T881" s="42">
        <v>157.5</v>
      </c>
      <c r="U881" s="188" cm="1">
        <f t="array" ref="U881">AVERAGE(paper3[[#This Row],[Sittende høyde 1]:[Sittende høyde 2]]-70.2)</f>
        <v>78.8</v>
      </c>
      <c r="V881" s="12">
        <f>paper3[[#This Row],[height]]-paper3[[#This Row],[sittingheight]]</f>
        <v>78.7</v>
      </c>
      <c r="W881" s="73">
        <v>50.5</v>
      </c>
      <c r="X881" s="43" cm="1">
        <f t="array" ref="X881">INDEX([1]!phvny[yphv], MATCH(1, (paper3[[#This Row],[id]]=[1]!phvny[id])*(paper3[[#This Row],[time]]=[1]!phvny[time]), 0))</f>
        <v>-0.8197835161269853</v>
      </c>
      <c r="Y881" s="192">
        <v>1.907</v>
      </c>
      <c r="Z881" s="3">
        <v>3.5289999999999999</v>
      </c>
      <c r="AA881" s="192">
        <v>5.0979999999999999</v>
      </c>
      <c r="AB881" s="3">
        <v>1.91</v>
      </c>
      <c r="AC881" s="3">
        <v>3.5529999999999999</v>
      </c>
      <c r="AD881" s="3">
        <v>5.1479999999999997</v>
      </c>
      <c r="AE881" s="3">
        <v>2.0230000000000001</v>
      </c>
      <c r="AF881" s="3">
        <v>3.6920000000000002</v>
      </c>
      <c r="AG881" s="3">
        <v>5.3140000000000001</v>
      </c>
      <c r="AH881" s="194">
        <f t="shared" si="14"/>
        <v>1.907</v>
      </c>
      <c r="AI881" s="193">
        <f t="shared" si="14"/>
        <v>3.5289999999999999</v>
      </c>
      <c r="AJ881" s="194">
        <f t="shared" si="14"/>
        <v>5.0979999999999999</v>
      </c>
      <c r="AK881" s="130"/>
      <c r="AL881" s="203">
        <v>10.55</v>
      </c>
      <c r="AM881" s="203">
        <v>10.62</v>
      </c>
      <c r="AN881" s="3">
        <v>11.34</v>
      </c>
      <c r="AO881" s="3">
        <v>11.33</v>
      </c>
      <c r="AP881" s="137">
        <f>MIN(AQ881:AR881)</f>
        <v>10.55</v>
      </c>
      <c r="AQ881" s="132">
        <v>10.55</v>
      </c>
      <c r="AR881" s="132">
        <v>11.33</v>
      </c>
      <c r="AS881" s="3"/>
      <c r="AT881" s="3"/>
      <c r="AU881" s="3"/>
      <c r="AV881" s="3"/>
      <c r="AW881" s="192"/>
      <c r="AX881" s="133"/>
      <c r="AY881" s="195">
        <v>225</v>
      </c>
      <c r="AZ881" s="40">
        <v>8</v>
      </c>
      <c r="BA881" s="40"/>
      <c r="BB881" s="40"/>
      <c r="BC881" s="40"/>
      <c r="BD881" s="135"/>
      <c r="BE881" s="135"/>
      <c r="BF881" s="40"/>
      <c r="BG881" s="135"/>
      <c r="BH881" s="135"/>
      <c r="BI881" s="49"/>
      <c r="BJ881" s="49"/>
      <c r="BK881" s="66"/>
      <c r="BL881" s="66"/>
      <c r="BM881" s="51"/>
      <c r="BN881" s="51"/>
      <c r="BO881" s="136"/>
      <c r="BP881" s="40"/>
      <c r="BQ881" s="40"/>
      <c r="BR881" s="67"/>
      <c r="BS881" s="54"/>
      <c r="BT881" s="3"/>
      <c r="BU881" s="3"/>
      <c r="BV881" s="3"/>
      <c r="BW881" s="3"/>
      <c r="BX881" s="70"/>
      <c r="BY881" s="70"/>
      <c r="BZ881" s="59"/>
      <c r="CA881" s="59"/>
      <c r="CB881" s="59"/>
      <c r="CC881" s="59"/>
      <c r="CD881" s="60"/>
      <c r="CE881" s="60"/>
      <c r="CF881" s="61"/>
      <c r="CG881" s="61"/>
      <c r="CH881" s="61"/>
      <c r="CI881" s="41">
        <v>14.2</v>
      </c>
      <c r="CJ881" s="40">
        <f>VLOOKUP(CI881,$DB:$DC,2)</f>
        <v>520</v>
      </c>
      <c r="CK881" s="3"/>
      <c r="CL881" s="62"/>
      <c r="CM881" s="63"/>
      <c r="CN881" s="3"/>
      <c r="CO881" s="3"/>
      <c r="CP881" s="41"/>
      <c r="CQ881" s="3"/>
      <c r="CR881" s="40"/>
      <c r="CS881" s="40"/>
      <c r="CT881" s="40"/>
      <c r="CU881" s="40"/>
      <c r="CV881" s="40"/>
      <c r="CW881" s="40"/>
      <c r="CX881" s="40"/>
      <c r="CY881" s="40"/>
    </row>
    <row r="882" spans="1:103" ht="18.95" customHeight="1">
      <c r="A882" s="46">
        <v>2013</v>
      </c>
      <c r="B882" s="92" t="s">
        <v>199</v>
      </c>
      <c r="C882" s="3" t="s">
        <v>104</v>
      </c>
      <c r="D882" s="207" t="s">
        <v>215</v>
      </c>
      <c r="E882" s="39">
        <v>45443</v>
      </c>
      <c r="F882" s="3" t="s">
        <v>186</v>
      </c>
      <c r="G882" s="3" t="s">
        <v>122</v>
      </c>
      <c r="H882" s="3">
        <v>2010</v>
      </c>
      <c r="I882" s="40" t="str">
        <f t="shared" si="12"/>
        <v>U14</v>
      </c>
      <c r="J882" s="40" t="s">
        <v>123</v>
      </c>
      <c r="K882" s="3">
        <v>164.5</v>
      </c>
      <c r="L882" s="3">
        <v>164.5</v>
      </c>
      <c r="M882" s="3"/>
      <c r="N882" s="3">
        <v>154.5</v>
      </c>
      <c r="O882" s="3">
        <v>154.5</v>
      </c>
      <c r="P882" s="3"/>
      <c r="Q882" s="3">
        <v>48.3</v>
      </c>
      <c r="R882" s="3">
        <v>48.3</v>
      </c>
      <c r="S882" s="3"/>
      <c r="T882" s="42">
        <v>164.5</v>
      </c>
      <c r="U882" s="188" cm="1">
        <f t="array" ref="U882">AVERAGE(paper3[[#This Row],[Sittende høyde 1]:[Sittende høyde 2]]-70.2)</f>
        <v>84.3</v>
      </c>
      <c r="V882" s="12">
        <f>paper3[[#This Row],[height]]-paper3[[#This Row],[sittingheight]]</f>
        <v>80.2</v>
      </c>
      <c r="W882" s="73">
        <v>48.3</v>
      </c>
      <c r="X882" s="43" cm="1">
        <f t="array" ref="X882">INDEX([1]!phvny[yphv], MATCH(1, (paper3[[#This Row],[id]]=[1]!phvny[id])*(paper3[[#This Row],[time]]=[1]!phvny[time]), 0))</f>
        <v>-7.6485763122931649E-2</v>
      </c>
      <c r="Y882" s="192">
        <v>1.7270000000000001</v>
      </c>
      <c r="Z882" s="3">
        <v>3.2029999999999998</v>
      </c>
      <c r="AA882" s="192">
        <v>4.6029999999999998</v>
      </c>
      <c r="AB882" s="3">
        <v>1.7809999999999999</v>
      </c>
      <c r="AC882" s="3">
        <v>3.306</v>
      </c>
      <c r="AD882" s="3">
        <v>4.7670000000000003</v>
      </c>
      <c r="AE882" s="3">
        <v>1.835</v>
      </c>
      <c r="AF882" s="3">
        <v>3.347</v>
      </c>
      <c r="AG882" s="3">
        <v>4.7779999999999996</v>
      </c>
      <c r="AH882" s="194">
        <f t="shared" si="14"/>
        <v>1.7270000000000001</v>
      </c>
      <c r="AI882" s="193">
        <f t="shared" si="14"/>
        <v>3.2029999999999998</v>
      </c>
      <c r="AJ882" s="194">
        <f t="shared" si="14"/>
        <v>4.6029999999999998</v>
      </c>
      <c r="AK882" s="130"/>
      <c r="AL882" s="203">
        <v>10.210000000000001</v>
      </c>
      <c r="AM882" s="203">
        <v>10.37</v>
      </c>
      <c r="AN882" s="3">
        <v>10.97</v>
      </c>
      <c r="AO882" s="3">
        <v>10.85</v>
      </c>
      <c r="AP882" s="137">
        <f>MIN(AQ882:AR882)</f>
        <v>10.85</v>
      </c>
      <c r="AQ882" s="132" t="s">
        <v>252</v>
      </c>
      <c r="AR882" s="132">
        <v>10.85</v>
      </c>
      <c r="AS882" s="3"/>
      <c r="AT882" s="3"/>
      <c r="AU882" s="3"/>
      <c r="AV882" s="3"/>
      <c r="AW882" s="192"/>
      <c r="AX882" s="133"/>
      <c r="AY882" s="195">
        <v>225</v>
      </c>
      <c r="AZ882" s="40">
        <v>9</v>
      </c>
      <c r="BA882" s="40"/>
      <c r="BB882" s="40"/>
      <c r="BC882" s="40"/>
      <c r="BD882" s="135">
        <v>863.81891512171569</v>
      </c>
      <c r="BE882" s="135">
        <v>853.78550946558062</v>
      </c>
      <c r="BF882" s="40"/>
      <c r="BG882" s="135">
        <v>327.63996472431666</v>
      </c>
      <c r="BH882" s="135">
        <v>319.86024577662499</v>
      </c>
      <c r="BI882" s="49">
        <f>IFERROR(SUM(paper3[[#This Row],[Kraft ikke-dominant]:[Kraft dominant]]),"")</f>
        <v>1717.6044245872963</v>
      </c>
      <c r="BJ882" s="49">
        <f>IFERROR(SUM(paper3[[#This Row],[Pwr ikke-dominant]:[Pwr dominant]]),"")</f>
        <v>647.50021050094165</v>
      </c>
      <c r="BK882" s="66"/>
      <c r="BL882" s="66"/>
      <c r="BM882" s="51">
        <f>IFERROR(paper3[[#This Row],[totforce]]/paper3[[#This Row],[bodymass]],"")</f>
        <v>35.56116821091711</v>
      </c>
      <c r="BN882" s="51">
        <f>IFERROR(paper3[[#This Row],[totpwr]]/paper3[[#This Row],[bodymass]],"")</f>
        <v>13.405801459646826</v>
      </c>
      <c r="BO882" s="136"/>
      <c r="BP882" s="40"/>
      <c r="BQ882" s="40"/>
      <c r="BR882" s="67"/>
      <c r="BS882" s="54"/>
      <c r="BT882" s="3"/>
      <c r="BU882" s="3"/>
      <c r="BV882" s="3"/>
      <c r="BW882" s="3"/>
      <c r="BX882" s="70"/>
      <c r="BY882" s="70"/>
      <c r="BZ882" s="59"/>
      <c r="CA882" s="59"/>
      <c r="CB882" s="59"/>
      <c r="CC882" s="59"/>
      <c r="CD882" s="60"/>
      <c r="CE882" s="60"/>
      <c r="CF882" s="61"/>
      <c r="CG882" s="61"/>
      <c r="CH882" s="61"/>
      <c r="CI882" s="41">
        <v>14.7</v>
      </c>
      <c r="CJ882" s="40">
        <f>VLOOKUP(CI882,$DB:$DC,2)</f>
        <v>720</v>
      </c>
      <c r="CK882" s="3"/>
      <c r="CL882" s="62"/>
      <c r="CM882" s="63"/>
      <c r="CN882" s="3"/>
      <c r="CO882" s="3"/>
      <c r="CP882" s="41"/>
      <c r="CQ882" s="3"/>
      <c r="CR882" s="40"/>
      <c r="CS882" s="40"/>
      <c r="CT882" s="40"/>
      <c r="CU882" s="40"/>
      <c r="CV882" s="40"/>
      <c r="CW882" s="40"/>
      <c r="CX882" s="40"/>
      <c r="CY882" s="40"/>
    </row>
    <row r="883" spans="1:103" ht="18.95" customHeight="1">
      <c r="A883" s="46">
        <v>2014</v>
      </c>
      <c r="B883" s="92" t="s">
        <v>199</v>
      </c>
      <c r="C883" s="3"/>
      <c r="D883" s="207" t="s">
        <v>215</v>
      </c>
      <c r="E883" s="39">
        <v>45443</v>
      </c>
      <c r="F883" s="3" t="s">
        <v>186</v>
      </c>
      <c r="G883" s="3" t="s">
        <v>122</v>
      </c>
      <c r="H883" s="3">
        <v>2010</v>
      </c>
      <c r="I883" s="40" t="str">
        <f t="shared" si="12"/>
        <v>U14</v>
      </c>
      <c r="J883" s="40" t="s">
        <v>123</v>
      </c>
      <c r="K883" s="3"/>
      <c r="L883" s="3"/>
      <c r="M883" s="3"/>
      <c r="N883" s="3"/>
      <c r="O883" s="3"/>
      <c r="P883" s="3"/>
      <c r="Q883" s="3"/>
      <c r="R883" s="3"/>
      <c r="S883" s="3"/>
      <c r="T883" s="42"/>
      <c r="U883" s="188"/>
      <c r="V883" s="199"/>
      <c r="W883" s="73"/>
      <c r="X883" s="43"/>
      <c r="Y883" s="192"/>
      <c r="Z883" s="3"/>
      <c r="AA883" s="192"/>
      <c r="AB883" s="3"/>
      <c r="AC883" s="3"/>
      <c r="AD883" s="3"/>
      <c r="AE883" s="3"/>
      <c r="AF883" s="3"/>
      <c r="AG883" s="3"/>
      <c r="AH883" s="194"/>
      <c r="AI883" s="193"/>
      <c r="AJ883" s="194"/>
      <c r="AK883" s="130"/>
      <c r="AL883" s="203"/>
      <c r="AM883" s="203"/>
      <c r="AN883" s="3"/>
      <c r="AO883" s="3"/>
      <c r="AP883" s="137"/>
      <c r="AQ883" s="132"/>
      <c r="AR883" s="132"/>
      <c r="AS883" s="3"/>
      <c r="AT883" s="3"/>
      <c r="AU883" s="3"/>
      <c r="AV883" s="3"/>
      <c r="AW883" s="192"/>
      <c r="AX883" s="133"/>
      <c r="AY883" s="195"/>
      <c r="AZ883" s="40"/>
      <c r="BA883" s="40"/>
      <c r="BB883" s="40"/>
      <c r="BC883" s="40"/>
      <c r="BD883" s="135"/>
      <c r="BE883" s="135"/>
      <c r="BF883" s="40"/>
      <c r="BG883" s="135"/>
      <c r="BH883" s="135"/>
      <c r="BI883" s="49"/>
      <c r="BJ883" s="49"/>
      <c r="BK883" s="66"/>
      <c r="BL883" s="66"/>
      <c r="BM883" s="51"/>
      <c r="BN883" s="51"/>
      <c r="BO883" s="136"/>
      <c r="BP883" s="40"/>
      <c r="BQ883" s="40"/>
      <c r="BR883" s="67"/>
      <c r="BS883" s="54"/>
      <c r="BT883" s="3"/>
      <c r="BU883" s="3"/>
      <c r="BV883" s="3"/>
      <c r="BW883" s="3"/>
      <c r="BX883" s="70"/>
      <c r="BY883" s="70"/>
      <c r="BZ883" s="59"/>
      <c r="CA883" s="59"/>
      <c r="CB883" s="59"/>
      <c r="CC883" s="59"/>
      <c r="CD883" s="60"/>
      <c r="CE883" s="60"/>
      <c r="CF883" s="61"/>
      <c r="CG883" s="61"/>
      <c r="CH883" s="61"/>
      <c r="CI883" s="41"/>
      <c r="CJ883" s="40"/>
      <c r="CK883" s="3"/>
      <c r="CL883" s="62"/>
      <c r="CM883" s="63"/>
      <c r="CN883" s="3"/>
      <c r="CO883" s="3"/>
      <c r="CP883" s="41"/>
      <c r="CQ883" s="3"/>
      <c r="CR883" s="40"/>
      <c r="CS883" s="40"/>
      <c r="CT883" s="40"/>
      <c r="CU883" s="40"/>
      <c r="CV883" s="40"/>
      <c r="CW883" s="40"/>
      <c r="CX883" s="40"/>
      <c r="CY883" s="40"/>
    </row>
    <row r="884" spans="1:103" ht="18.95" customHeight="1">
      <c r="A884" s="46">
        <v>2015</v>
      </c>
      <c r="B884" s="92" t="s">
        <v>199</v>
      </c>
      <c r="C884" s="3" t="s">
        <v>104</v>
      </c>
      <c r="D884" s="207" t="s">
        <v>215</v>
      </c>
      <c r="E884" s="39">
        <v>45443</v>
      </c>
      <c r="F884" s="3" t="s">
        <v>186</v>
      </c>
      <c r="G884" s="3" t="s">
        <v>122</v>
      </c>
      <c r="H884" s="3">
        <v>2010</v>
      </c>
      <c r="I884" s="40" t="str">
        <f t="shared" si="12"/>
        <v>U14</v>
      </c>
      <c r="J884" s="40" t="s">
        <v>123</v>
      </c>
      <c r="K884" s="3">
        <v>165</v>
      </c>
      <c r="L884" s="3">
        <v>165</v>
      </c>
      <c r="M884" s="3"/>
      <c r="N884" s="3">
        <v>153.80000000000001</v>
      </c>
      <c r="O884" s="3">
        <v>153.80000000000001</v>
      </c>
      <c r="P884" s="3"/>
      <c r="Q884" s="3">
        <v>53</v>
      </c>
      <c r="R884" s="3">
        <v>53</v>
      </c>
      <c r="S884" s="3"/>
      <c r="T884" s="42">
        <v>165</v>
      </c>
      <c r="U884" s="188" cm="1">
        <f t="array" ref="U884">AVERAGE(paper3[[#This Row],[Sittende høyde 1]:[Sittende høyde 2]]-70.2)</f>
        <v>83.600000000000009</v>
      </c>
      <c r="V884" s="12">
        <f>paper3[[#This Row],[height]]-paper3[[#This Row],[sittingheight]]</f>
        <v>81.399999999999991</v>
      </c>
      <c r="W884" s="73">
        <v>53</v>
      </c>
      <c r="X884" s="43" cm="1">
        <f t="array" ref="X884">INDEX([1]!phvny[yphv], MATCH(1, (paper3[[#This Row],[id]]=[1]!phvny[id])*(paper3[[#This Row],[time]]=[1]!phvny[time]), 0))</f>
        <v>-5.7137060626261338E-2</v>
      </c>
      <c r="Y884" s="192">
        <v>1.843</v>
      </c>
      <c r="Z884" s="3">
        <v>3.4580000000000002</v>
      </c>
      <c r="AA884" s="192">
        <v>5.0369999999999999</v>
      </c>
      <c r="AB884" s="3">
        <v>1.897</v>
      </c>
      <c r="AC884" s="3">
        <v>3.5710000000000002</v>
      </c>
      <c r="AD884" s="3">
        <v>5.2009999999999996</v>
      </c>
      <c r="AE884" s="3">
        <v>1.869</v>
      </c>
      <c r="AF884" s="3">
        <v>3.5169999999999999</v>
      </c>
      <c r="AG884" s="3">
        <v>5.133</v>
      </c>
      <c r="AH884" s="194">
        <f t="shared" ref="AH884:AJ887" si="15">MIN(Y884,AB884,AE884)</f>
        <v>1.843</v>
      </c>
      <c r="AI884" s="193">
        <f t="shared" si="15"/>
        <v>3.4580000000000002</v>
      </c>
      <c r="AJ884" s="194">
        <f t="shared" si="15"/>
        <v>5.0369999999999999</v>
      </c>
      <c r="AK884" s="130"/>
      <c r="AL884" s="203">
        <v>10.56</v>
      </c>
      <c r="AM884" s="203">
        <v>10.37</v>
      </c>
      <c r="AN884" s="3">
        <v>10.9</v>
      </c>
      <c r="AO884" s="3">
        <v>10.75</v>
      </c>
      <c r="AP884" s="137">
        <f>MIN(AQ884:AR884)</f>
        <v>10.37</v>
      </c>
      <c r="AQ884" s="132">
        <v>10.37</v>
      </c>
      <c r="AR884" s="132">
        <v>10.75</v>
      </c>
      <c r="AS884" s="3"/>
      <c r="AT884" s="3"/>
      <c r="AU884" s="3"/>
      <c r="AV884" s="3"/>
      <c r="AW884" s="192"/>
      <c r="AX884" s="133"/>
      <c r="AY884" s="195">
        <v>225</v>
      </c>
      <c r="AZ884" s="40">
        <v>9</v>
      </c>
      <c r="BA884" s="40"/>
      <c r="BB884" s="40"/>
      <c r="BC884" s="40"/>
      <c r="BD884" s="135"/>
      <c r="BE884" s="135"/>
      <c r="BF884" s="40"/>
      <c r="BG884" s="135"/>
      <c r="BH884" s="135"/>
      <c r="BI884" s="49"/>
      <c r="BJ884" s="49"/>
      <c r="BK884" s="66"/>
      <c r="BL884" s="66"/>
      <c r="BM884" s="51"/>
      <c r="BN884" s="51"/>
      <c r="BO884" s="136"/>
      <c r="BP884" s="40"/>
      <c r="BQ884" s="40"/>
      <c r="BR884" s="67"/>
      <c r="BS884" s="54"/>
      <c r="BT884" s="3"/>
      <c r="BU884" s="3"/>
      <c r="BV884" s="3"/>
      <c r="BW884" s="3"/>
      <c r="BX884" s="70"/>
      <c r="BY884" s="70"/>
      <c r="BZ884" s="59"/>
      <c r="CA884" s="59"/>
      <c r="CB884" s="59"/>
      <c r="CC884" s="59"/>
      <c r="CD884" s="60"/>
      <c r="CE884" s="60"/>
      <c r="CF884" s="61"/>
      <c r="CG884" s="61"/>
      <c r="CH884" s="61"/>
      <c r="CI884" s="41">
        <v>14.5</v>
      </c>
      <c r="CJ884" s="40">
        <f>VLOOKUP(CI884,$DB:$DC,2)</f>
        <v>640</v>
      </c>
      <c r="CK884" s="3"/>
      <c r="CL884" s="62"/>
      <c r="CM884" s="63"/>
      <c r="CN884" s="3"/>
      <c r="CO884" s="3"/>
      <c r="CP884" s="41"/>
      <c r="CQ884" s="3"/>
      <c r="CR884" s="40"/>
      <c r="CS884" s="40"/>
      <c r="CT884" s="40"/>
      <c r="CU884" s="40"/>
      <c r="CV884" s="40"/>
      <c r="CW884" s="40"/>
      <c r="CX884" s="40"/>
      <c r="CY884" s="40"/>
    </row>
    <row r="885" spans="1:103" ht="18.95" customHeight="1">
      <c r="A885" s="46">
        <v>2016</v>
      </c>
      <c r="B885" s="92" t="s">
        <v>199</v>
      </c>
      <c r="C885" s="3" t="s">
        <v>104</v>
      </c>
      <c r="D885" s="207" t="s">
        <v>215</v>
      </c>
      <c r="E885" s="39">
        <v>45443</v>
      </c>
      <c r="F885" s="3" t="s">
        <v>186</v>
      </c>
      <c r="G885" s="3" t="s">
        <v>122</v>
      </c>
      <c r="H885" s="3">
        <v>2010</v>
      </c>
      <c r="I885" s="40" t="str">
        <f t="shared" si="12"/>
        <v>U14</v>
      </c>
      <c r="J885" s="40" t="s">
        <v>123</v>
      </c>
      <c r="K885" s="3">
        <v>162.5</v>
      </c>
      <c r="L885" s="3">
        <v>162.6</v>
      </c>
      <c r="M885" s="3"/>
      <c r="N885" s="3">
        <v>152.6</v>
      </c>
      <c r="O885" s="3">
        <v>152.6</v>
      </c>
      <c r="P885" s="3"/>
      <c r="Q885" s="3">
        <v>47.5</v>
      </c>
      <c r="R885" s="3">
        <v>47.5</v>
      </c>
      <c r="S885" s="3"/>
      <c r="T885" s="42">
        <v>162.55000000000001</v>
      </c>
      <c r="U885" s="188" cm="1">
        <f t="array" ref="U885">AVERAGE(paper3[[#This Row],[Sittende høyde 1]:[Sittende høyde 2]]-70.2)</f>
        <v>82.399999999999991</v>
      </c>
      <c r="V885" s="12">
        <f>paper3[[#This Row],[height]]-paper3[[#This Row],[sittingheight]]</f>
        <v>80.15000000000002</v>
      </c>
      <c r="W885" s="73">
        <v>47.5</v>
      </c>
      <c r="X885" s="43" cm="1">
        <f t="array" ref="X885">INDEX([1]!phvny[yphv], MATCH(1, (paper3[[#This Row],[id]]=[1]!phvny[id])*(paper3[[#This Row],[time]]=[1]!phvny[time]), 0))</f>
        <v>-0.20284221094993926</v>
      </c>
      <c r="Y885" s="192">
        <v>1.7789999999999999</v>
      </c>
      <c r="Z885" s="3">
        <v>3.306</v>
      </c>
      <c r="AA885" s="192">
        <v>4.8040000000000003</v>
      </c>
      <c r="AB885" s="3">
        <v>1.863</v>
      </c>
      <c r="AC885" s="3">
        <v>3.4359999999999999</v>
      </c>
      <c r="AD885" s="3">
        <v>4.9720000000000004</v>
      </c>
      <c r="AE885" s="3">
        <v>1.8440000000000001</v>
      </c>
      <c r="AF885" s="3">
        <v>3.4569999999999999</v>
      </c>
      <c r="AG885" s="3">
        <v>5.0129999999999999</v>
      </c>
      <c r="AH885" s="194">
        <f t="shared" si="15"/>
        <v>1.7789999999999999</v>
      </c>
      <c r="AI885" s="193">
        <f t="shared" si="15"/>
        <v>3.306</v>
      </c>
      <c r="AJ885" s="194">
        <f t="shared" si="15"/>
        <v>4.8040000000000003</v>
      </c>
      <c r="AK885" s="130"/>
      <c r="AL885" s="203">
        <v>10.07</v>
      </c>
      <c r="AM885" s="203">
        <v>10.37</v>
      </c>
      <c r="AN885" s="3">
        <v>10.98</v>
      </c>
      <c r="AO885" s="3">
        <v>10.75</v>
      </c>
      <c r="AP885" s="137">
        <f>MIN(AQ885:AR885)</f>
        <v>10.07</v>
      </c>
      <c r="AQ885" s="132">
        <v>10.07</v>
      </c>
      <c r="AR885" s="132">
        <v>10.75</v>
      </c>
      <c r="AS885" s="3"/>
      <c r="AT885" s="3"/>
      <c r="AU885" s="3"/>
      <c r="AV885" s="3"/>
      <c r="AW885" s="192"/>
      <c r="AX885" s="133"/>
      <c r="AY885" s="195">
        <v>225</v>
      </c>
      <c r="AZ885" s="40">
        <v>9</v>
      </c>
      <c r="BA885" s="40"/>
      <c r="BB885" s="40"/>
      <c r="BC885" s="40"/>
      <c r="BD885" s="135">
        <v>991.43986076217129</v>
      </c>
      <c r="BE885" s="135">
        <v>983.20556202565035</v>
      </c>
      <c r="BF885" s="40"/>
      <c r="BG885" s="135">
        <v>383.81048968922863</v>
      </c>
      <c r="BH885" s="135">
        <v>359.91634141375448</v>
      </c>
      <c r="BI885" s="49">
        <f>IFERROR(SUM(paper3[[#This Row],[Kraft ikke-dominant]:[Kraft dominant]]),"")</f>
        <v>1974.6454227878216</v>
      </c>
      <c r="BJ885" s="49">
        <f>IFERROR(SUM(paper3[[#This Row],[Pwr ikke-dominant]:[Pwr dominant]]),"")</f>
        <v>743.72683110298317</v>
      </c>
      <c r="BK885" s="66"/>
      <c r="BL885" s="66"/>
      <c r="BM885" s="51">
        <f>IFERROR(paper3[[#This Row],[totforce]]/paper3[[#This Row],[bodymass]],"")</f>
        <v>41.57148258500677</v>
      </c>
      <c r="BN885" s="51">
        <f>IFERROR(paper3[[#This Row],[totpwr]]/paper3[[#This Row],[bodymass]],"")</f>
        <v>15.65740697058912</v>
      </c>
      <c r="BO885" s="136"/>
      <c r="BP885" s="40"/>
      <c r="BQ885" s="40"/>
      <c r="BR885" s="67"/>
      <c r="BS885" s="54"/>
      <c r="BT885" s="3"/>
      <c r="BU885" s="3"/>
      <c r="BV885" s="3"/>
      <c r="BW885" s="3"/>
      <c r="BX885" s="70"/>
      <c r="BY885" s="70"/>
      <c r="BZ885" s="59"/>
      <c r="CA885" s="59"/>
      <c r="CB885" s="59"/>
      <c r="CC885" s="59"/>
      <c r="CD885" s="60"/>
      <c r="CE885" s="60"/>
      <c r="CF885" s="61"/>
      <c r="CG885" s="61"/>
      <c r="CH885" s="61"/>
      <c r="CI885" s="41">
        <v>14.4</v>
      </c>
      <c r="CJ885" s="40">
        <f>VLOOKUP(CI885,$DB:$DC,2)</f>
        <v>600</v>
      </c>
      <c r="CK885" s="3"/>
      <c r="CL885" s="62"/>
      <c r="CM885" s="63"/>
      <c r="CN885" s="3"/>
      <c r="CO885" s="3"/>
      <c r="CP885" s="41"/>
      <c r="CQ885" s="3"/>
      <c r="CR885" s="40"/>
      <c r="CS885" s="40"/>
      <c r="CT885" s="40"/>
      <c r="CU885" s="40"/>
      <c r="CV885" s="40"/>
      <c r="CW885" s="40"/>
      <c r="CX885" s="40"/>
      <c r="CY885" s="40"/>
    </row>
    <row r="886" spans="1:103" ht="18.95" customHeight="1">
      <c r="A886" s="46">
        <v>2017</v>
      </c>
      <c r="B886" s="92" t="s">
        <v>199</v>
      </c>
      <c r="C886" s="3" t="s">
        <v>104</v>
      </c>
      <c r="D886" s="207" t="s">
        <v>215</v>
      </c>
      <c r="E886" s="39">
        <v>45443</v>
      </c>
      <c r="F886" s="3" t="s">
        <v>186</v>
      </c>
      <c r="G886" s="3" t="s">
        <v>122</v>
      </c>
      <c r="H886" s="3">
        <v>2010</v>
      </c>
      <c r="I886" s="40" t="str">
        <f t="shared" si="12"/>
        <v>U14</v>
      </c>
      <c r="J886" s="40" t="s">
        <v>123</v>
      </c>
      <c r="K886" s="3">
        <v>176.3</v>
      </c>
      <c r="L886" s="3">
        <v>176.3</v>
      </c>
      <c r="M886" s="3"/>
      <c r="N886" s="3">
        <v>160.5</v>
      </c>
      <c r="O886" s="3">
        <v>160.6</v>
      </c>
      <c r="P886" s="3"/>
      <c r="Q886" s="3">
        <v>64.099999999999994</v>
      </c>
      <c r="R886" s="3">
        <v>64.099999999999994</v>
      </c>
      <c r="S886" s="3"/>
      <c r="T886" s="42">
        <v>176.3</v>
      </c>
      <c r="U886" s="188" cm="1">
        <f t="array" ref="U886">AVERAGE(paper3[[#This Row],[Sittende høyde 1]:[Sittende høyde 2]]-70.2)</f>
        <v>90.35</v>
      </c>
      <c r="V886" s="12">
        <f>paper3[[#This Row],[height]]-paper3[[#This Row],[sittingheight]]</f>
        <v>85.950000000000017</v>
      </c>
      <c r="W886" s="73">
        <v>64.099999999999994</v>
      </c>
      <c r="X886" s="43" cm="1">
        <f t="array" ref="X886">INDEX([1]!phvny[yphv], MATCH(1, (paper3[[#This Row],[id]]=[1]!phvny[id])*(paper3[[#This Row],[time]]=[1]!phvny[time]), 0))</f>
        <v>0.91152505781319526</v>
      </c>
      <c r="Y886" s="192">
        <v>1.758</v>
      </c>
      <c r="Z886" s="3">
        <v>3.2519999999999998</v>
      </c>
      <c r="AA886" s="192">
        <v>4.6740000000000004</v>
      </c>
      <c r="AB886" s="3">
        <v>1.8640000000000001</v>
      </c>
      <c r="AC886" s="3">
        <v>3.4180000000000001</v>
      </c>
      <c r="AD886" s="3">
        <v>4.9400000000000004</v>
      </c>
      <c r="AE886" s="3">
        <v>1.948</v>
      </c>
      <c r="AF886" s="3">
        <v>3.5070000000000001</v>
      </c>
      <c r="AG886" s="3">
        <v>5.0220000000000002</v>
      </c>
      <c r="AH886" s="194">
        <f t="shared" si="15"/>
        <v>1.758</v>
      </c>
      <c r="AI886" s="193">
        <f t="shared" si="15"/>
        <v>3.2519999999999998</v>
      </c>
      <c r="AJ886" s="194">
        <f t="shared" si="15"/>
        <v>4.6740000000000004</v>
      </c>
      <c r="AK886" s="130"/>
      <c r="AL886" s="203">
        <v>10.4</v>
      </c>
      <c r="AM886" s="203">
        <v>10.119999999999999</v>
      </c>
      <c r="AN886" s="3">
        <v>10.65</v>
      </c>
      <c r="AO886" s="3" t="s">
        <v>214</v>
      </c>
      <c r="AP886" s="137">
        <f>MIN(AQ886:AR886)</f>
        <v>10.119999999999999</v>
      </c>
      <c r="AQ886" s="132">
        <v>10.119999999999999</v>
      </c>
      <c r="AR886" s="132">
        <v>10.65</v>
      </c>
      <c r="AS886" s="3"/>
      <c r="AT886" s="3"/>
      <c r="AU886" s="3"/>
      <c r="AV886" s="3"/>
      <c r="AW886" s="192"/>
      <c r="AX886" s="133"/>
      <c r="AY886" s="195">
        <v>250</v>
      </c>
      <c r="AZ886" s="40">
        <v>10</v>
      </c>
      <c r="BA886" s="40"/>
      <c r="BB886" s="40"/>
      <c r="BC886" s="40"/>
      <c r="BD886" s="135"/>
      <c r="BE886" s="135"/>
      <c r="BF886" s="40"/>
      <c r="BG886" s="135"/>
      <c r="BH886" s="135"/>
      <c r="BI886" s="49"/>
      <c r="BJ886" s="49"/>
      <c r="BK886" s="66"/>
      <c r="BL886" s="66"/>
      <c r="BM886" s="51"/>
      <c r="BN886" s="51"/>
      <c r="BO886" s="136"/>
      <c r="BP886" s="40"/>
      <c r="BQ886" s="40"/>
      <c r="BR886" s="67"/>
      <c r="BS886" s="54"/>
      <c r="BT886" s="3"/>
      <c r="BU886" s="3"/>
      <c r="BV886" s="3"/>
      <c r="BW886" s="3"/>
      <c r="BX886" s="70"/>
      <c r="BY886" s="70"/>
      <c r="BZ886" s="59"/>
      <c r="CA886" s="59"/>
      <c r="CB886" s="59"/>
      <c r="CC886" s="59"/>
      <c r="CD886" s="60"/>
      <c r="CE886" s="60"/>
      <c r="CF886" s="61"/>
      <c r="CG886" s="61"/>
      <c r="CH886" s="61"/>
      <c r="CI886" s="41">
        <v>14.1</v>
      </c>
      <c r="CJ886" s="40">
        <f>VLOOKUP(CI886,$DB:$DC,2)</f>
        <v>480</v>
      </c>
      <c r="CK886" s="3"/>
      <c r="CL886" s="62"/>
      <c r="CM886" s="63"/>
      <c r="CN886" s="3"/>
      <c r="CO886" s="3"/>
      <c r="CP886" s="41"/>
      <c r="CQ886" s="3"/>
      <c r="CR886" s="40"/>
      <c r="CS886" s="40"/>
      <c r="CT886" s="40"/>
      <c r="CU886" s="40"/>
      <c r="CV886" s="40"/>
      <c r="CW886" s="40"/>
      <c r="CX886" s="40"/>
      <c r="CY886" s="40"/>
    </row>
    <row r="887" spans="1:103" ht="18.95" customHeight="1">
      <c r="A887" s="46">
        <v>2018</v>
      </c>
      <c r="B887" s="92" t="s">
        <v>199</v>
      </c>
      <c r="C887" s="3" t="s">
        <v>104</v>
      </c>
      <c r="D887" s="207" t="s">
        <v>215</v>
      </c>
      <c r="E887" s="39">
        <v>45443</v>
      </c>
      <c r="F887" s="3" t="s">
        <v>186</v>
      </c>
      <c r="G887" s="3" t="s">
        <v>122</v>
      </c>
      <c r="H887" s="3">
        <v>2010</v>
      </c>
      <c r="I887" s="40" t="str">
        <f t="shared" si="12"/>
        <v>U14</v>
      </c>
      <c r="J887" s="40" t="s">
        <v>123</v>
      </c>
      <c r="K887" s="3">
        <v>164</v>
      </c>
      <c r="L887" s="3">
        <v>164</v>
      </c>
      <c r="M887" s="3"/>
      <c r="N887" s="3">
        <v>150.5</v>
      </c>
      <c r="O887" s="3">
        <v>150.5</v>
      </c>
      <c r="P887" s="3"/>
      <c r="Q887" s="3">
        <v>52.6</v>
      </c>
      <c r="R887" s="3">
        <v>52.6</v>
      </c>
      <c r="S887" s="3"/>
      <c r="T887" s="42">
        <v>164</v>
      </c>
      <c r="U887" s="188" cm="1">
        <f t="array" ref="U887">AVERAGE(paper3[[#This Row],[Sittende høyde 1]:[Sittende høyde 2]]-70.2)</f>
        <v>80.3</v>
      </c>
      <c r="V887" s="12">
        <f>paper3[[#This Row],[height]]-paper3[[#This Row],[sittingheight]]</f>
        <v>83.7</v>
      </c>
      <c r="W887" s="73">
        <v>52.6</v>
      </c>
      <c r="X887" s="43" cm="1">
        <f t="array" ref="X887">INDEX([1]!phvny[yphv], MATCH(1, (paper3[[#This Row],[id]]=[1]!phvny[id])*(paper3[[#This Row],[time]]=[1]!phvny[time]), 0))</f>
        <v>-0.64202052049593561</v>
      </c>
      <c r="Y887" s="192">
        <v>1.8380000000000001</v>
      </c>
      <c r="Z887" s="3">
        <v>3.42</v>
      </c>
      <c r="AA887" s="192">
        <v>4.952</v>
      </c>
      <c r="AB887" s="3">
        <v>1.84</v>
      </c>
      <c r="AC887" s="3">
        <v>3.4460000000000002</v>
      </c>
      <c r="AD887" s="3">
        <v>5.0140000000000002</v>
      </c>
      <c r="AE887" s="3">
        <v>1.92</v>
      </c>
      <c r="AF887" s="3">
        <v>3.55</v>
      </c>
      <c r="AG887" s="3">
        <v>5.1029999999999998</v>
      </c>
      <c r="AH887" s="194">
        <f t="shared" si="15"/>
        <v>1.8380000000000001</v>
      </c>
      <c r="AI887" s="193">
        <f t="shared" si="15"/>
        <v>3.42</v>
      </c>
      <c r="AJ887" s="194">
        <f t="shared" si="15"/>
        <v>4.952</v>
      </c>
      <c r="AK887" s="130"/>
      <c r="AL887" s="203"/>
      <c r="AM887" s="203"/>
      <c r="AN887" s="3"/>
      <c r="AO887" s="3"/>
      <c r="AP887" s="137"/>
      <c r="AQ887" s="132"/>
      <c r="AR887" s="132"/>
      <c r="AS887" s="3"/>
      <c r="AT887" s="3"/>
      <c r="AU887" s="3"/>
      <c r="AV887" s="3"/>
      <c r="AW887" s="192"/>
      <c r="AX887" s="133"/>
      <c r="AY887" s="195">
        <v>225</v>
      </c>
      <c r="AZ887" s="40">
        <v>8</v>
      </c>
      <c r="BA887" s="40"/>
      <c r="BB887" s="40"/>
      <c r="BC887" s="40"/>
      <c r="BD887" s="135"/>
      <c r="BE887" s="135"/>
      <c r="BF887" s="40"/>
      <c r="BG887" s="135"/>
      <c r="BH887" s="135"/>
      <c r="BI887" s="49"/>
      <c r="BJ887" s="49"/>
      <c r="BK887" s="66"/>
      <c r="BL887" s="66"/>
      <c r="BM887" s="51"/>
      <c r="BN887" s="51"/>
      <c r="BO887" s="136"/>
      <c r="BP887" s="40"/>
      <c r="BQ887" s="40"/>
      <c r="BR887" s="67"/>
      <c r="BS887" s="54"/>
      <c r="BT887" s="3"/>
      <c r="BU887" s="3"/>
      <c r="BV887" s="3"/>
      <c r="BW887" s="3"/>
      <c r="BX887" s="70"/>
      <c r="BY887" s="70"/>
      <c r="BZ887" s="59"/>
      <c r="CA887" s="59"/>
      <c r="CB887" s="59"/>
      <c r="CC887" s="59"/>
      <c r="CD887" s="60"/>
      <c r="CE887" s="60"/>
      <c r="CF887" s="61"/>
      <c r="CG887" s="61"/>
      <c r="CH887" s="61"/>
      <c r="CI887" s="41"/>
      <c r="CJ887" s="40"/>
      <c r="CK887" s="3"/>
      <c r="CL887" s="62"/>
      <c r="CM887" s="63"/>
      <c r="CN887" s="3"/>
      <c r="CO887" s="3"/>
      <c r="CP887" s="41"/>
      <c r="CQ887" s="3"/>
      <c r="CR887" s="40"/>
      <c r="CS887" s="40"/>
      <c r="CT887" s="40"/>
      <c r="CU887" s="40"/>
      <c r="CV887" s="40"/>
      <c r="CW887" s="40"/>
      <c r="CX887" s="40"/>
      <c r="CY887" s="40"/>
    </row>
    <row r="888" spans="1:103" ht="18.95" customHeight="1">
      <c r="A888" s="46">
        <v>4005</v>
      </c>
      <c r="B888" s="92" t="s">
        <v>199</v>
      </c>
      <c r="C888" s="3" t="s">
        <v>104</v>
      </c>
      <c r="D888" s="207" t="s">
        <v>215</v>
      </c>
      <c r="E888" s="39">
        <v>45420</v>
      </c>
      <c r="F888" s="3" t="s">
        <v>186</v>
      </c>
      <c r="G888" s="3" t="s">
        <v>107</v>
      </c>
      <c r="H888" s="3">
        <v>2010</v>
      </c>
      <c r="I888" s="40" t="str">
        <f t="shared" si="12"/>
        <v>U14</v>
      </c>
      <c r="J888" s="40" t="s">
        <v>109</v>
      </c>
      <c r="K888" s="3">
        <v>162.80000000000001</v>
      </c>
      <c r="L888" s="3">
        <v>162.80000000000001</v>
      </c>
      <c r="M888" s="3"/>
      <c r="N888" s="3">
        <v>157.6</v>
      </c>
      <c r="O888" s="3">
        <v>157.6</v>
      </c>
      <c r="P888" s="3"/>
      <c r="Q888" s="3">
        <v>66.599999999999994</v>
      </c>
      <c r="R888" s="3">
        <v>66.599999999999994</v>
      </c>
      <c r="S888" s="3"/>
      <c r="T888" s="42">
        <v>162.80000000000001</v>
      </c>
      <c r="U888" s="188" cm="1">
        <f t="array" ref="U888">AVERAGE(paper3[[#This Row],[Sittende høyde 1]:[Sittende høyde 2]]-70.2)</f>
        <v>87.399999999999991</v>
      </c>
      <c r="V888" s="12">
        <f>paper3[[#This Row],[height]]-paper3[[#This Row],[sittingheight]]</f>
        <v>75.40000000000002</v>
      </c>
      <c r="W888" s="73">
        <v>66.599999999999994</v>
      </c>
      <c r="X888" s="43" cm="1">
        <f t="array" ref="X888">INDEX([1]!phvny[yphv], MATCH(1, (paper3[[#This Row],[id]]=[1]!phvny[id])*(paper3[[#This Row],[time]]=[1]!phvny[time]), 0))</f>
        <v>2.159158979525253</v>
      </c>
      <c r="Y888" s="192">
        <v>1.7110000000000001</v>
      </c>
      <c r="Z888" s="3">
        <v>3.1549999999999998</v>
      </c>
      <c r="AA888" s="192">
        <v>4.5419999999999998</v>
      </c>
      <c r="AB888" s="3">
        <v>1.7110000000000001</v>
      </c>
      <c r="AC888" s="3">
        <v>3.1549999999999998</v>
      </c>
      <c r="AD888" s="3">
        <v>4.5419999999999998</v>
      </c>
      <c r="AE888" s="3">
        <v>1.728</v>
      </c>
      <c r="AF888" s="3">
        <v>3.153</v>
      </c>
      <c r="AG888" s="3">
        <v>4.5339999999999998</v>
      </c>
      <c r="AH888" s="194">
        <v>1.7110000000000001</v>
      </c>
      <c r="AI888" s="193">
        <v>3.153</v>
      </c>
      <c r="AJ888" s="194">
        <v>4.5339999999999998</v>
      </c>
      <c r="AK888" s="130"/>
      <c r="AL888" s="203"/>
      <c r="AM888" s="203"/>
      <c r="AN888" s="3"/>
      <c r="AO888" s="3"/>
      <c r="AP888" s="137"/>
      <c r="AQ888" s="132"/>
      <c r="AR888" s="132"/>
      <c r="AS888" s="3"/>
      <c r="AT888" s="3"/>
      <c r="AU888" s="3"/>
      <c r="AV888" s="3"/>
      <c r="AW888" s="192"/>
      <c r="AX888" s="133">
        <v>32.200000000000003</v>
      </c>
      <c r="AY888" s="195" t="s">
        <v>255</v>
      </c>
      <c r="AZ888" s="40">
        <v>9</v>
      </c>
      <c r="BA888" s="40"/>
      <c r="BB888" s="40"/>
      <c r="BC888" s="40"/>
      <c r="BD888" s="135"/>
      <c r="BE888" s="135"/>
      <c r="BF888" s="40"/>
      <c r="BG888" s="135"/>
      <c r="BH888" s="135"/>
      <c r="BI888" s="49"/>
      <c r="BJ888" s="49"/>
      <c r="BK888" s="66"/>
      <c r="BL888" s="66"/>
      <c r="BM888" s="51"/>
      <c r="BN888" s="51"/>
      <c r="BO888" s="136"/>
      <c r="BP888" s="40"/>
      <c r="BQ888" s="40"/>
      <c r="BR888" s="67"/>
      <c r="BS888" s="54"/>
      <c r="BT888" s="3"/>
      <c r="BU888" s="3"/>
      <c r="BV888" s="3"/>
      <c r="BW888" s="3"/>
      <c r="BX888" s="70"/>
      <c r="BY888" s="70"/>
      <c r="BZ888" s="59"/>
      <c r="CA888" s="59"/>
      <c r="CB888" s="59"/>
      <c r="CC888" s="59"/>
      <c r="CD888" s="60"/>
      <c r="CE888" s="60"/>
      <c r="CF888" s="61"/>
      <c r="CG888" s="61"/>
      <c r="CH888" s="61"/>
      <c r="CI888" s="41"/>
      <c r="CJ888" s="40" t="s">
        <v>110</v>
      </c>
      <c r="CK888" s="3"/>
      <c r="CL888" s="62"/>
      <c r="CM888" s="63"/>
      <c r="CN888" s="3"/>
      <c r="CO888" s="3"/>
      <c r="CP888" s="41"/>
      <c r="CQ888" s="3"/>
      <c r="CR888" s="40"/>
      <c r="CS888" s="40"/>
      <c r="CT888" s="40"/>
      <c r="CU888" s="40"/>
      <c r="CV888" s="40"/>
      <c r="CW888" s="40"/>
      <c r="CX888" s="40"/>
      <c r="CY888" s="40"/>
    </row>
    <row r="889" spans="1:103" ht="18.95" customHeight="1">
      <c r="A889" s="46">
        <v>4006</v>
      </c>
      <c r="B889" s="92" t="s">
        <v>199</v>
      </c>
      <c r="C889" s="3" t="s">
        <v>104</v>
      </c>
      <c r="D889" s="207" t="s">
        <v>215</v>
      </c>
      <c r="E889" s="39">
        <v>45420</v>
      </c>
      <c r="F889" s="3" t="s">
        <v>186</v>
      </c>
      <c r="G889" s="3" t="s">
        <v>107</v>
      </c>
      <c r="H889" s="3">
        <v>2010</v>
      </c>
      <c r="I889" s="40" t="str">
        <f t="shared" si="12"/>
        <v>U14</v>
      </c>
      <c r="J889" s="40" t="s">
        <v>109</v>
      </c>
      <c r="K889" s="3">
        <v>166.6</v>
      </c>
      <c r="L889" s="3">
        <v>166.6</v>
      </c>
      <c r="M889" s="3"/>
      <c r="N889" s="3">
        <v>161.5</v>
      </c>
      <c r="O889" s="3">
        <v>161.5</v>
      </c>
      <c r="P889" s="3"/>
      <c r="Q889" s="3">
        <v>55</v>
      </c>
      <c r="R889" s="3">
        <v>55</v>
      </c>
      <c r="S889" s="3"/>
      <c r="T889" s="42">
        <v>166.6</v>
      </c>
      <c r="U889" s="188" cm="1">
        <f t="array" ref="U889">AVERAGE(paper3[[#This Row],[Sittende høyde 1]:[Sittende høyde 2]]-70.2)</f>
        <v>91.3</v>
      </c>
      <c r="V889" s="12">
        <f>paper3[[#This Row],[height]]-paper3[[#This Row],[sittingheight]]</f>
        <v>75.3</v>
      </c>
      <c r="W889" s="73">
        <v>55</v>
      </c>
      <c r="X889" s="43" cm="1">
        <f t="array" ref="X889">INDEX([1]!phvny[yphv], MATCH(1, (paper3[[#This Row],[id]]=[1]!phvny[id])*(paper3[[#This Row],[time]]=[1]!phvny[time]), 0))</f>
        <v>2.3711449253529406</v>
      </c>
      <c r="Y889" s="192"/>
      <c r="Z889" s="3"/>
      <c r="AA889" s="192"/>
      <c r="AB889" s="3"/>
      <c r="AC889" s="3"/>
      <c r="AD889" s="3"/>
      <c r="AE889" s="3"/>
      <c r="AF889" s="3"/>
      <c r="AG889" s="3"/>
      <c r="AH889" s="194"/>
      <c r="AI889" s="193"/>
      <c r="AJ889" s="194"/>
      <c r="AK889" s="130"/>
      <c r="AL889" s="203"/>
      <c r="AM889" s="203"/>
      <c r="AN889" s="3"/>
      <c r="AO889" s="3"/>
      <c r="AP889" s="137"/>
      <c r="AQ889" s="132"/>
      <c r="AR889" s="132"/>
      <c r="AS889" s="3"/>
      <c r="AT889" s="3"/>
      <c r="AU889" s="3"/>
      <c r="AV889" s="3"/>
      <c r="AW889" s="192"/>
      <c r="AX889" s="133">
        <v>30.6</v>
      </c>
      <c r="AY889" s="195" t="s">
        <v>247</v>
      </c>
      <c r="AZ889" s="40">
        <v>8</v>
      </c>
      <c r="BA889" s="40"/>
      <c r="BB889" s="40"/>
      <c r="BC889" s="40"/>
      <c r="BD889" s="135"/>
      <c r="BE889" s="135"/>
      <c r="BF889" s="40"/>
      <c r="BG889" s="135"/>
      <c r="BH889" s="135"/>
      <c r="BI889" s="49"/>
      <c r="BJ889" s="49"/>
      <c r="BK889" s="66"/>
      <c r="BL889" s="66"/>
      <c r="BM889" s="51"/>
      <c r="BN889" s="51"/>
      <c r="BO889" s="136"/>
      <c r="BP889" s="40"/>
      <c r="BQ889" s="40"/>
      <c r="BR889" s="67"/>
      <c r="BS889" s="54"/>
      <c r="BT889" s="3"/>
      <c r="BU889" s="3"/>
      <c r="BV889" s="3"/>
      <c r="BW889" s="3"/>
      <c r="BX889" s="70"/>
      <c r="BY889" s="70"/>
      <c r="BZ889" s="59"/>
      <c r="CA889" s="59"/>
      <c r="CB889" s="59"/>
      <c r="CC889" s="59"/>
      <c r="CD889" s="60"/>
      <c r="CE889" s="60"/>
      <c r="CF889" s="61"/>
      <c r="CG889" s="61"/>
      <c r="CH889" s="61"/>
      <c r="CI889" s="41"/>
      <c r="CJ889" s="40" t="s">
        <v>110</v>
      </c>
      <c r="CK889" s="3"/>
      <c r="CL889" s="62"/>
      <c r="CM889" s="63"/>
      <c r="CN889" s="3"/>
      <c r="CO889" s="3"/>
      <c r="CP889" s="41"/>
      <c r="CQ889" s="3"/>
      <c r="CR889" s="40"/>
      <c r="CS889" s="40"/>
      <c r="CT889" s="40"/>
      <c r="CU889" s="40"/>
      <c r="CV889" s="40"/>
      <c r="CW889" s="40"/>
      <c r="CX889" s="40"/>
      <c r="CY889" s="40"/>
    </row>
    <row r="890" spans="1:103" ht="18.95" customHeight="1">
      <c r="A890" s="46">
        <v>4021</v>
      </c>
      <c r="B890" s="92" t="s">
        <v>199</v>
      </c>
      <c r="C890" s="3" t="s">
        <v>104</v>
      </c>
      <c r="D890" s="207" t="s">
        <v>215</v>
      </c>
      <c r="E890" s="39">
        <v>45453</v>
      </c>
      <c r="F890" s="3" t="s">
        <v>186</v>
      </c>
      <c r="G890" s="3" t="s">
        <v>107</v>
      </c>
      <c r="H890" s="3">
        <v>2008</v>
      </c>
      <c r="I890" s="40" t="str">
        <f t="shared" si="12"/>
        <v>U16</v>
      </c>
      <c r="J890" s="40" t="s">
        <v>117</v>
      </c>
      <c r="K890" s="3">
        <v>160</v>
      </c>
      <c r="L890" s="3">
        <v>160</v>
      </c>
      <c r="M890" s="3"/>
      <c r="N890" s="3">
        <v>156</v>
      </c>
      <c r="O890" s="3">
        <v>156</v>
      </c>
      <c r="P890" s="3"/>
      <c r="Q890" s="3">
        <v>55.2</v>
      </c>
      <c r="R890" s="3">
        <v>55.2</v>
      </c>
      <c r="S890" s="3"/>
      <c r="T890" s="42">
        <v>160</v>
      </c>
      <c r="U890" s="188" cm="1">
        <f t="array" ref="U890">AVERAGE(paper3[[#This Row],[Sittende høyde 1]:[Sittende høyde 2]]-70.2)</f>
        <v>85.8</v>
      </c>
      <c r="V890" s="12">
        <f>paper3[[#This Row],[height]]-paper3[[#This Row],[sittingheight]]</f>
        <v>74.2</v>
      </c>
      <c r="W890" s="73">
        <v>55.2</v>
      </c>
      <c r="X890" s="43" cm="1">
        <f t="array" ref="X890">INDEX([1]!phvny[yphv], MATCH(1, (paper3[[#This Row],[id]]=[1]!phvny[id])*(paper3[[#This Row],[time]]=[1]!phvny[time]), 0))</f>
        <v>2.7417972786666671</v>
      </c>
      <c r="Y890" s="192">
        <v>1.881</v>
      </c>
      <c r="Z890" s="3">
        <v>3.3959999999999999</v>
      </c>
      <c r="AA890" s="192">
        <v>4.8410000000000002</v>
      </c>
      <c r="AB890" s="3">
        <v>1.8919999999999999</v>
      </c>
      <c r="AC890" s="3">
        <v>3.4340000000000002</v>
      </c>
      <c r="AD890" s="3">
        <v>4.8920000000000003</v>
      </c>
      <c r="AE890" s="3">
        <v>1.909</v>
      </c>
      <c r="AF890" s="3">
        <v>3.48</v>
      </c>
      <c r="AG890" s="3">
        <v>4.9530000000000003</v>
      </c>
      <c r="AH890" s="194">
        <v>1.881</v>
      </c>
      <c r="AI890" s="193">
        <v>3.3959999999999999</v>
      </c>
      <c r="AJ890" s="194">
        <v>4.8410000000000002</v>
      </c>
      <c r="AK890" s="130"/>
      <c r="AL890" s="203">
        <v>11.88</v>
      </c>
      <c r="AM890" s="203">
        <v>10.94</v>
      </c>
      <c r="AN890" s="3">
        <v>10.77</v>
      </c>
      <c r="AO890" s="3">
        <v>10.63</v>
      </c>
      <c r="AP890" s="137">
        <f>MIN(AQ890:AR890)</f>
        <v>10.63</v>
      </c>
      <c r="AQ890" s="132">
        <v>10.94</v>
      </c>
      <c r="AR890" s="132">
        <v>10.63</v>
      </c>
      <c r="AS890" s="3"/>
      <c r="AT890" s="3"/>
      <c r="AU890" s="3"/>
      <c r="AV890" s="3"/>
      <c r="AW890" s="192"/>
      <c r="AX890" s="133">
        <v>29.2</v>
      </c>
      <c r="AY890" s="195" t="s">
        <v>248</v>
      </c>
      <c r="AZ890" s="40">
        <v>8</v>
      </c>
      <c r="BA890" s="40"/>
      <c r="BB890" s="40"/>
      <c r="BC890" s="40"/>
      <c r="BD890" s="135">
        <v>1041.7260196028819</v>
      </c>
      <c r="BE890" s="135">
        <v>1066.2761120995635</v>
      </c>
      <c r="BF890" s="40"/>
      <c r="BG890" s="135">
        <v>387.5632113201641</v>
      </c>
      <c r="BH890" s="135">
        <v>415.47408501818279</v>
      </c>
      <c r="BI890" s="49">
        <f>IFERROR(SUM(paper3[[#This Row],[Kraft ikke-dominant]:[Kraft dominant]]),"")</f>
        <v>2108.0021317024457</v>
      </c>
      <c r="BJ890" s="49">
        <f>IFERROR(SUM(paper3[[#This Row],[Pwr ikke-dominant]:[Pwr dominant]]),"")</f>
        <v>803.03729633834689</v>
      </c>
      <c r="BK890" s="66"/>
      <c r="BL890" s="66"/>
      <c r="BM890" s="51">
        <f>IFERROR(paper3[[#This Row],[totforce]]/paper3[[#This Row],[bodymass]],"")</f>
        <v>38.188444414899379</v>
      </c>
      <c r="BN890" s="51">
        <f>IFERROR(paper3[[#This Row],[totpwr]]/paper3[[#This Row],[bodymass]],"")</f>
        <v>14.547777107578748</v>
      </c>
      <c r="BO890" s="136"/>
      <c r="BP890" s="40"/>
      <c r="BQ890" s="40"/>
      <c r="BR890" s="67"/>
      <c r="BS890" s="54"/>
      <c r="BT890" s="3"/>
      <c r="BU890" s="3"/>
      <c r="BV890" s="3"/>
      <c r="BW890" s="3"/>
      <c r="BX890" s="70"/>
      <c r="BY890" s="70"/>
      <c r="BZ890" s="59"/>
      <c r="CA890" s="59"/>
      <c r="CB890" s="59"/>
      <c r="CC890" s="59"/>
      <c r="CD890" s="60"/>
      <c r="CE890" s="60"/>
      <c r="CF890" s="61"/>
      <c r="CG890" s="61"/>
      <c r="CH890" s="61"/>
      <c r="CI890" s="41">
        <v>15.3</v>
      </c>
      <c r="CJ890" s="40">
        <f>VLOOKUP(CI890,$DB:$DC,2)</f>
        <v>880</v>
      </c>
      <c r="CK890" s="3"/>
      <c r="CL890" s="62"/>
      <c r="CM890" s="63"/>
      <c r="CN890" s="3"/>
      <c r="CO890" s="3"/>
      <c r="CP890" s="41"/>
      <c r="CQ890" s="3"/>
      <c r="CR890" s="40"/>
      <c r="CS890" s="40"/>
      <c r="CT890" s="40"/>
      <c r="CU890" s="40"/>
      <c r="CV890" s="40"/>
      <c r="CW890" s="40"/>
      <c r="CX890" s="40"/>
      <c r="CY890" s="40"/>
    </row>
    <row r="891" spans="1:103" ht="18.95" customHeight="1">
      <c r="A891" s="46">
        <v>4022</v>
      </c>
      <c r="B891" s="92" t="s">
        <v>199</v>
      </c>
      <c r="C891" s="3" t="s">
        <v>104</v>
      </c>
      <c r="D891" s="207" t="s">
        <v>215</v>
      </c>
      <c r="E891" s="39">
        <v>45453</v>
      </c>
      <c r="F891" s="3" t="s">
        <v>186</v>
      </c>
      <c r="G891" s="3" t="s">
        <v>107</v>
      </c>
      <c r="H891" s="3">
        <v>2008</v>
      </c>
      <c r="I891" s="40" t="str">
        <f t="shared" si="12"/>
        <v>U16</v>
      </c>
      <c r="J891" s="40" t="s">
        <v>117</v>
      </c>
      <c r="K891" s="3">
        <v>177.6</v>
      </c>
      <c r="L891" s="3">
        <v>177.4</v>
      </c>
      <c r="M891" s="3"/>
      <c r="N891" s="3">
        <v>164</v>
      </c>
      <c r="O891" s="3">
        <v>164</v>
      </c>
      <c r="P891" s="3"/>
      <c r="Q891" s="3">
        <v>70.2</v>
      </c>
      <c r="R891" s="3">
        <v>70.2</v>
      </c>
      <c r="S891" s="3"/>
      <c r="T891" s="42">
        <v>177.5</v>
      </c>
      <c r="U891" s="188" cm="1">
        <f t="array" ref="U891">AVERAGE(paper3[[#This Row],[Sittende høyde 1]:[Sittende høyde 2]]-70.2)</f>
        <v>93.8</v>
      </c>
      <c r="V891" s="12">
        <f>paper3[[#This Row],[height]]-paper3[[#This Row],[sittingheight]]</f>
        <v>83.7</v>
      </c>
      <c r="W891" s="73">
        <v>70.2</v>
      </c>
      <c r="X891" s="43" cm="1">
        <f t="array" ref="X891">INDEX([1]!phvny[yphv], MATCH(1, (paper3[[#This Row],[id]]=[1]!phvny[id])*(paper3[[#This Row],[time]]=[1]!phvny[time]), 0))</f>
        <v>3.8468024959436611</v>
      </c>
      <c r="Y891" s="192">
        <v>1.75</v>
      </c>
      <c r="Z891" s="3">
        <v>3.25</v>
      </c>
      <c r="AA891" s="192">
        <v>4.6920000000000002</v>
      </c>
      <c r="AB891" s="3">
        <v>1.768</v>
      </c>
      <c r="AC891" s="3">
        <v>3.2669999999999999</v>
      </c>
      <c r="AD891" s="3">
        <v>4.7169999999999996</v>
      </c>
      <c r="AE891" s="3">
        <v>1.776</v>
      </c>
      <c r="AF891" s="3">
        <v>3.3069999999999999</v>
      </c>
      <c r="AG891" s="3">
        <v>4.7759999999999998</v>
      </c>
      <c r="AH891" s="194">
        <v>1.75</v>
      </c>
      <c r="AI891" s="193">
        <v>3.25</v>
      </c>
      <c r="AJ891" s="194">
        <v>4.6920000000000002</v>
      </c>
      <c r="AK891" s="130"/>
      <c r="AL891" s="203">
        <v>10.74</v>
      </c>
      <c r="AM891" s="203">
        <v>10.78</v>
      </c>
      <c r="AN891" s="3">
        <v>11</v>
      </c>
      <c r="AO891" s="3">
        <v>10.73</v>
      </c>
      <c r="AP891" s="137">
        <f>MIN(AQ891:AR891)</f>
        <v>10.73</v>
      </c>
      <c r="AQ891" s="132">
        <v>10.74</v>
      </c>
      <c r="AR891" s="132">
        <v>10.73</v>
      </c>
      <c r="AS891" s="3"/>
      <c r="AT891" s="3"/>
      <c r="AU891" s="3"/>
      <c r="AV891" s="3"/>
      <c r="AW891" s="192"/>
      <c r="AX891" s="133">
        <v>26.6</v>
      </c>
      <c r="AY891" s="195" t="s">
        <v>245</v>
      </c>
      <c r="AZ891" s="40">
        <v>10</v>
      </c>
      <c r="BA891" s="40"/>
      <c r="BB891" s="40"/>
      <c r="BC891" s="40"/>
      <c r="BD891" s="135">
        <v>1258.4948813879896</v>
      </c>
      <c r="BE891" s="135">
        <v>1138.4000320694113</v>
      </c>
      <c r="BF891" s="40"/>
      <c r="BG891" s="135">
        <v>577.91113032073497</v>
      </c>
      <c r="BH891" s="135">
        <v>564.00340191608689</v>
      </c>
      <c r="BI891" s="49">
        <f>IFERROR(SUM(paper3[[#This Row],[Kraft ikke-dominant]:[Kraft dominant]]),"")</f>
        <v>2396.8949134574009</v>
      </c>
      <c r="BJ891" s="49">
        <f>IFERROR(SUM(paper3[[#This Row],[Pwr ikke-dominant]:[Pwr dominant]]),"")</f>
        <v>1141.9145322368217</v>
      </c>
      <c r="BK891" s="66"/>
      <c r="BL891" s="66"/>
      <c r="BM891" s="51">
        <f>IFERROR(paper3[[#This Row],[totforce]]/paper3[[#This Row],[bodymass]],"")</f>
        <v>34.143802186002858</v>
      </c>
      <c r="BN891" s="51">
        <f>IFERROR(paper3[[#This Row],[totpwr]]/paper3[[#This Row],[bodymass]],"")</f>
        <v>16.266588778302303</v>
      </c>
      <c r="BO891" s="136"/>
      <c r="BP891" s="40"/>
      <c r="BQ891" s="40"/>
      <c r="BR891" s="67"/>
      <c r="BS891" s="54"/>
      <c r="BT891" s="3"/>
      <c r="BU891" s="3"/>
      <c r="BV891" s="3"/>
      <c r="BW891" s="3"/>
      <c r="BX891" s="70"/>
      <c r="BY891" s="70"/>
      <c r="BZ891" s="59"/>
      <c r="CA891" s="59"/>
      <c r="CB891" s="59"/>
      <c r="CC891" s="59"/>
      <c r="CD891" s="60"/>
      <c r="CE891" s="60"/>
      <c r="CF891" s="61"/>
      <c r="CG891" s="61"/>
      <c r="CH891" s="61"/>
      <c r="CI891" s="41">
        <v>14.4</v>
      </c>
      <c r="CJ891" s="40">
        <f>VLOOKUP(CI891,$DB:$DC,2)</f>
        <v>600</v>
      </c>
      <c r="CK891" s="3"/>
      <c r="CL891" s="62"/>
      <c r="CM891" s="63"/>
      <c r="CN891" s="3"/>
      <c r="CO891" s="3"/>
      <c r="CP891" s="41"/>
      <c r="CQ891" s="3"/>
      <c r="CR891" s="40"/>
      <c r="CS891" s="40"/>
      <c r="CT891" s="40"/>
      <c r="CU891" s="40"/>
      <c r="CV891" s="40"/>
      <c r="CW891" s="40"/>
      <c r="CX891" s="40"/>
      <c r="CY891" s="40"/>
    </row>
    <row r="892" spans="1:103" ht="18.95" customHeight="1">
      <c r="A892" s="46">
        <v>4023</v>
      </c>
      <c r="B892" s="92" t="s">
        <v>199</v>
      </c>
      <c r="C892" s="3" t="s">
        <v>104</v>
      </c>
      <c r="D892" s="207" t="s">
        <v>215</v>
      </c>
      <c r="E892" s="39">
        <v>45453</v>
      </c>
      <c r="F892" s="3" t="s">
        <v>186</v>
      </c>
      <c r="G892" s="3" t="s">
        <v>107</v>
      </c>
      <c r="H892" s="3">
        <v>2008</v>
      </c>
      <c r="I892" s="40" t="str">
        <f t="shared" si="12"/>
        <v>U16</v>
      </c>
      <c r="J892" s="40" t="s">
        <v>117</v>
      </c>
      <c r="K892" s="3">
        <v>169.2</v>
      </c>
      <c r="L892" s="3">
        <v>169.2</v>
      </c>
      <c r="M892" s="3"/>
      <c r="N892" s="3">
        <v>160</v>
      </c>
      <c r="O892" s="3">
        <v>160</v>
      </c>
      <c r="P892" s="3"/>
      <c r="Q892" s="3">
        <v>64.7</v>
      </c>
      <c r="R892" s="3">
        <v>64.7</v>
      </c>
      <c r="S892" s="3"/>
      <c r="T892" s="42">
        <v>169.2</v>
      </c>
      <c r="U892" s="188" cm="1">
        <f t="array" ref="U892">AVERAGE(paper3[[#This Row],[Sittende høyde 1]:[Sittende høyde 2]]-70.2)</f>
        <v>89.8</v>
      </c>
      <c r="V892" s="12">
        <f>paper3[[#This Row],[height]]-paper3[[#This Row],[sittingheight]]</f>
        <v>79.399999999999991</v>
      </c>
      <c r="W892" s="73">
        <v>64.7</v>
      </c>
      <c r="X892" s="43" cm="1">
        <f t="array" ref="X892">INDEX([1]!phvny[yphv], MATCH(1, (paper3[[#This Row],[id]]=[1]!phvny[id])*(paper3[[#This Row],[time]]=[1]!phvny[time]), 0))</f>
        <v>3.3374063106193845</v>
      </c>
      <c r="Y892" s="192">
        <v>1.798</v>
      </c>
      <c r="Z892" s="3">
        <v>3.3239999999999998</v>
      </c>
      <c r="AA892" s="192">
        <v>4.8010000000000002</v>
      </c>
      <c r="AB892" s="3">
        <v>1.7609999999999999</v>
      </c>
      <c r="AC892" s="3">
        <v>3.27</v>
      </c>
      <c r="AD892" s="3">
        <v>4.7249999999999996</v>
      </c>
      <c r="AE892" s="3">
        <v>1.7729999999999999</v>
      </c>
      <c r="AF892" s="3">
        <v>3.2919999999999998</v>
      </c>
      <c r="AG892" s="3">
        <v>4.7569999999999997</v>
      </c>
      <c r="AH892" s="194">
        <v>1.7609999999999999</v>
      </c>
      <c r="AI892" s="193">
        <v>3.27</v>
      </c>
      <c r="AJ892" s="194">
        <v>4.7249999999999996</v>
      </c>
      <c r="AK892" s="130"/>
      <c r="AL892" s="203"/>
      <c r="AM892" s="203"/>
      <c r="AN892" s="3"/>
      <c r="AO892" s="3"/>
      <c r="AP892" s="137"/>
      <c r="AQ892" s="132"/>
      <c r="AR892" s="132"/>
      <c r="AS892" s="3"/>
      <c r="AT892" s="3"/>
      <c r="AU892" s="3"/>
      <c r="AV892" s="3"/>
      <c r="AW892" s="192"/>
      <c r="AX892" s="133">
        <v>24</v>
      </c>
      <c r="AY892" s="195" t="s">
        <v>245</v>
      </c>
      <c r="AZ892" s="40">
        <v>10</v>
      </c>
      <c r="BA892" s="40"/>
      <c r="BB892" s="40"/>
      <c r="BC892" s="40"/>
      <c r="BD892" s="135"/>
      <c r="BE892" s="135"/>
      <c r="BF892" s="40"/>
      <c r="BG892" s="135"/>
      <c r="BH892" s="135"/>
      <c r="BI892" s="49"/>
      <c r="BJ892" s="49"/>
      <c r="BK892" s="66"/>
      <c r="BL892" s="66"/>
      <c r="BM892" s="51"/>
      <c r="BN892" s="51"/>
      <c r="BO892" s="136"/>
      <c r="BP892" s="40"/>
      <c r="BQ892" s="40"/>
      <c r="BR892" s="67"/>
      <c r="BS892" s="54"/>
      <c r="BT892" s="3"/>
      <c r="BU892" s="3"/>
      <c r="BV892" s="3"/>
      <c r="BW892" s="3"/>
      <c r="BX892" s="70"/>
      <c r="BY892" s="70"/>
      <c r="BZ892" s="59"/>
      <c r="CA892" s="59"/>
      <c r="CB892" s="59"/>
      <c r="CC892" s="59"/>
      <c r="CD892" s="60"/>
      <c r="CE892" s="60"/>
      <c r="CF892" s="61"/>
      <c r="CG892" s="61"/>
      <c r="CH892" s="61"/>
      <c r="CI892" s="41"/>
      <c r="CJ892" s="40"/>
      <c r="CK892" s="3"/>
      <c r="CL892" s="62"/>
      <c r="CM892" s="63"/>
      <c r="CN892" s="3"/>
      <c r="CO892" s="3"/>
      <c r="CP892" s="41"/>
      <c r="CQ892" s="3"/>
      <c r="CR892" s="40"/>
      <c r="CS892" s="40"/>
      <c r="CT892" s="40"/>
      <c r="CU892" s="40"/>
      <c r="CV892" s="40"/>
      <c r="CW892" s="40"/>
      <c r="CX892" s="40"/>
      <c r="CY892" s="40"/>
    </row>
    <row r="893" spans="1:103" ht="18.95" customHeight="1">
      <c r="A893" s="46">
        <v>4024</v>
      </c>
      <c r="B893" s="92" t="s">
        <v>199</v>
      </c>
      <c r="C893" s="3" t="s">
        <v>104</v>
      </c>
      <c r="D893" s="207" t="s">
        <v>215</v>
      </c>
      <c r="E893" s="39">
        <v>45453</v>
      </c>
      <c r="F893" s="3" t="s">
        <v>186</v>
      </c>
      <c r="G893" s="3" t="s">
        <v>107</v>
      </c>
      <c r="H893" s="3">
        <v>2008</v>
      </c>
      <c r="I893" s="40" t="str">
        <f t="shared" si="12"/>
        <v>U16</v>
      </c>
      <c r="J893" s="40" t="s">
        <v>117</v>
      </c>
      <c r="K893" s="3">
        <v>158.5</v>
      </c>
      <c r="L893" s="3">
        <v>158.5</v>
      </c>
      <c r="M893" s="3"/>
      <c r="N893" s="3">
        <v>155.1</v>
      </c>
      <c r="O893" s="3">
        <v>155.1</v>
      </c>
      <c r="P893" s="3"/>
      <c r="Q893" s="3">
        <v>57.3</v>
      </c>
      <c r="R893" s="3">
        <v>57.3</v>
      </c>
      <c r="S893" s="3"/>
      <c r="T893" s="42">
        <v>158.5</v>
      </c>
      <c r="U893" s="188" cm="1">
        <f t="array" ref="U893">AVERAGE(paper3[[#This Row],[Sittende høyde 1]:[Sittende høyde 2]]-70.2)</f>
        <v>84.899999999999991</v>
      </c>
      <c r="V893" s="12">
        <f>paper3[[#This Row],[height]]-paper3[[#This Row],[sittingheight]]</f>
        <v>73.600000000000009</v>
      </c>
      <c r="W893" s="73">
        <v>57.3</v>
      </c>
      <c r="X893" s="43" cm="1">
        <f t="array" ref="X893">INDEX([1]!phvny[yphv], MATCH(1, (paper3[[#This Row],[id]]=[1]!phvny[id])*(paper3[[#This Row],[time]]=[1]!phvny[time]), 0))</f>
        <v>2.8463338796246056</v>
      </c>
      <c r="Y893" s="192">
        <v>1.8440000000000001</v>
      </c>
      <c r="Z893" s="3">
        <v>3.3340000000000001</v>
      </c>
      <c r="AA893" s="192">
        <v>4.7670000000000003</v>
      </c>
      <c r="AB893" s="3">
        <v>1.7450000000000001</v>
      </c>
      <c r="AC893" s="3">
        <v>3.222</v>
      </c>
      <c r="AD893" s="3">
        <v>4.6269999999999998</v>
      </c>
      <c r="AE893" s="3">
        <v>1.7709999999999999</v>
      </c>
      <c r="AF893" s="3">
        <v>3.254</v>
      </c>
      <c r="AG893" s="3">
        <v>4.67</v>
      </c>
      <c r="AH893" s="194">
        <v>1.7450000000000001</v>
      </c>
      <c r="AI893" s="193">
        <v>3.222</v>
      </c>
      <c r="AJ893" s="194">
        <v>4.6269999999999998</v>
      </c>
      <c r="AK893" s="130"/>
      <c r="AL893" s="203">
        <v>10.72</v>
      </c>
      <c r="AM893" s="203">
        <v>10.43</v>
      </c>
      <c r="AN893" s="3">
        <v>10.59</v>
      </c>
      <c r="AO893" s="3">
        <v>10.32</v>
      </c>
      <c r="AP893" s="137">
        <f>MIN(AQ893:AR893)</f>
        <v>10.32</v>
      </c>
      <c r="AQ893" s="132">
        <v>10.43</v>
      </c>
      <c r="AR893" s="132">
        <v>10.32</v>
      </c>
      <c r="AS893" s="3"/>
      <c r="AT893" s="3"/>
      <c r="AU893" s="3"/>
      <c r="AV893" s="3"/>
      <c r="AW893" s="192"/>
      <c r="AX893" s="133">
        <v>24.7</v>
      </c>
      <c r="AY893" s="195" t="s">
        <v>245</v>
      </c>
      <c r="AZ893" s="40">
        <v>8</v>
      </c>
      <c r="BA893" s="40"/>
      <c r="BB893" s="40"/>
      <c r="BC893" s="40"/>
      <c r="BD893" s="135"/>
      <c r="BE893" s="135"/>
      <c r="BF893" s="40"/>
      <c r="BG893" s="135"/>
      <c r="BH893" s="135"/>
      <c r="BI893" s="49"/>
      <c r="BJ893" s="49"/>
      <c r="BK893" s="66"/>
      <c r="BL893" s="66"/>
      <c r="BM893" s="51"/>
      <c r="BN893" s="51"/>
      <c r="BO893" s="136"/>
      <c r="BP893" s="40"/>
      <c r="BQ893" s="40"/>
      <c r="BR893" s="67"/>
      <c r="BS893" s="54"/>
      <c r="BT893" s="3"/>
      <c r="BU893" s="3"/>
      <c r="BV893" s="3"/>
      <c r="BW893" s="3"/>
      <c r="BX893" s="70"/>
      <c r="BY893" s="70"/>
      <c r="BZ893" s="59"/>
      <c r="CA893" s="59"/>
      <c r="CB893" s="59"/>
      <c r="CC893" s="59"/>
      <c r="CD893" s="60"/>
      <c r="CE893" s="60"/>
      <c r="CF893" s="61"/>
      <c r="CG893" s="61"/>
      <c r="CH893" s="61"/>
      <c r="CI893" s="41">
        <v>15.4</v>
      </c>
      <c r="CJ893" s="40">
        <f>VLOOKUP(CI893,$DB:$DC,2)</f>
        <v>920</v>
      </c>
      <c r="CK893" s="3"/>
      <c r="CL893" s="62"/>
      <c r="CM893" s="63"/>
      <c r="CN893" s="3"/>
      <c r="CO893" s="3"/>
      <c r="CP893" s="41"/>
      <c r="CQ893" s="3"/>
      <c r="CR893" s="40"/>
      <c r="CS893" s="40"/>
      <c r="CT893" s="40"/>
      <c r="CU893" s="40"/>
      <c r="CV893" s="40"/>
      <c r="CW893" s="40"/>
      <c r="CX893" s="40"/>
      <c r="CY893" s="40"/>
    </row>
    <row r="894" spans="1:103" ht="18.95" customHeight="1">
      <c r="A894" s="46">
        <v>5051</v>
      </c>
      <c r="B894" s="92" t="s">
        <v>199</v>
      </c>
      <c r="C894" s="3" t="s">
        <v>104</v>
      </c>
      <c r="D894" s="207" t="s">
        <v>215</v>
      </c>
      <c r="E894" s="39">
        <v>45460</v>
      </c>
      <c r="F894" s="3" t="s">
        <v>186</v>
      </c>
      <c r="G894" s="3" t="s">
        <v>107</v>
      </c>
      <c r="H894" s="3">
        <v>2006</v>
      </c>
      <c r="I894" s="40" t="str">
        <f t="shared" si="12"/>
        <v>U18</v>
      </c>
      <c r="J894" s="40" t="s">
        <v>120</v>
      </c>
      <c r="K894" s="3">
        <v>162.5</v>
      </c>
      <c r="L894" s="3">
        <v>162.30000000000001</v>
      </c>
      <c r="M894" s="3"/>
      <c r="N894" s="3">
        <v>157.4</v>
      </c>
      <c r="O894" s="3">
        <v>157.4</v>
      </c>
      <c r="P894" s="3"/>
      <c r="Q894" s="3">
        <v>73.5</v>
      </c>
      <c r="R894" s="3">
        <v>73.5</v>
      </c>
      <c r="S894" s="3"/>
      <c r="T894" s="42">
        <v>162.4</v>
      </c>
      <c r="U894" s="188" cm="1">
        <f t="array" ref="U894">AVERAGE(paper3[[#This Row],[Sittende høyde 1]:[Sittende høyde 2]]-70.2)</f>
        <v>87.2</v>
      </c>
      <c r="V894" s="12">
        <f>paper3[[#This Row],[height]]-paper3[[#This Row],[sittingheight]]</f>
        <v>75.2</v>
      </c>
      <c r="W894" s="73">
        <v>73.5</v>
      </c>
      <c r="X894" s="43"/>
      <c r="Y894" s="192">
        <v>1.76</v>
      </c>
      <c r="Z894" s="3">
        <v>3.198</v>
      </c>
      <c r="AA894" s="192">
        <v>4.5940000000000003</v>
      </c>
      <c r="AB894" s="3">
        <v>1.78</v>
      </c>
      <c r="AC894" s="3">
        <v>3.2130000000000001</v>
      </c>
      <c r="AD894" s="3">
        <v>4.593</v>
      </c>
      <c r="AE894" s="3">
        <v>1.7709999999999999</v>
      </c>
      <c r="AF894" s="3">
        <v>3.2149999999999999</v>
      </c>
      <c r="AG894" s="3">
        <v>4.6189999999999998</v>
      </c>
      <c r="AH894" s="194">
        <v>1.76</v>
      </c>
      <c r="AI894" s="193">
        <v>3.198</v>
      </c>
      <c r="AJ894" s="194">
        <v>4.593</v>
      </c>
      <c r="AK894" s="130"/>
      <c r="AL894" s="203"/>
      <c r="AM894" s="203"/>
      <c r="AN894" s="3"/>
      <c r="AO894" s="3"/>
      <c r="AP894" s="137"/>
      <c r="AQ894" s="132"/>
      <c r="AR894" s="132"/>
      <c r="AS894" s="3"/>
      <c r="AT894" s="3"/>
      <c r="AU894" s="3"/>
      <c r="AV894" s="3"/>
      <c r="AW894" s="192"/>
      <c r="AX894" s="133">
        <v>26.9</v>
      </c>
      <c r="AY894" s="195" t="s">
        <v>265</v>
      </c>
      <c r="AZ894" s="40">
        <v>8</v>
      </c>
      <c r="BA894" s="40"/>
      <c r="BB894" s="40"/>
      <c r="BC894" s="40"/>
      <c r="BD894" s="135"/>
      <c r="BE894" s="135"/>
      <c r="BF894" s="40"/>
      <c r="BG894" s="135"/>
      <c r="BH894" s="135"/>
      <c r="BI894" s="49"/>
      <c r="BJ894" s="49"/>
      <c r="BK894" s="66"/>
      <c r="BL894" s="66"/>
      <c r="BM894" s="51"/>
      <c r="BN894" s="51"/>
      <c r="BO894" s="136"/>
      <c r="BP894" s="40"/>
      <c r="BQ894" s="40"/>
      <c r="BR894" s="67"/>
      <c r="BS894" s="54"/>
      <c r="BT894" s="3"/>
      <c r="BU894" s="3"/>
      <c r="BV894" s="3"/>
      <c r="BW894" s="3"/>
      <c r="BX894" s="70"/>
      <c r="BY894" s="70"/>
      <c r="BZ894" s="59"/>
      <c r="CA894" s="59"/>
      <c r="CB894" s="59"/>
      <c r="CC894" s="59"/>
      <c r="CD894" s="60"/>
      <c r="CE894" s="60"/>
      <c r="CF894" s="61"/>
      <c r="CG894" s="61"/>
      <c r="CH894" s="61"/>
      <c r="CI894" s="41"/>
      <c r="CJ894" s="40"/>
      <c r="CK894" s="3"/>
      <c r="CL894" s="62"/>
      <c r="CM894" s="63"/>
      <c r="CN894" s="3"/>
      <c r="CO894" s="3"/>
      <c r="CP894" s="41"/>
      <c r="CQ894" s="3"/>
      <c r="CR894" s="40"/>
      <c r="CS894" s="40"/>
      <c r="CT894" s="40"/>
      <c r="CU894" s="40"/>
      <c r="CV894" s="40"/>
      <c r="CW894" s="40"/>
      <c r="CX894" s="40"/>
      <c r="CY894" s="40"/>
    </row>
    <row r="895" spans="1:103" ht="18.95" customHeight="1">
      <c r="A895" s="46">
        <v>5052</v>
      </c>
      <c r="B895" s="92" t="s">
        <v>199</v>
      </c>
      <c r="C895" s="3" t="s">
        <v>104</v>
      </c>
      <c r="D895" s="207" t="s">
        <v>215</v>
      </c>
      <c r="E895" s="39">
        <v>45460</v>
      </c>
      <c r="F895" s="3" t="s">
        <v>186</v>
      </c>
      <c r="G895" s="3" t="s">
        <v>107</v>
      </c>
      <c r="H895" s="3">
        <v>2007</v>
      </c>
      <c r="I895" s="40"/>
      <c r="J895" s="40"/>
      <c r="K895" s="3">
        <v>166.3</v>
      </c>
      <c r="L895" s="3">
        <v>166.3</v>
      </c>
      <c r="M895" s="3"/>
      <c r="N895" s="3">
        <v>156.19999999999999</v>
      </c>
      <c r="O895" s="3">
        <v>156.19999999999999</v>
      </c>
      <c r="P895" s="3"/>
      <c r="Q895" s="3">
        <v>59.7</v>
      </c>
      <c r="R895" s="3">
        <v>59.7</v>
      </c>
      <c r="S895" s="3"/>
      <c r="T895" s="42">
        <v>166.3</v>
      </c>
      <c r="U895" s="188" cm="1">
        <f t="array" ref="U895">AVERAGE(paper3[[#This Row],[Sittende høyde 1]:[Sittende høyde 2]]-70.2)</f>
        <v>85.999999999999986</v>
      </c>
      <c r="V895" s="12">
        <f>paper3[[#This Row],[height]]-paper3[[#This Row],[sittingheight]]</f>
        <v>80.300000000000026</v>
      </c>
      <c r="W895" s="73">
        <v>59.7</v>
      </c>
      <c r="X895" s="43"/>
      <c r="Y895" s="192">
        <v>1.7789999999999999</v>
      </c>
      <c r="Z895" s="3">
        <v>3.298</v>
      </c>
      <c r="AA895" s="192">
        <v>4.7309999999999999</v>
      </c>
      <c r="AB895" s="3">
        <v>1.8540000000000001</v>
      </c>
      <c r="AC895" s="3">
        <v>3.3690000000000002</v>
      </c>
      <c r="AD895" s="3">
        <v>4.8220000000000001</v>
      </c>
      <c r="AE895" s="3">
        <v>1.788</v>
      </c>
      <c r="AF895" s="3">
        <v>3.3279999999999998</v>
      </c>
      <c r="AG895" s="3">
        <v>4.8040000000000003</v>
      </c>
      <c r="AH895" s="194">
        <v>1.7789999999999999</v>
      </c>
      <c r="AI895" s="193">
        <v>3.298</v>
      </c>
      <c r="AJ895" s="194">
        <v>4.7309999999999999</v>
      </c>
      <c r="AK895" s="130"/>
      <c r="AL895" s="203">
        <v>10.050000000000001</v>
      </c>
      <c r="AM895" s="203" t="s">
        <v>261</v>
      </c>
      <c r="AN895" s="3">
        <v>9.93</v>
      </c>
      <c r="AO895" s="3">
        <v>9.94</v>
      </c>
      <c r="AP895" s="137">
        <f>MIN(AQ895:AR895)</f>
        <v>9.93</v>
      </c>
      <c r="AQ895" s="132">
        <v>10.050000000000001</v>
      </c>
      <c r="AR895" s="132">
        <v>9.93</v>
      </c>
      <c r="AS895" s="3"/>
      <c r="AT895" s="3"/>
      <c r="AU895" s="3"/>
      <c r="AV895" s="3"/>
      <c r="AW895" s="192"/>
      <c r="AX895" s="133">
        <v>24.5</v>
      </c>
      <c r="AY895" s="195" t="s">
        <v>254</v>
      </c>
      <c r="AZ895" s="40">
        <v>8</v>
      </c>
      <c r="BA895" s="40"/>
      <c r="BB895" s="40"/>
      <c r="BC895" s="40"/>
      <c r="BD895" s="135"/>
      <c r="BE895" s="135"/>
      <c r="BF895" s="40"/>
      <c r="BG895" s="135"/>
      <c r="BH895" s="135"/>
      <c r="BI895" s="49"/>
      <c r="BJ895" s="49"/>
      <c r="BK895" s="66"/>
      <c r="BL895" s="66"/>
      <c r="BM895" s="51"/>
      <c r="BN895" s="51"/>
      <c r="BO895" s="136"/>
      <c r="BP895" s="40"/>
      <c r="BQ895" s="40"/>
      <c r="BR895" s="67"/>
      <c r="BS895" s="54"/>
      <c r="BT895" s="3"/>
      <c r="BU895" s="3"/>
      <c r="BV895" s="3"/>
      <c r="BW895" s="3"/>
      <c r="BX895" s="70"/>
      <c r="BY895" s="70"/>
      <c r="BZ895" s="59"/>
      <c r="CA895" s="59"/>
      <c r="CB895" s="59"/>
      <c r="CC895" s="59"/>
      <c r="CD895" s="60"/>
      <c r="CE895" s="60"/>
      <c r="CF895" s="61"/>
      <c r="CG895" s="61"/>
      <c r="CH895" s="61"/>
      <c r="CI895" s="41">
        <v>15.1</v>
      </c>
      <c r="CJ895" s="40">
        <f>VLOOKUP(CI895,$DB:$DC,2)</f>
        <v>800</v>
      </c>
      <c r="CK895" s="3"/>
      <c r="CL895" s="62"/>
      <c r="CM895" s="63"/>
      <c r="CN895" s="3"/>
      <c r="CO895" s="3"/>
      <c r="CP895" s="41"/>
      <c r="CQ895" s="3"/>
      <c r="CR895" s="40"/>
      <c r="CS895" s="40"/>
      <c r="CT895" s="40"/>
      <c r="CU895" s="40"/>
      <c r="CV895" s="40"/>
      <c r="CW895" s="40"/>
      <c r="CX895" s="40"/>
      <c r="CY895" s="40"/>
    </row>
    <row r="896" spans="1:103" ht="18.95" customHeight="1">
      <c r="A896" s="46">
        <v>9998</v>
      </c>
      <c r="B896" s="92" t="s">
        <v>199</v>
      </c>
      <c r="C896" s="3" t="s">
        <v>104</v>
      </c>
      <c r="D896" s="207" t="s">
        <v>215</v>
      </c>
      <c r="E896" s="39">
        <v>45435</v>
      </c>
      <c r="F896" s="3" t="s">
        <v>186</v>
      </c>
      <c r="G896" s="3" t="s">
        <v>107</v>
      </c>
      <c r="H896" s="3">
        <v>2008</v>
      </c>
      <c r="I896" s="40" t="str">
        <f t="shared" ref="I896:I907" si="16">RIGHT(J896,3)</f>
        <v>U16</v>
      </c>
      <c r="J896" s="40" t="s">
        <v>117</v>
      </c>
      <c r="K896" s="3">
        <v>177.4</v>
      </c>
      <c r="L896" s="3">
        <v>177.4</v>
      </c>
      <c r="M896" s="3"/>
      <c r="N896" s="3">
        <v>162.5</v>
      </c>
      <c r="O896" s="3">
        <v>162.5</v>
      </c>
      <c r="P896" s="3"/>
      <c r="Q896" s="3">
        <v>61</v>
      </c>
      <c r="R896" s="3">
        <v>61</v>
      </c>
      <c r="S896" s="3"/>
      <c r="T896" s="42">
        <v>177.4</v>
      </c>
      <c r="U896" s="188" cm="1">
        <f t="array" ref="U896">AVERAGE(paper3[[#This Row],[Sittende høyde 1]:[Sittende høyde 2]]-70.2)</f>
        <v>92.3</v>
      </c>
      <c r="V896" s="12">
        <f>paper3[[#This Row],[height]]-paper3[[#This Row],[sittingheight]]</f>
        <v>85.100000000000009</v>
      </c>
      <c r="W896" s="73">
        <v>61</v>
      </c>
      <c r="X896" s="43" cm="1">
        <f t="array" ref="X896">INDEX([1]!phvny[yphv], MATCH(1, (paper3[[#This Row],[id]]=[1]!phvny[id])*(paper3[[#This Row],[time]]=[1]!phvny[time]), 0))</f>
        <v>3.9519409235400853</v>
      </c>
      <c r="Y896" s="192">
        <v>1.9650000000000001</v>
      </c>
      <c r="Z896" s="3">
        <v>3.722</v>
      </c>
      <c r="AA896" s="192">
        <v>5.4290000000000003</v>
      </c>
      <c r="AB896" s="3">
        <v>1.9930000000000001</v>
      </c>
      <c r="AC896" s="3">
        <v>3.7349999999999999</v>
      </c>
      <c r="AD896" s="3">
        <v>5.4260000000000002</v>
      </c>
      <c r="AE896" s="46" t="s">
        <v>266</v>
      </c>
      <c r="AF896" s="3" t="s">
        <v>267</v>
      </c>
      <c r="AG896" s="3" t="s">
        <v>268</v>
      </c>
      <c r="AH896" s="194">
        <f>MIN(Y896,AB896,AE896)</f>
        <v>1.9650000000000001</v>
      </c>
      <c r="AI896" s="193">
        <f>MIN(Z896,AC896,AF896)</f>
        <v>3.722</v>
      </c>
      <c r="AJ896" s="194">
        <f>MIN(AA896,AD896,AG896)</f>
        <v>5.4260000000000002</v>
      </c>
      <c r="AK896" s="130"/>
      <c r="AL896" s="203">
        <v>11.46</v>
      </c>
      <c r="AM896" s="203">
        <v>15.99</v>
      </c>
      <c r="AN896" s="3">
        <v>11.85</v>
      </c>
      <c r="AO896" s="3">
        <v>11.57</v>
      </c>
      <c r="AP896" s="137">
        <f>MIN(AQ896:AR896)</f>
        <v>11.46</v>
      </c>
      <c r="AQ896" s="132">
        <v>11.46</v>
      </c>
      <c r="AR896" s="132">
        <v>11.57</v>
      </c>
      <c r="AS896" s="3"/>
      <c r="AT896" s="3"/>
      <c r="AU896" s="3"/>
      <c r="AV896" s="3"/>
      <c r="AW896" s="192"/>
      <c r="AX896" s="133">
        <v>18.3</v>
      </c>
      <c r="AY896" s="195" t="s">
        <v>245</v>
      </c>
      <c r="AZ896" s="40">
        <v>11</v>
      </c>
      <c r="BA896" s="40"/>
      <c r="BB896" s="40"/>
      <c r="BC896" s="40"/>
      <c r="BD896" s="135"/>
      <c r="BE896" s="135"/>
      <c r="BF896" s="40"/>
      <c r="BG896" s="135"/>
      <c r="BH896" s="135"/>
      <c r="BI896" s="49"/>
      <c r="BJ896" s="49"/>
      <c r="BK896" s="66"/>
      <c r="BL896" s="66"/>
      <c r="BM896" s="51"/>
      <c r="BN896" s="51"/>
      <c r="BO896" s="136"/>
      <c r="BP896" s="40"/>
      <c r="BQ896" s="40"/>
      <c r="BR896" s="67"/>
      <c r="BS896" s="54"/>
      <c r="BT896" s="3"/>
      <c r="BU896" s="3"/>
      <c r="BV896" s="3"/>
      <c r="BW896" s="3"/>
      <c r="BX896" s="70"/>
      <c r="BY896" s="70"/>
      <c r="BZ896" s="59"/>
      <c r="CA896" s="59"/>
      <c r="CB896" s="59"/>
      <c r="CC896" s="59"/>
      <c r="CD896" s="60"/>
      <c r="CE896" s="60"/>
      <c r="CF896" s="61"/>
      <c r="CG896" s="61"/>
      <c r="CH896" s="61"/>
      <c r="CI896" s="41">
        <v>14.2</v>
      </c>
      <c r="CJ896" s="40">
        <f>VLOOKUP(CI896,$DB:$DC,2)</f>
        <v>520</v>
      </c>
      <c r="CK896" s="3"/>
      <c r="CL896" s="62"/>
      <c r="CM896" s="63"/>
      <c r="CN896" s="3"/>
      <c r="CO896" s="3"/>
      <c r="CP896" s="41"/>
      <c r="CQ896" s="3"/>
      <c r="CR896" s="40"/>
      <c r="CS896" s="40"/>
      <c r="CT896" s="40"/>
      <c r="CU896" s="40"/>
      <c r="CV896" s="40"/>
      <c r="CW896" s="40"/>
      <c r="CX896" s="40"/>
      <c r="CY896" s="40"/>
    </row>
    <row r="897" spans="1:103" ht="18.95" customHeight="1">
      <c r="A897" s="46">
        <v>9999</v>
      </c>
      <c r="B897" s="92" t="s">
        <v>199</v>
      </c>
      <c r="C897" s="3"/>
      <c r="D897" s="207" t="s">
        <v>215</v>
      </c>
      <c r="E897" s="39">
        <v>45435</v>
      </c>
      <c r="F897" s="3" t="s">
        <v>186</v>
      </c>
      <c r="G897" s="3" t="s">
        <v>107</v>
      </c>
      <c r="H897" s="3">
        <v>2008</v>
      </c>
      <c r="I897" s="40" t="str">
        <f t="shared" si="16"/>
        <v>U16</v>
      </c>
      <c r="J897" s="40" t="s">
        <v>117</v>
      </c>
      <c r="K897" s="3"/>
      <c r="L897" s="3"/>
      <c r="M897" s="3"/>
      <c r="N897" s="3"/>
      <c r="O897" s="3"/>
      <c r="P897" s="3"/>
      <c r="Q897" s="3"/>
      <c r="R897" s="3"/>
      <c r="S897" s="3"/>
      <c r="T897" s="42"/>
      <c r="U897" s="188"/>
      <c r="V897" s="199"/>
      <c r="W897" s="73"/>
      <c r="X897" s="43"/>
      <c r="Y897" s="192"/>
      <c r="Z897" s="3"/>
      <c r="AA897" s="192"/>
      <c r="AB897" s="3"/>
      <c r="AC897" s="3"/>
      <c r="AD897" s="3"/>
      <c r="AE897" s="3"/>
      <c r="AF897" s="3"/>
      <c r="AG897" s="3"/>
      <c r="AH897" s="194"/>
      <c r="AI897" s="193"/>
      <c r="AJ897" s="194"/>
      <c r="AK897" s="130"/>
      <c r="AL897" s="203">
        <v>11.25</v>
      </c>
      <c r="AM897" s="203">
        <v>11.28</v>
      </c>
      <c r="AN897" s="3">
        <v>11.15</v>
      </c>
      <c r="AO897" s="3">
        <v>11.13</v>
      </c>
      <c r="AP897" s="137">
        <f>MIN(AQ897:AR897)</f>
        <v>11.13</v>
      </c>
      <c r="AQ897" s="132">
        <v>11.25</v>
      </c>
      <c r="AR897" s="132">
        <v>11.13</v>
      </c>
      <c r="AS897" s="3"/>
      <c r="AT897" s="3"/>
      <c r="AU897" s="3"/>
      <c r="AV897" s="3"/>
      <c r="AW897" s="192"/>
      <c r="AX897" s="133"/>
      <c r="AY897" s="195"/>
      <c r="AZ897" s="40"/>
      <c r="BA897" s="40"/>
      <c r="BB897" s="40"/>
      <c r="BC897" s="40"/>
      <c r="BD897" s="135"/>
      <c r="BE897" s="135"/>
      <c r="BF897" s="40"/>
      <c r="BG897" s="135"/>
      <c r="BH897" s="135"/>
      <c r="BI897" s="49"/>
      <c r="BJ897" s="49"/>
      <c r="BK897" s="66"/>
      <c r="BL897" s="66"/>
      <c r="BM897" s="51"/>
      <c r="BN897" s="51"/>
      <c r="BO897" s="136"/>
      <c r="BP897" s="40"/>
      <c r="BQ897" s="40"/>
      <c r="BR897" s="67"/>
      <c r="BS897" s="54"/>
      <c r="BT897" s="3"/>
      <c r="BU897" s="3"/>
      <c r="BV897" s="3"/>
      <c r="BW897" s="3"/>
      <c r="BX897" s="70"/>
      <c r="BY897" s="70"/>
      <c r="BZ897" s="59"/>
      <c r="CA897" s="59"/>
      <c r="CB897" s="59"/>
      <c r="CC897" s="59"/>
      <c r="CD897" s="60"/>
      <c r="CE897" s="60"/>
      <c r="CF897" s="61"/>
      <c r="CG897" s="61"/>
      <c r="CH897" s="61"/>
      <c r="CI897" s="41">
        <v>14.4</v>
      </c>
      <c r="CJ897" s="40">
        <f>VLOOKUP(CI897,$DB:$DC,2)</f>
        <v>600</v>
      </c>
      <c r="CK897" s="3"/>
      <c r="CL897" s="62"/>
      <c r="CM897" s="63"/>
      <c r="CN897" s="3"/>
      <c r="CO897" s="3"/>
      <c r="CP897" s="41"/>
      <c r="CQ897" s="3"/>
      <c r="CR897" s="40"/>
      <c r="CS897" s="40"/>
      <c r="CT897" s="40"/>
      <c r="CU897" s="40"/>
      <c r="CV897" s="40"/>
      <c r="CW897" s="40"/>
      <c r="CX897" s="40"/>
      <c r="CY897" s="40"/>
    </row>
    <row r="898" spans="1:103" ht="18.95" customHeight="1">
      <c r="A898" s="46">
        <v>123450</v>
      </c>
      <c r="B898" s="92" t="s">
        <v>199</v>
      </c>
      <c r="C898" s="3" t="s">
        <v>104</v>
      </c>
      <c r="D898" s="207" t="s">
        <v>215</v>
      </c>
      <c r="E898" s="39">
        <v>45412</v>
      </c>
      <c r="F898" s="3" t="s">
        <v>186</v>
      </c>
      <c r="G898" s="3" t="s">
        <v>107</v>
      </c>
      <c r="H898" s="3">
        <v>2010</v>
      </c>
      <c r="I898" s="40" t="str">
        <f t="shared" si="16"/>
        <v>U14</v>
      </c>
      <c r="J898" s="40" t="s">
        <v>109</v>
      </c>
      <c r="K898" s="3">
        <v>154.6</v>
      </c>
      <c r="L898" s="3">
        <v>154.69999999999999</v>
      </c>
      <c r="M898" s="3"/>
      <c r="N898" s="3">
        <v>151</v>
      </c>
      <c r="O898" s="3">
        <v>151</v>
      </c>
      <c r="P898" s="3"/>
      <c r="Q898" s="3">
        <v>41</v>
      </c>
      <c r="R898" s="3">
        <v>41</v>
      </c>
      <c r="S898" s="3"/>
      <c r="T898" s="42">
        <v>154.64999999999998</v>
      </c>
      <c r="U898" s="188" cm="1">
        <f t="array" ref="U898">AVERAGE(paper3[[#This Row],[Sittende høyde 1]:[Sittende høyde 2]]-70.2)</f>
        <v>80.8</v>
      </c>
      <c r="V898" s="12">
        <f>paper3[[#This Row],[height]]-paper3[[#This Row],[sittingheight]]</f>
        <v>73.84999999999998</v>
      </c>
      <c r="W898" s="73">
        <v>41</v>
      </c>
      <c r="X898" s="43" cm="1">
        <f t="array" ref="X898">INDEX([1]!phvny[yphv], MATCH(1, (paper3[[#This Row],[id]]=[1]!phvny[id])*(paper3[[#This Row],[time]]=[1]!phvny[time]), 0))</f>
        <v>1.2069806534867982</v>
      </c>
      <c r="Y898" s="192">
        <v>1.9670000000000001</v>
      </c>
      <c r="Z898" s="3">
        <v>3.4820000000000002</v>
      </c>
      <c r="AA898" s="192">
        <v>4.9710000000000001</v>
      </c>
      <c r="AB898" s="3">
        <v>1.851</v>
      </c>
      <c r="AC898" s="3">
        <v>3.3929999999999998</v>
      </c>
      <c r="AD898" s="3">
        <v>4.9169999999999998</v>
      </c>
      <c r="AE898" s="3">
        <v>2.0209999999999999</v>
      </c>
      <c r="AF898" s="3">
        <v>3.5590000000000002</v>
      </c>
      <c r="AG898" s="3">
        <v>5.0830000000000002</v>
      </c>
      <c r="AH898" s="194">
        <v>1.851</v>
      </c>
      <c r="AI898" s="193">
        <v>3.3929999999999998</v>
      </c>
      <c r="AJ898" s="194">
        <v>4.9169999999999998</v>
      </c>
      <c r="AK898" s="130"/>
      <c r="AL898" s="203"/>
      <c r="AM898" s="203"/>
      <c r="AN898" s="3"/>
      <c r="AO898" s="3"/>
      <c r="AP898" s="137"/>
      <c r="AQ898" s="132"/>
      <c r="AR898" s="132"/>
      <c r="AS898" s="3"/>
      <c r="AT898" s="3"/>
      <c r="AU898" s="3"/>
      <c r="AV898" s="3"/>
      <c r="AW898" s="192"/>
      <c r="AX898" s="133">
        <v>20</v>
      </c>
      <c r="AY898" s="195" t="s">
        <v>249</v>
      </c>
      <c r="AZ898" s="40">
        <v>7</v>
      </c>
      <c r="BA898" s="40"/>
      <c r="BB898" s="40"/>
      <c r="BC898" s="40"/>
      <c r="BD898" s="135"/>
      <c r="BE898" s="135"/>
      <c r="BF898" s="40"/>
      <c r="BG898" s="135"/>
      <c r="BH898" s="135"/>
      <c r="BI898" s="49"/>
      <c r="BJ898" s="49"/>
      <c r="BK898" s="66"/>
      <c r="BL898" s="66"/>
      <c r="BM898" s="51"/>
      <c r="BN898" s="51"/>
      <c r="BO898" s="136"/>
      <c r="BP898" s="40"/>
      <c r="BQ898" s="40"/>
      <c r="BR898" s="67"/>
      <c r="BS898" s="54"/>
      <c r="BT898" s="3"/>
      <c r="BU898" s="3"/>
      <c r="BV898" s="3"/>
      <c r="BW898" s="3"/>
      <c r="BX898" s="70"/>
      <c r="BY898" s="70"/>
      <c r="BZ898" s="59"/>
      <c r="CA898" s="59"/>
      <c r="CB898" s="59"/>
      <c r="CC898" s="59"/>
      <c r="CD898" s="60"/>
      <c r="CE898" s="60"/>
      <c r="CF898" s="61"/>
      <c r="CG898" s="61"/>
      <c r="CH898" s="61"/>
      <c r="CI898" s="41"/>
      <c r="CJ898" s="40" t="s">
        <v>110</v>
      </c>
      <c r="CK898" s="3"/>
      <c r="CL898" s="62"/>
      <c r="CM898" s="63"/>
      <c r="CN898" s="3"/>
      <c r="CO898" s="3"/>
      <c r="CP898" s="41"/>
      <c r="CQ898" s="3"/>
      <c r="CR898" s="40"/>
      <c r="CS898" s="40"/>
      <c r="CT898" s="40"/>
      <c r="CU898" s="40"/>
      <c r="CV898" s="40"/>
      <c r="CW898" s="40"/>
      <c r="CX898" s="40"/>
      <c r="CY898" s="40"/>
    </row>
    <row r="899" spans="1:103" ht="18.95" customHeight="1">
      <c r="A899" s="46">
        <v>123451</v>
      </c>
      <c r="B899" s="92" t="s">
        <v>199</v>
      </c>
      <c r="C899" s="3">
        <v>0</v>
      </c>
      <c r="D899" s="207" t="s">
        <v>215</v>
      </c>
      <c r="E899" s="39">
        <v>45412</v>
      </c>
      <c r="F899" s="3" t="s">
        <v>186</v>
      </c>
      <c r="G899" s="3" t="s">
        <v>107</v>
      </c>
      <c r="H899" s="3">
        <v>2010</v>
      </c>
      <c r="I899" s="40" t="str">
        <f t="shared" si="16"/>
        <v>U14</v>
      </c>
      <c r="J899" s="40" t="s">
        <v>109</v>
      </c>
      <c r="K899" s="3"/>
      <c r="L899" s="3"/>
      <c r="M899" s="3"/>
      <c r="N899" s="3"/>
      <c r="O899" s="3"/>
      <c r="P899" s="3"/>
      <c r="Q899" s="3"/>
      <c r="R899" s="3"/>
      <c r="S899" s="3"/>
      <c r="T899" s="42"/>
      <c r="U899" s="188"/>
      <c r="V899" s="199"/>
      <c r="W899" s="73"/>
      <c r="X899" s="43"/>
      <c r="Y899" s="192"/>
      <c r="Z899" s="3"/>
      <c r="AA899" s="192"/>
      <c r="AB899" s="3"/>
      <c r="AC899" s="3"/>
      <c r="AD899" s="3"/>
      <c r="AE899" s="3"/>
      <c r="AF899" s="3"/>
      <c r="AG899" s="3"/>
      <c r="AH899" s="194"/>
      <c r="AI899" s="193"/>
      <c r="AJ899" s="194"/>
      <c r="AK899" s="130"/>
      <c r="AL899" s="203">
        <v>11.92</v>
      </c>
      <c r="AM899" s="203">
        <v>11.25</v>
      </c>
      <c r="AN899" s="3" t="s">
        <v>250</v>
      </c>
      <c r="AO899" s="3"/>
      <c r="AP899" s="137">
        <v>11.25</v>
      </c>
      <c r="AQ899" s="132">
        <v>11.25</v>
      </c>
      <c r="AR899" s="132">
        <v>0</v>
      </c>
      <c r="AS899" s="3"/>
      <c r="AT899" s="3"/>
      <c r="AU899" s="3"/>
      <c r="AV899" s="3"/>
      <c r="AW899" s="192"/>
      <c r="AX899" s="133"/>
      <c r="AY899" s="195" t="s">
        <v>249</v>
      </c>
      <c r="AZ899" s="40">
        <v>7</v>
      </c>
      <c r="BA899" s="40"/>
      <c r="BB899" s="40"/>
      <c r="BC899" s="40"/>
      <c r="BD899" s="135"/>
      <c r="BE899" s="135"/>
      <c r="BF899" s="40"/>
      <c r="BG899" s="135"/>
      <c r="BH899" s="135"/>
      <c r="BI899" s="49"/>
      <c r="BJ899" s="49"/>
      <c r="BK899" s="66"/>
      <c r="BL899" s="66"/>
      <c r="BM899" s="51"/>
      <c r="BN899" s="51"/>
      <c r="BO899" s="136"/>
      <c r="BP899" s="40"/>
      <c r="BQ899" s="40"/>
      <c r="BR899" s="67"/>
      <c r="BS899" s="54"/>
      <c r="BT899" s="3"/>
      <c r="BU899" s="3"/>
      <c r="BV899" s="3"/>
      <c r="BW899" s="3"/>
      <c r="BX899" s="70"/>
      <c r="BY899" s="70"/>
      <c r="BZ899" s="59"/>
      <c r="CA899" s="59"/>
      <c r="CB899" s="59"/>
      <c r="CC899" s="59"/>
      <c r="CD899" s="60"/>
      <c r="CE899" s="60"/>
      <c r="CF899" s="61"/>
      <c r="CG899" s="61"/>
      <c r="CH899" s="61"/>
      <c r="CI899" s="41"/>
      <c r="CJ899" s="40" t="s">
        <v>110</v>
      </c>
      <c r="CK899" s="3"/>
      <c r="CL899" s="62"/>
      <c r="CM899" s="63"/>
      <c r="CN899" s="3"/>
      <c r="CO899" s="3"/>
      <c r="CP899" s="41"/>
      <c r="CQ899" s="3"/>
      <c r="CR899" s="40"/>
      <c r="CS899" s="40"/>
      <c r="CT899" s="40"/>
      <c r="CU899" s="40"/>
      <c r="CV899" s="40"/>
      <c r="CW899" s="40"/>
      <c r="CX899" s="40"/>
      <c r="CY899" s="40"/>
    </row>
    <row r="900" spans="1:103" ht="18.75">
      <c r="A900" s="46">
        <v>123452</v>
      </c>
      <c r="B900" s="92" t="s">
        <v>199</v>
      </c>
      <c r="C900" s="3">
        <v>0</v>
      </c>
      <c r="D900" s="207" t="s">
        <v>215</v>
      </c>
      <c r="E900" s="39">
        <v>45412</v>
      </c>
      <c r="F900" s="3" t="s">
        <v>186</v>
      </c>
      <c r="G900" s="3" t="s">
        <v>107</v>
      </c>
      <c r="H900" s="3">
        <v>2010</v>
      </c>
      <c r="I900" s="40" t="str">
        <f t="shared" si="16"/>
        <v>U14</v>
      </c>
      <c r="J900" s="40" t="s">
        <v>109</v>
      </c>
      <c r="K900" s="3"/>
      <c r="L900" s="3"/>
      <c r="M900" s="3"/>
      <c r="N900" s="3"/>
      <c r="O900" s="3"/>
      <c r="P900" s="3"/>
      <c r="Q900" s="3"/>
      <c r="R900" s="3"/>
      <c r="S900" s="3"/>
      <c r="T900" s="42"/>
      <c r="U900" s="188"/>
      <c r="V900" s="199"/>
      <c r="W900" s="73"/>
      <c r="X900" s="43"/>
      <c r="Y900" s="192"/>
      <c r="Z900" s="3"/>
      <c r="AA900" s="192"/>
      <c r="AB900" s="3"/>
      <c r="AC900" s="3"/>
      <c r="AD900" s="3"/>
      <c r="AE900" s="3"/>
      <c r="AF900" s="3"/>
      <c r="AG900" s="3"/>
      <c r="AH900" s="194"/>
      <c r="AI900" s="193"/>
      <c r="AJ900" s="194"/>
      <c r="AK900" s="130"/>
      <c r="AL900" s="203"/>
      <c r="AM900" s="203"/>
      <c r="AN900" s="3"/>
      <c r="AO900" s="3"/>
      <c r="AP900" s="137"/>
      <c r="AQ900" s="132"/>
      <c r="AR900" s="132"/>
      <c r="AS900" s="3"/>
      <c r="AT900" s="3"/>
      <c r="AU900" s="3"/>
      <c r="AV900" s="3"/>
      <c r="AW900" s="192"/>
      <c r="AX900" s="133"/>
      <c r="AY900" s="195" t="s">
        <v>249</v>
      </c>
      <c r="AZ900" s="40">
        <v>7</v>
      </c>
      <c r="BA900" s="40"/>
      <c r="BB900" s="40"/>
      <c r="BC900" s="40"/>
      <c r="BD900" s="135"/>
      <c r="BE900" s="135"/>
      <c r="BF900" s="40"/>
      <c r="BG900" s="135"/>
      <c r="BH900" s="135"/>
      <c r="BI900" s="49"/>
      <c r="BJ900" s="49"/>
      <c r="BK900" s="66"/>
      <c r="BL900" s="66"/>
      <c r="BM900" s="51"/>
      <c r="BN900" s="51"/>
      <c r="BO900" s="136"/>
      <c r="BP900" s="40"/>
      <c r="BQ900" s="40"/>
      <c r="BR900" s="67"/>
      <c r="BS900" s="54"/>
      <c r="BT900" s="3"/>
      <c r="BU900" s="3"/>
      <c r="BV900" s="3"/>
      <c r="BW900" s="3"/>
      <c r="BX900" s="70"/>
      <c r="BY900" s="70"/>
      <c r="BZ900" s="59"/>
      <c r="CA900" s="59"/>
      <c r="CB900" s="59"/>
      <c r="CC900" s="59"/>
      <c r="CD900" s="60"/>
      <c r="CE900" s="60"/>
      <c r="CF900" s="61"/>
      <c r="CG900" s="61"/>
      <c r="CH900" s="61"/>
      <c r="CI900" s="41"/>
      <c r="CJ900" s="40" t="s">
        <v>110</v>
      </c>
      <c r="CK900" s="3"/>
      <c r="CL900" s="62"/>
      <c r="CM900" s="63"/>
      <c r="CN900" s="3"/>
      <c r="CO900" s="3"/>
      <c r="CP900" s="41"/>
      <c r="CQ900" s="3"/>
      <c r="CR900" s="40"/>
      <c r="CS900" s="40"/>
      <c r="CT900" s="40"/>
      <c r="CU900" s="40"/>
      <c r="CV900" s="40"/>
      <c r="CW900" s="40"/>
      <c r="CX900" s="40"/>
      <c r="CY900" s="40"/>
    </row>
    <row r="901" spans="1:103" ht="18.95" customHeight="1">
      <c r="A901" s="46">
        <v>123453</v>
      </c>
      <c r="B901" s="92" t="s">
        <v>199</v>
      </c>
      <c r="C901" s="3">
        <v>0</v>
      </c>
      <c r="D901" s="207" t="s">
        <v>215</v>
      </c>
      <c r="E901" s="39">
        <v>45412</v>
      </c>
      <c r="F901" s="3" t="s">
        <v>186</v>
      </c>
      <c r="G901" s="3" t="s">
        <v>107</v>
      </c>
      <c r="H901" s="3">
        <v>2010</v>
      </c>
      <c r="I901" s="40" t="str">
        <f t="shared" si="16"/>
        <v>U14</v>
      </c>
      <c r="J901" s="40" t="s">
        <v>109</v>
      </c>
      <c r="K901" s="3"/>
      <c r="L901" s="3"/>
      <c r="M901" s="3"/>
      <c r="N901" s="3"/>
      <c r="O901" s="3"/>
      <c r="P901" s="3"/>
      <c r="Q901" s="3"/>
      <c r="R901" s="3"/>
      <c r="S901" s="3"/>
      <c r="T901" s="42"/>
      <c r="U901" s="188"/>
      <c r="V901" s="199"/>
      <c r="W901" s="73"/>
      <c r="X901" s="43"/>
      <c r="Y901" s="192"/>
      <c r="Z901" s="3"/>
      <c r="AA901" s="192"/>
      <c r="AB901" s="3"/>
      <c r="AC901" s="3"/>
      <c r="AD901" s="3"/>
      <c r="AE901" s="3"/>
      <c r="AF901" s="3"/>
      <c r="AG901" s="3"/>
      <c r="AH901" s="194"/>
      <c r="AI901" s="193"/>
      <c r="AJ901" s="194"/>
      <c r="AK901" s="130"/>
      <c r="AL901" s="203"/>
      <c r="AM901" s="203"/>
      <c r="AN901" s="3"/>
      <c r="AO901" s="3"/>
      <c r="AP901" s="137"/>
      <c r="AQ901" s="132"/>
      <c r="AR901" s="132"/>
      <c r="AS901" s="3"/>
      <c r="AT901" s="3"/>
      <c r="AU901" s="3"/>
      <c r="AV901" s="3"/>
      <c r="AW901" s="192"/>
      <c r="AX901" s="133"/>
      <c r="AY901" s="195" t="s">
        <v>249</v>
      </c>
      <c r="AZ901" s="40">
        <v>7</v>
      </c>
      <c r="BA901" s="40"/>
      <c r="BB901" s="40"/>
      <c r="BC901" s="40"/>
      <c r="BD901" s="135"/>
      <c r="BE901" s="135"/>
      <c r="BF901" s="40"/>
      <c r="BG901" s="135"/>
      <c r="BH901" s="135"/>
      <c r="BI901" s="49"/>
      <c r="BJ901" s="49"/>
      <c r="BK901" s="66"/>
      <c r="BL901" s="66"/>
      <c r="BM901" s="51"/>
      <c r="BN901" s="51"/>
      <c r="BO901" s="136"/>
      <c r="BP901" s="40"/>
      <c r="BQ901" s="40"/>
      <c r="BR901" s="67"/>
      <c r="BS901" s="54"/>
      <c r="BT901" s="3"/>
      <c r="BU901" s="3"/>
      <c r="BV901" s="3"/>
      <c r="BW901" s="3"/>
      <c r="BX901" s="70"/>
      <c r="BY901" s="70"/>
      <c r="BZ901" s="59"/>
      <c r="CA901" s="59"/>
      <c r="CB901" s="59"/>
      <c r="CC901" s="59"/>
      <c r="CD901" s="60"/>
      <c r="CE901" s="60"/>
      <c r="CF901" s="61"/>
      <c r="CG901" s="61"/>
      <c r="CH901" s="61"/>
      <c r="CI901" s="41"/>
      <c r="CJ901" s="40" t="s">
        <v>110</v>
      </c>
      <c r="CK901" s="3"/>
      <c r="CL901" s="62"/>
      <c r="CM901" s="63"/>
      <c r="CN901" s="3"/>
      <c r="CO901" s="3"/>
      <c r="CP901" s="41"/>
      <c r="CQ901" s="3"/>
      <c r="CR901" s="40"/>
      <c r="CS901" s="40"/>
      <c r="CT901" s="40"/>
      <c r="CU901" s="40"/>
      <c r="CV901" s="40"/>
      <c r="CW901" s="40"/>
      <c r="CX901" s="40"/>
      <c r="CY901" s="40"/>
    </row>
    <row r="902" spans="1:103" ht="18.95" customHeight="1">
      <c r="A902" s="46">
        <v>123454</v>
      </c>
      <c r="B902" s="92" t="s">
        <v>199</v>
      </c>
      <c r="C902" s="3" t="s">
        <v>104</v>
      </c>
      <c r="D902" s="207" t="s">
        <v>215</v>
      </c>
      <c r="E902" s="39">
        <v>45412</v>
      </c>
      <c r="F902" s="3" t="s">
        <v>186</v>
      </c>
      <c r="G902" s="3" t="s">
        <v>107</v>
      </c>
      <c r="H902" s="3">
        <v>2010</v>
      </c>
      <c r="I902" s="40" t="str">
        <f t="shared" si="16"/>
        <v>U14</v>
      </c>
      <c r="J902" s="40" t="s">
        <v>109</v>
      </c>
      <c r="K902" s="3">
        <v>164</v>
      </c>
      <c r="L902" s="3">
        <v>164</v>
      </c>
      <c r="M902" s="3"/>
      <c r="N902" s="3">
        <v>156.19999999999999</v>
      </c>
      <c r="O902" s="3">
        <v>156.19999999999999</v>
      </c>
      <c r="P902" s="3"/>
      <c r="Q902" s="3">
        <v>52.2</v>
      </c>
      <c r="R902" s="3">
        <v>52.2</v>
      </c>
      <c r="S902" s="3"/>
      <c r="T902" s="42">
        <v>164</v>
      </c>
      <c r="U902" s="188" cm="1">
        <f t="array" ref="U902">AVERAGE(paper3[[#This Row],[Sittende høyde 1]:[Sittende høyde 2]]-70.2)</f>
        <v>85.999999999999986</v>
      </c>
      <c r="V902" s="12">
        <f>paper3[[#This Row],[height]]-paper3[[#This Row],[sittingheight]]</f>
        <v>78.000000000000014</v>
      </c>
      <c r="W902" s="73">
        <v>52.2</v>
      </c>
      <c r="X902" s="43" cm="1">
        <f t="array" ref="X902">INDEX([1]!phvny[yphv], MATCH(1, (paper3[[#This Row],[id]]=[1]!phvny[id])*(paper3[[#This Row],[time]]=[1]!phvny[time]), 0))</f>
        <v>2.0044750030894303</v>
      </c>
      <c r="Y902" s="192">
        <v>2.0179999999999998</v>
      </c>
      <c r="Z902" s="3">
        <v>3.5430000000000001</v>
      </c>
      <c r="AA902" s="192">
        <v>5.1130000000000004</v>
      </c>
      <c r="AB902" s="3">
        <v>2.048</v>
      </c>
      <c r="AC902" s="3">
        <v>3.5739999999999998</v>
      </c>
      <c r="AD902" s="3">
        <v>5.0830000000000002</v>
      </c>
      <c r="AE902" s="3">
        <v>2.0289999999999999</v>
      </c>
      <c r="AF902" s="3">
        <v>3.552</v>
      </c>
      <c r="AG902" s="3">
        <v>5.0609999999999999</v>
      </c>
      <c r="AH902" s="194">
        <v>2.0179999999999998</v>
      </c>
      <c r="AI902" s="193">
        <v>3.5430000000000001</v>
      </c>
      <c r="AJ902" s="194">
        <v>5.0609999999999999</v>
      </c>
      <c r="AK902" s="130"/>
      <c r="AL902" s="203">
        <v>11.43</v>
      </c>
      <c r="AM902" s="203">
        <v>11.95</v>
      </c>
      <c r="AN902" s="3">
        <v>12.29</v>
      </c>
      <c r="AO902" s="3">
        <v>12.14</v>
      </c>
      <c r="AP902" s="137">
        <f>MIN(AQ902:AR902)</f>
        <v>11.43</v>
      </c>
      <c r="AQ902" s="132">
        <v>11.43</v>
      </c>
      <c r="AR902" s="132">
        <v>12.14</v>
      </c>
      <c r="AS902" s="3"/>
      <c r="AT902" s="3"/>
      <c r="AU902" s="3"/>
      <c r="AV902" s="3"/>
      <c r="AW902" s="192"/>
      <c r="AX902" s="133">
        <v>23.4</v>
      </c>
      <c r="AY902" s="195" t="s">
        <v>249</v>
      </c>
      <c r="AZ902" s="40">
        <v>7</v>
      </c>
      <c r="BA902" s="40"/>
      <c r="BB902" s="40"/>
      <c r="BC902" s="40"/>
      <c r="BD902" s="135"/>
      <c r="BE902" s="135"/>
      <c r="BF902" s="40"/>
      <c r="BG902" s="135"/>
      <c r="BH902" s="135"/>
      <c r="BI902" s="49"/>
      <c r="BJ902" s="49"/>
      <c r="BK902" s="66"/>
      <c r="BL902" s="66"/>
      <c r="BM902" s="51"/>
      <c r="BN902" s="51"/>
      <c r="BO902" s="136"/>
      <c r="BP902" s="40"/>
      <c r="BQ902" s="40"/>
      <c r="BR902" s="67"/>
      <c r="BS902" s="54"/>
      <c r="BT902" s="3"/>
      <c r="BU902" s="3"/>
      <c r="BV902" s="3"/>
      <c r="BW902" s="3"/>
      <c r="BX902" s="70"/>
      <c r="BY902" s="70"/>
      <c r="BZ902" s="59"/>
      <c r="CA902" s="59"/>
      <c r="CB902" s="59"/>
      <c r="CC902" s="59"/>
      <c r="CD902" s="60"/>
      <c r="CE902" s="60"/>
      <c r="CF902" s="61"/>
      <c r="CG902" s="61"/>
      <c r="CH902" s="61"/>
      <c r="CI902" s="41">
        <v>13.3</v>
      </c>
      <c r="CJ902" s="40">
        <f>VLOOKUP(CI902,$DB:$DC,2)</f>
        <v>400</v>
      </c>
      <c r="CK902" s="3"/>
      <c r="CL902" s="62"/>
      <c r="CM902" s="63"/>
      <c r="CN902" s="3"/>
      <c r="CO902" s="3"/>
      <c r="CP902" s="41"/>
      <c r="CQ902" s="3"/>
      <c r="CR902" s="40"/>
      <c r="CS902" s="40"/>
      <c r="CT902" s="40"/>
      <c r="CU902" s="40"/>
      <c r="CV902" s="40"/>
      <c r="CW902" s="40"/>
      <c r="CX902" s="40"/>
      <c r="CY902" s="40"/>
    </row>
    <row r="903" spans="1:103" ht="18.95" customHeight="1">
      <c r="A903" s="46">
        <v>123456</v>
      </c>
      <c r="B903" s="92" t="s">
        <v>199</v>
      </c>
      <c r="C903" s="3" t="s">
        <v>104</v>
      </c>
      <c r="D903" s="207" t="s">
        <v>215</v>
      </c>
      <c r="E903" s="39">
        <v>45412</v>
      </c>
      <c r="F903" s="3" t="s">
        <v>186</v>
      </c>
      <c r="G903" s="3" t="s">
        <v>107</v>
      </c>
      <c r="H903" s="3">
        <v>2010</v>
      </c>
      <c r="I903" s="40" t="str">
        <f t="shared" si="16"/>
        <v>U14</v>
      </c>
      <c r="J903" s="40" t="s">
        <v>109</v>
      </c>
      <c r="K903" s="3">
        <v>159.6</v>
      </c>
      <c r="L903" s="3">
        <v>159.6</v>
      </c>
      <c r="M903" s="3"/>
      <c r="N903" s="3">
        <v>152.6</v>
      </c>
      <c r="O903" s="3">
        <v>152.4</v>
      </c>
      <c r="P903" s="3"/>
      <c r="Q903" s="3">
        <v>41.6</v>
      </c>
      <c r="R903" s="3">
        <v>41.6</v>
      </c>
      <c r="S903" s="3"/>
      <c r="T903" s="42">
        <v>159.6</v>
      </c>
      <c r="U903" s="188" cm="1">
        <f t="array" ref="U903">AVERAGE(paper3[[#This Row],[Sittende høyde 1]:[Sittende høyde 2]]-70.2)</f>
        <v>82.3</v>
      </c>
      <c r="V903" s="12">
        <f>paper3[[#This Row],[height]]-paper3[[#This Row],[sittingheight]]</f>
        <v>77.3</v>
      </c>
      <c r="W903" s="73">
        <v>41.6</v>
      </c>
      <c r="X903" s="43" cm="1">
        <f t="array" ref="X903">INDEX([1]!phvny[yphv], MATCH(1, (paper3[[#This Row],[id]]=[1]!phvny[id])*(paper3[[#This Row],[time]]=[1]!phvny[time]), 0))</f>
        <v>1.2152379326783622</v>
      </c>
      <c r="Y903" s="192">
        <v>2.024</v>
      </c>
      <c r="Z903" s="3">
        <v>3.778</v>
      </c>
      <c r="AA903" s="192">
        <v>5.55</v>
      </c>
      <c r="AB903" s="3">
        <v>2.0179999999999998</v>
      </c>
      <c r="AC903" s="3">
        <v>3.7949999999999999</v>
      </c>
      <c r="AD903" s="3">
        <v>5.5620000000000003</v>
      </c>
      <c r="AE903" s="3">
        <v>2.0840000000000001</v>
      </c>
      <c r="AF903" s="3">
        <v>3.8929999999999998</v>
      </c>
      <c r="AG903" s="3">
        <v>5.68</v>
      </c>
      <c r="AH903" s="194">
        <v>2.0179999999999998</v>
      </c>
      <c r="AI903" s="193">
        <v>3.778</v>
      </c>
      <c r="AJ903" s="194">
        <v>5.55</v>
      </c>
      <c r="AK903" s="130"/>
      <c r="AL903" s="203">
        <v>11.88</v>
      </c>
      <c r="AM903" s="203">
        <v>11.96</v>
      </c>
      <c r="AN903" s="3">
        <v>11.44</v>
      </c>
      <c r="AO903" s="3">
        <v>11.22</v>
      </c>
      <c r="AP903" s="137">
        <f>MIN(AQ903:AR903)</f>
        <v>11.22</v>
      </c>
      <c r="AQ903" s="132">
        <v>11.88</v>
      </c>
      <c r="AR903" s="132">
        <v>11.22</v>
      </c>
      <c r="AS903" s="3"/>
      <c r="AT903" s="3"/>
      <c r="AU903" s="3"/>
      <c r="AV903" s="3"/>
      <c r="AW903" s="192"/>
      <c r="AX903" s="133">
        <v>16.7</v>
      </c>
      <c r="AY903" s="195" t="s">
        <v>249</v>
      </c>
      <c r="AZ903" s="40">
        <v>7</v>
      </c>
      <c r="BA903" s="40"/>
      <c r="BB903" s="40"/>
      <c r="BC903" s="40"/>
      <c r="BD903" s="135">
        <v>804.40489579124278</v>
      </c>
      <c r="BE903" s="135">
        <v>538.16919207224873</v>
      </c>
      <c r="BF903" s="40"/>
      <c r="BG903" s="135">
        <v>151.21585810810822</v>
      </c>
      <c r="BH903" s="135">
        <v>115.3773116438357</v>
      </c>
      <c r="BI903" s="49">
        <f>IFERROR(SUM(paper3[[#This Row],[Kraft ikke-dominant]:[Kraft dominant]]),"")</f>
        <v>1342.5740878634915</v>
      </c>
      <c r="BJ903" s="49">
        <f>IFERROR(SUM(paper3[[#This Row],[Pwr ikke-dominant]:[Pwr dominant]]),"")</f>
        <v>266.59316975194395</v>
      </c>
      <c r="BK903" s="66"/>
      <c r="BL903" s="66"/>
      <c r="BM903" s="51">
        <f>IFERROR(paper3[[#This Row],[totforce]]/paper3[[#This Row],[bodymass]],"")</f>
        <v>32.273415573641621</v>
      </c>
      <c r="BN903" s="51">
        <f>IFERROR(paper3[[#This Row],[totpwr]]/paper3[[#This Row],[bodymass]],"")</f>
        <v>6.4084896574986523</v>
      </c>
      <c r="BO903" s="136"/>
      <c r="BP903" s="40"/>
      <c r="BQ903" s="40"/>
      <c r="BR903" s="67"/>
      <c r="BS903" s="54"/>
      <c r="BT903" s="3"/>
      <c r="BU903" s="3"/>
      <c r="BV903" s="3"/>
      <c r="BW903" s="3"/>
      <c r="BX903" s="70"/>
      <c r="BY903" s="70"/>
      <c r="BZ903" s="59"/>
      <c r="CA903" s="59"/>
      <c r="CB903" s="59"/>
      <c r="CC903" s="59"/>
      <c r="CD903" s="60"/>
      <c r="CE903" s="60"/>
      <c r="CF903" s="61"/>
      <c r="CG903" s="61"/>
      <c r="CH903" s="61"/>
      <c r="CI903" s="41">
        <v>13.3</v>
      </c>
      <c r="CJ903" s="40">
        <f>VLOOKUP(CI903,$DB:$DC,2)</f>
        <v>400</v>
      </c>
      <c r="CK903" s="3"/>
      <c r="CL903" s="62"/>
      <c r="CM903" s="63"/>
      <c r="CN903" s="3"/>
      <c r="CO903" s="3"/>
      <c r="CP903" s="41"/>
      <c r="CQ903" s="3"/>
      <c r="CR903" s="40"/>
      <c r="CS903" s="40"/>
      <c r="CT903" s="40"/>
      <c r="CU903" s="40"/>
      <c r="CV903" s="40"/>
      <c r="CW903" s="40"/>
      <c r="CX903" s="40"/>
      <c r="CY903" s="40"/>
    </row>
    <row r="904" spans="1:103" ht="18.95" customHeight="1">
      <c r="A904" s="46">
        <v>123457</v>
      </c>
      <c r="B904" s="92" t="s">
        <v>199</v>
      </c>
      <c r="C904" s="3" t="s">
        <v>104</v>
      </c>
      <c r="D904" s="207" t="s">
        <v>215</v>
      </c>
      <c r="E904" s="39">
        <v>45412</v>
      </c>
      <c r="F904" s="3" t="s">
        <v>186</v>
      </c>
      <c r="G904" s="3" t="s">
        <v>107</v>
      </c>
      <c r="H904" s="3">
        <v>2010</v>
      </c>
      <c r="I904" s="40" t="str">
        <f t="shared" si="16"/>
        <v>U14</v>
      </c>
      <c r="J904" s="40" t="s">
        <v>109</v>
      </c>
      <c r="K904" s="3">
        <v>166</v>
      </c>
      <c r="L904" s="3">
        <v>166</v>
      </c>
      <c r="M904" s="3"/>
      <c r="N904" s="3">
        <v>156.19999999999999</v>
      </c>
      <c r="O904" s="3">
        <v>156.19999999999999</v>
      </c>
      <c r="P904" s="3"/>
      <c r="Q904" s="3">
        <v>55.4</v>
      </c>
      <c r="R904" s="3">
        <v>55.4</v>
      </c>
      <c r="S904" s="3"/>
      <c r="T904" s="42">
        <v>166</v>
      </c>
      <c r="U904" s="188" cm="1">
        <f t="array" ref="U904">AVERAGE(paper3[[#This Row],[Sittende høyde 1]:[Sittende høyde 2]]-70.2)</f>
        <v>85.999999999999986</v>
      </c>
      <c r="V904" s="12">
        <f>paper3[[#This Row],[height]]-paper3[[#This Row],[sittingheight]]</f>
        <v>80.000000000000014</v>
      </c>
      <c r="W904" s="73">
        <v>55.4</v>
      </c>
      <c r="X904" s="43" cm="1">
        <f t="array" ref="X904">INDEX([1]!phvny[yphv], MATCH(1, (paper3[[#This Row],[id]]=[1]!phvny[id])*(paper3[[#This Row],[time]]=[1]!phvny[time]), 0))</f>
        <v>1.7604610493440425</v>
      </c>
      <c r="Y904" s="192">
        <v>1.9430000000000001</v>
      </c>
      <c r="Z904" s="3">
        <v>3.597</v>
      </c>
      <c r="AA904" s="192">
        <v>5.2160000000000002</v>
      </c>
      <c r="AB904" s="3">
        <v>2.044</v>
      </c>
      <c r="AC904" s="3">
        <v>3.698</v>
      </c>
      <c r="AD904" s="3">
        <v>5.3019999999999996</v>
      </c>
      <c r="AE904" s="3">
        <v>1.996</v>
      </c>
      <c r="AF904" s="3">
        <v>3.7069999999999999</v>
      </c>
      <c r="AG904" s="3">
        <v>5.3780000000000001</v>
      </c>
      <c r="AH904" s="194">
        <v>1.9430000000000001</v>
      </c>
      <c r="AI904" s="193">
        <v>3.597</v>
      </c>
      <c r="AJ904" s="194">
        <v>5.2160000000000002</v>
      </c>
      <c r="AK904" s="130"/>
      <c r="AL904" s="203"/>
      <c r="AM904" s="203"/>
      <c r="AN904" s="3"/>
      <c r="AO904" s="3"/>
      <c r="AP904" s="137"/>
      <c r="AQ904" s="132"/>
      <c r="AR904" s="132"/>
      <c r="AS904" s="3"/>
      <c r="AT904" s="3"/>
      <c r="AU904" s="3"/>
      <c r="AV904" s="3"/>
      <c r="AW904" s="192"/>
      <c r="AX904" s="133">
        <v>23.9</v>
      </c>
      <c r="AY904" s="195" t="s">
        <v>249</v>
      </c>
      <c r="AZ904" s="40">
        <v>7</v>
      </c>
      <c r="BA904" s="40"/>
      <c r="BB904" s="40"/>
      <c r="BC904" s="40"/>
      <c r="BD904" s="135"/>
      <c r="BE904" s="135"/>
      <c r="BF904" s="40"/>
      <c r="BG904" s="135"/>
      <c r="BH904" s="135"/>
      <c r="BI904" s="49"/>
      <c r="BJ904" s="49"/>
      <c r="BK904" s="66"/>
      <c r="BL904" s="66"/>
      <c r="BM904" s="51"/>
      <c r="BN904" s="51"/>
      <c r="BO904" s="136"/>
      <c r="BP904" s="40"/>
      <c r="BQ904" s="40"/>
      <c r="BR904" s="67"/>
      <c r="BS904" s="54"/>
      <c r="BT904" s="3"/>
      <c r="BU904" s="3"/>
      <c r="BV904" s="3"/>
      <c r="BW904" s="3"/>
      <c r="BX904" s="70"/>
      <c r="BY904" s="70"/>
      <c r="BZ904" s="59"/>
      <c r="CA904" s="59"/>
      <c r="CB904" s="59"/>
      <c r="CC904" s="59"/>
      <c r="CD904" s="60"/>
      <c r="CE904" s="60"/>
      <c r="CF904" s="61"/>
      <c r="CG904" s="61"/>
      <c r="CH904" s="61"/>
      <c r="CI904" s="41"/>
      <c r="CJ904" s="40" t="s">
        <v>110</v>
      </c>
      <c r="CK904" s="3"/>
      <c r="CL904" s="62"/>
      <c r="CM904" s="63"/>
      <c r="CN904" s="3"/>
      <c r="CO904" s="3"/>
      <c r="CP904" s="41"/>
      <c r="CQ904" s="3"/>
      <c r="CR904" s="40"/>
      <c r="CS904" s="40"/>
      <c r="CT904" s="40"/>
      <c r="CU904" s="40"/>
      <c r="CV904" s="40"/>
      <c r="CW904" s="40"/>
      <c r="CX904" s="40"/>
      <c r="CY904" s="40"/>
    </row>
    <row r="905" spans="1:103" ht="18.95" customHeight="1">
      <c r="A905" s="46">
        <v>123458</v>
      </c>
      <c r="B905" s="92" t="s">
        <v>199</v>
      </c>
      <c r="C905" s="3" t="s">
        <v>104</v>
      </c>
      <c r="D905" s="207" t="s">
        <v>215</v>
      </c>
      <c r="E905" s="39">
        <v>45412</v>
      </c>
      <c r="F905" s="3" t="s">
        <v>186</v>
      </c>
      <c r="G905" s="3" t="s">
        <v>107</v>
      </c>
      <c r="H905" s="3">
        <v>2010</v>
      </c>
      <c r="I905" s="40" t="str">
        <f t="shared" si="16"/>
        <v>U14</v>
      </c>
      <c r="J905" s="40" t="s">
        <v>109</v>
      </c>
      <c r="K905" s="3">
        <v>168.8</v>
      </c>
      <c r="L905" s="3">
        <v>168.8</v>
      </c>
      <c r="M905" s="3"/>
      <c r="N905" s="3">
        <v>158</v>
      </c>
      <c r="O905" s="3">
        <v>158</v>
      </c>
      <c r="P905" s="3"/>
      <c r="Q905" s="3">
        <v>72.3</v>
      </c>
      <c r="R905" s="3">
        <v>72.3</v>
      </c>
      <c r="S905" s="3"/>
      <c r="T905" s="42">
        <v>168.8</v>
      </c>
      <c r="U905" s="188" cm="1">
        <f t="array" ref="U905">AVERAGE(paper3[[#This Row],[Sittende høyde 1]:[Sittende høyde 2]]-70.2)</f>
        <v>87.8</v>
      </c>
      <c r="V905" s="12">
        <f>paper3[[#This Row],[height]]-paper3[[#This Row],[sittingheight]]</f>
        <v>81.000000000000014</v>
      </c>
      <c r="W905" s="73">
        <v>72.3</v>
      </c>
      <c r="X905" s="43" cm="1">
        <f t="array" ref="X905">INDEX([1]!phvny[yphv], MATCH(1, (paper3[[#This Row],[id]]=[1]!phvny[id])*(paper3[[#This Row],[time]]=[1]!phvny[time]), 0))</f>
        <v>1.9173540009478658</v>
      </c>
      <c r="Y905" s="192">
        <v>2.0289999999999999</v>
      </c>
      <c r="Z905" s="3">
        <v>3.702</v>
      </c>
      <c r="AA905" s="192">
        <v>5.319</v>
      </c>
      <c r="AB905" s="3">
        <v>2.0880000000000001</v>
      </c>
      <c r="AC905" s="3">
        <v>3.8330000000000002</v>
      </c>
      <c r="AD905" s="3">
        <v>5.4870000000000001</v>
      </c>
      <c r="AE905" s="3">
        <v>2.1179999999999999</v>
      </c>
      <c r="AF905" s="3">
        <v>3.8340000000000001</v>
      </c>
      <c r="AG905" s="3">
        <v>5.476</v>
      </c>
      <c r="AH905" s="194">
        <v>2.0289999999999999</v>
      </c>
      <c r="AI905" s="193">
        <v>3.702</v>
      </c>
      <c r="AJ905" s="194">
        <v>5.319</v>
      </c>
      <c r="AK905" s="130"/>
      <c r="AL905" s="203"/>
      <c r="AM905" s="203"/>
      <c r="AN905" s="3"/>
      <c r="AO905" s="3"/>
      <c r="AP905" s="137"/>
      <c r="AQ905" s="132"/>
      <c r="AR905" s="132"/>
      <c r="AS905" s="3"/>
      <c r="AT905" s="3"/>
      <c r="AU905" s="3"/>
      <c r="AV905" s="3"/>
      <c r="AW905" s="192"/>
      <c r="AX905" s="133">
        <v>20.7</v>
      </c>
      <c r="AY905" s="195" t="s">
        <v>249</v>
      </c>
      <c r="AZ905" s="40">
        <v>7</v>
      </c>
      <c r="BA905" s="40"/>
      <c r="BB905" s="40"/>
      <c r="BC905" s="40"/>
      <c r="BD905" s="135"/>
      <c r="BE905" s="135"/>
      <c r="BF905" s="40"/>
      <c r="BG905" s="135"/>
      <c r="BH905" s="135"/>
      <c r="BI905" s="49"/>
      <c r="BJ905" s="49"/>
      <c r="BK905" s="66"/>
      <c r="BL905" s="66"/>
      <c r="BM905" s="51"/>
      <c r="BN905" s="51"/>
      <c r="BO905" s="136"/>
      <c r="BP905" s="40"/>
      <c r="BQ905" s="40"/>
      <c r="BR905" s="67"/>
      <c r="BS905" s="54"/>
      <c r="BT905" s="3"/>
      <c r="BU905" s="3"/>
      <c r="BV905" s="3"/>
      <c r="BW905" s="3"/>
      <c r="BX905" s="70"/>
      <c r="BY905" s="70"/>
      <c r="BZ905" s="59"/>
      <c r="CA905" s="59"/>
      <c r="CB905" s="59"/>
      <c r="CC905" s="59"/>
      <c r="CD905" s="60"/>
      <c r="CE905" s="60"/>
      <c r="CF905" s="61"/>
      <c r="CG905" s="61"/>
      <c r="CH905" s="61"/>
      <c r="CI905" s="41"/>
      <c r="CJ905" s="40" t="s">
        <v>110</v>
      </c>
      <c r="CK905" s="3"/>
      <c r="CL905" s="62"/>
      <c r="CM905" s="63"/>
      <c r="CN905" s="3"/>
      <c r="CO905" s="3"/>
      <c r="CP905" s="41"/>
      <c r="CQ905" s="3"/>
      <c r="CR905" s="40"/>
      <c r="CS905" s="40"/>
      <c r="CT905" s="40"/>
      <c r="CU905" s="40"/>
      <c r="CV905" s="40"/>
      <c r="CW905" s="40"/>
      <c r="CX905" s="40"/>
      <c r="CY905" s="40"/>
    </row>
    <row r="906" spans="1:103" ht="18.95" customHeight="1">
      <c r="A906" s="46">
        <v>123459</v>
      </c>
      <c r="B906" s="92" t="s">
        <v>199</v>
      </c>
      <c r="C906" s="3">
        <v>0</v>
      </c>
      <c r="D906" s="207" t="s">
        <v>215</v>
      </c>
      <c r="E906" s="39">
        <v>45412</v>
      </c>
      <c r="F906" s="3" t="s">
        <v>186</v>
      </c>
      <c r="G906" s="3" t="s">
        <v>107</v>
      </c>
      <c r="H906" s="3">
        <v>2010</v>
      </c>
      <c r="I906" s="40" t="str">
        <f t="shared" si="16"/>
        <v>U14</v>
      </c>
      <c r="J906" s="40" t="s">
        <v>109</v>
      </c>
      <c r="K906" s="3"/>
      <c r="L906" s="3"/>
      <c r="M906" s="3"/>
      <c r="N906" s="3"/>
      <c r="O906" s="3"/>
      <c r="P906" s="3"/>
      <c r="Q906" s="3"/>
      <c r="R906" s="3"/>
      <c r="S906" s="3"/>
      <c r="T906" s="42"/>
      <c r="U906" s="188"/>
      <c r="V906" s="199"/>
      <c r="W906" s="73"/>
      <c r="X906" s="43"/>
      <c r="Y906" s="192"/>
      <c r="Z906" s="3"/>
      <c r="AA906" s="192"/>
      <c r="AB906" s="3"/>
      <c r="AC906" s="3"/>
      <c r="AD906" s="3"/>
      <c r="AE906" s="3"/>
      <c r="AF906" s="3"/>
      <c r="AG906" s="3"/>
      <c r="AH906" s="194"/>
      <c r="AI906" s="193"/>
      <c r="AJ906" s="194"/>
      <c r="AK906" s="130"/>
      <c r="AL906" s="203"/>
      <c r="AM906" s="203"/>
      <c r="AN906" s="3"/>
      <c r="AO906" s="3"/>
      <c r="AP906" s="137"/>
      <c r="AQ906" s="132"/>
      <c r="AR906" s="132"/>
      <c r="AS906" s="3"/>
      <c r="AT906" s="3"/>
      <c r="AU906" s="3"/>
      <c r="AV906" s="3"/>
      <c r="AW906" s="192"/>
      <c r="AX906" s="133"/>
      <c r="AY906" s="195" t="s">
        <v>249</v>
      </c>
      <c r="AZ906" s="40">
        <v>7</v>
      </c>
      <c r="BA906" s="40"/>
      <c r="BB906" s="40"/>
      <c r="BC906" s="40"/>
      <c r="BD906" s="135"/>
      <c r="BE906" s="135"/>
      <c r="BF906" s="40"/>
      <c r="BG906" s="135"/>
      <c r="BH906" s="135"/>
      <c r="BI906" s="49"/>
      <c r="BJ906" s="49"/>
      <c r="BK906" s="66"/>
      <c r="BL906" s="66"/>
      <c r="BM906" s="51"/>
      <c r="BN906" s="51"/>
      <c r="BO906" s="136"/>
      <c r="BP906" s="40"/>
      <c r="BQ906" s="40"/>
      <c r="BR906" s="67"/>
      <c r="BS906" s="54"/>
      <c r="BT906" s="3"/>
      <c r="BU906" s="3"/>
      <c r="BV906" s="3"/>
      <c r="BW906" s="3"/>
      <c r="BX906" s="70"/>
      <c r="BY906" s="70"/>
      <c r="BZ906" s="59"/>
      <c r="CA906" s="59"/>
      <c r="CB906" s="59"/>
      <c r="CC906" s="59"/>
      <c r="CD906" s="60"/>
      <c r="CE906" s="60"/>
      <c r="CF906" s="61"/>
      <c r="CG906" s="61"/>
      <c r="CH906" s="61"/>
      <c r="CI906" s="41"/>
      <c r="CJ906" s="40" t="s">
        <v>110</v>
      </c>
      <c r="CK906" s="3"/>
      <c r="CL906" s="62"/>
      <c r="CM906" s="63"/>
      <c r="CN906" s="3"/>
      <c r="CO906" s="3"/>
      <c r="CP906" s="41"/>
      <c r="CQ906" s="3"/>
      <c r="CR906" s="40"/>
      <c r="CS906" s="40"/>
      <c r="CT906" s="40"/>
      <c r="CU906" s="40"/>
      <c r="CV906" s="40"/>
      <c r="CW906" s="40"/>
      <c r="CX906" s="40"/>
      <c r="CY906" s="40"/>
    </row>
    <row r="907" spans="1:103" ht="18.95" customHeight="1">
      <c r="A907" s="3"/>
      <c r="B907" s="92" t="s">
        <v>199</v>
      </c>
      <c r="C907" s="3"/>
      <c r="D907" s="207" t="s">
        <v>215</v>
      </c>
      <c r="E907" s="39">
        <v>45453</v>
      </c>
      <c r="F907" s="3"/>
      <c r="G907" s="3"/>
      <c r="H907" s="3"/>
      <c r="I907" s="40" t="str">
        <f t="shared" si="16"/>
        <v/>
      </c>
      <c r="J907" s="40"/>
      <c r="K907" s="3"/>
      <c r="L907" s="3"/>
      <c r="M907" s="3"/>
      <c r="N907" s="3"/>
      <c r="O907" s="3"/>
      <c r="P907" s="3"/>
      <c r="Q907" s="3"/>
      <c r="R907" s="3"/>
      <c r="S907" s="3"/>
      <c r="T907" s="42"/>
      <c r="U907" s="188"/>
      <c r="V907" s="199"/>
      <c r="W907" s="73"/>
      <c r="X907" s="43"/>
      <c r="Y907" s="192"/>
      <c r="Z907" s="3"/>
      <c r="AA907" s="192"/>
      <c r="AB907" s="3"/>
      <c r="AC907" s="3"/>
      <c r="AD907" s="3"/>
      <c r="AE907" s="3"/>
      <c r="AF907" s="3"/>
      <c r="AG907" s="3"/>
      <c r="AH907" s="194"/>
      <c r="AI907" s="193"/>
      <c r="AJ907" s="194"/>
      <c r="AK907" s="130"/>
      <c r="AL907" s="203"/>
      <c r="AM907" s="203"/>
      <c r="AN907" s="3"/>
      <c r="AO907" s="3"/>
      <c r="AP907" s="137"/>
      <c r="AQ907" s="132"/>
      <c r="AR907" s="132"/>
      <c r="AS907" s="3"/>
      <c r="AT907" s="3"/>
      <c r="AU907" s="3"/>
      <c r="AV907" s="3"/>
      <c r="AW907" s="192"/>
      <c r="AX907" s="133"/>
      <c r="AY907" s="195"/>
      <c r="AZ907" s="40"/>
      <c r="BA907" s="40"/>
      <c r="BB907" s="40"/>
      <c r="BC907" s="40"/>
      <c r="BD907" s="135"/>
      <c r="BE907" s="135"/>
      <c r="BF907" s="40"/>
      <c r="BG907" s="135"/>
      <c r="BH907" s="135"/>
      <c r="BI907" s="49"/>
      <c r="BJ907" s="49"/>
      <c r="BK907" s="66"/>
      <c r="BL907" s="66"/>
      <c r="BM907" s="51"/>
      <c r="BN907" s="51"/>
      <c r="BO907" s="136"/>
      <c r="BP907" s="40"/>
      <c r="BQ907" s="40"/>
      <c r="BR907" s="67"/>
      <c r="BS907" s="54"/>
      <c r="BT907" s="3"/>
      <c r="BU907" s="3"/>
      <c r="BV907" s="3"/>
      <c r="BW907" s="3"/>
      <c r="BX907" s="70"/>
      <c r="BY907" s="70"/>
      <c r="BZ907" s="59"/>
      <c r="CA907" s="59"/>
      <c r="CB907" s="59"/>
      <c r="CC907" s="59"/>
      <c r="CD907" s="60"/>
      <c r="CE907" s="60"/>
      <c r="CF907" s="61"/>
      <c r="CG907" s="61"/>
      <c r="CH907" s="61"/>
      <c r="CI907" s="41"/>
      <c r="CJ907" s="40"/>
      <c r="CK907" s="3"/>
      <c r="CL907" s="62"/>
      <c r="CM907" s="63"/>
      <c r="CN907" s="3"/>
      <c r="CO907" s="3"/>
      <c r="CP907" s="41"/>
      <c r="CQ907" s="3"/>
      <c r="CR907" s="40"/>
      <c r="CS907" s="40"/>
      <c r="CT907" s="40"/>
      <c r="CU907" s="40"/>
      <c r="CV907" s="40"/>
      <c r="CW907" s="40"/>
      <c r="CX907" s="40"/>
      <c r="CY907" s="40"/>
    </row>
    <row r="908" spans="1:103" ht="18.95" customHeight="1">
      <c r="A908" s="3">
        <v>134</v>
      </c>
      <c r="B908" s="92" t="s">
        <v>103</v>
      </c>
      <c r="C908" s="3" t="s">
        <v>115</v>
      </c>
      <c r="D908" s="3" t="s">
        <v>269</v>
      </c>
      <c r="E908" s="39">
        <v>45173</v>
      </c>
      <c r="F908" s="3" t="s">
        <v>106</v>
      </c>
      <c r="G908" s="3" t="s">
        <v>122</v>
      </c>
      <c r="H908" s="3">
        <v>2008</v>
      </c>
      <c r="I908" s="40" t="s">
        <v>108</v>
      </c>
      <c r="J908" s="39" t="s">
        <v>123</v>
      </c>
      <c r="K908" s="3">
        <v>187.6</v>
      </c>
      <c r="L908" s="3">
        <v>187.5</v>
      </c>
      <c r="M908" s="3"/>
      <c r="N908" s="3">
        <v>149.1</v>
      </c>
      <c r="O908" s="3">
        <v>149.19999999999999</v>
      </c>
      <c r="P908" s="3"/>
      <c r="Q908" s="3">
        <v>70.400000000000006</v>
      </c>
      <c r="R908" s="3">
        <v>70.7</v>
      </c>
      <c r="S908" s="3"/>
      <c r="T908" s="42">
        <v>187.55</v>
      </c>
      <c r="U908" s="42">
        <f>AVERAGE(paper3[[#This Row],[Sittende høyde 1]:[Sittende høyde 3]])-56.2</f>
        <v>92.949999999999974</v>
      </c>
      <c r="V908" s="12">
        <f>paper3[[#This Row],[height]]-paper3[[#This Row],[sittingheight]]</f>
        <v>94.600000000000037</v>
      </c>
      <c r="W908" s="42">
        <v>70.550000000000011</v>
      </c>
      <c r="X908" s="43" cm="1">
        <f t="array" ref="X908">INDEX([1]!phvny[yphv], MATCH(1, (paper3[[#This Row],[id]]=[1]!phvny[id])*(paper3[[#This Row],[time]]=[1]!phvny[time]), 0))</f>
        <v>1.9280719197900948</v>
      </c>
      <c r="Y908" s="3"/>
      <c r="Z908" s="3">
        <v>3.11</v>
      </c>
      <c r="AA908" s="3">
        <v>4.33</v>
      </c>
      <c r="AB908" s="3">
        <v>1.8</v>
      </c>
      <c r="AC908" s="3">
        <v>3.09</v>
      </c>
      <c r="AD908" s="3">
        <v>4.3</v>
      </c>
      <c r="AE908" s="3">
        <v>1.81</v>
      </c>
      <c r="AF908" s="3">
        <v>3.08</v>
      </c>
      <c r="AG908" s="3">
        <v>4.2699999999999996</v>
      </c>
      <c r="AH908" s="44">
        <v>1.8</v>
      </c>
      <c r="AI908" s="44">
        <v>3.08</v>
      </c>
      <c r="AJ908" s="44">
        <v>4.2699999999999996</v>
      </c>
      <c r="AK908" s="45">
        <v>8.403361344537819</v>
      </c>
      <c r="AL908" s="3">
        <v>9.42</v>
      </c>
      <c r="AM908" s="3">
        <v>9.44</v>
      </c>
      <c r="AN908" s="3">
        <v>9.02</v>
      </c>
      <c r="AO908" s="3">
        <v>9.02</v>
      </c>
      <c r="AP908" s="3">
        <v>9.02</v>
      </c>
      <c r="AQ908" s="47">
        <v>9.42</v>
      </c>
      <c r="AR908" s="47">
        <v>9.02</v>
      </c>
      <c r="AS908" s="3">
        <v>39.42</v>
      </c>
      <c r="AT908" s="3"/>
      <c r="AU908" s="3"/>
      <c r="AV908" s="3"/>
      <c r="AW908" s="3"/>
      <c r="AX908" s="48">
        <v>39.42</v>
      </c>
      <c r="AY908" s="71"/>
      <c r="AZ908" s="3">
        <v>0</v>
      </c>
      <c r="BA908" s="3">
        <v>300</v>
      </c>
      <c r="BB908" s="3">
        <v>9</v>
      </c>
      <c r="BC908" s="3">
        <v>271</v>
      </c>
      <c r="BD908" s="40"/>
      <c r="BE908" s="40"/>
      <c r="BF908" s="40"/>
      <c r="BG908" s="40">
        <v>537.34625429137077</v>
      </c>
      <c r="BH908" s="40">
        <v>487.83808261336605</v>
      </c>
      <c r="BI908" s="49"/>
      <c r="BJ908" s="49">
        <v>1025.1843369047369</v>
      </c>
      <c r="BK908" s="66"/>
      <c r="BL908" s="66">
        <v>0.10148484393179724</v>
      </c>
      <c r="BM908" s="51"/>
      <c r="BN908" s="51">
        <v>14.562277512851376</v>
      </c>
      <c r="BO908" s="52">
        <v>373</v>
      </c>
      <c r="BP908" s="40">
        <v>373</v>
      </c>
      <c r="BQ908" s="40">
        <v>367</v>
      </c>
      <c r="BR908" s="67">
        <v>1.6348773841961872E-2</v>
      </c>
      <c r="BS908" s="54">
        <v>5.2445074415308284</v>
      </c>
      <c r="BT908" s="202">
        <v>161</v>
      </c>
      <c r="BU908" s="202">
        <v>167</v>
      </c>
      <c r="BV908" s="202">
        <v>99</v>
      </c>
      <c r="BW908" s="202">
        <v>113</v>
      </c>
      <c r="BX908" s="70">
        <v>-3.59281437125748E-2</v>
      </c>
      <c r="BY908" s="70">
        <v>-0.12389380530973448</v>
      </c>
      <c r="BZ908" s="59">
        <v>1.4778761061946903</v>
      </c>
      <c r="CA908" s="59">
        <v>1.6262626262626263</v>
      </c>
      <c r="CB908" s="59">
        <f>IFERROR((paper3[[#This Row],[meanadd]]*(paper3[[#This Row],[leglength]]/100))/paper3[[#This Row],[bodymass]],"")</f>
        <v>2.199064493267187</v>
      </c>
      <c r="CC908" s="59">
        <f>IFERROR((paper3[[#This Row],[meanabd]]*(paper3[[#This Row],[leglength]]/100))/paper3[[#This Row],[bodymass]],"")</f>
        <v>1.4213465627214745</v>
      </c>
      <c r="CD908" s="60">
        <v>158</v>
      </c>
      <c r="CE908" s="60">
        <v>110</v>
      </c>
      <c r="CF908" s="61">
        <v>2.2395464209780296</v>
      </c>
      <c r="CG908" s="61">
        <v>1.5591778880226788</v>
      </c>
      <c r="CH908" s="61">
        <v>0.69620253164556956</v>
      </c>
      <c r="CI908" s="41">
        <v>17.7</v>
      </c>
      <c r="CJ908" s="40">
        <f>VLOOKUP(paper3[[#This Row],[YYIR nivå]],$DB:$DC,2)</f>
        <v>1680</v>
      </c>
      <c r="CK908" s="3"/>
      <c r="CL908" s="62"/>
      <c r="CM908" s="63">
        <v>0</v>
      </c>
      <c r="CN908" s="3">
        <v>167</v>
      </c>
      <c r="CO908" s="3">
        <v>113</v>
      </c>
      <c r="CP908" s="41">
        <v>15.427777777777777</v>
      </c>
      <c r="CQ908" s="3"/>
      <c r="CR908" s="40">
        <v>164</v>
      </c>
      <c r="CS908" s="40">
        <v>106</v>
      </c>
      <c r="CT908" s="40">
        <v>370</v>
      </c>
      <c r="CU908" s="40"/>
      <c r="CV908" s="40"/>
      <c r="CW908" s="40"/>
      <c r="CX908" s="40"/>
      <c r="CY908" s="40" t="s">
        <v>125</v>
      </c>
    </row>
    <row r="909" spans="1:103" ht="18.95" customHeight="1">
      <c r="A909" s="162">
        <v>137</v>
      </c>
      <c r="B909" s="92" t="s">
        <v>103</v>
      </c>
      <c r="C909" s="3" t="s">
        <v>115</v>
      </c>
      <c r="D909" s="3" t="s">
        <v>269</v>
      </c>
      <c r="E909" s="39">
        <v>45173</v>
      </c>
      <c r="F909" s="3" t="s">
        <v>106</v>
      </c>
      <c r="G909" s="3" t="s">
        <v>122</v>
      </c>
      <c r="H909" s="3">
        <v>2008</v>
      </c>
      <c r="I909" s="40" t="s">
        <v>108</v>
      </c>
      <c r="J909" s="39" t="s">
        <v>123</v>
      </c>
      <c r="K909" s="3">
        <v>166</v>
      </c>
      <c r="L909" s="3">
        <v>166</v>
      </c>
      <c r="M909" s="3"/>
      <c r="N909" s="3">
        <v>143.69999999999999</v>
      </c>
      <c r="O909" s="3">
        <v>143.5</v>
      </c>
      <c r="P909" s="3"/>
      <c r="Q909" s="3">
        <v>49.2</v>
      </c>
      <c r="R909" s="3">
        <v>49.2</v>
      </c>
      <c r="S909" s="3"/>
      <c r="T909" s="42">
        <v>166</v>
      </c>
      <c r="U909" s="42">
        <f>AVERAGE(paper3[[#This Row],[Sittende høyde 1]:[Sittende høyde 3]])-56.2</f>
        <v>87.399999999999991</v>
      </c>
      <c r="V909" s="12">
        <f>paper3[[#This Row],[height]]-paper3[[#This Row],[sittingheight]]</f>
        <v>78.600000000000009</v>
      </c>
      <c r="W909" s="42">
        <v>49.2</v>
      </c>
      <c r="X909" s="43" cm="1">
        <f t="array" ref="X909">INDEX([1]!phvny[yphv], MATCH(1, (paper3[[#This Row],[id]]=[1]!phvny[id])*(paper3[[#This Row],[time]]=[1]!phvny[time]), 0))</f>
        <v>0.9336600090950451</v>
      </c>
      <c r="Y909" s="3">
        <v>1.83</v>
      </c>
      <c r="Z909" s="3">
        <v>3.06</v>
      </c>
      <c r="AA909" s="3">
        <v>4.25</v>
      </c>
      <c r="AB909" s="3">
        <v>1.82</v>
      </c>
      <c r="AC909" s="3">
        <v>3.06</v>
      </c>
      <c r="AD909" s="3">
        <v>4.2300000000000004</v>
      </c>
      <c r="AE909" s="3">
        <v>1.8</v>
      </c>
      <c r="AF909" s="3">
        <v>3.06</v>
      </c>
      <c r="AG909" s="3">
        <v>4.2300000000000004</v>
      </c>
      <c r="AH909" s="44">
        <v>1.8</v>
      </c>
      <c r="AI909" s="44">
        <v>3.06</v>
      </c>
      <c r="AJ909" s="44">
        <v>4.2300000000000004</v>
      </c>
      <c r="AK909" s="45">
        <v>8.5470085470085451</v>
      </c>
      <c r="AL909" s="3">
        <v>8.92</v>
      </c>
      <c r="AM909" s="3">
        <v>9.16</v>
      </c>
      <c r="AN909" s="3">
        <v>9.7899999999999991</v>
      </c>
      <c r="AO909" s="3">
        <v>9.2100000000000009</v>
      </c>
      <c r="AP909" s="3">
        <v>8.92</v>
      </c>
      <c r="AQ909" s="47">
        <v>8.92</v>
      </c>
      <c r="AR909" s="47">
        <v>9.2100000000000009</v>
      </c>
      <c r="AS909" s="3">
        <v>42.41</v>
      </c>
      <c r="AT909" s="3"/>
      <c r="AU909" s="3"/>
      <c r="AV909" s="3"/>
      <c r="AW909" s="3"/>
      <c r="AX909" s="48">
        <v>42.41</v>
      </c>
      <c r="AY909" s="71"/>
      <c r="AZ909" s="3">
        <v>8</v>
      </c>
      <c r="BA909" s="3">
        <v>230</v>
      </c>
      <c r="BB909" s="3">
        <v>11</v>
      </c>
      <c r="BC909" s="3">
        <v>251</v>
      </c>
      <c r="BD909" s="40"/>
      <c r="BE909" s="40"/>
      <c r="BF909" s="40"/>
      <c r="BG909" s="40">
        <v>542.08676233750543</v>
      </c>
      <c r="BH909" s="40">
        <v>489.56853505612816</v>
      </c>
      <c r="BI909" s="49"/>
      <c r="BJ909" s="49">
        <v>1031.6552973936336</v>
      </c>
      <c r="BK909" s="66"/>
      <c r="BL909" s="66">
        <v>0.10727451525322418</v>
      </c>
      <c r="BM909" s="51"/>
      <c r="BN909" s="51">
        <v>20.968603605561658</v>
      </c>
      <c r="BO909" s="52">
        <v>274</v>
      </c>
      <c r="BP909" s="40">
        <v>272</v>
      </c>
      <c r="BQ909" s="40">
        <v>274</v>
      </c>
      <c r="BR909" s="67">
        <v>-7.2992700729926918E-3</v>
      </c>
      <c r="BS909" s="54">
        <v>5.5487804878048781</v>
      </c>
      <c r="BT909" s="3">
        <v>144</v>
      </c>
      <c r="BU909" s="40">
        <v>147</v>
      </c>
      <c r="BV909" s="3">
        <v>120</v>
      </c>
      <c r="BW909" s="3">
        <v>126</v>
      </c>
      <c r="BX909" s="70">
        <v>-2.0408163265306145E-2</v>
      </c>
      <c r="BY909" s="70">
        <v>-4.7619047619047672E-2</v>
      </c>
      <c r="BZ909" s="59">
        <v>1.1666666666666667</v>
      </c>
      <c r="CA909" s="59">
        <v>1.2</v>
      </c>
      <c r="CB909" s="59">
        <f>IFERROR((paper3[[#This Row],[meanadd]]*(paper3[[#This Row],[leglength]]/100))/paper3[[#This Row],[bodymass]],"")</f>
        <v>2.3244512195121949</v>
      </c>
      <c r="CC909" s="59">
        <f>IFERROR((paper3[[#This Row],[meanabd]]*(paper3[[#This Row],[leglength]]/100))/paper3[[#This Row],[bodymass]],"")</f>
        <v>1.9649999999999999</v>
      </c>
      <c r="CD909" s="60">
        <v>128</v>
      </c>
      <c r="CE909" s="60">
        <v>112</v>
      </c>
      <c r="CF909" s="61">
        <v>2.6016260162601625</v>
      </c>
      <c r="CG909" s="61">
        <v>2.2764227642276422</v>
      </c>
      <c r="CH909" s="61">
        <v>0.875</v>
      </c>
      <c r="CI909" s="41">
        <v>18.399999999999999</v>
      </c>
      <c r="CJ909" s="40">
        <f>VLOOKUP(paper3[[#This Row],[YYIR nivå]],$DB:$DC,2)</f>
        <v>1880</v>
      </c>
      <c r="CK909" s="3"/>
      <c r="CL909" s="62"/>
      <c r="CM909" s="63">
        <v>0</v>
      </c>
      <c r="CN909" s="3">
        <v>147</v>
      </c>
      <c r="CO909" s="3">
        <v>126</v>
      </c>
      <c r="CP909" s="41">
        <v>15.261111111111111</v>
      </c>
      <c r="CQ909" s="3"/>
      <c r="CR909" s="40">
        <v>145.5</v>
      </c>
      <c r="CS909" s="40">
        <v>123</v>
      </c>
      <c r="CT909" s="40">
        <v>273</v>
      </c>
      <c r="CU909" s="40"/>
      <c r="CV909" s="40"/>
      <c r="CW909" s="40"/>
      <c r="CX909" s="40"/>
      <c r="CY909" s="40">
        <v>0</v>
      </c>
    </row>
    <row r="910" spans="1:103" ht="18.95" customHeight="1">
      <c r="A910" s="3">
        <v>139</v>
      </c>
      <c r="B910" s="92" t="s">
        <v>103</v>
      </c>
      <c r="C910" s="3" t="s">
        <v>115</v>
      </c>
      <c r="D910" s="3" t="s">
        <v>269</v>
      </c>
      <c r="E910" s="39">
        <v>45173</v>
      </c>
      <c r="F910" s="3" t="s">
        <v>106</v>
      </c>
      <c r="G910" s="3" t="s">
        <v>122</v>
      </c>
      <c r="H910" s="3">
        <v>2008</v>
      </c>
      <c r="I910" s="40" t="s">
        <v>108</v>
      </c>
      <c r="J910" s="39" t="s">
        <v>123</v>
      </c>
      <c r="K910" s="3">
        <v>174.8</v>
      </c>
      <c r="L910" s="3">
        <v>174.7</v>
      </c>
      <c r="M910" s="3"/>
      <c r="N910" s="3">
        <v>147.30000000000001</v>
      </c>
      <c r="O910" s="3">
        <v>147.1</v>
      </c>
      <c r="P910" s="3"/>
      <c r="Q910" s="3">
        <v>67</v>
      </c>
      <c r="R910" s="3">
        <v>67</v>
      </c>
      <c r="S910" s="3"/>
      <c r="T910" s="42">
        <v>174.75</v>
      </c>
      <c r="U910" s="42">
        <f>AVERAGE(paper3[[#This Row],[Sittende høyde 1]:[Sittende høyde 3]])-56.2</f>
        <v>90.999999999999986</v>
      </c>
      <c r="V910" s="12">
        <f>paper3[[#This Row],[height]]-paper3[[#This Row],[sittingheight]]</f>
        <v>83.750000000000014</v>
      </c>
      <c r="W910" s="42">
        <v>67</v>
      </c>
      <c r="X910" s="43" cm="1">
        <f t="array" ref="X910">INDEX([1]!phvny[yphv], MATCH(1, (paper3[[#This Row],[id]]=[1]!phvny[id])*(paper3[[#This Row],[time]]=[1]!phvny[time]), 0))</f>
        <v>1.7949685401645168</v>
      </c>
      <c r="Y910" s="3"/>
      <c r="Z910" s="3"/>
      <c r="AA910" s="3"/>
      <c r="AB910" s="3"/>
      <c r="AC910" s="3"/>
      <c r="AD910" s="3"/>
      <c r="AE910" s="3"/>
      <c r="AF910" s="3"/>
      <c r="AG910" s="3"/>
      <c r="AH910" s="44"/>
      <c r="AI910" s="44"/>
      <c r="AJ910" s="44"/>
      <c r="AK910" s="45"/>
      <c r="AL910" s="3"/>
      <c r="AM910" s="3"/>
      <c r="AN910" s="3"/>
      <c r="AO910" s="3"/>
      <c r="AP910" s="3"/>
      <c r="AQ910" s="47"/>
      <c r="AR910" s="47"/>
      <c r="AS910" s="3">
        <v>37.42</v>
      </c>
      <c r="AT910" s="3"/>
      <c r="AU910" s="3"/>
      <c r="AV910" s="3"/>
      <c r="AW910" s="3"/>
      <c r="AX910" s="48">
        <v>37.42</v>
      </c>
      <c r="AY910" s="71"/>
      <c r="AZ910" s="3"/>
      <c r="BA910" s="3"/>
      <c r="BB910" s="3"/>
      <c r="BC910" s="3"/>
      <c r="BD910" s="40"/>
      <c r="BE910" s="40"/>
      <c r="BF910" s="40"/>
      <c r="BG910" s="40"/>
      <c r="BH910" s="40"/>
      <c r="BI910" s="49"/>
      <c r="BJ910" s="49"/>
      <c r="BK910" s="66"/>
      <c r="BL910" s="66"/>
      <c r="BM910" s="51"/>
      <c r="BN910" s="51"/>
      <c r="BO910" s="52"/>
      <c r="BP910" s="40"/>
      <c r="BQ910" s="40"/>
      <c r="BR910" s="67"/>
      <c r="BS910" s="54" t="s">
        <v>110</v>
      </c>
      <c r="BT910" s="3">
        <v>191</v>
      </c>
      <c r="BU910" s="40">
        <v>190</v>
      </c>
      <c r="BV910" s="3">
        <v>135</v>
      </c>
      <c r="BW910" s="3">
        <v>153</v>
      </c>
      <c r="BX910" s="70">
        <v>5.2631578947368585E-3</v>
      </c>
      <c r="BY910" s="70">
        <v>-0.11764705882352944</v>
      </c>
      <c r="BZ910" s="59">
        <v>1.2418300653594772</v>
      </c>
      <c r="CA910" s="59">
        <v>1.4148148148148147</v>
      </c>
      <c r="CB910" s="59">
        <f>IFERROR((paper3[[#This Row],[meanadd]]*(paper3[[#This Row],[leglength]]/100))/paper3[[#This Row],[bodymass]],"")</f>
        <v>2.3812500000000001</v>
      </c>
      <c r="CC910" s="59">
        <f>IFERROR((paper3[[#This Row],[meanabd]]*(paper3[[#This Row],[leglength]]/100))/paper3[[#This Row],[bodymass]],"")</f>
        <v>1.8000000000000003</v>
      </c>
      <c r="CD910" s="60">
        <v>121</v>
      </c>
      <c r="CE910" s="60">
        <v>99</v>
      </c>
      <c r="CF910" s="61">
        <v>1.8059701492537314</v>
      </c>
      <c r="CG910" s="61">
        <v>1.4776119402985075</v>
      </c>
      <c r="CH910" s="61">
        <v>0.81818181818181812</v>
      </c>
      <c r="CI910" s="41">
        <v>16.600000000000001</v>
      </c>
      <c r="CJ910" s="40">
        <f>VLOOKUP(paper3[[#This Row],[YYIR nivå]],$DB:$DC,2)</f>
        <v>1320</v>
      </c>
      <c r="CK910" s="3"/>
      <c r="CL910" s="62"/>
      <c r="CM910" s="63">
        <v>0</v>
      </c>
      <c r="CN910" s="3">
        <v>191</v>
      </c>
      <c r="CO910" s="3">
        <v>153</v>
      </c>
      <c r="CP910" s="41">
        <v>15.633333333333333</v>
      </c>
      <c r="CQ910" s="3"/>
      <c r="CR910" s="40">
        <v>190.5</v>
      </c>
      <c r="CS910" s="40">
        <v>144</v>
      </c>
      <c r="CT910" s="40" t="s">
        <v>110</v>
      </c>
      <c r="CU910" s="40"/>
      <c r="CV910" s="40"/>
      <c r="CW910" s="40"/>
      <c r="CX910" s="40"/>
      <c r="CY910" s="40">
        <v>0</v>
      </c>
    </row>
    <row r="911" spans="1:103" ht="18.95" customHeight="1">
      <c r="A911" s="162">
        <v>141</v>
      </c>
      <c r="B911" s="92" t="s">
        <v>103</v>
      </c>
      <c r="C911" s="3" t="s">
        <v>115</v>
      </c>
      <c r="D911" s="3" t="s">
        <v>269</v>
      </c>
      <c r="E911" s="39">
        <v>45173</v>
      </c>
      <c r="F911" s="3" t="s">
        <v>106</v>
      </c>
      <c r="G911" s="3" t="s">
        <v>122</v>
      </c>
      <c r="H911" s="3">
        <v>2008</v>
      </c>
      <c r="I911" s="40" t="s">
        <v>108</v>
      </c>
      <c r="J911" s="39" t="s">
        <v>123</v>
      </c>
      <c r="K911" s="3">
        <v>180</v>
      </c>
      <c r="L911" s="3">
        <v>180.1</v>
      </c>
      <c r="M911" s="3"/>
      <c r="N911" s="3">
        <v>151.19999999999999</v>
      </c>
      <c r="O911" s="3">
        <v>151.4</v>
      </c>
      <c r="P911" s="3"/>
      <c r="Q911" s="3">
        <v>68.099999999999994</v>
      </c>
      <c r="R911" s="3">
        <v>68.099999999999994</v>
      </c>
      <c r="S911" s="3"/>
      <c r="T911" s="42">
        <v>180.05</v>
      </c>
      <c r="U911" s="42">
        <f>AVERAGE(paper3[[#This Row],[Sittende høyde 1]:[Sittende høyde 3]])-56.2</f>
        <v>95.100000000000009</v>
      </c>
      <c r="V911" s="12">
        <f>paper3[[#This Row],[height]]-paper3[[#This Row],[sittingheight]]</f>
        <v>84.95</v>
      </c>
      <c r="W911" s="42">
        <v>68.099999999999994</v>
      </c>
      <c r="X911" s="43" cm="1">
        <f t="array" ref="X911">INDEX([1]!phvny[yphv], MATCH(1, (paper3[[#This Row],[id]]=[1]!phvny[id])*(paper3[[#This Row],[time]]=[1]!phvny[time]), 0))</f>
        <v>2.1248706135848154</v>
      </c>
      <c r="Y911" s="3">
        <v>1.93</v>
      </c>
      <c r="Z911" s="3">
        <v>3.23</v>
      </c>
      <c r="AA911" s="3">
        <v>4.49</v>
      </c>
      <c r="AB911" s="3">
        <v>1.87</v>
      </c>
      <c r="AC911" s="3">
        <v>3.2</v>
      </c>
      <c r="AD911" s="3">
        <v>4.45</v>
      </c>
      <c r="AE911" s="3">
        <v>1.9</v>
      </c>
      <c r="AF911" s="3">
        <v>3.23</v>
      </c>
      <c r="AG911" s="3">
        <v>4.49</v>
      </c>
      <c r="AH911" s="44">
        <v>1.87</v>
      </c>
      <c r="AI911" s="44">
        <v>3.2</v>
      </c>
      <c r="AJ911" s="44">
        <v>4.45</v>
      </c>
      <c r="AK911" s="45">
        <v>8</v>
      </c>
      <c r="AL911" s="3">
        <v>9.33</v>
      </c>
      <c r="AM911" s="3">
        <v>9.41</v>
      </c>
      <c r="AN911" s="3">
        <v>9.66</v>
      </c>
      <c r="AO911" s="3">
        <v>9.5</v>
      </c>
      <c r="AP911" s="3">
        <v>9.33</v>
      </c>
      <c r="AQ911" s="47">
        <v>9.33</v>
      </c>
      <c r="AR911" s="47">
        <v>9.5</v>
      </c>
      <c r="AS911" s="3">
        <v>36.9</v>
      </c>
      <c r="AT911" s="3"/>
      <c r="AU911" s="3"/>
      <c r="AV911" s="3"/>
      <c r="AW911" s="3"/>
      <c r="AX911" s="48">
        <v>36.9</v>
      </c>
      <c r="AY911" s="71"/>
      <c r="AZ911" s="3">
        <v>8</v>
      </c>
      <c r="BA911" s="3">
        <v>230</v>
      </c>
      <c r="BB911" s="3">
        <v>11</v>
      </c>
      <c r="BC911" s="3">
        <v>251</v>
      </c>
      <c r="BD911" s="40">
        <v>1049.0260945267244</v>
      </c>
      <c r="BE911" s="40">
        <v>993.32320550780128</v>
      </c>
      <c r="BF911" s="40"/>
      <c r="BG911" s="40">
        <v>644.9318579023552</v>
      </c>
      <c r="BH911" s="40">
        <v>658.18205737135827</v>
      </c>
      <c r="BI911" s="49">
        <v>2042.3493000345256</v>
      </c>
      <c r="BJ911" s="49">
        <v>1303.1139152737135</v>
      </c>
      <c r="BK911" s="66">
        <v>5.6077305664521404E-2</v>
      </c>
      <c r="BL911" s="66">
        <v>-2.013151121427037E-2</v>
      </c>
      <c r="BM911" s="51">
        <v>29.990444934427693</v>
      </c>
      <c r="BN911" s="51">
        <v>19.13529978375497</v>
      </c>
      <c r="BO911" s="52">
        <v>287</v>
      </c>
      <c r="BP911" s="40">
        <v>264</v>
      </c>
      <c r="BQ911" s="40">
        <v>287</v>
      </c>
      <c r="BR911" s="67">
        <v>-8.0139372822299659E-2</v>
      </c>
      <c r="BS911" s="54">
        <v>4.0455212922173276</v>
      </c>
      <c r="BT911" s="3"/>
      <c r="BU911" s="40"/>
      <c r="BV911" s="3"/>
      <c r="BW911" s="3"/>
      <c r="BX911" s="70"/>
      <c r="BY911" s="70"/>
      <c r="BZ911" s="59"/>
      <c r="CA911" s="59"/>
      <c r="CB911" s="59" t="s">
        <v>110</v>
      </c>
      <c r="CC911" s="59" t="s">
        <v>110</v>
      </c>
      <c r="CD911" s="60">
        <v>86</v>
      </c>
      <c r="CE911" s="60">
        <v>89</v>
      </c>
      <c r="CF911" s="61">
        <v>1.262848751835536</v>
      </c>
      <c r="CG911" s="61">
        <v>1.3069016152716595</v>
      </c>
      <c r="CH911" s="61">
        <v>1.0348837209302326</v>
      </c>
      <c r="CI911" s="41">
        <v>16.5</v>
      </c>
      <c r="CJ911" s="40">
        <f>VLOOKUP(paper3[[#This Row],[YYIR nivå]],$DB:$DC,2)</f>
        <v>1280</v>
      </c>
      <c r="CK911" s="3"/>
      <c r="CL911" s="62"/>
      <c r="CM911" s="63">
        <v>0</v>
      </c>
      <c r="CN911" s="3"/>
      <c r="CO911" s="3"/>
      <c r="CP911" s="41">
        <v>15.241666666666667</v>
      </c>
      <c r="CQ911" s="3"/>
      <c r="CR911" s="40" t="s">
        <v>110</v>
      </c>
      <c r="CS911" s="40" t="s">
        <v>110</v>
      </c>
      <c r="CT911" s="40">
        <v>275.5</v>
      </c>
      <c r="CU911" s="40"/>
      <c r="CV911" s="40"/>
      <c r="CW911" s="40"/>
      <c r="CX911" s="40"/>
      <c r="CY911" s="40">
        <v>0</v>
      </c>
    </row>
    <row r="912" spans="1:103" ht="18.95" customHeight="1">
      <c r="A912" s="3">
        <v>143</v>
      </c>
      <c r="B912" s="92" t="s">
        <v>103</v>
      </c>
      <c r="C912" s="3" t="s">
        <v>115</v>
      </c>
      <c r="D912" s="3" t="s">
        <v>269</v>
      </c>
      <c r="E912" s="39">
        <v>45173</v>
      </c>
      <c r="F912" s="3" t="s">
        <v>106</v>
      </c>
      <c r="G912" s="3" t="s">
        <v>122</v>
      </c>
      <c r="H912" s="3">
        <v>2008</v>
      </c>
      <c r="I912" s="40" t="s">
        <v>108</v>
      </c>
      <c r="J912" s="39" t="s">
        <v>123</v>
      </c>
      <c r="K912" s="3">
        <v>174.6</v>
      </c>
      <c r="L912" s="3">
        <v>174.4</v>
      </c>
      <c r="M912" s="3"/>
      <c r="N912" s="3">
        <v>144</v>
      </c>
      <c r="O912" s="3">
        <v>144.19999999999999</v>
      </c>
      <c r="P912" s="3"/>
      <c r="Q912" s="3">
        <v>56.1</v>
      </c>
      <c r="R912" s="3">
        <v>56.1</v>
      </c>
      <c r="S912" s="3"/>
      <c r="T912" s="42">
        <v>174.5</v>
      </c>
      <c r="U912" s="42">
        <f>AVERAGE(paper3[[#This Row],[Sittende høyde 1]:[Sittende høyde 3]])-56.2</f>
        <v>87.899999999999991</v>
      </c>
      <c r="V912" s="12">
        <f>paper3[[#This Row],[height]]-paper3[[#This Row],[sittingheight]]</f>
        <v>86.600000000000009</v>
      </c>
      <c r="W912" s="42">
        <v>56.1</v>
      </c>
      <c r="X912" s="43" cm="1">
        <f t="array" ref="X912">INDEX([1]!phvny[yphv], MATCH(1, (paper3[[#This Row],[id]]=[1]!phvny[id])*(paper3[[#This Row],[time]]=[1]!phvny[time]), 0))</f>
        <v>0.87814936854886916</v>
      </c>
      <c r="Y912" s="3">
        <v>1.99</v>
      </c>
      <c r="Z912" s="3">
        <v>3.35</v>
      </c>
      <c r="AA912" s="3">
        <v>4.68</v>
      </c>
      <c r="AB912" s="3">
        <v>1.96</v>
      </c>
      <c r="AC912" s="3">
        <v>3.29</v>
      </c>
      <c r="AD912" s="3">
        <v>4.57</v>
      </c>
      <c r="AE912" s="3">
        <v>1.97</v>
      </c>
      <c r="AF912" s="3">
        <v>3.32</v>
      </c>
      <c r="AG912" s="3">
        <v>4.57</v>
      </c>
      <c r="AH912" s="44">
        <v>1.96</v>
      </c>
      <c r="AI912" s="44">
        <v>3.29</v>
      </c>
      <c r="AJ912" s="44">
        <v>4.57</v>
      </c>
      <c r="AK912" s="45">
        <v>7.8124999999999982</v>
      </c>
      <c r="AL912" s="3"/>
      <c r="AM912" s="3"/>
      <c r="AN912" s="3"/>
      <c r="AO912" s="3"/>
      <c r="AP912" s="3"/>
      <c r="AQ912" s="47"/>
      <c r="AR912" s="47"/>
      <c r="AS912" s="3">
        <v>33.97</v>
      </c>
      <c r="AT912" s="3"/>
      <c r="AU912" s="3"/>
      <c r="AV912" s="3"/>
      <c r="AW912" s="3"/>
      <c r="AX912" s="48">
        <v>33.97</v>
      </c>
      <c r="AY912" s="71"/>
      <c r="AZ912" s="3">
        <v>6</v>
      </c>
      <c r="BA912" s="3">
        <v>290</v>
      </c>
      <c r="BB912" s="3">
        <v>9</v>
      </c>
      <c r="BC912" s="3">
        <v>235</v>
      </c>
      <c r="BD912" s="40">
        <v>936.55380484933289</v>
      </c>
      <c r="BE912" s="40">
        <v>994.74482567868199</v>
      </c>
      <c r="BF912" s="40"/>
      <c r="BG912" s="40">
        <v>435.26329141395206</v>
      </c>
      <c r="BH912" s="40">
        <v>413.25266290726955</v>
      </c>
      <c r="BI912" s="49">
        <v>1931.2986305280149</v>
      </c>
      <c r="BJ912" s="49">
        <v>848.51595432122167</v>
      </c>
      <c r="BK912" s="66">
        <v>-5.8498440330812751E-2</v>
      </c>
      <c r="BL912" s="66">
        <v>5.3261915729316156E-2</v>
      </c>
      <c r="BM912" s="51">
        <v>34.426000544171387</v>
      </c>
      <c r="BN912" s="51">
        <v>15.125061574353326</v>
      </c>
      <c r="BO912" s="52">
        <v>335</v>
      </c>
      <c r="BP912" s="40">
        <v>335</v>
      </c>
      <c r="BQ912" s="40">
        <v>300</v>
      </c>
      <c r="BR912" s="67">
        <v>0.1166666666666667</v>
      </c>
      <c r="BS912" s="54">
        <v>5.6595365418894827</v>
      </c>
      <c r="BT912" s="3">
        <v>136</v>
      </c>
      <c r="BU912" s="40">
        <v>132</v>
      </c>
      <c r="BV912" s="3">
        <v>124</v>
      </c>
      <c r="BW912" s="3">
        <v>125</v>
      </c>
      <c r="BX912" s="70">
        <v>3.0303030303030276E-2</v>
      </c>
      <c r="BY912" s="70">
        <v>-8.0000000000000071E-3</v>
      </c>
      <c r="BZ912" s="59">
        <v>1.056</v>
      </c>
      <c r="CA912" s="59">
        <v>1.096774193548387</v>
      </c>
      <c r="CB912" s="59">
        <f>IFERROR((paper3[[#This Row],[meanadd]]*(paper3[[#This Row],[leglength]]/100))/paper3[[#This Row],[bodymass]],"")</f>
        <v>2.0685204991087347</v>
      </c>
      <c r="CC912" s="59">
        <f>IFERROR((paper3[[#This Row],[meanabd]]*(paper3[[#This Row],[leglength]]/100))/paper3[[#This Row],[bodymass]],"")</f>
        <v>1.9218716577540107</v>
      </c>
      <c r="CD912" s="60">
        <v>111</v>
      </c>
      <c r="CE912" s="60">
        <v>116</v>
      </c>
      <c r="CF912" s="61">
        <v>1.9786096256684491</v>
      </c>
      <c r="CG912" s="61">
        <v>2.0677361853832443</v>
      </c>
      <c r="CH912" s="61">
        <v>1.0450450450450453</v>
      </c>
      <c r="CI912" s="41">
        <v>16.2</v>
      </c>
      <c r="CJ912" s="40">
        <f>VLOOKUP(paper3[[#This Row],[YYIR nivå]],$DB:$DC,2)</f>
        <v>1160</v>
      </c>
      <c r="CK912" s="3"/>
      <c r="CL912" s="62"/>
      <c r="CM912" s="63">
        <v>0</v>
      </c>
      <c r="CN912" s="3">
        <v>136</v>
      </c>
      <c r="CO912" s="3">
        <v>125</v>
      </c>
      <c r="CP912" s="41">
        <v>14.922222222222222</v>
      </c>
      <c r="CQ912" s="3"/>
      <c r="CR912" s="40">
        <v>134</v>
      </c>
      <c r="CS912" s="40">
        <v>124.5</v>
      </c>
      <c r="CT912" s="40">
        <v>317.5</v>
      </c>
      <c r="CU912" s="40"/>
      <c r="CV912" s="40"/>
      <c r="CW912" s="40"/>
      <c r="CX912" s="40"/>
      <c r="CY912" s="40">
        <v>0</v>
      </c>
    </row>
    <row r="913" spans="1:103" ht="18.95" customHeight="1">
      <c r="A913" s="162">
        <v>145</v>
      </c>
      <c r="B913" s="92" t="s">
        <v>103</v>
      </c>
      <c r="C913" s="3">
        <v>0</v>
      </c>
      <c r="D913" s="3" t="s">
        <v>269</v>
      </c>
      <c r="E913" s="39">
        <v>45173</v>
      </c>
      <c r="F913" s="3" t="s">
        <v>106</v>
      </c>
      <c r="G913" s="3" t="s">
        <v>122</v>
      </c>
      <c r="H913" s="3">
        <v>2008</v>
      </c>
      <c r="I913" s="40" t="s">
        <v>108</v>
      </c>
      <c r="J913" s="39" t="s">
        <v>123</v>
      </c>
      <c r="K913" s="3">
        <v>174.7</v>
      </c>
      <c r="L913" s="3">
        <v>174.8</v>
      </c>
      <c r="M913" s="3"/>
      <c r="N913" s="3">
        <v>142.30000000000001</v>
      </c>
      <c r="O913" s="3">
        <v>142.4</v>
      </c>
      <c r="P913" s="3"/>
      <c r="Q913" s="3">
        <v>54.4</v>
      </c>
      <c r="R913" s="3">
        <v>54.4</v>
      </c>
      <c r="S913" s="3"/>
      <c r="T913" s="42">
        <v>174.75</v>
      </c>
      <c r="U913" s="42">
        <f>AVERAGE(paper3[[#This Row],[Sittende høyde 1]:[Sittende høyde 3]])-56.2</f>
        <v>86.15000000000002</v>
      </c>
      <c r="V913" s="12">
        <f>paper3[[#This Row],[height]]-paper3[[#This Row],[sittingheight]]</f>
        <v>88.59999999999998</v>
      </c>
      <c r="W913" s="42">
        <v>54.4</v>
      </c>
      <c r="X913" s="43" cm="1">
        <f t="array" ref="X913">INDEX([1]!phvny[yphv], MATCH(1, (paper3[[#This Row],[id]]=[1]!phvny[id])*(paper3[[#This Row],[time]]=[1]!phvny[time]), 0))</f>
        <v>0.65001665188316993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44"/>
      <c r="AI913" s="44"/>
      <c r="AJ913" s="44"/>
      <c r="AK913" s="45"/>
      <c r="AL913" s="3"/>
      <c r="AM913" s="3"/>
      <c r="AN913" s="3"/>
      <c r="AO913" s="3"/>
      <c r="AP913" s="3"/>
      <c r="AQ913" s="47"/>
      <c r="AR913" s="47"/>
      <c r="AS913" s="3"/>
      <c r="AT913" s="3"/>
      <c r="AU913" s="3"/>
      <c r="AV913" s="3"/>
      <c r="AW913" s="3"/>
      <c r="AX913" s="48"/>
      <c r="AY913" s="71"/>
      <c r="AZ913" s="3"/>
      <c r="BA913" s="3"/>
      <c r="BB913" s="3"/>
      <c r="BC913" s="3"/>
      <c r="BD913" s="40"/>
      <c r="BE913" s="40"/>
      <c r="BF913" s="40"/>
      <c r="BG913" s="40"/>
      <c r="BH913" s="40"/>
      <c r="BI913" s="49"/>
      <c r="BJ913" s="49"/>
      <c r="BK913" s="66"/>
      <c r="BL913" s="66"/>
      <c r="BM913" s="51"/>
      <c r="BN913" s="51"/>
      <c r="BO913" s="52"/>
      <c r="BP913" s="40"/>
      <c r="BQ913" s="40"/>
      <c r="BR913" s="67"/>
      <c r="BS913" s="54" t="s">
        <v>110</v>
      </c>
      <c r="BT913" s="3"/>
      <c r="BU913" s="40"/>
      <c r="BV913" s="3"/>
      <c r="BW913" s="3"/>
      <c r="BX913" s="70"/>
      <c r="BY913" s="70"/>
      <c r="BZ913" s="59"/>
      <c r="CA913" s="59"/>
      <c r="CB913" s="59" t="s">
        <v>110</v>
      </c>
      <c r="CC913" s="59" t="s">
        <v>110</v>
      </c>
      <c r="CD913" s="60">
        <v>125</v>
      </c>
      <c r="CE913" s="60">
        <v>180</v>
      </c>
      <c r="CF913" s="61">
        <v>2.2977941176470589</v>
      </c>
      <c r="CG913" s="61">
        <v>3.3088235294117649</v>
      </c>
      <c r="CH913" s="61">
        <v>1.4400000000000002</v>
      </c>
      <c r="CI913" s="41"/>
      <c r="CJ913" s="40"/>
      <c r="CK913" s="3"/>
      <c r="CL913" s="62"/>
      <c r="CM913" s="63">
        <v>0</v>
      </c>
      <c r="CN913" s="3"/>
      <c r="CO913" s="3"/>
      <c r="CP913" s="41">
        <v>14.980555555555556</v>
      </c>
      <c r="CQ913" s="3"/>
      <c r="CR913" s="40" t="s">
        <v>110</v>
      </c>
      <c r="CS913" s="40" t="s">
        <v>110</v>
      </c>
      <c r="CT913" s="40" t="s">
        <v>110</v>
      </c>
      <c r="CU913" s="40"/>
      <c r="CV913" s="40"/>
      <c r="CW913" s="40"/>
      <c r="CX913" s="40"/>
      <c r="CY913" s="40">
        <v>0</v>
      </c>
    </row>
    <row r="914" spans="1:103" ht="18.95" customHeight="1">
      <c r="A914" s="3">
        <v>146</v>
      </c>
      <c r="B914" s="92" t="s">
        <v>103</v>
      </c>
      <c r="C914" s="3" t="s">
        <v>115</v>
      </c>
      <c r="D914" s="3" t="s">
        <v>269</v>
      </c>
      <c r="E914" s="39">
        <v>45173</v>
      </c>
      <c r="F914" s="3" t="s">
        <v>106</v>
      </c>
      <c r="G914" s="3" t="s">
        <v>122</v>
      </c>
      <c r="H914" s="3">
        <v>2008</v>
      </c>
      <c r="I914" s="40" t="s">
        <v>108</v>
      </c>
      <c r="J914" s="39" t="s">
        <v>123</v>
      </c>
      <c r="K914" s="3">
        <v>170.8</v>
      </c>
      <c r="L914" s="3">
        <v>170.7</v>
      </c>
      <c r="M914" s="3"/>
      <c r="N914" s="3">
        <v>140.80000000000001</v>
      </c>
      <c r="O914" s="3">
        <v>141</v>
      </c>
      <c r="P914" s="3"/>
      <c r="Q914" s="3">
        <v>55.8</v>
      </c>
      <c r="R914" s="3">
        <v>55.8</v>
      </c>
      <c r="S914" s="3"/>
      <c r="T914" s="42">
        <v>170.75</v>
      </c>
      <c r="U914" s="42">
        <f>AVERAGE(paper3[[#This Row],[Sittende høyde 1]:[Sittende høyde 3]])-56.2</f>
        <v>84.7</v>
      </c>
      <c r="V914" s="12">
        <f>paper3[[#This Row],[height]]-paper3[[#This Row],[sittingheight]]</f>
        <v>86.05</v>
      </c>
      <c r="W914" s="42">
        <v>55.8</v>
      </c>
      <c r="X914" s="43" cm="1">
        <f t="array" ref="X914">INDEX([1]!phvny[yphv], MATCH(1, (paper3[[#This Row],[id]]=[1]!phvny[id])*(paper3[[#This Row],[time]]=[1]!phvny[time]), 0))</f>
        <v>0.55103840380344316</v>
      </c>
      <c r="Y914" s="3">
        <v>1.89</v>
      </c>
      <c r="Z914" s="3">
        <v>3.21</v>
      </c>
      <c r="AA914" s="3">
        <v>4.4800000000000004</v>
      </c>
      <c r="AB914" s="208"/>
      <c r="AC914" s="3"/>
      <c r="AD914" s="3"/>
      <c r="AE914" s="3"/>
      <c r="AF914" s="3"/>
      <c r="AG914" s="3"/>
      <c r="AH914" s="44">
        <v>1.89</v>
      </c>
      <c r="AI914" s="44">
        <v>3.21</v>
      </c>
      <c r="AJ914" s="44">
        <v>4.4800000000000004</v>
      </c>
      <c r="AK914" s="45">
        <v>7.8740157480314936</v>
      </c>
      <c r="AL914" s="3"/>
      <c r="AM914" s="3"/>
      <c r="AN914" s="3"/>
      <c r="AO914" s="3"/>
      <c r="AP914" s="3"/>
      <c r="AQ914" s="47"/>
      <c r="AR914" s="47"/>
      <c r="AS914" s="3">
        <v>34.78</v>
      </c>
      <c r="AT914" s="3"/>
      <c r="AU914" s="3"/>
      <c r="AV914" s="3"/>
      <c r="AW914" s="3"/>
      <c r="AX914" s="48">
        <v>34.78</v>
      </c>
      <c r="AY914" s="71"/>
      <c r="AZ914" s="3">
        <v>6</v>
      </c>
      <c r="BA914" s="3">
        <v>290</v>
      </c>
      <c r="BB914" s="3">
        <v>9</v>
      </c>
      <c r="BC914" s="3">
        <v>262</v>
      </c>
      <c r="BD914" s="40">
        <v>1005.796409119788</v>
      </c>
      <c r="BE914" s="40">
        <v>986.89910453485538</v>
      </c>
      <c r="BF914" s="40"/>
      <c r="BG914" s="40">
        <v>457.66546720911833</v>
      </c>
      <c r="BH914" s="40">
        <v>441.94374549141401</v>
      </c>
      <c r="BI914" s="49">
        <v>1992.6955136546435</v>
      </c>
      <c r="BJ914" s="49">
        <v>899.60921270053234</v>
      </c>
      <c r="BK914" s="66">
        <v>1.9148162662321333E-2</v>
      </c>
      <c r="BL914" s="66">
        <v>3.557403374998036E-2</v>
      </c>
      <c r="BM914" s="51">
        <v>35.711389133595766</v>
      </c>
      <c r="BN914" s="51">
        <v>16.122028901443233</v>
      </c>
      <c r="BO914" s="52">
        <v>305</v>
      </c>
      <c r="BP914" s="40">
        <v>305</v>
      </c>
      <c r="BQ914" s="40">
        <v>261</v>
      </c>
      <c r="BR914" s="67">
        <v>0.16858237547892729</v>
      </c>
      <c r="BS914" s="54">
        <v>5.0716845878136203</v>
      </c>
      <c r="BT914" s="3">
        <v>155</v>
      </c>
      <c r="BU914" s="40">
        <v>153</v>
      </c>
      <c r="BV914" s="3"/>
      <c r="BW914" s="3"/>
      <c r="BX914" s="70">
        <v>1.3071895424836555E-2</v>
      </c>
      <c r="BY914" s="70"/>
      <c r="BZ914" s="59"/>
      <c r="CA914" s="59"/>
      <c r="CB914" s="59">
        <f>IFERROR((paper3[[#This Row],[meanadd]]*(paper3[[#This Row],[leglength]]/100))/paper3[[#This Row],[bodymass]],"")</f>
        <v>2.3748566308243726</v>
      </c>
      <c r="CC914" s="59"/>
      <c r="CD914" s="60">
        <v>123</v>
      </c>
      <c r="CE914" s="60">
        <v>87</v>
      </c>
      <c r="CF914" s="61">
        <v>2.2043010752688175</v>
      </c>
      <c r="CG914" s="61">
        <v>1.5591397849462367</v>
      </c>
      <c r="CH914" s="61">
        <v>0.70731707317073167</v>
      </c>
      <c r="CI914" s="41"/>
      <c r="CJ914" s="40"/>
      <c r="CK914" s="3"/>
      <c r="CL914" s="62"/>
      <c r="CM914" s="63">
        <v>0</v>
      </c>
      <c r="CN914" s="3">
        <v>155</v>
      </c>
      <c r="CO914" s="3"/>
      <c r="CP914" s="41">
        <v>15.091666666666667</v>
      </c>
      <c r="CQ914" s="3"/>
      <c r="CR914" s="40">
        <v>154</v>
      </c>
      <c r="CS914" s="40" t="s">
        <v>110</v>
      </c>
      <c r="CT914" s="40">
        <v>283</v>
      </c>
      <c r="CU914" s="40"/>
      <c r="CV914" s="40"/>
      <c r="CW914" s="40"/>
      <c r="CX914" s="40"/>
      <c r="CY914" s="40">
        <v>0</v>
      </c>
    </row>
    <row r="915" spans="1:103" ht="18.95" customHeight="1">
      <c r="A915" s="162">
        <v>147</v>
      </c>
      <c r="B915" s="92" t="s">
        <v>103</v>
      </c>
      <c r="C915" s="3" t="s">
        <v>115</v>
      </c>
      <c r="D915" s="3" t="s">
        <v>269</v>
      </c>
      <c r="E915" s="39">
        <v>45173</v>
      </c>
      <c r="F915" s="3" t="s">
        <v>106</v>
      </c>
      <c r="G915" s="3" t="s">
        <v>122</v>
      </c>
      <c r="H915" s="3">
        <v>2008</v>
      </c>
      <c r="I915" s="40" t="s">
        <v>108</v>
      </c>
      <c r="J915" s="39" t="s">
        <v>123</v>
      </c>
      <c r="K915" s="3">
        <v>165.2</v>
      </c>
      <c r="L915" s="3">
        <v>165.1</v>
      </c>
      <c r="M915" s="3"/>
      <c r="N915" s="3">
        <v>143.19999999999999</v>
      </c>
      <c r="O915" s="3">
        <v>143.80000000000001</v>
      </c>
      <c r="P915" s="3">
        <v>143.4</v>
      </c>
      <c r="Q915" s="3">
        <v>59.1</v>
      </c>
      <c r="R915" s="3">
        <v>59.1</v>
      </c>
      <c r="S915" s="3"/>
      <c r="T915" s="42">
        <v>165.14999999999998</v>
      </c>
      <c r="U915" s="42">
        <f>AVERAGE(paper3[[#This Row],[Sittende høyde 1]:[Sittende høyde 3]])-56.2</f>
        <v>87.266666666666666</v>
      </c>
      <c r="V915" s="12">
        <f>paper3[[#This Row],[height]]-paper3[[#This Row],[sittingheight]]</f>
        <v>77.883333333333312</v>
      </c>
      <c r="W915" s="42">
        <v>59.1</v>
      </c>
      <c r="X915" s="43" cm="1">
        <f t="array" ref="X915">INDEX([1]!phvny[yphv], MATCH(1, (paper3[[#This Row],[id]]=[1]!phvny[id])*(paper3[[#This Row],[time]]=[1]!phvny[time]), 0))</f>
        <v>1.1513746229594037</v>
      </c>
      <c r="Y915" s="3">
        <v>1.92</v>
      </c>
      <c r="Z915" s="3">
        <v>3.25</v>
      </c>
      <c r="AA915" s="3">
        <v>4.49</v>
      </c>
      <c r="AB915" s="3">
        <v>1.89</v>
      </c>
      <c r="AC915" s="3">
        <v>3.21</v>
      </c>
      <c r="AD915" s="3">
        <v>4.4400000000000004</v>
      </c>
      <c r="AE915" s="3">
        <v>1.88</v>
      </c>
      <c r="AF915" s="3">
        <v>3.22</v>
      </c>
      <c r="AG915" s="3">
        <v>4.4800000000000004</v>
      </c>
      <c r="AH915" s="44">
        <v>1.88</v>
      </c>
      <c r="AI915" s="44">
        <v>3.21</v>
      </c>
      <c r="AJ915" s="44">
        <v>4.4400000000000004</v>
      </c>
      <c r="AK915" s="45">
        <v>8.1300813008130053</v>
      </c>
      <c r="AL915" s="3">
        <v>9.7200000000000006</v>
      </c>
      <c r="AM915" s="3"/>
      <c r="AN915" s="3">
        <v>9.7799999999999994</v>
      </c>
      <c r="AO915" s="3">
        <v>9.7799999999999994</v>
      </c>
      <c r="AP915" s="3">
        <v>9.7200000000000006</v>
      </c>
      <c r="AQ915" s="47">
        <v>9.7200000000000006</v>
      </c>
      <c r="AR915" s="47">
        <v>9.7799999999999994</v>
      </c>
      <c r="AS915" s="3">
        <v>38.61</v>
      </c>
      <c r="AT915" s="3"/>
      <c r="AU915" s="3"/>
      <c r="AV915" s="3"/>
      <c r="AW915" s="3"/>
      <c r="AX915" s="48">
        <v>38.61</v>
      </c>
      <c r="AY915" s="71"/>
      <c r="AZ915" s="3">
        <v>6</v>
      </c>
      <c r="BA915" s="3">
        <v>290</v>
      </c>
      <c r="BB915" s="3">
        <v>12</v>
      </c>
      <c r="BC915" s="3">
        <v>317</v>
      </c>
      <c r="BD915" s="40"/>
      <c r="BE915" s="40"/>
      <c r="BF915" s="40"/>
      <c r="BG915" s="40">
        <v>383.52276496690808</v>
      </c>
      <c r="BH915" s="40">
        <v>378.21849097265152</v>
      </c>
      <c r="BI915" s="49"/>
      <c r="BJ915" s="49">
        <v>761.74125593955955</v>
      </c>
      <c r="BK915" s="66"/>
      <c r="BL915" s="66">
        <v>1.4024364542875034E-2</v>
      </c>
      <c r="BM915" s="51"/>
      <c r="BN915" s="51">
        <v>12.889022943139755</v>
      </c>
      <c r="BO915" s="52">
        <v>374</v>
      </c>
      <c r="BP915" s="40">
        <v>334</v>
      </c>
      <c r="BQ915" s="40">
        <v>374</v>
      </c>
      <c r="BR915" s="67">
        <v>-0.10695187165775399</v>
      </c>
      <c r="BS915" s="54">
        <v>5.9898477157360404</v>
      </c>
      <c r="BT915" s="3">
        <v>154</v>
      </c>
      <c r="BU915" s="40">
        <v>160</v>
      </c>
      <c r="BV915" s="3">
        <v>141</v>
      </c>
      <c r="BW915" s="3">
        <v>149</v>
      </c>
      <c r="BX915" s="70">
        <v>-3.7499999999999978E-2</v>
      </c>
      <c r="BY915" s="70">
        <v>-5.3691275167785268E-2</v>
      </c>
      <c r="BZ915" s="59">
        <v>1.0738255033557047</v>
      </c>
      <c r="CA915" s="59">
        <v>1.0921985815602837</v>
      </c>
      <c r="CB915" s="59">
        <f>IFERROR((paper3[[#This Row],[meanadd]]*(paper3[[#This Row],[leglength]]/100))/paper3[[#This Row],[bodymass]],"")</f>
        <v>2.0689819514946413</v>
      </c>
      <c r="CC915" s="59">
        <f>IFERROR((paper3[[#This Row],[meanabd]]*(paper3[[#This Row],[leglength]]/100))/paper3[[#This Row],[bodymass]],"")</f>
        <v>1.9108432036097007</v>
      </c>
      <c r="CD915" s="60">
        <v>202</v>
      </c>
      <c r="CE915" s="60">
        <v>167</v>
      </c>
      <c r="CF915" s="61">
        <v>3.4179357021996615</v>
      </c>
      <c r="CG915" s="61">
        <v>2.8257191201353637</v>
      </c>
      <c r="CH915" s="61">
        <v>0.8267326732673268</v>
      </c>
      <c r="CI915" s="41">
        <v>19.100000000000001</v>
      </c>
      <c r="CJ915" s="40">
        <f>VLOOKUP(paper3[[#This Row],[YYIR nivå]],$DB:$DC,2)</f>
        <v>2080</v>
      </c>
      <c r="CK915" s="3"/>
      <c r="CL915" s="62"/>
      <c r="CM915" s="63">
        <v>0</v>
      </c>
      <c r="CN915" s="3">
        <v>160</v>
      </c>
      <c r="CO915" s="3">
        <v>149</v>
      </c>
      <c r="CP915" s="41">
        <v>15.447222222222223</v>
      </c>
      <c r="CQ915" s="3"/>
      <c r="CR915" s="40">
        <v>157</v>
      </c>
      <c r="CS915" s="40">
        <v>145</v>
      </c>
      <c r="CT915" s="40">
        <v>354</v>
      </c>
      <c r="CU915" s="40"/>
      <c r="CV915" s="40"/>
      <c r="CW915" s="40"/>
      <c r="CX915" s="40"/>
      <c r="CY915" s="40">
        <v>0</v>
      </c>
    </row>
    <row r="916" spans="1:103" ht="18.95" customHeight="1">
      <c r="A916" s="3">
        <v>149</v>
      </c>
      <c r="B916" s="92" t="s">
        <v>103</v>
      </c>
      <c r="C916" s="3" t="s">
        <v>115</v>
      </c>
      <c r="D916" s="3" t="s">
        <v>269</v>
      </c>
      <c r="E916" s="39">
        <v>45173</v>
      </c>
      <c r="F916" s="3" t="s">
        <v>106</v>
      </c>
      <c r="G916" s="3" t="s">
        <v>122</v>
      </c>
      <c r="H916" s="3">
        <v>2008</v>
      </c>
      <c r="I916" s="40" t="s">
        <v>108</v>
      </c>
      <c r="J916" s="39" t="s">
        <v>123</v>
      </c>
      <c r="K916" s="3"/>
      <c r="L916" s="3"/>
      <c r="M916" s="3"/>
      <c r="N916" s="3"/>
      <c r="O916" s="3"/>
      <c r="P916" s="3"/>
      <c r="Q916" s="3"/>
      <c r="R916" s="3"/>
      <c r="S916" s="3"/>
      <c r="T916" s="42"/>
      <c r="U916" s="42"/>
      <c r="V916" s="12"/>
      <c r="W916" s="73"/>
      <c r="X916" s="43"/>
      <c r="Y916" s="3"/>
      <c r="Z916" s="3"/>
      <c r="AA916" s="3"/>
      <c r="AB916" s="3"/>
      <c r="AC916" s="3"/>
      <c r="AD916" s="3"/>
      <c r="AE916" s="3"/>
      <c r="AF916" s="3"/>
      <c r="AG916" s="3"/>
      <c r="AH916" s="44"/>
      <c r="AI916" s="44"/>
      <c r="AJ916" s="44"/>
      <c r="AK916" s="45"/>
      <c r="AL916" s="3"/>
      <c r="AM916" s="3"/>
      <c r="AN916" s="3"/>
      <c r="AO916" s="3"/>
      <c r="AP916" s="3"/>
      <c r="AQ916" s="47"/>
      <c r="AR916" s="47"/>
      <c r="AS916" s="3"/>
      <c r="AT916" s="3"/>
      <c r="AU916" s="3"/>
      <c r="AV916" s="3"/>
      <c r="AW916" s="3"/>
      <c r="AX916" s="48"/>
      <c r="AY916" s="71"/>
      <c r="AZ916" s="3"/>
      <c r="BA916" s="3"/>
      <c r="BB916" s="3"/>
      <c r="BC916" s="3"/>
      <c r="BD916" s="3"/>
      <c r="BE916" s="3"/>
      <c r="BF916" s="3"/>
      <c r="BG916" s="3"/>
      <c r="BH916" s="3"/>
      <c r="BI916" s="49"/>
      <c r="BJ916" s="49"/>
      <c r="BK916" s="66"/>
      <c r="BL916" s="66"/>
      <c r="BM916" s="51"/>
      <c r="BN916" s="51"/>
      <c r="BO916" s="52"/>
      <c r="BP916" s="40"/>
      <c r="BQ916" s="40"/>
      <c r="BR916" s="67"/>
      <c r="BS916" s="54" t="s">
        <v>110</v>
      </c>
      <c r="BT916" s="68"/>
      <c r="BU916" s="69"/>
      <c r="BV916" s="46"/>
      <c r="BW916" s="46"/>
      <c r="BX916" s="70"/>
      <c r="BY916" s="70"/>
      <c r="BZ916" s="59"/>
      <c r="CA916" s="59"/>
      <c r="CB916" s="59" t="s">
        <v>110</v>
      </c>
      <c r="CC916" s="59" t="s">
        <v>110</v>
      </c>
      <c r="CD916" s="60"/>
      <c r="CE916" s="60"/>
      <c r="CF916" s="61"/>
      <c r="CG916" s="61"/>
      <c r="CH916" s="61"/>
      <c r="CI916" s="41">
        <v>16.3</v>
      </c>
      <c r="CJ916" s="40">
        <f>VLOOKUP(paper3[[#This Row],[YYIR nivå]],$DB:$DC,2)</f>
        <v>1200</v>
      </c>
      <c r="CK916" s="3"/>
      <c r="CL916" s="62"/>
      <c r="CM916" s="63">
        <v>0</v>
      </c>
      <c r="CN916" s="3"/>
      <c r="CO916" s="3"/>
      <c r="CP916" s="41">
        <v>15.372222222222222</v>
      </c>
      <c r="CQ916" s="3"/>
      <c r="CR916" s="40" t="s">
        <v>110</v>
      </c>
      <c r="CS916" s="40" t="s">
        <v>110</v>
      </c>
      <c r="CT916" s="40" t="s">
        <v>110</v>
      </c>
      <c r="CU916" s="40"/>
      <c r="CV916" s="40"/>
      <c r="CW916" s="40"/>
      <c r="CX916" s="40"/>
      <c r="CY916" s="40">
        <v>0</v>
      </c>
    </row>
    <row r="917" spans="1:103" ht="18.95" customHeight="1">
      <c r="A917" s="3">
        <v>152</v>
      </c>
      <c r="B917" s="92" t="s">
        <v>103</v>
      </c>
      <c r="C917" s="3" t="s">
        <v>104</v>
      </c>
      <c r="D917" s="3" t="s">
        <v>269</v>
      </c>
      <c r="E917" s="39">
        <v>45223</v>
      </c>
      <c r="F917" s="3" t="s">
        <v>106</v>
      </c>
      <c r="G917" s="3" t="s">
        <v>122</v>
      </c>
      <c r="H917" s="3">
        <v>2008</v>
      </c>
      <c r="I917" s="40" t="s">
        <v>108</v>
      </c>
      <c r="J917" s="39" t="s">
        <v>123</v>
      </c>
      <c r="K917" s="3">
        <v>175.7</v>
      </c>
      <c r="L917" s="3">
        <v>175.6</v>
      </c>
      <c r="M917" s="3"/>
      <c r="N917" s="3">
        <v>146.4</v>
      </c>
      <c r="O917" s="3">
        <v>146.4</v>
      </c>
      <c r="P917" s="3"/>
      <c r="Q917" s="3">
        <v>73.3</v>
      </c>
      <c r="R917" s="3"/>
      <c r="S917" s="3"/>
      <c r="T917" s="42">
        <v>175.64999999999998</v>
      </c>
      <c r="U917" s="42">
        <f>AVERAGE(paper3[[#This Row],[Sittende høyde 1]:[Sittende høyde 3]])-56.2</f>
        <v>90.2</v>
      </c>
      <c r="V917" s="12">
        <f>paper3[[#This Row],[height]]-paper3[[#This Row],[sittingheight]]</f>
        <v>85.449999999999974</v>
      </c>
      <c r="W917" s="73">
        <v>73.3</v>
      </c>
      <c r="X917" s="43" cm="1">
        <f t="array" ref="X917">INDEX([1]!phvny[yphv], MATCH(1, (paper3[[#This Row],[id]]=[1]!phvny[id])*(paper3[[#This Row],[time]]=[1]!phvny[time]), 0))</f>
        <v>1.4619935358665894</v>
      </c>
      <c r="Y917" s="3">
        <v>2</v>
      </c>
      <c r="Z917" s="3">
        <v>3.37</v>
      </c>
      <c r="AA917" s="3">
        <v>4.75</v>
      </c>
      <c r="AB917" s="3">
        <v>2</v>
      </c>
      <c r="AC917" s="3">
        <v>3.39</v>
      </c>
      <c r="AD917" s="3">
        <v>4.7699999999999996</v>
      </c>
      <c r="AE917" s="3">
        <v>2.06</v>
      </c>
      <c r="AF917" s="3">
        <v>3.45</v>
      </c>
      <c r="AG917" s="3">
        <v>4.83</v>
      </c>
      <c r="AH917" s="44">
        <v>2</v>
      </c>
      <c r="AI917" s="44">
        <v>3.37</v>
      </c>
      <c r="AJ917" s="44">
        <v>4.75</v>
      </c>
      <c r="AK917" s="45">
        <v>7.2463768115942031</v>
      </c>
      <c r="AL917" s="3">
        <v>10.67</v>
      </c>
      <c r="AM917" s="3">
        <v>10.56</v>
      </c>
      <c r="AN917" s="3">
        <v>11.12</v>
      </c>
      <c r="AO917" s="3">
        <v>11</v>
      </c>
      <c r="AP917" s="3">
        <v>10.56</v>
      </c>
      <c r="AQ917" s="47">
        <v>10.56</v>
      </c>
      <c r="AR917" s="47">
        <v>11</v>
      </c>
      <c r="AS917" s="3">
        <v>32.14</v>
      </c>
      <c r="AT917" s="3">
        <v>32.99</v>
      </c>
      <c r="AU917" s="3">
        <v>33.99</v>
      </c>
      <c r="AV917" s="3">
        <v>35.549999999999997</v>
      </c>
      <c r="AW917" s="3">
        <v>33.79</v>
      </c>
      <c r="AX917" s="48">
        <v>35.549999999999997</v>
      </c>
      <c r="AY917" s="71"/>
      <c r="AZ917" s="3"/>
      <c r="BA917" s="3"/>
      <c r="BB917" s="3"/>
      <c r="BC917" s="3"/>
      <c r="BD917" s="40">
        <v>1463.3173570616477</v>
      </c>
      <c r="BE917" s="40">
        <v>1428.5669148300062</v>
      </c>
      <c r="BF917" s="40"/>
      <c r="BG917" s="40">
        <v>679.0578132561152</v>
      </c>
      <c r="BH917" s="40">
        <v>694.81073555441662</v>
      </c>
      <c r="BI917" s="49">
        <v>2891.884271891654</v>
      </c>
      <c r="BJ917" s="49">
        <v>1373.8685488105318</v>
      </c>
      <c r="BK917" s="66">
        <v>2.4325386421102158E-2</v>
      </c>
      <c r="BL917" s="66">
        <v>-2.2672249423048352E-2</v>
      </c>
      <c r="BM917" s="51">
        <v>39.452718579695144</v>
      </c>
      <c r="BN917" s="51">
        <v>18.743090706828539</v>
      </c>
      <c r="BO917" s="209">
        <v>405</v>
      </c>
      <c r="BP917" s="84">
        <v>363</v>
      </c>
      <c r="BQ917" s="84">
        <v>405</v>
      </c>
      <c r="BR917" s="67">
        <v>-0.10370370370370374</v>
      </c>
      <c r="BS917" s="54">
        <v>5.2387448840381996</v>
      </c>
      <c r="BT917" s="3">
        <v>164</v>
      </c>
      <c r="BU917" s="3">
        <v>154</v>
      </c>
      <c r="BV917" s="46"/>
      <c r="BW917" s="46"/>
      <c r="BX917" s="70">
        <v>6.4935064935064846E-2</v>
      </c>
      <c r="BY917" s="70"/>
      <c r="BZ917" s="59"/>
      <c r="CA917" s="59"/>
      <c r="CB917" s="59">
        <f>IFERROR((paper3[[#This Row],[meanadd]]*(paper3[[#This Row],[leglength]]/100))/paper3[[#This Row],[bodymass]],"")</f>
        <v>1.8535538881309679</v>
      </c>
      <c r="CC917" s="59"/>
      <c r="CD917" s="60">
        <v>120</v>
      </c>
      <c r="CE917" s="60">
        <v>107</v>
      </c>
      <c r="CF917" s="61">
        <v>1.6371077762619373</v>
      </c>
      <c r="CG917" s="61">
        <v>1.4597544338335608</v>
      </c>
      <c r="CH917" s="61">
        <v>0.89166666666666672</v>
      </c>
      <c r="CI917" s="41"/>
      <c r="CJ917" s="40"/>
      <c r="CK917" s="3"/>
      <c r="CL917" s="62"/>
      <c r="CM917" s="63">
        <v>0</v>
      </c>
      <c r="CN917" s="3">
        <v>164</v>
      </c>
      <c r="CO917" s="3">
        <v>0</v>
      </c>
      <c r="CP917" s="41">
        <v>15.044444444444444</v>
      </c>
      <c r="CQ917" s="40"/>
      <c r="CR917" s="40">
        <v>159</v>
      </c>
      <c r="CS917" s="40"/>
      <c r="CT917" s="40">
        <v>384</v>
      </c>
      <c r="CU917" s="40"/>
      <c r="CV917" s="40"/>
      <c r="CW917" s="40"/>
      <c r="CX917" s="40"/>
      <c r="CY917" s="40" t="s">
        <v>125</v>
      </c>
    </row>
    <row r="918" spans="1:103" ht="18.75">
      <c r="A918" s="3">
        <v>154</v>
      </c>
      <c r="B918" s="92" t="s">
        <v>103</v>
      </c>
      <c r="C918" s="3" t="s">
        <v>104</v>
      </c>
      <c r="D918" s="3" t="s">
        <v>269</v>
      </c>
      <c r="E918" s="39">
        <v>45223</v>
      </c>
      <c r="F918" s="3" t="s">
        <v>106</v>
      </c>
      <c r="G918" s="3" t="s">
        <v>122</v>
      </c>
      <c r="H918" s="3">
        <v>2008</v>
      </c>
      <c r="I918" s="40" t="s">
        <v>108</v>
      </c>
      <c r="J918" s="39" t="s">
        <v>123</v>
      </c>
      <c r="K918" s="3">
        <v>178.1</v>
      </c>
      <c r="L918" s="3">
        <v>178</v>
      </c>
      <c r="M918" s="3"/>
      <c r="N918" s="3">
        <v>146.6</v>
      </c>
      <c r="O918" s="3">
        <v>146.69999999999999</v>
      </c>
      <c r="P918" s="3"/>
      <c r="Q918" s="3">
        <v>67.900000000000006</v>
      </c>
      <c r="R918" s="3"/>
      <c r="S918" s="3"/>
      <c r="T918" s="42">
        <v>178.05</v>
      </c>
      <c r="U918" s="42">
        <f>AVERAGE(paper3[[#This Row],[Sittende høyde 1]:[Sittende høyde 3]])-56.2</f>
        <v>90.449999999999974</v>
      </c>
      <c r="V918" s="12">
        <f>paper3[[#This Row],[height]]-paper3[[#This Row],[sittingheight]]</f>
        <v>87.600000000000037</v>
      </c>
      <c r="W918" s="73">
        <v>67.900000000000006</v>
      </c>
      <c r="X918" s="43" cm="1">
        <f t="array" ref="X918">INDEX([1]!phvny[yphv], MATCH(1, (paper3[[#This Row],[id]]=[1]!phvny[id])*(paper3[[#This Row],[time]]=[1]!phvny[time]), 0))</f>
        <v>1.4832103747054166</v>
      </c>
      <c r="Y918" s="3">
        <v>2.12</v>
      </c>
      <c r="Z918" s="3">
        <v>3.64</v>
      </c>
      <c r="AA918" s="3">
        <v>5.15</v>
      </c>
      <c r="AB918" s="3">
        <v>2.12</v>
      </c>
      <c r="AC918" s="3">
        <v>3.63</v>
      </c>
      <c r="AD918" s="3">
        <v>5.13</v>
      </c>
      <c r="AE918" s="3">
        <v>2.19</v>
      </c>
      <c r="AF918" s="3">
        <v>3.72</v>
      </c>
      <c r="AG918" s="3">
        <v>5.26</v>
      </c>
      <c r="AH918" s="44">
        <v>2.12</v>
      </c>
      <c r="AI918" s="44">
        <v>3.63</v>
      </c>
      <c r="AJ918" s="44">
        <v>5.13</v>
      </c>
      <c r="AK918" s="45">
        <v>6.666666666666667</v>
      </c>
      <c r="AL918" s="3"/>
      <c r="AM918" s="3">
        <v>10.79</v>
      </c>
      <c r="AN918" s="3">
        <v>10.75</v>
      </c>
      <c r="AO918" s="3">
        <v>10.86</v>
      </c>
      <c r="AP918" s="3">
        <v>10.75</v>
      </c>
      <c r="AQ918" s="47">
        <v>10.79</v>
      </c>
      <c r="AR918" s="47">
        <v>10.75</v>
      </c>
      <c r="AS918" s="3">
        <v>28.87</v>
      </c>
      <c r="AT918" s="3">
        <v>30.34</v>
      </c>
      <c r="AU918" s="3">
        <v>30.37</v>
      </c>
      <c r="AV918" s="3">
        <v>32.450000000000003</v>
      </c>
      <c r="AW918" s="3">
        <v>31.26</v>
      </c>
      <c r="AX918" s="48">
        <v>32.450000000000003</v>
      </c>
      <c r="AY918" s="71"/>
      <c r="AZ918" s="3"/>
      <c r="BA918" s="3"/>
      <c r="BB918" s="3"/>
      <c r="BC918" s="3"/>
      <c r="BD918" s="40">
        <v>1162.5415605888866</v>
      </c>
      <c r="BE918" s="40">
        <v>1130.4649146468805</v>
      </c>
      <c r="BF918" s="40"/>
      <c r="BG918" s="40">
        <v>460.85718425924347</v>
      </c>
      <c r="BH918" s="40">
        <v>456.66328084646409</v>
      </c>
      <c r="BI918" s="49">
        <v>2293.0064752357671</v>
      </c>
      <c r="BJ918" s="49">
        <v>917.52046510570756</v>
      </c>
      <c r="BK918" s="66">
        <v>2.8374738151007328E-2</v>
      </c>
      <c r="BL918" s="66">
        <v>9.1837981915376954E-3</v>
      </c>
      <c r="BM918" s="51">
        <v>33.770345732485524</v>
      </c>
      <c r="BN918" s="51">
        <v>13.512819810098785</v>
      </c>
      <c r="BO918" s="209">
        <v>325</v>
      </c>
      <c r="BP918" s="40">
        <v>307</v>
      </c>
      <c r="BQ918" s="40">
        <v>325</v>
      </c>
      <c r="BR918" s="67">
        <v>-5.5384615384615365E-2</v>
      </c>
      <c r="BS918" s="54">
        <v>4.6539027982326946</v>
      </c>
      <c r="BT918" s="210">
        <v>272</v>
      </c>
      <c r="BU918" s="210">
        <v>214</v>
      </c>
      <c r="BV918" s="46"/>
      <c r="BW918" s="46"/>
      <c r="BX918" s="70">
        <v>0.27102803738317749</v>
      </c>
      <c r="BY918" s="70"/>
      <c r="BZ918" s="59"/>
      <c r="CA918" s="59"/>
      <c r="CB918" s="59">
        <f>IFERROR((paper3[[#This Row],[meanadd]]*(paper3[[#This Row],[leglength]]/100))/paper3[[#This Row],[bodymass]],"")</f>
        <v>3.135022091310752</v>
      </c>
      <c r="CC918" s="59"/>
      <c r="CD918" s="60">
        <v>127</v>
      </c>
      <c r="CE918" s="60">
        <v>112</v>
      </c>
      <c r="CF918" s="61">
        <v>1.8703976435935197</v>
      </c>
      <c r="CG918" s="61">
        <v>1.6494845360824741</v>
      </c>
      <c r="CH918" s="61">
        <v>0.88188976377952766</v>
      </c>
      <c r="CI918" s="41">
        <v>15.8</v>
      </c>
      <c r="CJ918" s="40">
        <f>VLOOKUP(paper3[[#This Row],[YYIR nivå]],$DB:$DC,2)</f>
        <v>1080</v>
      </c>
      <c r="CK918" s="3"/>
      <c r="CL918" s="62"/>
      <c r="CM918" s="63">
        <v>0</v>
      </c>
      <c r="CN918" s="3">
        <v>272</v>
      </c>
      <c r="CO918" s="3">
        <v>0</v>
      </c>
      <c r="CP918" s="41">
        <v>15.186111111111112</v>
      </c>
      <c r="CQ918" s="3"/>
      <c r="CR918" s="40">
        <v>243</v>
      </c>
      <c r="CS918" s="40"/>
      <c r="CT918" s="40">
        <v>316</v>
      </c>
      <c r="CU918" s="40"/>
      <c r="CV918" s="40"/>
      <c r="CW918" s="40"/>
      <c r="CX918" s="40"/>
      <c r="CY918" s="40">
        <v>0</v>
      </c>
    </row>
    <row r="919" spans="1:103" ht="18.95" customHeight="1">
      <c r="A919" s="3">
        <v>155</v>
      </c>
      <c r="B919" s="92" t="s">
        <v>103</v>
      </c>
      <c r="C919" s="3" t="s">
        <v>104</v>
      </c>
      <c r="D919" s="3" t="s">
        <v>269</v>
      </c>
      <c r="E919" s="39">
        <v>45223</v>
      </c>
      <c r="F919" s="3" t="s">
        <v>106</v>
      </c>
      <c r="G919" s="3" t="s">
        <v>122</v>
      </c>
      <c r="H919" s="3">
        <v>2008</v>
      </c>
      <c r="I919" s="40" t="s">
        <v>108</v>
      </c>
      <c r="J919" s="39" t="s">
        <v>123</v>
      </c>
      <c r="K919" s="3">
        <v>183.6</v>
      </c>
      <c r="L919" s="3">
        <v>183.6</v>
      </c>
      <c r="M919" s="3"/>
      <c r="N919" s="3">
        <v>146.5</v>
      </c>
      <c r="O919" s="3">
        <v>146.69999999999999</v>
      </c>
      <c r="P919" s="3"/>
      <c r="Q919" s="3">
        <v>72.2</v>
      </c>
      <c r="R919" s="3"/>
      <c r="S919" s="3"/>
      <c r="T919" s="42">
        <v>183.6</v>
      </c>
      <c r="U919" s="42">
        <f>AVERAGE(paper3[[#This Row],[Sittende høyde 1]:[Sittende høyde 3]])-56.2</f>
        <v>90.399999999999991</v>
      </c>
      <c r="V919" s="12">
        <f>paper3[[#This Row],[height]]-paper3[[#This Row],[sittingheight]]</f>
        <v>93.2</v>
      </c>
      <c r="W919" s="73">
        <v>72.2</v>
      </c>
      <c r="X919" s="43" cm="1">
        <f t="array" ref="X919">INDEX([1]!phvny[yphv], MATCH(1, (paper3[[#This Row],[id]]=[1]!phvny[id])*(paper3[[#This Row],[time]]=[1]!phvny[time]), 0))</f>
        <v>1.4967046465490186</v>
      </c>
      <c r="Y919" s="3">
        <v>1.92</v>
      </c>
      <c r="Z919" s="3">
        <v>3.28</v>
      </c>
      <c r="AA919" s="3">
        <v>4.5599999999999996</v>
      </c>
      <c r="AB919" s="3">
        <v>2</v>
      </c>
      <c r="AC919" s="3">
        <v>3.36</v>
      </c>
      <c r="AD919" s="3">
        <v>4.71</v>
      </c>
      <c r="AE919" s="3">
        <v>1.97</v>
      </c>
      <c r="AF919" s="3">
        <v>3.37</v>
      </c>
      <c r="AG919" s="3">
        <v>4.71</v>
      </c>
      <c r="AH919" s="44">
        <v>1.92</v>
      </c>
      <c r="AI919" s="44">
        <v>3.28</v>
      </c>
      <c r="AJ919" s="44">
        <v>4.5599999999999996</v>
      </c>
      <c r="AK919" s="45">
        <v>7.8125000000000009</v>
      </c>
      <c r="AL919" s="3">
        <v>11.22</v>
      </c>
      <c r="AM919" s="3">
        <v>10.36</v>
      </c>
      <c r="AN919" s="3">
        <v>10.53</v>
      </c>
      <c r="AO919" s="3">
        <v>10.26</v>
      </c>
      <c r="AP919" s="3">
        <v>10.26</v>
      </c>
      <c r="AQ919" s="47">
        <v>10.36</v>
      </c>
      <c r="AR919" s="47">
        <v>10.26</v>
      </c>
      <c r="AS919" s="3">
        <v>27.84</v>
      </c>
      <c r="AT919" s="3">
        <v>25.48</v>
      </c>
      <c r="AU919" s="3">
        <v>26.83</v>
      </c>
      <c r="AV919" s="3"/>
      <c r="AW919" s="3"/>
      <c r="AX919" s="48">
        <v>27.84</v>
      </c>
      <c r="AY919" s="71"/>
      <c r="AZ919" s="3"/>
      <c r="BA919" s="3"/>
      <c r="BB919" s="3"/>
      <c r="BC919" s="3"/>
      <c r="BD919" s="40">
        <v>1178.9020163672317</v>
      </c>
      <c r="BE919" s="40">
        <v>1185.0035390459484</v>
      </c>
      <c r="BF919" s="40"/>
      <c r="BG919" s="40">
        <v>588.08725160716847</v>
      </c>
      <c r="BH919" s="40">
        <v>580.78686970464992</v>
      </c>
      <c r="BI919" s="49">
        <v>2363.9055554131801</v>
      </c>
      <c r="BJ919" s="49">
        <v>1168.8741213118183</v>
      </c>
      <c r="BK919" s="66">
        <v>-5.1489489083121898E-3</v>
      </c>
      <c r="BL919" s="66">
        <v>1.2569812238060862E-2</v>
      </c>
      <c r="BM919" s="51">
        <v>32.741074174697786</v>
      </c>
      <c r="BN919" s="51">
        <v>16.18939226193654</v>
      </c>
      <c r="BO919" s="209">
        <v>360</v>
      </c>
      <c r="BP919" s="40">
        <v>338</v>
      </c>
      <c r="BQ919" s="40">
        <v>360</v>
      </c>
      <c r="BR919" s="67">
        <v>-6.1111111111111116E-2</v>
      </c>
      <c r="BS919" s="54">
        <v>4.8337950138504153</v>
      </c>
      <c r="BT919" s="3">
        <v>189</v>
      </c>
      <c r="BU919" s="3">
        <v>184</v>
      </c>
      <c r="BV919" s="46"/>
      <c r="BW919" s="46"/>
      <c r="BX919" s="70">
        <v>2.7173913043478271E-2</v>
      </c>
      <c r="BY919" s="70"/>
      <c r="BZ919" s="59"/>
      <c r="CA919" s="59"/>
      <c r="CB919" s="59">
        <f>IFERROR((paper3[[#This Row],[meanadd]]*(paper3[[#This Row],[leglength]]/100))/paper3[[#This Row],[bodymass]],"")</f>
        <v>2.4074515235457064</v>
      </c>
      <c r="CC919" s="59"/>
      <c r="CD919" s="60">
        <v>136</v>
      </c>
      <c r="CE919" s="60">
        <v>112</v>
      </c>
      <c r="CF919" s="61">
        <v>1.8836565096952909</v>
      </c>
      <c r="CG919" s="61">
        <v>1.5512465373961217</v>
      </c>
      <c r="CH919" s="61">
        <v>0.82352941176470584</v>
      </c>
      <c r="CI919" s="41">
        <v>14.2</v>
      </c>
      <c r="CJ919" s="40">
        <f>VLOOKUP(paper3[[#This Row],[YYIR nivå]],$DB:$DC,2)</f>
        <v>520</v>
      </c>
      <c r="CK919" s="3"/>
      <c r="CL919" s="62"/>
      <c r="CM919" s="63">
        <v>0</v>
      </c>
      <c r="CN919" s="3">
        <v>189</v>
      </c>
      <c r="CO919" s="3">
        <v>0</v>
      </c>
      <c r="CP919" s="41">
        <v>15.180555555555555</v>
      </c>
      <c r="CQ919" s="3"/>
      <c r="CR919" s="40">
        <v>186.5</v>
      </c>
      <c r="CS919" s="40"/>
      <c r="CT919" s="40">
        <v>349</v>
      </c>
      <c r="CU919" s="40"/>
      <c r="CV919" s="40"/>
      <c r="CW919" s="40"/>
      <c r="CX919" s="40"/>
      <c r="CY919" s="40">
        <v>0</v>
      </c>
    </row>
    <row r="920" spans="1:103" ht="18.95" customHeight="1">
      <c r="A920" s="3">
        <v>158</v>
      </c>
      <c r="B920" s="92" t="s">
        <v>103</v>
      </c>
      <c r="C920" s="3" t="s">
        <v>104</v>
      </c>
      <c r="D920" s="3" t="s">
        <v>269</v>
      </c>
      <c r="E920" s="39">
        <v>45223</v>
      </c>
      <c r="F920" s="3" t="s">
        <v>106</v>
      </c>
      <c r="G920" s="3" t="s">
        <v>122</v>
      </c>
      <c r="H920" s="3">
        <v>2008</v>
      </c>
      <c r="I920" s="40" t="s">
        <v>108</v>
      </c>
      <c r="J920" s="39" t="s">
        <v>123</v>
      </c>
      <c r="K920" s="3">
        <v>163.4</v>
      </c>
      <c r="L920" s="3">
        <v>163.19999999999999</v>
      </c>
      <c r="M920" s="3"/>
      <c r="N920" s="3">
        <v>138.6</v>
      </c>
      <c r="O920" s="3">
        <v>138.69999999999999</v>
      </c>
      <c r="P920" s="3"/>
      <c r="Q920" s="3">
        <v>59.9</v>
      </c>
      <c r="R920" s="3"/>
      <c r="S920" s="3"/>
      <c r="T920" s="42">
        <v>163.30000000000001</v>
      </c>
      <c r="U920" s="42">
        <f>AVERAGE(paper3[[#This Row],[Sittende høyde 1]:[Sittende høyde 3]])-56.2</f>
        <v>82.449999999999974</v>
      </c>
      <c r="V920" s="12">
        <f>paper3[[#This Row],[height]]-paper3[[#This Row],[sittingheight]]</f>
        <v>80.850000000000037</v>
      </c>
      <c r="W920" s="73">
        <v>59.9</v>
      </c>
      <c r="X920" s="43" cm="1">
        <f t="array" ref="X920">INDEX([1]!phvny[yphv], MATCH(1, (paper3[[#This Row],[id]]=[1]!phvny[id])*(paper3[[#This Row],[time]]=[1]!phvny[time]), 0))</f>
        <v>0.25608663307389024</v>
      </c>
      <c r="Y920" s="3">
        <v>1.98</v>
      </c>
      <c r="Z920" s="3">
        <v>3.42</v>
      </c>
      <c r="AA920" s="3">
        <v>4.7699999999999996</v>
      </c>
      <c r="AB920" s="3">
        <v>2.02</v>
      </c>
      <c r="AC920" s="3">
        <v>3.44</v>
      </c>
      <c r="AD920" s="3">
        <v>4.84</v>
      </c>
      <c r="AE920" s="3">
        <v>2.02</v>
      </c>
      <c r="AF920" s="3">
        <v>3.5</v>
      </c>
      <c r="AG920" s="3">
        <v>4.8899999999999997</v>
      </c>
      <c r="AH920" s="44">
        <v>1.98</v>
      </c>
      <c r="AI920" s="44">
        <v>3.42</v>
      </c>
      <c r="AJ920" s="44">
        <v>4.7699999999999996</v>
      </c>
      <c r="AK920" s="45">
        <v>7.4074074074074092</v>
      </c>
      <c r="AL920" s="3">
        <v>10.53</v>
      </c>
      <c r="AM920" s="3">
        <v>10.36</v>
      </c>
      <c r="AN920" s="3">
        <v>10.55</v>
      </c>
      <c r="AO920" s="3">
        <v>10.55</v>
      </c>
      <c r="AP920" s="3">
        <v>10.36</v>
      </c>
      <c r="AQ920" s="47">
        <v>10.36</v>
      </c>
      <c r="AR920" s="47">
        <v>10.55</v>
      </c>
      <c r="AS920" s="3">
        <v>28.75</v>
      </c>
      <c r="AT920" s="3">
        <v>28.95</v>
      </c>
      <c r="AU920" s="3">
        <v>27.41</v>
      </c>
      <c r="AV920" s="3"/>
      <c r="AW920" s="3"/>
      <c r="AX920" s="48">
        <v>28.95</v>
      </c>
      <c r="AY920" s="71"/>
      <c r="AZ920" s="3"/>
      <c r="BA920" s="3"/>
      <c r="BB920" s="3"/>
      <c r="BC920" s="3"/>
      <c r="BD920" s="40"/>
      <c r="BE920" s="40"/>
      <c r="BF920" s="40"/>
      <c r="BG920" s="40">
        <v>458.85697183023672</v>
      </c>
      <c r="BH920" s="40">
        <v>448.13893612953751</v>
      </c>
      <c r="BI920" s="49"/>
      <c r="BJ920" s="49">
        <v>906.99590795977429</v>
      </c>
      <c r="BK920" s="66"/>
      <c r="BL920" s="66">
        <v>2.3916769636818769E-2</v>
      </c>
      <c r="BM920" s="51"/>
      <c r="BN920" s="51">
        <v>15.14183485742528</v>
      </c>
      <c r="BO920" s="209">
        <v>323</v>
      </c>
      <c r="BP920" s="40">
        <v>323</v>
      </c>
      <c r="BQ920" s="40">
        <v>302</v>
      </c>
      <c r="BR920" s="67">
        <v>6.9536423841059625E-2</v>
      </c>
      <c r="BS920" s="54">
        <v>5.2170283806343907</v>
      </c>
      <c r="BT920" s="3">
        <v>146</v>
      </c>
      <c r="BU920" s="3">
        <v>142</v>
      </c>
      <c r="BV920" s="46"/>
      <c r="BW920" s="46"/>
      <c r="BX920" s="70">
        <v>2.8169014084507005E-2</v>
      </c>
      <c r="BY920" s="70"/>
      <c r="BZ920" s="59"/>
      <c r="CA920" s="59"/>
      <c r="CB920" s="59">
        <f>IFERROR((paper3[[#This Row],[meanadd]]*(paper3[[#This Row],[leglength]]/100))/paper3[[#This Row],[bodymass]],"")</f>
        <v>1.9436393989983314</v>
      </c>
      <c r="CC920" s="59"/>
      <c r="CD920" s="60">
        <v>101</v>
      </c>
      <c r="CE920" s="60">
        <v>72</v>
      </c>
      <c r="CF920" s="61">
        <v>1.6861435726210352</v>
      </c>
      <c r="CG920" s="61">
        <v>1.2020033388981637</v>
      </c>
      <c r="CH920" s="61">
        <v>0.71287128712871284</v>
      </c>
      <c r="CI920" s="41"/>
      <c r="CJ920" s="40"/>
      <c r="CK920" s="3"/>
      <c r="CL920" s="62"/>
      <c r="CM920" s="63">
        <v>0</v>
      </c>
      <c r="CN920" s="3">
        <v>146</v>
      </c>
      <c r="CO920" s="3">
        <v>0</v>
      </c>
      <c r="CP920" s="41">
        <v>14.866666666666667</v>
      </c>
      <c r="CQ920" s="3"/>
      <c r="CR920" s="40">
        <v>144</v>
      </c>
      <c r="CS920" s="40"/>
      <c r="CT920" s="40">
        <v>312.5</v>
      </c>
      <c r="CU920" s="40"/>
      <c r="CV920" s="40"/>
      <c r="CW920" s="40"/>
      <c r="CX920" s="40"/>
      <c r="CY920" s="40">
        <v>0</v>
      </c>
    </row>
    <row r="921" spans="1:103" ht="18.95" customHeight="1">
      <c r="A921" s="3">
        <v>160</v>
      </c>
      <c r="B921" s="92" t="s">
        <v>103</v>
      </c>
      <c r="C921" s="3" t="s">
        <v>104</v>
      </c>
      <c r="D921" s="3" t="s">
        <v>269</v>
      </c>
      <c r="E921" s="39">
        <v>45223</v>
      </c>
      <c r="F921" s="3" t="s">
        <v>106</v>
      </c>
      <c r="G921" s="3" t="s">
        <v>122</v>
      </c>
      <c r="H921" s="3">
        <v>2008</v>
      </c>
      <c r="I921" s="40" t="s">
        <v>108</v>
      </c>
      <c r="J921" s="39" t="s">
        <v>123</v>
      </c>
      <c r="K921" s="3">
        <v>167.4</v>
      </c>
      <c r="L921" s="3">
        <v>167.6</v>
      </c>
      <c r="M921" s="3"/>
      <c r="N921" s="3">
        <v>141.6</v>
      </c>
      <c r="O921" s="3">
        <v>141.69999999999999</v>
      </c>
      <c r="P921" s="3"/>
      <c r="Q921" s="3">
        <v>48.8</v>
      </c>
      <c r="R921" s="3"/>
      <c r="S921" s="3"/>
      <c r="T921" s="42">
        <v>167.5</v>
      </c>
      <c r="U921" s="42">
        <f>AVERAGE(paper3[[#This Row],[Sittende høyde 1]:[Sittende høyde 3]])-56.2</f>
        <v>85.449999999999974</v>
      </c>
      <c r="V921" s="12">
        <f>paper3[[#This Row],[height]]-paper3[[#This Row],[sittingheight]]</f>
        <v>82.050000000000026</v>
      </c>
      <c r="W921" s="73">
        <v>48.8</v>
      </c>
      <c r="X921" s="43" cm="1">
        <f t="array" ref="X921">INDEX([1]!phvny[yphv], MATCH(1, (paper3[[#This Row],[id]]=[1]!phvny[id])*(paper3[[#This Row],[time]]=[1]!phvny[time]), 0))</f>
        <v>0.48740680869236719</v>
      </c>
      <c r="Y921" s="3"/>
      <c r="Z921" s="3"/>
      <c r="AA921" s="3"/>
      <c r="AB921" s="3">
        <v>2.0499999999999998</v>
      </c>
      <c r="AC921" s="3">
        <v>3.53</v>
      </c>
      <c r="AD921" s="3">
        <v>4.9800000000000004</v>
      </c>
      <c r="AE921" s="3">
        <v>2.0299999999999998</v>
      </c>
      <c r="AF921" s="3">
        <v>3.5</v>
      </c>
      <c r="AG921" s="3">
        <v>4.91</v>
      </c>
      <c r="AH921" s="44">
        <v>2.0299999999999998</v>
      </c>
      <c r="AI921" s="44">
        <v>3.5</v>
      </c>
      <c r="AJ921" s="44">
        <v>4.91</v>
      </c>
      <c r="AK921" s="45">
        <v>7.0921985815602833</v>
      </c>
      <c r="AL921" s="3">
        <v>10.67</v>
      </c>
      <c r="AM921" s="3">
        <v>10.39</v>
      </c>
      <c r="AN921" s="3"/>
      <c r="AO921" s="3"/>
      <c r="AP921" s="3">
        <v>10.39</v>
      </c>
      <c r="AQ921" s="47">
        <v>10.39</v>
      </c>
      <c r="AR921" s="47"/>
      <c r="AS921" s="3">
        <v>31.25</v>
      </c>
      <c r="AT921" s="3"/>
      <c r="AU921" s="3"/>
      <c r="AV921" s="3"/>
      <c r="AW921" s="3"/>
      <c r="AX921" s="48">
        <v>31.25</v>
      </c>
      <c r="AY921" s="71"/>
      <c r="AZ921" s="3"/>
      <c r="BA921" s="3"/>
      <c r="BB921" s="3"/>
      <c r="BC921" s="3"/>
      <c r="BD921" s="40">
        <v>1259.438282076841</v>
      </c>
      <c r="BE921" s="40">
        <v>1120.6423659113352</v>
      </c>
      <c r="BF921" s="40"/>
      <c r="BG921" s="40">
        <v>465.35757479415702</v>
      </c>
      <c r="BH921" s="40">
        <v>448.5170324756823</v>
      </c>
      <c r="BI921" s="49">
        <v>2380.0806479881762</v>
      </c>
      <c r="BJ921" s="49">
        <v>913.87460726983932</v>
      </c>
      <c r="BK921" s="66">
        <v>0.12385388986488421</v>
      </c>
      <c r="BL921" s="66">
        <v>3.7547163427707142E-2</v>
      </c>
      <c r="BM921" s="51">
        <v>48.772144425987221</v>
      </c>
      <c r="BN921" s="51">
        <v>18.726938673562284</v>
      </c>
      <c r="BO921" s="209"/>
      <c r="BP921" s="40"/>
      <c r="BQ921" s="40"/>
      <c r="BR921" s="67"/>
      <c r="BS921" s="54"/>
      <c r="BT921" s="3" t="s">
        <v>270</v>
      </c>
      <c r="BU921" s="3"/>
      <c r="BV921" s="46"/>
      <c r="BW921" s="46"/>
      <c r="BX921" s="70"/>
      <c r="BY921" s="70"/>
      <c r="BZ921" s="59"/>
      <c r="CA921" s="59"/>
      <c r="CB921" s="59"/>
      <c r="CC921" s="59"/>
      <c r="CD921" s="60">
        <v>98</v>
      </c>
      <c r="CE921" s="60">
        <v>91</v>
      </c>
      <c r="CF921" s="61">
        <v>2.0081967213114753</v>
      </c>
      <c r="CG921" s="61">
        <v>1.8647540983606559</v>
      </c>
      <c r="CH921" s="61">
        <v>0.92857142857142871</v>
      </c>
      <c r="CI921" s="41">
        <v>17.100000000000001</v>
      </c>
      <c r="CJ921" s="40">
        <f>VLOOKUP(paper3[[#This Row],[YYIR nivå]],$DB:$DC,2)</f>
        <v>1440</v>
      </c>
      <c r="CK921" s="3"/>
      <c r="CL921" s="62"/>
      <c r="CM921" s="63">
        <v>0</v>
      </c>
      <c r="CN921" s="3">
        <v>0</v>
      </c>
      <c r="CO921" s="3">
        <v>0</v>
      </c>
      <c r="CP921" s="41">
        <v>14.905555555555555</v>
      </c>
      <c r="CQ921" s="3"/>
      <c r="CR921" s="40"/>
      <c r="CS921" s="40"/>
      <c r="CT921" s="40"/>
      <c r="CU921" s="40"/>
      <c r="CV921" s="40"/>
      <c r="CW921" s="40"/>
      <c r="CX921" s="40"/>
      <c r="CY921" s="40">
        <v>0</v>
      </c>
    </row>
    <row r="922" spans="1:103" ht="18.95" customHeight="1">
      <c r="A922" s="3">
        <v>161</v>
      </c>
      <c r="B922" s="92" t="s">
        <v>103</v>
      </c>
      <c r="C922" s="3" t="s">
        <v>104</v>
      </c>
      <c r="D922" s="3" t="s">
        <v>269</v>
      </c>
      <c r="E922" s="39">
        <v>45223</v>
      </c>
      <c r="F922" s="3" t="s">
        <v>106</v>
      </c>
      <c r="G922" s="3" t="s">
        <v>122</v>
      </c>
      <c r="H922" s="3">
        <v>2008</v>
      </c>
      <c r="I922" s="40" t="s">
        <v>108</v>
      </c>
      <c r="J922" s="39" t="s">
        <v>123</v>
      </c>
      <c r="K922" s="3">
        <v>173.2</v>
      </c>
      <c r="L922" s="3">
        <v>173.4</v>
      </c>
      <c r="M922" s="3"/>
      <c r="N922" s="3">
        <v>144</v>
      </c>
      <c r="O922" s="3">
        <v>144.1</v>
      </c>
      <c r="P922" s="3"/>
      <c r="Q922" s="3">
        <v>59.1</v>
      </c>
      <c r="R922" s="3"/>
      <c r="S922" s="3"/>
      <c r="T922" s="42">
        <v>173.3</v>
      </c>
      <c r="U922" s="42">
        <f>AVERAGE(paper3[[#This Row],[Sittende høyde 1]:[Sittende høyde 3]])-56.2</f>
        <v>87.850000000000009</v>
      </c>
      <c r="V922" s="12">
        <f>paper3[[#This Row],[height]]-paper3[[#This Row],[sittingheight]]</f>
        <v>85.45</v>
      </c>
      <c r="W922" s="73">
        <v>59.1</v>
      </c>
      <c r="X922" s="43" cm="1">
        <f t="array" ref="X922">INDEX([1]!phvny[yphv], MATCH(1, (paper3[[#This Row],[id]]=[1]!phvny[id])*(paper3[[#This Row],[time]]=[1]!phvny[time]), 0))</f>
        <v>1.0691969634987988</v>
      </c>
      <c r="Y922" s="3">
        <v>2.0299999999999998</v>
      </c>
      <c r="Z922" s="3">
        <v>3.4</v>
      </c>
      <c r="AA922" s="3">
        <v>4.71</v>
      </c>
      <c r="AB922" s="3">
        <v>2.02</v>
      </c>
      <c r="AC922" s="3">
        <v>3.37</v>
      </c>
      <c r="AD922" s="3">
        <v>4.7</v>
      </c>
      <c r="AE922" s="3">
        <v>2.02</v>
      </c>
      <c r="AF922" s="3">
        <v>3.37</v>
      </c>
      <c r="AG922" s="3">
        <v>4.71</v>
      </c>
      <c r="AH922" s="44">
        <v>2.02</v>
      </c>
      <c r="AI922" s="44">
        <v>3.37</v>
      </c>
      <c r="AJ922" s="44">
        <v>4.7</v>
      </c>
      <c r="AK922" s="45">
        <v>7.518796992481203</v>
      </c>
      <c r="AL922" s="3">
        <v>10.45</v>
      </c>
      <c r="AM922" s="3">
        <v>10.57</v>
      </c>
      <c r="AN922" s="3">
        <v>10.54</v>
      </c>
      <c r="AO922" s="3">
        <v>10.66</v>
      </c>
      <c r="AP922" s="3">
        <v>10.45</v>
      </c>
      <c r="AQ922" s="47">
        <v>10.45</v>
      </c>
      <c r="AR922" s="47">
        <v>10.54</v>
      </c>
      <c r="AS922" s="3">
        <v>32.08</v>
      </c>
      <c r="AT922" s="3"/>
      <c r="AU922" s="3"/>
      <c r="AV922" s="3"/>
      <c r="AW922" s="3"/>
      <c r="AX922" s="48">
        <v>32.08</v>
      </c>
      <c r="AY922" s="71"/>
      <c r="AZ922" s="3"/>
      <c r="BA922" s="3"/>
      <c r="BB922" s="3"/>
      <c r="BC922" s="3"/>
      <c r="BD922" s="40">
        <v>1206.1870082239093</v>
      </c>
      <c r="BE922" s="40">
        <v>1150.484581908263</v>
      </c>
      <c r="BF922" s="40"/>
      <c r="BG922" s="40">
        <v>425.12053219900963</v>
      </c>
      <c r="BH922" s="40">
        <v>454.08678866125024</v>
      </c>
      <c r="BI922" s="49">
        <v>2356.6715901321722</v>
      </c>
      <c r="BJ922" s="49">
        <v>879.20732086025987</v>
      </c>
      <c r="BK922" s="66">
        <v>4.8416490921812105E-2</v>
      </c>
      <c r="BL922" s="66">
        <v>-6.3790132603592453E-2</v>
      </c>
      <c r="BM922" s="51">
        <v>39.875999833031678</v>
      </c>
      <c r="BN922" s="51">
        <v>14.876604413879186</v>
      </c>
      <c r="BO922" s="209">
        <v>351</v>
      </c>
      <c r="BP922" s="40">
        <v>258</v>
      </c>
      <c r="BQ922" s="40">
        <v>351</v>
      </c>
      <c r="BR922" s="67">
        <v>-0.2649572649572649</v>
      </c>
      <c r="BS922" s="54">
        <v>5.1522842639593911</v>
      </c>
      <c r="BT922" s="210">
        <v>307</v>
      </c>
      <c r="BU922" s="210">
        <v>266</v>
      </c>
      <c r="BV922" s="46"/>
      <c r="BW922" s="46"/>
      <c r="BX922" s="70">
        <v>0.15413533834586457</v>
      </c>
      <c r="BY922" s="70"/>
      <c r="BZ922" s="59"/>
      <c r="CA922" s="59"/>
      <c r="CB922" s="59">
        <f>IFERROR((paper3[[#This Row],[meanadd]]*(paper3[[#This Row],[leglength]]/100))/paper3[[#This Row],[bodymass]],"")</f>
        <v>4.1423730964467005</v>
      </c>
      <c r="CC922" s="59"/>
      <c r="CD922" s="60">
        <v>111</v>
      </c>
      <c r="CE922" s="60">
        <v>95</v>
      </c>
      <c r="CF922" s="61">
        <v>1.8781725888324872</v>
      </c>
      <c r="CG922" s="61">
        <v>1.6074450084602367</v>
      </c>
      <c r="CH922" s="61">
        <v>0.85585585585585588</v>
      </c>
      <c r="CI922" s="41"/>
      <c r="CJ922" s="40"/>
      <c r="CK922" s="3"/>
      <c r="CL922" s="62"/>
      <c r="CM922" s="63">
        <v>0</v>
      </c>
      <c r="CN922" s="3">
        <v>307</v>
      </c>
      <c r="CO922" s="3">
        <v>0</v>
      </c>
      <c r="CP922" s="41">
        <v>15.230555555555556</v>
      </c>
      <c r="CQ922" s="3"/>
      <c r="CR922" s="40">
        <v>286.5</v>
      </c>
      <c r="CS922" s="40"/>
      <c r="CT922" s="40">
        <v>304.5</v>
      </c>
      <c r="CU922" s="40"/>
      <c r="CV922" s="40"/>
      <c r="CW922" s="40"/>
      <c r="CX922" s="40"/>
      <c r="CY922" s="40">
        <v>0</v>
      </c>
    </row>
    <row r="923" spans="1:103" ht="18.75">
      <c r="A923" s="3">
        <v>162</v>
      </c>
      <c r="B923" s="92" t="s">
        <v>103</v>
      </c>
      <c r="C923" s="3" t="s">
        <v>104</v>
      </c>
      <c r="D923" s="3" t="s">
        <v>269</v>
      </c>
      <c r="E923" s="39">
        <v>45223</v>
      </c>
      <c r="F923" s="3" t="s">
        <v>106</v>
      </c>
      <c r="G923" s="3" t="s">
        <v>122</v>
      </c>
      <c r="H923" s="3">
        <v>2008</v>
      </c>
      <c r="I923" s="40" t="s">
        <v>108</v>
      </c>
      <c r="J923" s="39" t="s">
        <v>123</v>
      </c>
      <c r="K923" s="3">
        <v>174.6</v>
      </c>
      <c r="L923" s="3">
        <v>174.6</v>
      </c>
      <c r="M923" s="3"/>
      <c r="N923" s="3">
        <v>142.5</v>
      </c>
      <c r="O923" s="3">
        <v>142.69999999999999</v>
      </c>
      <c r="P923" s="3"/>
      <c r="Q923" s="3">
        <v>60.5</v>
      </c>
      <c r="R923" s="3"/>
      <c r="S923" s="3"/>
      <c r="T923" s="42">
        <v>174.6</v>
      </c>
      <c r="U923" s="42">
        <f>AVERAGE(paper3[[#This Row],[Sittende høyde 1]:[Sittende høyde 3]])-56.2</f>
        <v>86.399999999999991</v>
      </c>
      <c r="V923" s="12">
        <f>paper3[[#This Row],[height]]-paper3[[#This Row],[sittingheight]]</f>
        <v>88.2</v>
      </c>
      <c r="W923" s="73">
        <v>60.5</v>
      </c>
      <c r="X923" s="43" cm="1">
        <f t="array" ref="X923">INDEX([1]!phvny[yphv], MATCH(1, (paper3[[#This Row],[id]]=[1]!phvny[id])*(paper3[[#This Row],[time]]=[1]!phvny[time]), 0))</f>
        <v>0.90207270886253998</v>
      </c>
      <c r="Y923" s="3">
        <v>2.11</v>
      </c>
      <c r="Z923" s="3">
        <v>3.49</v>
      </c>
      <c r="AA923" s="3">
        <v>4.8099999999999996</v>
      </c>
      <c r="AB923" s="3">
        <v>1.94</v>
      </c>
      <c r="AC923" s="3">
        <v>3.28</v>
      </c>
      <c r="AD923" s="3">
        <v>4.5599999999999996</v>
      </c>
      <c r="AE923" s="3">
        <v>2.0499999999999998</v>
      </c>
      <c r="AF923" s="3">
        <v>3.42</v>
      </c>
      <c r="AG923" s="3">
        <v>4.74</v>
      </c>
      <c r="AH923" s="44">
        <v>1.94</v>
      </c>
      <c r="AI923" s="44">
        <v>3.28</v>
      </c>
      <c r="AJ923" s="44">
        <v>4.5599999999999996</v>
      </c>
      <c r="AK923" s="45">
        <v>7.8125000000000009</v>
      </c>
      <c r="AL923" s="3">
        <v>10.48</v>
      </c>
      <c r="AM923" s="3">
        <v>10.45</v>
      </c>
      <c r="AN923" s="3">
        <v>10.49</v>
      </c>
      <c r="AO923" s="3">
        <v>10.32</v>
      </c>
      <c r="AP923" s="3">
        <v>10.32</v>
      </c>
      <c r="AQ923" s="47">
        <v>10.45</v>
      </c>
      <c r="AR923" s="47">
        <v>10.32</v>
      </c>
      <c r="AS923" s="3">
        <v>41.51</v>
      </c>
      <c r="AT923" s="3"/>
      <c r="AU923" s="3"/>
      <c r="AV923" s="3"/>
      <c r="AW923" s="3"/>
      <c r="AX923" s="48">
        <v>41.51</v>
      </c>
      <c r="AY923" s="71"/>
      <c r="AZ923" s="3"/>
      <c r="BA923" s="3"/>
      <c r="BB923" s="3"/>
      <c r="BC923" s="3"/>
      <c r="BD923" s="40"/>
      <c r="BE923" s="40"/>
      <c r="BF923" s="40"/>
      <c r="BG923" s="40"/>
      <c r="BH923" s="40"/>
      <c r="BI923" s="49"/>
      <c r="BJ923" s="49"/>
      <c r="BK923" s="66"/>
      <c r="BL923" s="66"/>
      <c r="BM923" s="51"/>
      <c r="BN923" s="51"/>
      <c r="BO923" s="209">
        <v>348</v>
      </c>
      <c r="BP923" s="40">
        <v>348</v>
      </c>
      <c r="BQ923" s="40">
        <v>341</v>
      </c>
      <c r="BR923" s="67">
        <v>2.0527859237536639E-2</v>
      </c>
      <c r="BS923" s="54">
        <v>5.6942148760330582</v>
      </c>
      <c r="BT923" s="3">
        <v>164</v>
      </c>
      <c r="BU923" s="3">
        <v>155</v>
      </c>
      <c r="BV923" s="46"/>
      <c r="BW923" s="46"/>
      <c r="BX923" s="70">
        <v>5.8064516129032295E-2</v>
      </c>
      <c r="BY923" s="70"/>
      <c r="BZ923" s="59"/>
      <c r="CA923" s="59"/>
      <c r="CB923" s="59">
        <f>IFERROR((paper3[[#This Row],[meanadd]]*(paper3[[#This Row],[leglength]]/100))/paper3[[#This Row],[bodymass]],"")</f>
        <v>2.3252727272727274</v>
      </c>
      <c r="CC923" s="59"/>
      <c r="CD923" s="60">
        <v>116</v>
      </c>
      <c r="CE923" s="60">
        <v>102</v>
      </c>
      <c r="CF923" s="61">
        <v>1.9173553719008265</v>
      </c>
      <c r="CG923" s="61">
        <v>1.6859504132231404</v>
      </c>
      <c r="CH923" s="61">
        <v>0.87931034482758619</v>
      </c>
      <c r="CI923" s="41"/>
      <c r="CJ923" s="40"/>
      <c r="CK923" s="3"/>
      <c r="CL923" s="62"/>
      <c r="CM923" s="63">
        <v>0</v>
      </c>
      <c r="CN923" s="3">
        <v>164</v>
      </c>
      <c r="CO923" s="3">
        <v>0</v>
      </c>
      <c r="CP923" s="41">
        <v>15.269444444444444</v>
      </c>
      <c r="CQ923" s="3"/>
      <c r="CR923" s="40">
        <v>159.5</v>
      </c>
      <c r="CS923" s="40"/>
      <c r="CT923" s="40">
        <v>344.5</v>
      </c>
      <c r="CU923" s="40"/>
      <c r="CV923" s="40"/>
      <c r="CW923" s="40"/>
      <c r="CX923" s="40"/>
      <c r="CY923" s="40">
        <v>0</v>
      </c>
    </row>
    <row r="924" spans="1:103" ht="18.95" customHeight="1">
      <c r="A924" s="3">
        <v>163</v>
      </c>
      <c r="B924" s="92" t="s">
        <v>103</v>
      </c>
      <c r="C924" s="3" t="s">
        <v>104</v>
      </c>
      <c r="D924" s="3" t="s">
        <v>269</v>
      </c>
      <c r="E924" s="39">
        <v>45223</v>
      </c>
      <c r="F924" s="3" t="s">
        <v>106</v>
      </c>
      <c r="G924" s="3" t="s">
        <v>122</v>
      </c>
      <c r="H924" s="3">
        <v>2008</v>
      </c>
      <c r="I924" s="40" t="s">
        <v>108</v>
      </c>
      <c r="J924" s="39" t="s">
        <v>123</v>
      </c>
      <c r="K924" s="3">
        <v>183.5</v>
      </c>
      <c r="L924" s="3">
        <v>183.5</v>
      </c>
      <c r="M924" s="3"/>
      <c r="N924" s="3">
        <v>147.5</v>
      </c>
      <c r="O924" s="3">
        <v>148.1</v>
      </c>
      <c r="P924" s="3">
        <v>148.1</v>
      </c>
      <c r="Q924" s="3">
        <v>66.599999999999994</v>
      </c>
      <c r="R924" s="3"/>
      <c r="S924" s="3"/>
      <c r="T924" s="42">
        <v>183.5</v>
      </c>
      <c r="U924" s="42">
        <f>AVERAGE(paper3[[#This Row],[Sittende høyde 1]:[Sittende høyde 3]])-56.2</f>
        <v>91.7</v>
      </c>
      <c r="V924" s="12">
        <f>paper3[[#This Row],[height]]-paper3[[#This Row],[sittingheight]]</f>
        <v>91.8</v>
      </c>
      <c r="W924" s="73">
        <v>66.599999999999994</v>
      </c>
      <c r="X924" s="43" cm="1">
        <f t="array" ref="X924">INDEX([1]!phvny[yphv], MATCH(1, (paper3[[#This Row],[id]]=[1]!phvny[id])*(paper3[[#This Row],[time]]=[1]!phvny[time]), 0))</f>
        <v>1.8872593059140159</v>
      </c>
      <c r="Y924" s="3">
        <v>1.95</v>
      </c>
      <c r="Z924" s="3">
        <v>3.22</v>
      </c>
      <c r="AA924" s="3">
        <v>4.4800000000000004</v>
      </c>
      <c r="AB924" s="3">
        <v>1.91</v>
      </c>
      <c r="AC924" s="3">
        <v>3.19</v>
      </c>
      <c r="AD924" s="3">
        <v>4.4000000000000004</v>
      </c>
      <c r="AE924" s="3"/>
      <c r="AF924" s="3"/>
      <c r="AG924" s="3"/>
      <c r="AH924" s="44">
        <v>1.91</v>
      </c>
      <c r="AI924" s="44">
        <v>3.19</v>
      </c>
      <c r="AJ924" s="44">
        <v>4.4000000000000004</v>
      </c>
      <c r="AK924" s="45">
        <v>8.2644628099173527</v>
      </c>
      <c r="AL924" s="3">
        <v>10.38</v>
      </c>
      <c r="AM924" s="3"/>
      <c r="AN924" s="3"/>
      <c r="AO924" s="3"/>
      <c r="AP924" s="3">
        <v>10.38</v>
      </c>
      <c r="AQ924" s="47">
        <v>10.38</v>
      </c>
      <c r="AR924" s="47"/>
      <c r="AS924" s="3">
        <v>32.04</v>
      </c>
      <c r="AT924" s="3">
        <v>34.53</v>
      </c>
      <c r="AU924" s="3">
        <v>36.880000000000003</v>
      </c>
      <c r="AV924" s="3">
        <v>36.200000000000003</v>
      </c>
      <c r="AW924" s="3"/>
      <c r="AX924" s="48">
        <v>36.880000000000003</v>
      </c>
      <c r="AY924" s="71"/>
      <c r="AZ924" s="3"/>
      <c r="BA924" s="3"/>
      <c r="BB924" s="3"/>
      <c r="BC924" s="3"/>
      <c r="BD924" s="93"/>
      <c r="BE924" s="40"/>
      <c r="BF924" s="40"/>
      <c r="BG924" s="40"/>
      <c r="BH924" s="40"/>
      <c r="BI924" s="49"/>
      <c r="BJ924" s="49"/>
      <c r="BK924" s="66"/>
      <c r="BL924" s="66"/>
      <c r="BM924" s="51"/>
      <c r="BN924" s="51"/>
      <c r="BO924" s="209">
        <v>297</v>
      </c>
      <c r="BP924" s="40">
        <v>297</v>
      </c>
      <c r="BQ924" s="40">
        <v>296</v>
      </c>
      <c r="BR924" s="67">
        <v>3.3783783783782884E-3</v>
      </c>
      <c r="BS924" s="54">
        <v>4.4519519519519521</v>
      </c>
      <c r="BT924" s="3">
        <v>163</v>
      </c>
      <c r="BU924" s="3">
        <v>136</v>
      </c>
      <c r="BV924" s="46"/>
      <c r="BW924" s="46"/>
      <c r="BX924" s="70">
        <v>0.19852941176470584</v>
      </c>
      <c r="BY924" s="70"/>
      <c r="BZ924" s="59"/>
      <c r="CA924" s="59"/>
      <c r="CB924" s="59">
        <f>IFERROR((paper3[[#This Row],[meanadd]]*(paper3[[#This Row],[leglength]]/100))/paper3[[#This Row],[bodymass]],"")</f>
        <v>2.0606756756756757</v>
      </c>
      <c r="CC924" s="59"/>
      <c r="CD924" s="60">
        <v>73</v>
      </c>
      <c r="CE924" s="60">
        <v>98</v>
      </c>
      <c r="CF924" s="61">
        <v>1.0960960960960962</v>
      </c>
      <c r="CG924" s="61">
        <v>1.4714714714714716</v>
      </c>
      <c r="CH924" s="61">
        <v>1.3424657534246576</v>
      </c>
      <c r="CI924" s="41">
        <v>16.600000000000001</v>
      </c>
      <c r="CJ924" s="40">
        <f>VLOOKUP(paper3[[#This Row],[YYIR nivå]],$DB:$DC,2)</f>
        <v>1320</v>
      </c>
      <c r="CK924" s="3"/>
      <c r="CL924" s="62"/>
      <c r="CM924" s="63">
        <v>0</v>
      </c>
      <c r="CN924" s="3">
        <v>163</v>
      </c>
      <c r="CO924" s="3">
        <v>0</v>
      </c>
      <c r="CP924" s="41">
        <v>15.738888888888889</v>
      </c>
      <c r="CQ924" s="3"/>
      <c r="CR924" s="40">
        <v>149.5</v>
      </c>
      <c r="CS924" s="40"/>
      <c r="CT924" s="40">
        <v>296.5</v>
      </c>
      <c r="CU924" s="40"/>
      <c r="CV924" s="40"/>
      <c r="CW924" s="40"/>
      <c r="CX924" s="40"/>
      <c r="CY924" s="40">
        <v>0</v>
      </c>
    </row>
    <row r="925" spans="1:103" ht="18.95" customHeight="1">
      <c r="A925" s="3">
        <v>164</v>
      </c>
      <c r="B925" s="92" t="s">
        <v>103</v>
      </c>
      <c r="C925" s="3" t="s">
        <v>104</v>
      </c>
      <c r="D925" s="3" t="s">
        <v>269</v>
      </c>
      <c r="E925" s="39">
        <v>45223</v>
      </c>
      <c r="F925" s="3" t="s">
        <v>106</v>
      </c>
      <c r="G925" s="3" t="s">
        <v>122</v>
      </c>
      <c r="H925" s="3">
        <v>2008</v>
      </c>
      <c r="I925" s="40" t="s">
        <v>108</v>
      </c>
      <c r="J925" s="39" t="s">
        <v>123</v>
      </c>
      <c r="K925" s="3">
        <v>170.9</v>
      </c>
      <c r="L925" s="3">
        <v>170.9</v>
      </c>
      <c r="M925" s="3"/>
      <c r="N925" s="3">
        <v>140.4</v>
      </c>
      <c r="O925" s="3">
        <v>140.6</v>
      </c>
      <c r="P925" s="3"/>
      <c r="Q925" s="3">
        <v>61.6</v>
      </c>
      <c r="R925" s="3"/>
      <c r="S925" s="3"/>
      <c r="T925" s="42">
        <v>170.9</v>
      </c>
      <c r="U925" s="42">
        <f>AVERAGE(paper3[[#This Row],[Sittende høyde 1]:[Sittende høyde 3]])-56.2</f>
        <v>84.3</v>
      </c>
      <c r="V925" s="12">
        <f>paper3[[#This Row],[height]]-paper3[[#This Row],[sittingheight]]</f>
        <v>86.600000000000009</v>
      </c>
      <c r="W925" s="73">
        <v>61.6</v>
      </c>
      <c r="X925" s="43" cm="1">
        <f t="array" ref="X925">INDEX([1]!phvny[yphv], MATCH(1, (paper3[[#This Row],[id]]=[1]!phvny[id])*(paper3[[#This Row],[time]]=[1]!phvny[time]), 0))</f>
        <v>0.65528863339340726</v>
      </c>
      <c r="Y925" s="3">
        <v>2.08</v>
      </c>
      <c r="Z925" s="3">
        <v>3.5</v>
      </c>
      <c r="AA925" s="3">
        <v>4.8499999999999996</v>
      </c>
      <c r="AB925" s="3">
        <v>1.99</v>
      </c>
      <c r="AC925" s="3">
        <v>3.38</v>
      </c>
      <c r="AD925" s="3">
        <v>4.71</v>
      </c>
      <c r="AE925" s="3">
        <v>1.99</v>
      </c>
      <c r="AF925" s="3">
        <v>3.39</v>
      </c>
      <c r="AG925" s="3">
        <v>4.74</v>
      </c>
      <c r="AH925" s="44">
        <v>1.99</v>
      </c>
      <c r="AI925" s="44">
        <v>3.38</v>
      </c>
      <c r="AJ925" s="44">
        <v>4.71</v>
      </c>
      <c r="AK925" s="45">
        <v>7.518796992481203</v>
      </c>
      <c r="AL925" s="3">
        <v>10.17</v>
      </c>
      <c r="AM925" s="3">
        <v>10.09</v>
      </c>
      <c r="AN925" s="3">
        <v>10.46</v>
      </c>
      <c r="AO925" s="3">
        <v>10.68</v>
      </c>
      <c r="AP925" s="3">
        <v>10.09</v>
      </c>
      <c r="AQ925" s="47">
        <v>10.09</v>
      </c>
      <c r="AR925" s="47">
        <v>10.46</v>
      </c>
      <c r="AS925" s="3">
        <v>31.97</v>
      </c>
      <c r="AT925" s="3">
        <v>34.6</v>
      </c>
      <c r="AU925" s="3">
        <v>33.18</v>
      </c>
      <c r="AV925" s="3"/>
      <c r="AW925" s="3"/>
      <c r="AX925" s="48">
        <v>34.6</v>
      </c>
      <c r="AY925" s="71"/>
      <c r="AZ925" s="3"/>
      <c r="BA925" s="3"/>
      <c r="BB925" s="3"/>
      <c r="BC925" s="3"/>
      <c r="BD925" s="40">
        <v>1395.5017282015688</v>
      </c>
      <c r="BE925" s="40">
        <v>1255.8813070881874</v>
      </c>
      <c r="BF925" s="40"/>
      <c r="BG925" s="40">
        <v>527.38975315171569</v>
      </c>
      <c r="BH925" s="40">
        <v>439.7081423263611</v>
      </c>
      <c r="BI925" s="49">
        <v>2651.3830352897562</v>
      </c>
      <c r="BJ925" s="49">
        <v>967.09789547807679</v>
      </c>
      <c r="BK925" s="66">
        <v>0.111173261617451</v>
      </c>
      <c r="BL925" s="66">
        <v>0.19940865857397605</v>
      </c>
      <c r="BM925" s="51">
        <v>43.041932391067469</v>
      </c>
      <c r="BN925" s="51">
        <v>15.699641160358389</v>
      </c>
      <c r="BO925" s="209">
        <v>239</v>
      </c>
      <c r="BP925" s="40">
        <v>239</v>
      </c>
      <c r="BQ925" s="40">
        <v>239</v>
      </c>
      <c r="BR925" s="67">
        <v>0</v>
      </c>
      <c r="BS925" s="54">
        <v>3.8798701298701297</v>
      </c>
      <c r="BT925" s="3">
        <v>140</v>
      </c>
      <c r="BU925" s="3">
        <v>142</v>
      </c>
      <c r="BV925" s="46"/>
      <c r="BW925" s="46"/>
      <c r="BX925" s="70">
        <v>-1.4084507042253502E-2</v>
      </c>
      <c r="BY925" s="70"/>
      <c r="BZ925" s="59"/>
      <c r="CA925" s="59"/>
      <c r="CB925" s="59">
        <f>IFERROR((paper3[[#This Row],[meanadd]]*(paper3[[#This Row],[leglength]]/100))/paper3[[#This Row],[bodymass]],"")</f>
        <v>1.9822402597402597</v>
      </c>
      <c r="CC925" s="59"/>
      <c r="CD925" s="60">
        <v>104</v>
      </c>
      <c r="CE925" s="60">
        <v>82</v>
      </c>
      <c r="CF925" s="61">
        <v>1.6883116883116882</v>
      </c>
      <c r="CG925" s="61">
        <v>1.3311688311688312</v>
      </c>
      <c r="CH925" s="61">
        <v>0.78846153846153855</v>
      </c>
      <c r="CI925" s="41">
        <v>16.2</v>
      </c>
      <c r="CJ925" s="40">
        <f>VLOOKUP(paper3[[#This Row],[YYIR nivå]],$DB:$DC,2)</f>
        <v>1160</v>
      </c>
      <c r="CK925" s="3"/>
      <c r="CL925" s="62"/>
      <c r="CM925" s="63">
        <v>0</v>
      </c>
      <c r="CN925" s="3">
        <v>142</v>
      </c>
      <c r="CO925" s="3">
        <v>0</v>
      </c>
      <c r="CP925" s="41">
        <v>15.266666666666667</v>
      </c>
      <c r="CQ925" s="3"/>
      <c r="CR925" s="40">
        <v>141</v>
      </c>
      <c r="CS925" s="40"/>
      <c r="CT925" s="40">
        <v>239</v>
      </c>
      <c r="CU925" s="40"/>
      <c r="CV925" s="40"/>
      <c r="CW925" s="40"/>
      <c r="CX925" s="40"/>
      <c r="CY925" s="40">
        <v>0</v>
      </c>
    </row>
    <row r="926" spans="1:103" ht="18.95" customHeight="1">
      <c r="A926" s="3">
        <v>166</v>
      </c>
      <c r="B926" s="92" t="s">
        <v>103</v>
      </c>
      <c r="C926" s="3" t="s">
        <v>104</v>
      </c>
      <c r="D926" s="3" t="s">
        <v>269</v>
      </c>
      <c r="E926" s="39">
        <v>45223</v>
      </c>
      <c r="F926" s="3" t="s">
        <v>106</v>
      </c>
      <c r="G926" s="3" t="s">
        <v>122</v>
      </c>
      <c r="H926" s="3">
        <v>2008</v>
      </c>
      <c r="I926" s="40" t="s">
        <v>108</v>
      </c>
      <c r="J926" s="39" t="s">
        <v>123</v>
      </c>
      <c r="K926" s="3">
        <v>174.1</v>
      </c>
      <c r="L926" s="3">
        <v>174.2</v>
      </c>
      <c r="M926" s="3"/>
      <c r="N926" s="3">
        <v>143.4</v>
      </c>
      <c r="O926" s="3">
        <v>143.19999999999999</v>
      </c>
      <c r="P926" s="3"/>
      <c r="Q926" s="3">
        <v>55.3</v>
      </c>
      <c r="R926" s="3"/>
      <c r="S926" s="3"/>
      <c r="T926" s="42">
        <v>174.14999999999998</v>
      </c>
      <c r="U926" s="42">
        <f>AVERAGE(paper3[[#This Row],[Sittende høyde 1]:[Sittende høyde 3]])-56.2</f>
        <v>87.100000000000009</v>
      </c>
      <c r="V926" s="12">
        <f>paper3[[#This Row],[height]]-paper3[[#This Row],[sittingheight]]</f>
        <v>87.049999999999969</v>
      </c>
      <c r="W926" s="73">
        <v>55.3</v>
      </c>
      <c r="X926" s="43" cm="1">
        <f t="array" ref="X926">INDEX([1]!phvny[yphv], MATCH(1, (paper3[[#This Row],[id]]=[1]!phvny[id])*(paper3[[#This Row],[time]]=[1]!phvny[time]), 0))</f>
        <v>1.1533314065990536</v>
      </c>
      <c r="Y926" s="3">
        <v>2.0099999999999998</v>
      </c>
      <c r="Z926" s="3">
        <v>3.39</v>
      </c>
      <c r="AA926" s="3">
        <v>4.75</v>
      </c>
      <c r="AB926" s="3">
        <v>2</v>
      </c>
      <c r="AC926" s="3">
        <v>3.36</v>
      </c>
      <c r="AD926" s="3">
        <v>4.68</v>
      </c>
      <c r="AE926" s="3">
        <v>1.97</v>
      </c>
      <c r="AF926" s="3">
        <v>3.36</v>
      </c>
      <c r="AG926" s="3">
        <v>4.72</v>
      </c>
      <c r="AH926" s="44">
        <v>1.97</v>
      </c>
      <c r="AI926" s="44">
        <v>3.36</v>
      </c>
      <c r="AJ926" s="44">
        <v>4.68</v>
      </c>
      <c r="AK926" s="45">
        <v>7.575757575757577</v>
      </c>
      <c r="AL926" s="3"/>
      <c r="AM926" s="3"/>
      <c r="AN926" s="3">
        <v>10.58</v>
      </c>
      <c r="AO926" s="3"/>
      <c r="AP926" s="3">
        <v>10.58</v>
      </c>
      <c r="AQ926" s="47">
        <v>0</v>
      </c>
      <c r="AR926" s="47">
        <v>10.58</v>
      </c>
      <c r="AS926" s="3">
        <v>33.450000000000003</v>
      </c>
      <c r="AT926" s="3">
        <v>36.35</v>
      </c>
      <c r="AU926" s="3">
        <v>35.5</v>
      </c>
      <c r="AV926" s="3"/>
      <c r="AW926" s="3"/>
      <c r="AX926" s="48">
        <v>36.35</v>
      </c>
      <c r="AY926" s="71"/>
      <c r="AZ926" s="3"/>
      <c r="BA926" s="3"/>
      <c r="BB926" s="3"/>
      <c r="BC926" s="3"/>
      <c r="BD926" s="3"/>
      <c r="BE926" s="3"/>
      <c r="BF926" s="3"/>
      <c r="BG926" s="3"/>
      <c r="BH926" s="3"/>
      <c r="BI926" s="49"/>
      <c r="BJ926" s="49"/>
      <c r="BK926" s="66"/>
      <c r="BL926" s="66"/>
      <c r="BM926" s="51"/>
      <c r="BN926" s="51"/>
      <c r="BO926" s="209">
        <v>303</v>
      </c>
      <c r="BP926" s="40">
        <v>254</v>
      </c>
      <c r="BQ926" s="40">
        <v>303</v>
      </c>
      <c r="BR926" s="67">
        <v>-0.16171617161716167</v>
      </c>
      <c r="BS926" s="54">
        <v>5.0361663652802893</v>
      </c>
      <c r="BT926" s="3">
        <v>192</v>
      </c>
      <c r="BU926" s="3">
        <v>168</v>
      </c>
      <c r="BV926" s="46"/>
      <c r="BW926" s="46"/>
      <c r="BX926" s="70">
        <v>0.14285714285714279</v>
      </c>
      <c r="BY926" s="70"/>
      <c r="BZ926" s="59"/>
      <c r="CA926" s="59"/>
      <c r="CB926" s="59">
        <f>IFERROR((paper3[[#This Row],[meanadd]]*(paper3[[#This Row],[leglength]]/100))/paper3[[#This Row],[bodymass]],"")</f>
        <v>2.8334538878842666</v>
      </c>
      <c r="CC926" s="59"/>
      <c r="CD926" s="60">
        <v>98</v>
      </c>
      <c r="CE926" s="60">
        <v>90</v>
      </c>
      <c r="CF926" s="61">
        <v>1.7721518987341773</v>
      </c>
      <c r="CG926" s="61">
        <v>1.62748643761302</v>
      </c>
      <c r="CH926" s="61">
        <v>0.91836734693877553</v>
      </c>
      <c r="CI926" s="41"/>
      <c r="CJ926" s="40"/>
      <c r="CK926" s="3"/>
      <c r="CL926" s="62"/>
      <c r="CM926" s="63">
        <v>0</v>
      </c>
      <c r="CN926" s="3">
        <v>192</v>
      </c>
      <c r="CO926" s="3">
        <v>0</v>
      </c>
      <c r="CP926" s="41">
        <v>15.727777777777778</v>
      </c>
      <c r="CQ926" s="3"/>
      <c r="CR926" s="40">
        <v>180</v>
      </c>
      <c r="CS926" s="40"/>
      <c r="CT926" s="40">
        <v>278.5</v>
      </c>
      <c r="CU926" s="40"/>
      <c r="CV926" s="40"/>
      <c r="CW926" s="40"/>
      <c r="CX926" s="40"/>
      <c r="CY926" s="40">
        <v>0</v>
      </c>
    </row>
    <row r="927" spans="1:103" ht="18.95" customHeight="1">
      <c r="A927" s="3">
        <v>170</v>
      </c>
      <c r="B927" s="92" t="s">
        <v>103</v>
      </c>
      <c r="C927" s="3" t="s">
        <v>115</v>
      </c>
      <c r="D927" s="3" t="s">
        <v>269</v>
      </c>
      <c r="E927" s="39">
        <v>45229</v>
      </c>
      <c r="F927" s="3" t="s">
        <v>106</v>
      </c>
      <c r="G927" s="3" t="s">
        <v>122</v>
      </c>
      <c r="H927" s="3">
        <v>2006</v>
      </c>
      <c r="I927" s="40" t="s">
        <v>116</v>
      </c>
      <c r="J927" s="39" t="s">
        <v>157</v>
      </c>
      <c r="K927" s="3">
        <v>175.3</v>
      </c>
      <c r="L927" s="3">
        <v>175.4</v>
      </c>
      <c r="M927" s="3"/>
      <c r="N927" s="3">
        <v>144.6</v>
      </c>
      <c r="O927" s="3">
        <v>144.69999999999999</v>
      </c>
      <c r="P927" s="3"/>
      <c r="Q927" s="3">
        <v>56.6</v>
      </c>
      <c r="R927" s="3"/>
      <c r="S927" s="3"/>
      <c r="T927" s="42">
        <v>175.35000000000002</v>
      </c>
      <c r="U927" s="42">
        <f>AVERAGE(paper3[[#This Row],[Sittende høyde 1]:[Sittende høyde 3]])-56.2</f>
        <v>88.449999999999974</v>
      </c>
      <c r="V927" s="12">
        <f>paper3[[#This Row],[height]]-paper3[[#This Row],[sittingheight]]</f>
        <v>86.900000000000048</v>
      </c>
      <c r="W927" s="73">
        <v>56.6</v>
      </c>
      <c r="X927" s="43" cm="1">
        <f t="array" ref="X927">INDEX([1]!phvny[yphv], MATCH(1, (paper3[[#This Row],[id]]=[1]!phvny[id])*(paper3[[#This Row],[time]]=[1]!phvny[time]), 0))</f>
        <v>1.9884590521396688</v>
      </c>
      <c r="Y927" s="3">
        <v>1.85</v>
      </c>
      <c r="Z927" s="3">
        <v>3.12</v>
      </c>
      <c r="AA927" s="3">
        <v>4.33</v>
      </c>
      <c r="AB927" s="3">
        <v>1.86</v>
      </c>
      <c r="AC927" s="3">
        <v>3.14</v>
      </c>
      <c r="AD927" s="3">
        <v>4.34</v>
      </c>
      <c r="AE927" s="3">
        <v>1.8</v>
      </c>
      <c r="AF927" s="3">
        <v>3.09</v>
      </c>
      <c r="AG927" s="3">
        <v>4.29</v>
      </c>
      <c r="AH927" s="44">
        <v>1.8</v>
      </c>
      <c r="AI927" s="44">
        <v>3.09</v>
      </c>
      <c r="AJ927" s="44">
        <v>4.29</v>
      </c>
      <c r="AK927" s="45">
        <v>8.3333333333333321</v>
      </c>
      <c r="AL927" s="3">
        <v>9.4700000000000006</v>
      </c>
      <c r="AM927" s="3">
        <v>9.56</v>
      </c>
      <c r="AN927" s="3">
        <v>9.3000000000000007</v>
      </c>
      <c r="AO927" s="3">
        <v>9.3800000000000008</v>
      </c>
      <c r="AP927" s="3">
        <v>9.3000000000000007</v>
      </c>
      <c r="AQ927" s="47">
        <v>9.4700000000000006</v>
      </c>
      <c r="AR927" s="47">
        <v>9.3000000000000007</v>
      </c>
      <c r="AS927" s="3">
        <v>35.299999999999997</v>
      </c>
      <c r="AT927" s="3">
        <v>38.32</v>
      </c>
      <c r="AU927" s="3">
        <v>39.49</v>
      </c>
      <c r="AV927" s="3">
        <v>40.35</v>
      </c>
      <c r="AW927" s="3">
        <v>40.700000000000003</v>
      </c>
      <c r="AX927" s="48">
        <v>40.700000000000003</v>
      </c>
      <c r="AY927" s="71"/>
      <c r="AZ927" s="3">
        <v>11</v>
      </c>
      <c r="BA927" s="3"/>
      <c r="BB927" s="3"/>
      <c r="BC927" s="3"/>
      <c r="BD927" s="3"/>
      <c r="BE927" s="3"/>
      <c r="BF927" s="3"/>
      <c r="BG927" s="3"/>
      <c r="BH927" s="3"/>
      <c r="BI927" s="49"/>
      <c r="BJ927" s="49"/>
      <c r="BK927" s="66"/>
      <c r="BL927" s="66"/>
      <c r="BM927" s="51"/>
      <c r="BN927" s="51"/>
      <c r="BO927" s="209">
        <v>328</v>
      </c>
      <c r="BP927" s="40">
        <v>314</v>
      </c>
      <c r="BQ927" s="40">
        <v>328</v>
      </c>
      <c r="BR927" s="67">
        <v>-4.2682926829268331E-2</v>
      </c>
      <c r="BS927" s="54">
        <v>5.671378091872791</v>
      </c>
      <c r="BT927" s="3">
        <v>178</v>
      </c>
      <c r="BU927" s="3">
        <v>147</v>
      </c>
      <c r="BV927" s="3" t="s">
        <v>271</v>
      </c>
      <c r="BW927" s="3"/>
      <c r="BX927" s="70">
        <v>0.21088435374149661</v>
      </c>
      <c r="BY927" s="70"/>
      <c r="BZ927" s="59"/>
      <c r="CA927" s="59"/>
      <c r="CB927" s="59">
        <f>IFERROR((paper3[[#This Row],[meanadd]]*(paper3[[#This Row],[leglength]]/100))/paper3[[#This Row],[bodymass]],"")</f>
        <v>2.4949204946996475</v>
      </c>
      <c r="CC927" s="59"/>
      <c r="CD927" s="60"/>
      <c r="CE927" s="60"/>
      <c r="CF927" s="61"/>
      <c r="CG927" s="61"/>
      <c r="CH927" s="61"/>
      <c r="CI927" s="41"/>
      <c r="CJ927" s="40"/>
      <c r="CK927" s="3"/>
      <c r="CL927" s="62"/>
      <c r="CM927" s="63">
        <v>0</v>
      </c>
      <c r="CN927" s="3">
        <v>178</v>
      </c>
      <c r="CO927" s="3"/>
      <c r="CP927" s="41">
        <v>17.019444444444446</v>
      </c>
      <c r="CQ927" s="3"/>
      <c r="CR927" s="40">
        <v>162.5</v>
      </c>
      <c r="CS927" s="40"/>
      <c r="CT927" s="40">
        <v>321</v>
      </c>
      <c r="CU927" s="40"/>
      <c r="CV927" s="40"/>
      <c r="CW927" s="40"/>
      <c r="CX927" s="40"/>
      <c r="CY927" s="40">
        <v>0</v>
      </c>
    </row>
    <row r="928" spans="1:103" ht="18.95" customHeight="1">
      <c r="A928" s="3">
        <v>171</v>
      </c>
      <c r="B928" s="92" t="s">
        <v>103</v>
      </c>
      <c r="C928" s="3" t="s">
        <v>115</v>
      </c>
      <c r="D928" s="3" t="s">
        <v>269</v>
      </c>
      <c r="E928" s="39">
        <v>45229</v>
      </c>
      <c r="F928" s="3" t="s">
        <v>106</v>
      </c>
      <c r="G928" s="3" t="s">
        <v>122</v>
      </c>
      <c r="H928" s="3">
        <v>2006</v>
      </c>
      <c r="I928" s="40" t="s">
        <v>116</v>
      </c>
      <c r="J928" s="39" t="s">
        <v>157</v>
      </c>
      <c r="K928" s="3">
        <v>184.7</v>
      </c>
      <c r="L928" s="3">
        <v>184.7</v>
      </c>
      <c r="M928" s="3"/>
      <c r="N928" s="3">
        <v>150.5</v>
      </c>
      <c r="O928" s="3">
        <v>150.30000000000001</v>
      </c>
      <c r="P928" s="3"/>
      <c r="Q928" s="3">
        <v>80.7</v>
      </c>
      <c r="R928" s="3"/>
      <c r="S928" s="3"/>
      <c r="T928" s="42">
        <v>184.7</v>
      </c>
      <c r="U928" s="42">
        <f>AVERAGE(paper3[[#This Row],[Sittende høyde 1]:[Sittende høyde 3]])-56.2</f>
        <v>94.2</v>
      </c>
      <c r="V928" s="12">
        <f>paper3[[#This Row],[height]]-paper3[[#This Row],[sittingheight]]</f>
        <v>90.499999999999986</v>
      </c>
      <c r="W928" s="73">
        <v>80.7</v>
      </c>
      <c r="X928" s="43" cm="1">
        <f t="array" ref="X928">INDEX([1]!phvny[yphv], MATCH(1, (paper3[[#This Row],[id]]=[1]!phvny[id])*(paper3[[#This Row],[time]]=[1]!phvny[time]), 0))</f>
        <v>3.5078331930576612</v>
      </c>
      <c r="Y928" s="3">
        <v>1.88</v>
      </c>
      <c r="Z928" s="3">
        <v>3.16</v>
      </c>
      <c r="AA928" s="3">
        <v>4.37</v>
      </c>
      <c r="AB928" s="3">
        <v>1.88</v>
      </c>
      <c r="AC928" s="3">
        <v>3.16</v>
      </c>
      <c r="AD928" s="3">
        <v>4.3600000000000003</v>
      </c>
      <c r="AE928" s="3">
        <v>1.85</v>
      </c>
      <c r="AF928" s="3">
        <v>3.13</v>
      </c>
      <c r="AG928" s="3">
        <v>4.3899999999999997</v>
      </c>
      <c r="AH928" s="44">
        <v>1.85</v>
      </c>
      <c r="AI928" s="44">
        <v>3.13</v>
      </c>
      <c r="AJ928" s="44">
        <v>4.3600000000000003</v>
      </c>
      <c r="AK928" s="45">
        <v>8.1300813008130053</v>
      </c>
      <c r="AL928" s="3">
        <v>9.84</v>
      </c>
      <c r="AM928" s="3">
        <v>9.6999999999999993</v>
      </c>
      <c r="AN928" s="3">
        <v>9.7100000000000009</v>
      </c>
      <c r="AO928" s="3">
        <v>9.67</v>
      </c>
      <c r="AP928" s="60">
        <v>9.67</v>
      </c>
      <c r="AQ928" s="47">
        <v>9.6999999999999993</v>
      </c>
      <c r="AR928" s="47">
        <v>9.67</v>
      </c>
      <c r="AS928" s="3">
        <v>31.37</v>
      </c>
      <c r="AT928" s="3">
        <v>30.94</v>
      </c>
      <c r="AU928" s="3">
        <v>33.53</v>
      </c>
      <c r="AV928" s="3">
        <v>32.520000000000003</v>
      </c>
      <c r="AW928" s="3"/>
      <c r="AX928" s="48">
        <v>33.53</v>
      </c>
      <c r="AY928" s="71"/>
      <c r="AZ928" s="3"/>
      <c r="BA928" s="3"/>
      <c r="BB928" s="3"/>
      <c r="BC928" s="3"/>
      <c r="BD928" s="40">
        <v>1919.6718732500581</v>
      </c>
      <c r="BE928" s="40">
        <v>1923.9013628785938</v>
      </c>
      <c r="BF928" s="40"/>
      <c r="BG928" s="40">
        <v>821.22837525997602</v>
      </c>
      <c r="BH928" s="40">
        <v>851.97842084901379</v>
      </c>
      <c r="BI928" s="49">
        <v>3843.5732361286518</v>
      </c>
      <c r="BJ928" s="49">
        <v>1673.2067961089897</v>
      </c>
      <c r="BK928" s="66">
        <v>-2.198392137010341E-3</v>
      </c>
      <c r="BL928" s="66">
        <v>-3.6092516942383024E-2</v>
      </c>
      <c r="BM928" s="51">
        <v>47.627921141618977</v>
      </c>
      <c r="BN928" s="51">
        <v>20.733665379293551</v>
      </c>
      <c r="BO928" s="209">
        <v>372</v>
      </c>
      <c r="BP928" s="40">
        <v>352</v>
      </c>
      <c r="BQ928" s="40">
        <v>372</v>
      </c>
      <c r="BR928" s="67">
        <v>-5.3763440860215006E-2</v>
      </c>
      <c r="BS928" s="54">
        <v>4.4857496902106568</v>
      </c>
      <c r="BT928" s="3">
        <v>227</v>
      </c>
      <c r="BU928" s="3">
        <v>200</v>
      </c>
      <c r="BV928" s="3"/>
      <c r="BW928" s="3"/>
      <c r="BX928" s="70">
        <v>0.13500000000000001</v>
      </c>
      <c r="BY928" s="70"/>
      <c r="BZ928" s="59"/>
      <c r="CA928" s="59"/>
      <c r="CB928" s="59">
        <f>IFERROR((paper3[[#This Row],[meanadd]]*(paper3[[#This Row],[leglength]]/100))/paper3[[#This Row],[bodymass]],"")</f>
        <v>2.3942688971499373</v>
      </c>
      <c r="CC928" s="59"/>
      <c r="CD928" s="60"/>
      <c r="CE928" s="60"/>
      <c r="CF928" s="61"/>
      <c r="CG928" s="61"/>
      <c r="CH928" s="61"/>
      <c r="CI928" s="41"/>
      <c r="CJ928" s="40"/>
      <c r="CK928" s="3"/>
      <c r="CL928" s="62"/>
      <c r="CM928" s="63">
        <v>0</v>
      </c>
      <c r="CN928" s="3">
        <v>227</v>
      </c>
      <c r="CO928" s="3"/>
      <c r="CP928" s="41">
        <v>17.824999999999999</v>
      </c>
      <c r="CQ928" s="3"/>
      <c r="CR928" s="40">
        <v>213.5</v>
      </c>
      <c r="CS928" s="40"/>
      <c r="CT928" s="40">
        <v>362</v>
      </c>
      <c r="CU928" s="40"/>
      <c r="CV928" s="40"/>
      <c r="CW928" s="40"/>
      <c r="CX928" s="40"/>
      <c r="CY928" s="40">
        <v>0</v>
      </c>
    </row>
    <row r="929" spans="1:103" ht="18.75">
      <c r="A929" s="3">
        <v>173</v>
      </c>
      <c r="B929" s="92" t="s">
        <v>103</v>
      </c>
      <c r="C929" s="3" t="s">
        <v>159</v>
      </c>
      <c r="D929" s="3" t="s">
        <v>269</v>
      </c>
      <c r="E929" s="39">
        <v>45229</v>
      </c>
      <c r="F929" s="3" t="s">
        <v>106</v>
      </c>
      <c r="G929" s="3" t="s">
        <v>122</v>
      </c>
      <c r="H929" s="3">
        <v>2006</v>
      </c>
      <c r="I929" s="40" t="s">
        <v>116</v>
      </c>
      <c r="J929" s="39" t="s">
        <v>157</v>
      </c>
      <c r="K929" s="3">
        <v>181.4</v>
      </c>
      <c r="L929" s="3">
        <v>181.4</v>
      </c>
      <c r="M929" s="3"/>
      <c r="N929" s="3">
        <v>144.30000000000001</v>
      </c>
      <c r="O929" s="3">
        <v>145.4</v>
      </c>
      <c r="P929" s="3">
        <v>145.19999999999999</v>
      </c>
      <c r="Q929" s="3">
        <v>60.2</v>
      </c>
      <c r="R929" s="3"/>
      <c r="S929" s="3"/>
      <c r="T929" s="42">
        <v>181.4</v>
      </c>
      <c r="U929" s="42">
        <f>AVERAGE(paper3[[#This Row],[Sittende høyde 1]:[Sittende høyde 3]])-56.2</f>
        <v>88.766666666666666</v>
      </c>
      <c r="V929" s="12">
        <f>paper3[[#This Row],[height]]-paper3[[#This Row],[sittingheight]]</f>
        <v>92.63333333333334</v>
      </c>
      <c r="W929" s="73">
        <v>60.2</v>
      </c>
      <c r="X929" s="43" cm="1">
        <f t="array" ref="X929">INDEX([1]!phvny[yphv], MATCH(1, (paper3[[#This Row],[id]]=[1]!phvny[id])*(paper3[[#This Row],[time]]=[1]!phvny[time]), 0))</f>
        <v>2.2554854877368804</v>
      </c>
      <c r="Y929" s="3">
        <v>1.81</v>
      </c>
      <c r="Z929" s="3">
        <v>3.07</v>
      </c>
      <c r="AA929" s="3">
        <v>4.21</v>
      </c>
      <c r="AB929" s="3">
        <v>1.8</v>
      </c>
      <c r="AC929" s="3">
        <v>3.06</v>
      </c>
      <c r="AD929" s="3">
        <v>4.2300000000000004</v>
      </c>
      <c r="AE929" s="3">
        <v>1.79</v>
      </c>
      <c r="AF929" s="3">
        <v>3.04</v>
      </c>
      <c r="AG929" s="3">
        <v>4.18</v>
      </c>
      <c r="AH929" s="44">
        <v>1.79</v>
      </c>
      <c r="AI929" s="44">
        <v>3.04</v>
      </c>
      <c r="AJ929" s="44">
        <v>4.18</v>
      </c>
      <c r="AK929" s="45">
        <v>8.7719298245614059</v>
      </c>
      <c r="AL929" s="3">
        <v>9.26</v>
      </c>
      <c r="AM929" s="3">
        <v>9.31</v>
      </c>
      <c r="AN929" s="3">
        <v>9.24</v>
      </c>
      <c r="AO929" s="3">
        <v>9.2799999999999994</v>
      </c>
      <c r="AP929" s="3">
        <v>9.24</v>
      </c>
      <c r="AQ929" s="47">
        <v>9.26</v>
      </c>
      <c r="AR929" s="47">
        <v>9.24</v>
      </c>
      <c r="AS929" s="3">
        <v>35.06</v>
      </c>
      <c r="AT929" s="3">
        <v>36.72</v>
      </c>
      <c r="AU929" s="3">
        <v>36.29</v>
      </c>
      <c r="AV929" s="3"/>
      <c r="AW929" s="3"/>
      <c r="AX929" s="48">
        <v>36.72</v>
      </c>
      <c r="AY929" s="71"/>
      <c r="AZ929" s="3">
        <v>12</v>
      </c>
      <c r="BA929" s="3"/>
      <c r="BB929" s="3"/>
      <c r="BC929" s="3"/>
      <c r="BD929" s="40">
        <v>1381.7566099062769</v>
      </c>
      <c r="BE929" s="40">
        <v>1472.5845791216077</v>
      </c>
      <c r="BF929" s="40"/>
      <c r="BG929" s="40">
        <v>646.47649387232309</v>
      </c>
      <c r="BH929" s="40">
        <v>654.51182700295112</v>
      </c>
      <c r="BI929" s="49">
        <v>2854.3411890278849</v>
      </c>
      <c r="BJ929" s="49">
        <v>1300.9883208752742</v>
      </c>
      <c r="BK929" s="66">
        <v>-6.1679288580836156E-2</v>
      </c>
      <c r="BL929" s="66">
        <v>-1.2276834121427993E-2</v>
      </c>
      <c r="BM929" s="51">
        <v>47.414305465579481</v>
      </c>
      <c r="BN929" s="51">
        <v>21.611101675669005</v>
      </c>
      <c r="BO929" s="209">
        <v>352</v>
      </c>
      <c r="BP929" s="40">
        <v>352</v>
      </c>
      <c r="BQ929" s="40">
        <v>349</v>
      </c>
      <c r="BR929" s="67">
        <v>8.5959885386819312E-3</v>
      </c>
      <c r="BS929" s="54">
        <v>5.8222591362126241</v>
      </c>
      <c r="BT929" s="46">
        <v>219</v>
      </c>
      <c r="BU929" s="46">
        <v>192</v>
      </c>
      <c r="BV929" s="3"/>
      <c r="BW929" s="3"/>
      <c r="BX929" s="70">
        <v>0.140625</v>
      </c>
      <c r="BY929" s="70"/>
      <c r="BZ929" s="59"/>
      <c r="CA929" s="59"/>
      <c r="CB929" s="59">
        <f>IFERROR((paper3[[#This Row],[meanadd]]*(paper3[[#This Row],[leglength]]/100))/paper3[[#This Row],[bodymass]],"")</f>
        <v>3.162151162790698</v>
      </c>
      <c r="CC929" s="59"/>
      <c r="CD929" s="60"/>
      <c r="CE929" s="60"/>
      <c r="CF929" s="61"/>
      <c r="CG929" s="61"/>
      <c r="CH929" s="61"/>
      <c r="CI929" s="41">
        <v>17.399999999999999</v>
      </c>
      <c r="CJ929" s="40">
        <f>VLOOKUP(paper3[[#This Row],[YYIR nivå]],$DB:$DC,2)</f>
        <v>1560</v>
      </c>
      <c r="CK929" s="3"/>
      <c r="CL929" s="62"/>
      <c r="CM929" s="63">
        <v>0</v>
      </c>
      <c r="CN929" s="3">
        <v>219</v>
      </c>
      <c r="CO929" s="3"/>
      <c r="CP929" s="41">
        <v>17.480555555555554</v>
      </c>
      <c r="CQ929" s="3"/>
      <c r="CR929" s="40">
        <v>205.5</v>
      </c>
      <c r="CS929" s="40"/>
      <c r="CT929" s="40">
        <v>350.5</v>
      </c>
      <c r="CU929" s="40"/>
      <c r="CV929" s="40"/>
      <c r="CW929" s="40"/>
      <c r="CX929" s="40"/>
      <c r="CY929" s="40">
        <v>0</v>
      </c>
    </row>
    <row r="930" spans="1:103" ht="18.95" customHeight="1">
      <c r="A930" s="3">
        <v>175</v>
      </c>
      <c r="B930" s="92" t="s">
        <v>103</v>
      </c>
      <c r="C930" s="3" t="s">
        <v>115</v>
      </c>
      <c r="D930" s="3" t="s">
        <v>269</v>
      </c>
      <c r="E930" s="39">
        <v>45229</v>
      </c>
      <c r="F930" s="3" t="s">
        <v>106</v>
      </c>
      <c r="G930" s="3" t="s">
        <v>122</v>
      </c>
      <c r="H930" s="3">
        <v>2006</v>
      </c>
      <c r="I930" s="40" t="s">
        <v>116</v>
      </c>
      <c r="J930" s="39" t="s">
        <v>157</v>
      </c>
      <c r="K930" s="3">
        <v>192</v>
      </c>
      <c r="L930" s="3">
        <v>191.9</v>
      </c>
      <c r="M930" s="3"/>
      <c r="N930" s="3">
        <v>151.1</v>
      </c>
      <c r="O930" s="3">
        <v>151.19999999999999</v>
      </c>
      <c r="P930" s="3"/>
      <c r="Q930" s="3">
        <v>73.400000000000006</v>
      </c>
      <c r="R930" s="3"/>
      <c r="S930" s="3"/>
      <c r="T930" s="42">
        <v>191.95</v>
      </c>
      <c r="U930" s="42">
        <f>AVERAGE(paper3[[#This Row],[Sittende høyde 1]:[Sittende høyde 3]])-56.2</f>
        <v>94.949999999999974</v>
      </c>
      <c r="V930" s="12">
        <f>paper3[[#This Row],[height]]-paper3[[#This Row],[sittingheight]]</f>
        <v>97.000000000000014</v>
      </c>
      <c r="W930" s="73">
        <v>73.400000000000006</v>
      </c>
      <c r="X930" s="43" cm="1">
        <f t="array" ref="X930">INDEX([1]!phvny[yphv], MATCH(1, (paper3[[#This Row],[id]]=[1]!phvny[id])*(paper3[[#This Row],[time]]=[1]!phvny[time]), 0))</f>
        <v>3.1767513453315352</v>
      </c>
      <c r="Y930" s="3">
        <v>1.82</v>
      </c>
      <c r="Z930" s="3">
        <v>3.04</v>
      </c>
      <c r="AA930" s="3">
        <v>4.1900000000000004</v>
      </c>
      <c r="AB930" s="3">
        <v>1.78</v>
      </c>
      <c r="AC930" s="3">
        <v>3.01</v>
      </c>
      <c r="AD930" s="3">
        <v>4.1900000000000004</v>
      </c>
      <c r="AE930" s="3">
        <v>1.72</v>
      </c>
      <c r="AF930" s="3">
        <v>2.95</v>
      </c>
      <c r="AG930" s="3">
        <v>4.08</v>
      </c>
      <c r="AH930" s="44">
        <v>1.72</v>
      </c>
      <c r="AI930" s="44">
        <v>2.95</v>
      </c>
      <c r="AJ930" s="44">
        <v>4.08</v>
      </c>
      <c r="AK930" s="45">
        <v>8.8495575221238951</v>
      </c>
      <c r="AL930" s="3">
        <v>9.35</v>
      </c>
      <c r="AM930" s="3">
        <v>9.33</v>
      </c>
      <c r="AN930" s="3">
        <v>9.49</v>
      </c>
      <c r="AO930" s="3">
        <v>9.43</v>
      </c>
      <c r="AP930" s="3">
        <v>9.33</v>
      </c>
      <c r="AQ930" s="47">
        <v>9.33</v>
      </c>
      <c r="AR930" s="47">
        <v>9.43</v>
      </c>
      <c r="AS930" s="3">
        <v>45.09</v>
      </c>
      <c r="AT930" s="3">
        <v>44.94</v>
      </c>
      <c r="AU930" s="3">
        <v>44.23</v>
      </c>
      <c r="AV930" s="3"/>
      <c r="AW930" s="3"/>
      <c r="AX930" s="48">
        <v>45.09</v>
      </c>
      <c r="AY930" s="71"/>
      <c r="AZ930" s="3"/>
      <c r="BA930" s="3"/>
      <c r="BB930" s="3"/>
      <c r="BC930" s="3"/>
      <c r="BD930" s="40">
        <v>1831.8120709242771</v>
      </c>
      <c r="BE930" s="40">
        <v>1733.5953417546311</v>
      </c>
      <c r="BF930" s="40"/>
      <c r="BG930" s="40">
        <v>927.38445534855134</v>
      </c>
      <c r="BH930" s="40">
        <v>946.11878060228321</v>
      </c>
      <c r="BI930" s="49">
        <v>3565.4074126789083</v>
      </c>
      <c r="BJ930" s="49">
        <v>1873.5032359508346</v>
      </c>
      <c r="BK930" s="66">
        <v>5.665493371148389E-2</v>
      </c>
      <c r="BL930" s="66">
        <v>-1.9801240222507732E-2</v>
      </c>
      <c r="BM930" s="51">
        <v>48.575032870284851</v>
      </c>
      <c r="BN930" s="51">
        <v>25.524567247286573</v>
      </c>
      <c r="BO930" s="209">
        <v>253</v>
      </c>
      <c r="BP930" s="40">
        <v>230</v>
      </c>
      <c r="BQ930" s="40">
        <v>253</v>
      </c>
      <c r="BR930" s="67">
        <v>-9.0909090909090939E-2</v>
      </c>
      <c r="BS930" s="54">
        <v>3.2901907356948228</v>
      </c>
      <c r="BT930" s="3">
        <v>149</v>
      </c>
      <c r="BU930" s="3">
        <v>151</v>
      </c>
      <c r="BV930" s="3"/>
      <c r="BW930" s="3"/>
      <c r="BX930" s="70">
        <v>-1.3245033112582738E-2</v>
      </c>
      <c r="BY930" s="70"/>
      <c r="BZ930" s="59"/>
      <c r="CA930" s="59"/>
      <c r="CB930" s="59">
        <f>IFERROR((paper3[[#This Row],[meanadd]]*(paper3[[#This Row],[leglength]]/100))/paper3[[#This Row],[bodymass]],"")</f>
        <v>1.9822888283378748</v>
      </c>
      <c r="CC930" s="59"/>
      <c r="CD930" s="60"/>
      <c r="CE930" s="60"/>
      <c r="CF930" s="61"/>
      <c r="CG930" s="61"/>
      <c r="CH930" s="61"/>
      <c r="CI930" s="74">
        <v>15.7</v>
      </c>
      <c r="CJ930" s="40">
        <f>VLOOKUP(paper3[[#This Row],[YYIR nivå]],$DB:$DC,2)</f>
        <v>1040</v>
      </c>
      <c r="CK930" s="3"/>
      <c r="CL930" s="62"/>
      <c r="CM930" s="63">
        <v>0</v>
      </c>
      <c r="CN930" s="3">
        <v>151</v>
      </c>
      <c r="CO930" s="3"/>
      <c r="CP930" s="41">
        <v>17.261111111111113</v>
      </c>
      <c r="CQ930" s="3"/>
      <c r="CR930" s="40">
        <v>150</v>
      </c>
      <c r="CS930" s="40"/>
      <c r="CT930" s="40">
        <v>241.5</v>
      </c>
      <c r="CU930" s="40"/>
      <c r="CV930" s="40"/>
      <c r="CW930" s="40"/>
      <c r="CX930" s="40"/>
      <c r="CY930" s="40">
        <v>0</v>
      </c>
    </row>
    <row r="931" spans="1:103" ht="18.95" customHeight="1">
      <c r="A931" s="3">
        <v>177</v>
      </c>
      <c r="B931" s="92" t="s">
        <v>103</v>
      </c>
      <c r="C931" s="200" t="s">
        <v>115</v>
      </c>
      <c r="D931" s="46" t="s">
        <v>269</v>
      </c>
      <c r="E931" s="39">
        <v>45265</v>
      </c>
      <c r="F931" s="3" t="s">
        <v>106</v>
      </c>
      <c r="G931" s="3" t="s">
        <v>122</v>
      </c>
      <c r="H931" s="3">
        <v>2006</v>
      </c>
      <c r="I931" s="40" t="s">
        <v>116</v>
      </c>
      <c r="J931" s="39" t="s">
        <v>157</v>
      </c>
      <c r="K931" s="3">
        <v>173.2</v>
      </c>
      <c r="L931" s="3">
        <v>173</v>
      </c>
      <c r="M931" s="3"/>
      <c r="N931" s="3">
        <v>143.9</v>
      </c>
      <c r="O931" s="3">
        <v>144</v>
      </c>
      <c r="P931" s="3"/>
      <c r="Q931" s="3">
        <v>61.8</v>
      </c>
      <c r="R931" s="3"/>
      <c r="S931" s="3"/>
      <c r="T931" s="42">
        <v>173.1</v>
      </c>
      <c r="U931" s="42">
        <f>AVERAGE(paper3[[#This Row],[Sittende høyde 1]:[Sittende høyde 3]])-56.2</f>
        <v>87.749999999999986</v>
      </c>
      <c r="V931" s="12">
        <f>paper3[[#This Row],[height]]-paper3[[#This Row],[sittingheight]]</f>
        <v>85.350000000000009</v>
      </c>
      <c r="W931" s="73">
        <v>61.8</v>
      </c>
      <c r="X931" s="43" cm="1">
        <f t="array" ref="X931">INDEX([1]!phvny[yphv], MATCH(1, (paper3[[#This Row],[id]]=[1]!phvny[id])*(paper3[[#This Row],[time]]=[1]!phvny[time]), 0))</f>
        <v>1.948325985807335</v>
      </c>
      <c r="Y931" s="3">
        <v>1.87</v>
      </c>
      <c r="Z931" s="3">
        <v>3.19</v>
      </c>
      <c r="AA931" s="3">
        <v>4.4800000000000004</v>
      </c>
      <c r="AB931" s="3">
        <v>1.83</v>
      </c>
      <c r="AC931" s="3">
        <v>3.16</v>
      </c>
      <c r="AD931" s="3">
        <v>4.3899999999999997</v>
      </c>
      <c r="AE931" s="3">
        <v>1.86</v>
      </c>
      <c r="AF931" s="3">
        <v>3.19</v>
      </c>
      <c r="AG931" s="3">
        <v>4.4400000000000004</v>
      </c>
      <c r="AH931" s="44">
        <v>1.83</v>
      </c>
      <c r="AI931" s="44">
        <v>3.16</v>
      </c>
      <c r="AJ931" s="44">
        <v>4.3899999999999997</v>
      </c>
      <c r="AK931" s="45">
        <v>8.1300813008130106</v>
      </c>
      <c r="AL931" s="3">
        <v>9.5500000000000007</v>
      </c>
      <c r="AM931" s="3">
        <v>9.49</v>
      </c>
      <c r="AN931" s="3">
        <v>9.68</v>
      </c>
      <c r="AO931" s="3">
        <v>9.4700000000000006</v>
      </c>
      <c r="AP931" s="3">
        <v>9.4700000000000006</v>
      </c>
      <c r="AQ931" s="47">
        <v>9.49</v>
      </c>
      <c r="AR931" s="47">
        <v>9.4700000000000006</v>
      </c>
      <c r="AS931" s="3">
        <v>28.56</v>
      </c>
      <c r="AT931" s="3">
        <v>31.31</v>
      </c>
      <c r="AU931" s="3">
        <v>32.53</v>
      </c>
      <c r="AV931" s="3">
        <v>34.369999999999997</v>
      </c>
      <c r="AW931" s="3">
        <v>30.76</v>
      </c>
      <c r="AX931" s="48">
        <v>34.369999999999997</v>
      </c>
      <c r="AY931" s="71"/>
      <c r="AZ931" s="3"/>
      <c r="BA931" s="3"/>
      <c r="BB931" s="3"/>
      <c r="BC931" s="3"/>
      <c r="BD931" s="3">
        <v>1390</v>
      </c>
      <c r="BE931" s="3">
        <v>1408</v>
      </c>
      <c r="BF931" s="3"/>
      <c r="BG931" s="3">
        <v>469</v>
      </c>
      <c r="BH931" s="3">
        <v>489</v>
      </c>
      <c r="BI931" s="49">
        <v>2798</v>
      </c>
      <c r="BJ931" s="49">
        <v>958</v>
      </c>
      <c r="BK931" s="66">
        <v>-1.2784090909090939E-2</v>
      </c>
      <c r="BL931" s="66">
        <v>-4.0899795501022518E-2</v>
      </c>
      <c r="BM931" s="51">
        <v>45.275080906148872</v>
      </c>
      <c r="BN931" s="51">
        <v>15.501618122977346</v>
      </c>
      <c r="BO931" s="52">
        <v>284</v>
      </c>
      <c r="BP931" s="40">
        <v>257</v>
      </c>
      <c r="BQ931" s="40">
        <v>284</v>
      </c>
      <c r="BR931" s="67">
        <v>-9.5070422535211252E-2</v>
      </c>
      <c r="BS931" s="54">
        <v>4.3770226537216832</v>
      </c>
      <c r="BT931" s="3">
        <v>158</v>
      </c>
      <c r="BU931" s="3">
        <v>159</v>
      </c>
      <c r="BV931" s="3">
        <v>147</v>
      </c>
      <c r="BW931" s="3">
        <v>153</v>
      </c>
      <c r="BX931" s="70">
        <v>-6.2893081761006275E-3</v>
      </c>
      <c r="BY931" s="70">
        <v>-3.9215686274509776E-2</v>
      </c>
      <c r="BZ931" s="59">
        <v>1.0392156862745099</v>
      </c>
      <c r="CA931" s="59">
        <v>1.0748299319727892</v>
      </c>
      <c r="CB931" s="59">
        <f>IFERROR((paper3[[#This Row],[meanadd]]*(paper3[[#This Row],[leglength]]/100))/paper3[[#This Row],[bodymass]],"")</f>
        <v>2.188992718446602</v>
      </c>
      <c r="CC931" s="59">
        <f>IFERROR((paper3[[#This Row],[meanabd]]*(paper3[[#This Row],[leglength]]/100))/paper3[[#This Row],[bodymass]],"")</f>
        <v>2.0716019417475731</v>
      </c>
      <c r="CD931" s="60">
        <v>113</v>
      </c>
      <c r="CE931" s="60">
        <v>111</v>
      </c>
      <c r="CF931" s="61">
        <v>1.8284789644012946</v>
      </c>
      <c r="CG931" s="61">
        <v>1.796116504854369</v>
      </c>
      <c r="CH931" s="61">
        <v>0.98230088495575218</v>
      </c>
      <c r="CI931" s="41">
        <v>17.3</v>
      </c>
      <c r="CJ931" s="40">
        <f>VLOOKUP(paper3[[#This Row],[YYIR nivå]],$DB:$DC,2)</f>
        <v>1520</v>
      </c>
      <c r="CK931" s="3"/>
      <c r="CL931" s="62"/>
      <c r="CM931" s="63"/>
      <c r="CN931" s="3">
        <v>159</v>
      </c>
      <c r="CO931" s="3">
        <v>153</v>
      </c>
      <c r="CP931" s="41">
        <v>16.972222222222221</v>
      </c>
      <c r="CQ931" s="3"/>
      <c r="CR931" s="40">
        <v>158.5</v>
      </c>
      <c r="CS931" s="40">
        <v>150</v>
      </c>
      <c r="CT931" s="40">
        <v>270.5</v>
      </c>
      <c r="CU931" s="40"/>
      <c r="CV931" s="40"/>
      <c r="CW931" s="40"/>
      <c r="CX931" s="40"/>
      <c r="CY931" s="40">
        <v>0</v>
      </c>
    </row>
    <row r="932" spans="1:103" ht="18.95" customHeight="1">
      <c r="A932" s="3">
        <v>180</v>
      </c>
      <c r="B932" s="92" t="s">
        <v>103</v>
      </c>
      <c r="C932" s="3" t="s">
        <v>115</v>
      </c>
      <c r="D932" s="3" t="s">
        <v>269</v>
      </c>
      <c r="E932" s="39">
        <v>45265</v>
      </c>
      <c r="F932" s="3" t="s">
        <v>106</v>
      </c>
      <c r="G932" s="3" t="s">
        <v>122</v>
      </c>
      <c r="H932" s="3">
        <v>2005</v>
      </c>
      <c r="I932" s="40" t="s">
        <v>116</v>
      </c>
      <c r="J932" s="39" t="s">
        <v>157</v>
      </c>
      <c r="K932" s="3">
        <v>175.9</v>
      </c>
      <c r="L932" s="3">
        <v>175.9</v>
      </c>
      <c r="M932" s="3"/>
      <c r="N932" s="3">
        <v>144.4</v>
      </c>
      <c r="O932" s="3">
        <v>144.6</v>
      </c>
      <c r="P932" s="3"/>
      <c r="Q932" s="3">
        <v>66.5</v>
      </c>
      <c r="R932" s="3"/>
      <c r="S932" s="3"/>
      <c r="T932" s="42">
        <v>175.9</v>
      </c>
      <c r="U932" s="42">
        <f>AVERAGE(paper3[[#This Row],[Sittende høyde 1]:[Sittende høyde 3]])-56.2</f>
        <v>88.3</v>
      </c>
      <c r="V932" s="12">
        <f>paper3[[#This Row],[height]]-paper3[[#This Row],[sittingheight]]</f>
        <v>87.600000000000009</v>
      </c>
      <c r="W932" s="73">
        <v>66.5</v>
      </c>
      <c r="X932" s="43" cm="1">
        <f t="array" ref="X932">INDEX([1]!phvny[yphv], MATCH(1, (paper3[[#This Row],[id]]=[1]!phvny[id])*(paper3[[#This Row],[time]]=[1]!phvny[time]), 0))</f>
        <v>4.5251728489187979</v>
      </c>
      <c r="Y932" s="3">
        <v>1.84</v>
      </c>
      <c r="Z932" s="3">
        <v>3.05</v>
      </c>
      <c r="AA932" s="60">
        <v>4.2</v>
      </c>
      <c r="AB932" s="3">
        <v>1.8</v>
      </c>
      <c r="AC932" s="3">
        <v>3.04</v>
      </c>
      <c r="AD932" s="3">
        <v>4.18</v>
      </c>
      <c r="AE932" s="3">
        <v>1.7</v>
      </c>
      <c r="AF932" s="3">
        <v>2.91</v>
      </c>
      <c r="AG932" s="3">
        <v>4.0599999999999996</v>
      </c>
      <c r="AH932" s="44">
        <v>1.7</v>
      </c>
      <c r="AI932" s="44">
        <v>2.91</v>
      </c>
      <c r="AJ932" s="44">
        <v>4.0599999999999996</v>
      </c>
      <c r="AK932" s="45">
        <v>8.6956521739130483</v>
      </c>
      <c r="AL932" s="3">
        <v>8.6999999999999993</v>
      </c>
      <c r="AM932" s="3">
        <v>8.7799999999999994</v>
      </c>
      <c r="AN932" s="3">
        <v>8.93</v>
      </c>
      <c r="AO932" s="3">
        <v>8.8699999999999992</v>
      </c>
      <c r="AP932" s="3">
        <v>8.6999999999999993</v>
      </c>
      <c r="AQ932" s="47">
        <v>8.6999999999999993</v>
      </c>
      <c r="AR932" s="47">
        <v>8.8699999999999992</v>
      </c>
      <c r="AS932" s="3">
        <v>48.64</v>
      </c>
      <c r="AT932" s="3">
        <v>50.48</v>
      </c>
      <c r="AU932" s="3">
        <v>50.29</v>
      </c>
      <c r="AV932" s="3">
        <v>47.74</v>
      </c>
      <c r="AW932" s="3"/>
      <c r="AX932" s="48">
        <v>50.48</v>
      </c>
      <c r="AY932" s="71"/>
      <c r="AZ932" s="3"/>
      <c r="BA932" s="3"/>
      <c r="BB932" s="3"/>
      <c r="BC932" s="3"/>
      <c r="BD932" s="3">
        <v>1866</v>
      </c>
      <c r="BE932" s="3">
        <v>1884</v>
      </c>
      <c r="BF932" s="3"/>
      <c r="BG932" s="3">
        <v>794</v>
      </c>
      <c r="BH932" s="3">
        <v>868</v>
      </c>
      <c r="BI932" s="49">
        <v>3750</v>
      </c>
      <c r="BJ932" s="49">
        <v>1662</v>
      </c>
      <c r="BK932" s="66">
        <v>-9.5541401273885329E-3</v>
      </c>
      <c r="BL932" s="66">
        <v>-8.5253456221198176E-2</v>
      </c>
      <c r="BM932" s="51">
        <v>56.390977443609025</v>
      </c>
      <c r="BN932" s="51">
        <v>24.992481203007518</v>
      </c>
      <c r="BO932" s="52">
        <v>330</v>
      </c>
      <c r="BP932" s="40">
        <v>330</v>
      </c>
      <c r="BQ932" s="40">
        <v>316</v>
      </c>
      <c r="BR932" s="67">
        <v>4.4303797468354444E-2</v>
      </c>
      <c r="BS932" s="54">
        <v>4.8571428571428568</v>
      </c>
      <c r="BT932" s="3">
        <v>264</v>
      </c>
      <c r="BU932" s="3">
        <v>257</v>
      </c>
      <c r="BV932" s="3">
        <v>167</v>
      </c>
      <c r="BW932" s="3">
        <v>166</v>
      </c>
      <c r="BX932" s="70">
        <v>2.7237354085603016E-2</v>
      </c>
      <c r="BY932" s="70">
        <v>6.0240963855422436E-3</v>
      </c>
      <c r="BZ932" s="59">
        <v>1.5481927710843373</v>
      </c>
      <c r="CA932" s="59">
        <v>1.5808383233532934</v>
      </c>
      <c r="CB932" s="59">
        <f>IFERROR((paper3[[#This Row],[meanadd]]*(paper3[[#This Row],[leglength]]/100))/paper3[[#This Row],[bodymass]],"")</f>
        <v>3.4315488721804517</v>
      </c>
      <c r="CC932" s="59">
        <f>IFERROR((paper3[[#This Row],[meanabd]]*(paper3[[#This Row],[leglength]]/100))/paper3[[#This Row],[bodymass]],"")</f>
        <v>2.1932932330827071</v>
      </c>
      <c r="CD932" s="60">
        <v>173</v>
      </c>
      <c r="CE932" s="60">
        <v>144</v>
      </c>
      <c r="CF932" s="61">
        <v>2.6015037593984962</v>
      </c>
      <c r="CG932" s="61">
        <v>2.1654135338345863</v>
      </c>
      <c r="CH932" s="61">
        <v>0.83236994219653171</v>
      </c>
      <c r="CI932" s="41"/>
      <c r="CJ932" s="40"/>
      <c r="CK932" s="3"/>
      <c r="CL932" s="62"/>
      <c r="CM932" s="63"/>
      <c r="CN932" s="3">
        <v>264</v>
      </c>
      <c r="CO932" s="3">
        <v>167</v>
      </c>
      <c r="CP932" s="41">
        <v>17.93611111111111</v>
      </c>
      <c r="CQ932" s="3"/>
      <c r="CR932" s="40">
        <v>260.5</v>
      </c>
      <c r="CS932" s="40">
        <v>166.5</v>
      </c>
      <c r="CT932" s="40">
        <v>323</v>
      </c>
      <c r="CU932" s="40"/>
      <c r="CV932" s="40"/>
      <c r="CW932" s="40"/>
      <c r="CX932" s="40"/>
      <c r="CY932" s="40">
        <v>0</v>
      </c>
    </row>
    <row r="933" spans="1:103" ht="18.75">
      <c r="A933" s="3">
        <v>182</v>
      </c>
      <c r="B933" s="92" t="s">
        <v>103</v>
      </c>
      <c r="C933" s="192" t="s">
        <v>115</v>
      </c>
      <c r="D933" s="3" t="s">
        <v>269</v>
      </c>
      <c r="E933" s="39">
        <v>45265</v>
      </c>
      <c r="F933" s="3" t="s">
        <v>106</v>
      </c>
      <c r="G933" s="3" t="s">
        <v>122</v>
      </c>
      <c r="H933" s="3">
        <v>2006</v>
      </c>
      <c r="I933" s="40" t="s">
        <v>116</v>
      </c>
      <c r="J933" s="39" t="s">
        <v>157</v>
      </c>
      <c r="K933" s="3">
        <v>184.6</v>
      </c>
      <c r="L933" s="3">
        <v>184.5</v>
      </c>
      <c r="M933" s="3"/>
      <c r="N933" s="3">
        <v>150</v>
      </c>
      <c r="O933" s="3">
        <v>150.5</v>
      </c>
      <c r="P933" s="3">
        <v>150.4</v>
      </c>
      <c r="Q933" s="3">
        <v>77.400000000000006</v>
      </c>
      <c r="R933" s="3"/>
      <c r="S933" s="3"/>
      <c r="T933" s="42">
        <v>184.55</v>
      </c>
      <c r="U933" s="42">
        <f>AVERAGE(paper3[[#This Row],[Sittende høyde 1]:[Sittende høyde 3]])-56.2</f>
        <v>94.09999999999998</v>
      </c>
      <c r="V933" s="12">
        <f>paper3[[#This Row],[height]]-paper3[[#This Row],[sittingheight]]</f>
        <v>90.450000000000031</v>
      </c>
      <c r="W933" s="73">
        <v>77.400000000000006</v>
      </c>
      <c r="X933" s="43" cm="1">
        <f t="array" ref="X933">INDEX([1]!phvny[yphv], MATCH(1, (paper3[[#This Row],[id]]=[1]!phvny[id])*(paper3[[#This Row],[time]]=[1]!phvny[time]), 0))</f>
        <v>3.4246591880401689</v>
      </c>
      <c r="Y933" s="3">
        <v>1.85</v>
      </c>
      <c r="Z933" s="3">
        <v>3.12</v>
      </c>
      <c r="AA933" s="3">
        <v>4.32</v>
      </c>
      <c r="AB933" s="3">
        <v>2.0499999999999998</v>
      </c>
      <c r="AC933" s="3">
        <v>3.3</v>
      </c>
      <c r="AD933" s="3">
        <v>4.49</v>
      </c>
      <c r="AE933" s="3">
        <v>2.02</v>
      </c>
      <c r="AF933" s="60">
        <v>2.92</v>
      </c>
      <c r="AG933" s="3">
        <v>4.4800000000000004</v>
      </c>
      <c r="AH933" s="44">
        <v>1.85</v>
      </c>
      <c r="AI933" s="44">
        <v>2.92</v>
      </c>
      <c r="AJ933" s="44">
        <v>4.32</v>
      </c>
      <c r="AK933" s="45">
        <v>7.1428571428571415</v>
      </c>
      <c r="AL933" s="3"/>
      <c r="AM933" s="3">
        <v>9.32</v>
      </c>
      <c r="AN933" s="3">
        <v>9.5299999999999994</v>
      </c>
      <c r="AO933" s="3">
        <v>9.51</v>
      </c>
      <c r="AP933" s="3">
        <v>9.32</v>
      </c>
      <c r="AQ933" s="47">
        <v>9.32</v>
      </c>
      <c r="AR933" s="47">
        <v>9.51</v>
      </c>
      <c r="AS933" s="3">
        <v>38.83</v>
      </c>
      <c r="AT933" s="3">
        <v>43.02</v>
      </c>
      <c r="AU933" s="3">
        <v>43.46</v>
      </c>
      <c r="AV933" s="3">
        <v>46.31</v>
      </c>
      <c r="AW933" s="3">
        <v>46.49</v>
      </c>
      <c r="AX933" s="48">
        <v>46.49</v>
      </c>
      <c r="AY933" s="71"/>
      <c r="AZ933" s="3"/>
      <c r="BA933" s="3"/>
      <c r="BB933" s="3"/>
      <c r="BC933" s="3"/>
      <c r="BD933" s="3">
        <v>2011</v>
      </c>
      <c r="BE933" s="3">
        <v>1968</v>
      </c>
      <c r="BF933" s="3"/>
      <c r="BG933" s="3">
        <v>957</v>
      </c>
      <c r="BH933" s="3">
        <v>941</v>
      </c>
      <c r="BI933" s="49">
        <v>3979</v>
      </c>
      <c r="BJ933" s="49">
        <v>1898</v>
      </c>
      <c r="BK933" s="66">
        <v>2.1849593495934849E-2</v>
      </c>
      <c r="BL933" s="66">
        <v>1.7003188097768351E-2</v>
      </c>
      <c r="BM933" s="51">
        <v>51.408268733850129</v>
      </c>
      <c r="BN933" s="51">
        <v>24.521963824289404</v>
      </c>
      <c r="BO933" s="52">
        <v>360</v>
      </c>
      <c r="BP933" s="40">
        <v>338</v>
      </c>
      <c r="BQ933" s="40">
        <v>360</v>
      </c>
      <c r="BR933" s="67">
        <v>-6.1111111111111116E-2</v>
      </c>
      <c r="BS933" s="54">
        <v>4.5090439276485785</v>
      </c>
      <c r="BT933" s="3">
        <v>208</v>
      </c>
      <c r="BU933" s="3">
        <v>217</v>
      </c>
      <c r="BV933" s="3">
        <v>187</v>
      </c>
      <c r="BW933" s="3">
        <v>147</v>
      </c>
      <c r="BX933" s="70">
        <v>-4.1474654377880227E-2</v>
      </c>
      <c r="BY933" s="70">
        <v>0.27210884353741505</v>
      </c>
      <c r="BZ933" s="59">
        <v>1.4761904761904763</v>
      </c>
      <c r="CA933" s="59">
        <v>1.1122994652406417</v>
      </c>
      <c r="CB933" s="59">
        <f>IFERROR((paper3[[#This Row],[meanadd]]*(paper3[[#This Row],[leglength]]/100))/paper3[[#This Row],[bodymass]],"")</f>
        <v>2.4832848837209309</v>
      </c>
      <c r="CC933" s="59">
        <f>IFERROR((paper3[[#This Row],[meanabd]]*(paper3[[#This Row],[leglength]]/100))/paper3[[#This Row],[bodymass]],"")</f>
        <v>1.9515697674418611</v>
      </c>
      <c r="CD933" s="60">
        <v>123</v>
      </c>
      <c r="CE933" s="60">
        <v>169</v>
      </c>
      <c r="CF933" s="61">
        <v>1.5891472868217054</v>
      </c>
      <c r="CG933" s="61">
        <v>2.1834625322997416</v>
      </c>
      <c r="CH933" s="61">
        <v>1.3739837398373984</v>
      </c>
      <c r="CI933" s="41"/>
      <c r="CJ933" s="40"/>
      <c r="CK933" s="3"/>
      <c r="CL933" s="62"/>
      <c r="CM933" s="63"/>
      <c r="CN933" s="3">
        <v>217</v>
      </c>
      <c r="CO933" s="3">
        <v>187</v>
      </c>
      <c r="CP933" s="41">
        <v>17.772222222222222</v>
      </c>
      <c r="CQ933" s="3"/>
      <c r="CR933" s="40">
        <v>212.5</v>
      </c>
      <c r="CS933" s="40">
        <v>167</v>
      </c>
      <c r="CT933" s="40">
        <v>349</v>
      </c>
      <c r="CU933" s="40"/>
      <c r="CV933" s="40"/>
      <c r="CW933" s="40"/>
      <c r="CX933" s="40"/>
      <c r="CY933" s="40">
        <v>0</v>
      </c>
    </row>
    <row r="934" spans="1:103" ht="18.95" customHeight="1">
      <c r="A934" s="162">
        <v>225</v>
      </c>
      <c r="B934" s="92" t="s">
        <v>103</v>
      </c>
      <c r="C934" s="3" t="s">
        <v>115</v>
      </c>
      <c r="D934" s="3" t="s">
        <v>269</v>
      </c>
      <c r="E934" s="39">
        <v>45209</v>
      </c>
      <c r="F934" s="3" t="s">
        <v>106</v>
      </c>
      <c r="G934" s="3" t="s">
        <v>107</v>
      </c>
      <c r="H934" s="3">
        <v>2008</v>
      </c>
      <c r="I934" s="40" t="s">
        <v>108</v>
      </c>
      <c r="J934" s="39" t="s">
        <v>109</v>
      </c>
      <c r="K934" s="3">
        <v>162.9</v>
      </c>
      <c r="L934" s="3">
        <v>162.9</v>
      </c>
      <c r="M934" s="3"/>
      <c r="N934" s="3">
        <v>139.4</v>
      </c>
      <c r="O934" s="3">
        <v>139.6</v>
      </c>
      <c r="P934" s="3"/>
      <c r="Q934" s="3">
        <v>49.1</v>
      </c>
      <c r="R934" s="3">
        <v>49.1</v>
      </c>
      <c r="S934" s="3"/>
      <c r="T934" s="42">
        <v>162.9</v>
      </c>
      <c r="U934" s="42">
        <f>AVERAGE(paper3[[#This Row],[Sittende høyde 1]:[Sittende høyde 3]])-56.2</f>
        <v>83.3</v>
      </c>
      <c r="V934" s="12">
        <f>paper3[[#This Row],[height]]-paper3[[#This Row],[sittingheight]]</f>
        <v>79.600000000000009</v>
      </c>
      <c r="W934" s="73">
        <v>49.1</v>
      </c>
      <c r="X934" s="43" cm="1">
        <f t="array" ref="X934">INDEX([1]!phvny[yphv], MATCH(1, (paper3[[#This Row],[id]]=[1]!phvny[id])*(paper3[[#This Row],[time]]=[1]!phvny[time]), 0))</f>
        <v>2.4901479805656854</v>
      </c>
      <c r="Y934" s="3">
        <v>2.2000000000000002</v>
      </c>
      <c r="Z934" s="3">
        <v>3.79</v>
      </c>
      <c r="AA934" s="3">
        <v>5.3</v>
      </c>
      <c r="AB934" s="3">
        <v>2.19</v>
      </c>
      <c r="AC934" s="3">
        <v>3.79</v>
      </c>
      <c r="AD934" s="3">
        <v>5.35</v>
      </c>
      <c r="AE934" s="3">
        <v>2.27</v>
      </c>
      <c r="AF934" s="3">
        <v>3.86</v>
      </c>
      <c r="AG934" s="3">
        <v>5.43</v>
      </c>
      <c r="AH934" s="44">
        <v>2.19</v>
      </c>
      <c r="AI934" s="44">
        <v>3.79</v>
      </c>
      <c r="AJ934" s="45">
        <v>5.3</v>
      </c>
      <c r="AK934" s="45">
        <v>6.6225165562913917</v>
      </c>
      <c r="AL934" s="3">
        <v>11.76</v>
      </c>
      <c r="AM934" s="3">
        <v>11.5</v>
      </c>
      <c r="AN934" s="3">
        <v>11.81</v>
      </c>
      <c r="AO934" s="3">
        <v>11.45</v>
      </c>
      <c r="AP934" s="3">
        <v>11.45</v>
      </c>
      <c r="AQ934" s="47">
        <v>11.5</v>
      </c>
      <c r="AR934" s="47">
        <v>11.45</v>
      </c>
      <c r="AS934" s="3">
        <v>25.3</v>
      </c>
      <c r="AT934" s="3"/>
      <c r="AU934" s="3"/>
      <c r="AV934" s="3"/>
      <c r="AW934" s="3"/>
      <c r="AX934" s="48">
        <v>25.3</v>
      </c>
      <c r="AY934" s="71"/>
      <c r="AZ934" s="3">
        <v>8</v>
      </c>
      <c r="BA934" s="3">
        <v>210</v>
      </c>
      <c r="BB934" s="3"/>
      <c r="BC934" s="3">
        <v>171</v>
      </c>
      <c r="BD934" s="40">
        <v>799.15706804797833</v>
      </c>
      <c r="BE934" s="40">
        <v>803.24584571219145</v>
      </c>
      <c r="BF934" s="40"/>
      <c r="BG934" s="40">
        <v>266.92675862068972</v>
      </c>
      <c r="BH934" s="40">
        <v>246.16412010496146</v>
      </c>
      <c r="BI934" s="49">
        <v>1602.4029137601697</v>
      </c>
      <c r="BJ934" s="49">
        <v>513.09087872565124</v>
      </c>
      <c r="BK934" s="66">
        <v>-5.0903190922672037E-3</v>
      </c>
      <c r="BL934" s="66">
        <v>8.4344698597323298E-2</v>
      </c>
      <c r="BM934" s="51">
        <v>32.635497225258035</v>
      </c>
      <c r="BN934" s="51">
        <v>10.449916063658884</v>
      </c>
      <c r="BO934" s="52">
        <v>264</v>
      </c>
      <c r="BP934" s="40">
        <v>264</v>
      </c>
      <c r="BQ934" s="40">
        <v>243</v>
      </c>
      <c r="BR934" s="67">
        <v>8.6419753086419693E-2</v>
      </c>
      <c r="BS934" s="54">
        <v>5.1629327902240325</v>
      </c>
      <c r="BT934" s="3">
        <v>139</v>
      </c>
      <c r="BU934" s="40">
        <v>150</v>
      </c>
      <c r="BV934" s="3">
        <v>87</v>
      </c>
      <c r="BW934" s="3">
        <v>106</v>
      </c>
      <c r="BX934" s="70">
        <v>-7.3333333333333361E-2</v>
      </c>
      <c r="BY934" s="70">
        <v>-0.17924528301886788</v>
      </c>
      <c r="BZ934" s="59">
        <v>1.4150943396226414</v>
      </c>
      <c r="CA934" s="59">
        <v>1.5977011494252873</v>
      </c>
      <c r="CB934" s="59">
        <f>IFERROR((paper3[[#This Row],[meanadd]]*(paper3[[#This Row],[leglength]]/100))/paper3[[#This Row],[bodymass]],"")</f>
        <v>2.3426069246435848</v>
      </c>
      <c r="CC934" s="59">
        <f>IFERROR((paper3[[#This Row],[meanabd]]*(paper3[[#This Row],[leglength]]/100))/paper3[[#This Row],[bodymass]],"")</f>
        <v>1.5644399185336051</v>
      </c>
      <c r="CD934" s="60">
        <v>65</v>
      </c>
      <c r="CE934" s="60">
        <v>50</v>
      </c>
      <c r="CF934" s="61">
        <v>1.3238289205702647</v>
      </c>
      <c r="CG934" s="61">
        <v>1.0183299389002036</v>
      </c>
      <c r="CH934" s="61">
        <v>0.76923076923076927</v>
      </c>
      <c r="CI934" s="41">
        <v>14.2</v>
      </c>
      <c r="CJ934" s="40">
        <f>VLOOKUP(paper3[[#This Row],[YYIR nivå]],$DB:$DC,2)</f>
        <v>520</v>
      </c>
      <c r="CK934" s="3"/>
      <c r="CL934" s="62"/>
      <c r="CM934" s="63">
        <v>0</v>
      </c>
      <c r="CN934" s="3">
        <v>150</v>
      </c>
      <c r="CO934" s="3">
        <v>106</v>
      </c>
      <c r="CP934" s="41">
        <v>15.625</v>
      </c>
      <c r="CQ934" s="3">
        <v>144.5</v>
      </c>
      <c r="CR934" s="40">
        <v>144.5</v>
      </c>
      <c r="CS934" s="40">
        <v>96.5</v>
      </c>
      <c r="CT934" s="40">
        <v>253.5</v>
      </c>
      <c r="CU934" s="40"/>
      <c r="CV934" s="40"/>
      <c r="CW934" s="40"/>
      <c r="CX934" s="40"/>
      <c r="CY934" s="40">
        <v>0</v>
      </c>
    </row>
    <row r="935" spans="1:103" ht="18.95" customHeight="1">
      <c r="A935" s="3">
        <v>226</v>
      </c>
      <c r="B935" s="92" t="s">
        <v>103</v>
      </c>
      <c r="C935" s="3" t="s">
        <v>115</v>
      </c>
      <c r="D935" s="3" t="s">
        <v>269</v>
      </c>
      <c r="E935" s="39">
        <v>45209</v>
      </c>
      <c r="F935" s="3" t="s">
        <v>106</v>
      </c>
      <c r="G935" s="3" t="s">
        <v>107</v>
      </c>
      <c r="H935" s="3">
        <v>2008</v>
      </c>
      <c r="I935" s="40" t="s">
        <v>108</v>
      </c>
      <c r="J935" s="39" t="s">
        <v>109</v>
      </c>
      <c r="K935" s="3">
        <v>169.4</v>
      </c>
      <c r="L935" s="3">
        <v>169.1</v>
      </c>
      <c r="M935" s="3">
        <v>169</v>
      </c>
      <c r="N935" s="3">
        <v>142.1</v>
      </c>
      <c r="O935" s="3">
        <v>142.1</v>
      </c>
      <c r="P935" s="3"/>
      <c r="Q935" s="3">
        <v>58.2</v>
      </c>
      <c r="R935" s="3">
        <v>58.2</v>
      </c>
      <c r="S935" s="3"/>
      <c r="T935" s="42">
        <v>169.16666666666666</v>
      </c>
      <c r="U935" s="42">
        <f>AVERAGE(paper3[[#This Row],[Sittende høyde 1]:[Sittende høyde 3]])-56.2</f>
        <v>85.899999999999991</v>
      </c>
      <c r="V935" s="12">
        <f>paper3[[#This Row],[height]]-paper3[[#This Row],[sittingheight]]</f>
        <v>83.266666666666666</v>
      </c>
      <c r="W935" s="73">
        <v>58.2</v>
      </c>
      <c r="X935" s="43" cm="1">
        <f t="array" ref="X935">INDEX([1]!phvny[yphv], MATCH(1, (paper3[[#This Row],[id]]=[1]!phvny[id])*(paper3[[#This Row],[time]]=[1]!phvny[time]), 0))</f>
        <v>2.5187598197656449</v>
      </c>
      <c r="Y935" s="3">
        <v>2.21</v>
      </c>
      <c r="Z935" s="3">
        <v>3.7</v>
      </c>
      <c r="AA935" s="3">
        <v>5.12</v>
      </c>
      <c r="AB935" s="3">
        <v>2.15</v>
      </c>
      <c r="AC935" s="3">
        <v>3.64</v>
      </c>
      <c r="AD935" s="3">
        <v>5.07</v>
      </c>
      <c r="AE935" s="3">
        <v>2.16</v>
      </c>
      <c r="AF935" s="3">
        <v>3.68</v>
      </c>
      <c r="AG935" s="3">
        <v>5.14</v>
      </c>
      <c r="AH935" s="44">
        <v>2.15</v>
      </c>
      <c r="AI935" s="44">
        <v>3.64</v>
      </c>
      <c r="AJ935" s="44">
        <v>5.07</v>
      </c>
      <c r="AK935" s="45">
        <v>6.9930069930069925</v>
      </c>
      <c r="AL935" s="3">
        <v>11.75</v>
      </c>
      <c r="AM935" s="3">
        <v>11.84</v>
      </c>
      <c r="AN935" s="3">
        <v>12.03</v>
      </c>
      <c r="AO935" s="3">
        <v>11.87</v>
      </c>
      <c r="AP935" s="3">
        <v>11.75</v>
      </c>
      <c r="AQ935" s="47">
        <v>11.75</v>
      </c>
      <c r="AR935" s="47">
        <v>11.87</v>
      </c>
      <c r="AS935" s="3">
        <v>24.19</v>
      </c>
      <c r="AT935" s="3"/>
      <c r="AU935" s="3"/>
      <c r="AV935" s="3"/>
      <c r="AW935" s="3"/>
      <c r="AX935" s="48">
        <v>24.19</v>
      </c>
      <c r="AY935" s="71"/>
      <c r="AZ935" s="3">
        <v>11</v>
      </c>
      <c r="BA935" s="3">
        <v>170</v>
      </c>
      <c r="BB935" s="3"/>
      <c r="BC935" s="3">
        <v>230</v>
      </c>
      <c r="BD935" s="40">
        <v>803.83915172422508</v>
      </c>
      <c r="BE935" s="40">
        <v>782.71421231900251</v>
      </c>
      <c r="BF935" s="40"/>
      <c r="BG935" s="40">
        <v>262.15451407051825</v>
      </c>
      <c r="BH935" s="40">
        <v>247.59296064712004</v>
      </c>
      <c r="BI935" s="49">
        <v>1586.5533640432277</v>
      </c>
      <c r="BJ935" s="49">
        <v>509.74747471763828</v>
      </c>
      <c r="BK935" s="66">
        <v>2.6989339241246357E-2</v>
      </c>
      <c r="BL935" s="66">
        <v>5.8812469406801737E-2</v>
      </c>
      <c r="BM935" s="51">
        <v>27.260367079780544</v>
      </c>
      <c r="BN935" s="51">
        <v>8.7585476755607949</v>
      </c>
      <c r="BO935" s="52">
        <v>173</v>
      </c>
      <c r="BP935" s="40">
        <v>169</v>
      </c>
      <c r="BQ935" s="40">
        <v>173</v>
      </c>
      <c r="BR935" s="67">
        <v>-2.3121387283236983E-2</v>
      </c>
      <c r="BS935" s="54">
        <v>2.938144329896907</v>
      </c>
      <c r="BT935" s="3">
        <v>121</v>
      </c>
      <c r="BU935" s="40">
        <v>121</v>
      </c>
      <c r="BV935" s="3">
        <v>107</v>
      </c>
      <c r="BW935" s="3">
        <v>104</v>
      </c>
      <c r="BX935" s="70">
        <v>0</v>
      </c>
      <c r="BY935" s="70">
        <v>2.8846153846153744E-2</v>
      </c>
      <c r="BZ935" s="59">
        <v>1.1634615384615385</v>
      </c>
      <c r="CA935" s="59">
        <v>1.1308411214953271</v>
      </c>
      <c r="CB935" s="59">
        <f>IFERROR((paper3[[#This Row],[meanadd]]*(paper3[[#This Row],[leglength]]/100))/paper3[[#This Row],[bodymass]],"")</f>
        <v>1.7311454753722795</v>
      </c>
      <c r="CC935" s="59">
        <f>IFERROR((paper3[[#This Row],[meanabd]]*(paper3[[#This Row],[leglength]]/100))/paper3[[#This Row],[bodymass]],"")</f>
        <v>1.5093871706758304</v>
      </c>
      <c r="CD935" s="60">
        <v>71</v>
      </c>
      <c r="CE935" s="60">
        <v>60</v>
      </c>
      <c r="CF935" s="61">
        <v>1.2199312714776631</v>
      </c>
      <c r="CG935" s="61">
        <v>1.0309278350515463</v>
      </c>
      <c r="CH935" s="61">
        <v>0.84507042253521125</v>
      </c>
      <c r="CI935" s="41">
        <v>14.1</v>
      </c>
      <c r="CJ935" s="40">
        <f>VLOOKUP(paper3[[#This Row],[YYIR nivå]],$DB:$DC,2)</f>
        <v>480</v>
      </c>
      <c r="CK935" s="3"/>
      <c r="CL935" s="62"/>
      <c r="CM935" s="63">
        <v>0</v>
      </c>
      <c r="CN935" s="3">
        <v>121</v>
      </c>
      <c r="CO935" s="3">
        <v>107</v>
      </c>
      <c r="CP935" s="41">
        <v>14.902777777777779</v>
      </c>
      <c r="CQ935" s="3">
        <v>121</v>
      </c>
      <c r="CR935" s="40">
        <v>121</v>
      </c>
      <c r="CS935" s="40">
        <v>105.5</v>
      </c>
      <c r="CT935" s="40">
        <v>171</v>
      </c>
      <c r="CU935" s="40"/>
      <c r="CV935" s="40"/>
      <c r="CW935" s="40"/>
      <c r="CX935" s="40"/>
      <c r="CY935" s="40">
        <v>0</v>
      </c>
    </row>
    <row r="936" spans="1:103" ht="18.95" customHeight="1">
      <c r="A936" s="162">
        <v>227</v>
      </c>
      <c r="B936" s="92" t="s">
        <v>103</v>
      </c>
      <c r="C936" s="3" t="s">
        <v>115</v>
      </c>
      <c r="D936" s="3" t="s">
        <v>269</v>
      </c>
      <c r="E936" s="39">
        <v>45209</v>
      </c>
      <c r="F936" s="3" t="s">
        <v>106</v>
      </c>
      <c r="G936" s="3" t="s">
        <v>107</v>
      </c>
      <c r="H936" s="3">
        <v>2008</v>
      </c>
      <c r="I936" s="40" t="s">
        <v>108</v>
      </c>
      <c r="J936" s="39" t="s">
        <v>109</v>
      </c>
      <c r="K936" s="3">
        <v>174</v>
      </c>
      <c r="L936" s="3">
        <v>173.9</v>
      </c>
      <c r="M936" s="3"/>
      <c r="N936" s="3">
        <v>144.9</v>
      </c>
      <c r="O936" s="3">
        <v>145.4</v>
      </c>
      <c r="P936" s="3">
        <v>145.30000000000001</v>
      </c>
      <c r="Q936" s="3">
        <v>59.7</v>
      </c>
      <c r="R936" s="3">
        <v>59.7</v>
      </c>
      <c r="S936" s="3"/>
      <c r="T936" s="42">
        <v>173.95</v>
      </c>
      <c r="U936" s="42">
        <f>AVERAGE(paper3[[#This Row],[Sittende høyde 1]:[Sittende høyde 3]])-56.2</f>
        <v>89.000000000000014</v>
      </c>
      <c r="V936" s="12">
        <f>paper3[[#This Row],[height]]-paper3[[#This Row],[sittingheight]]</f>
        <v>84.949999999999974</v>
      </c>
      <c r="W936" s="73">
        <v>59.7</v>
      </c>
      <c r="X936" s="43" cm="1">
        <f t="array" ref="X936">INDEX([1]!phvny[yphv], MATCH(1, (paper3[[#This Row],[id]]=[1]!phvny[id])*(paper3[[#This Row],[time]]=[1]!phvny[time]), 0))</f>
        <v>3.1805008522378717</v>
      </c>
      <c r="Y936" s="3">
        <v>2.17</v>
      </c>
      <c r="Z936" s="3">
        <v>3.7</v>
      </c>
      <c r="AA936" s="3">
        <v>5.18</v>
      </c>
      <c r="AB936" s="3">
        <v>2.12</v>
      </c>
      <c r="AC936" s="3">
        <v>3.62</v>
      </c>
      <c r="AD936" s="3">
        <v>5.07</v>
      </c>
      <c r="AE936" s="3">
        <v>2.17</v>
      </c>
      <c r="AF936" s="3">
        <v>3.69</v>
      </c>
      <c r="AG936" s="3">
        <v>5.14</v>
      </c>
      <c r="AH936" s="44">
        <v>2.12</v>
      </c>
      <c r="AI936" s="44">
        <v>3.62</v>
      </c>
      <c r="AJ936" s="44">
        <v>5.07</v>
      </c>
      <c r="AK936" s="45">
        <v>6.8965517241379306</v>
      </c>
      <c r="AL936" s="208" t="s">
        <v>272</v>
      </c>
      <c r="AM936" s="3"/>
      <c r="AN936" s="3"/>
      <c r="AO936" s="3"/>
      <c r="AP936" s="3"/>
      <c r="AQ936" s="47"/>
      <c r="AR936" s="47"/>
      <c r="AS936" s="3">
        <v>26.86</v>
      </c>
      <c r="AT936" s="3"/>
      <c r="AU936" s="3"/>
      <c r="AV936" s="3"/>
      <c r="AW936" s="3"/>
      <c r="AX936" s="48">
        <v>26.86</v>
      </c>
      <c r="AY936" s="71"/>
      <c r="AZ936" s="3"/>
      <c r="BA936" s="3"/>
      <c r="BB936" s="3"/>
      <c r="BC936" s="3"/>
      <c r="BD936" s="40">
        <v>1053.5665108393296</v>
      </c>
      <c r="BE936" s="40">
        <v>1137.5778325598003</v>
      </c>
      <c r="BF936" s="40"/>
      <c r="BG936" s="40">
        <v>482.46396430876234</v>
      </c>
      <c r="BH936" s="40">
        <v>504.20097110406465</v>
      </c>
      <c r="BI936" s="49">
        <v>2191.1443433991299</v>
      </c>
      <c r="BJ936" s="49">
        <v>986.66493541282694</v>
      </c>
      <c r="BK936" s="66">
        <v>-7.3851053805634392E-2</v>
      </c>
      <c r="BL936" s="66">
        <v>-4.3111790815682283E-2</v>
      </c>
      <c r="BM936" s="51">
        <v>36.702585316568339</v>
      </c>
      <c r="BN936" s="51">
        <v>16.527050844435962</v>
      </c>
      <c r="BO936" s="52">
        <v>301</v>
      </c>
      <c r="BP936" s="40">
        <v>301</v>
      </c>
      <c r="BQ936" s="40">
        <v>268</v>
      </c>
      <c r="BR936" s="67">
        <v>0.12313432835820892</v>
      </c>
      <c r="BS936" s="54">
        <v>4.7654941373534339</v>
      </c>
      <c r="BT936" s="3">
        <v>118</v>
      </c>
      <c r="BU936" s="40">
        <v>115</v>
      </c>
      <c r="BV936" s="3">
        <v>122</v>
      </c>
      <c r="BW936" s="3">
        <v>127</v>
      </c>
      <c r="BX936" s="70">
        <v>2.6086956521739202E-2</v>
      </c>
      <c r="BY936" s="70">
        <v>-3.9370078740157521E-2</v>
      </c>
      <c r="BZ936" s="59">
        <v>0.90551181102362199</v>
      </c>
      <c r="CA936" s="59">
        <v>0.96721311475409832</v>
      </c>
      <c r="CB936" s="59">
        <f>IFERROR((paper3[[#This Row],[meanadd]]*(paper3[[#This Row],[leglength]]/100))/paper3[[#This Row],[bodymass]],"")</f>
        <v>1.6577345058626458</v>
      </c>
      <c r="CC936" s="59">
        <f>IFERROR((paper3[[#This Row],[meanabd]]*(paper3[[#This Row],[leglength]]/100))/paper3[[#This Row],[bodymass]],"")</f>
        <v>1.7715703517587933</v>
      </c>
      <c r="CD936" s="60">
        <v>66</v>
      </c>
      <c r="CE936" s="60">
        <v>63</v>
      </c>
      <c r="CF936" s="61">
        <v>1.1055276381909547</v>
      </c>
      <c r="CG936" s="61">
        <v>1.0552763819095476</v>
      </c>
      <c r="CH936" s="61">
        <v>0.95454545454545459</v>
      </c>
      <c r="CI936" s="41">
        <v>14.5</v>
      </c>
      <c r="CJ936" s="40">
        <f>VLOOKUP(paper3[[#This Row],[YYIR nivå]],$DB:$DC,2)</f>
        <v>640</v>
      </c>
      <c r="CK936" s="3"/>
      <c r="CL936" s="62"/>
      <c r="CM936" s="63">
        <v>0</v>
      </c>
      <c r="CN936" s="3">
        <v>118</v>
      </c>
      <c r="CO936" s="3">
        <v>127</v>
      </c>
      <c r="CP936" s="41">
        <v>15.497222222222222</v>
      </c>
      <c r="CQ936" s="3">
        <v>116.5</v>
      </c>
      <c r="CR936" s="40">
        <v>116.5</v>
      </c>
      <c r="CS936" s="40">
        <v>124.5</v>
      </c>
      <c r="CT936" s="40">
        <v>284.5</v>
      </c>
      <c r="CU936" s="40"/>
      <c r="CV936" s="40"/>
      <c r="CW936" s="40"/>
      <c r="CX936" s="40"/>
      <c r="CY936" s="40">
        <v>0</v>
      </c>
    </row>
    <row r="937" spans="1:103" ht="18.95" customHeight="1">
      <c r="A937" s="3">
        <v>229</v>
      </c>
      <c r="B937" s="92" t="s">
        <v>103</v>
      </c>
      <c r="C937" s="3" t="s">
        <v>115</v>
      </c>
      <c r="D937" s="3" t="s">
        <v>269</v>
      </c>
      <c r="E937" s="39">
        <v>45209</v>
      </c>
      <c r="F937" s="3" t="s">
        <v>106</v>
      </c>
      <c r="G937" s="3" t="s">
        <v>107</v>
      </c>
      <c r="H937" s="3">
        <v>2008</v>
      </c>
      <c r="I937" s="40" t="s">
        <v>108</v>
      </c>
      <c r="J937" s="39" t="s">
        <v>109</v>
      </c>
      <c r="K937" s="3">
        <v>160</v>
      </c>
      <c r="L937" s="3">
        <v>160.19999999999999</v>
      </c>
      <c r="M937" s="3"/>
      <c r="N937" s="3">
        <v>137.5</v>
      </c>
      <c r="O937" s="3">
        <v>137.5</v>
      </c>
      <c r="P937" s="3"/>
      <c r="Q937" s="3">
        <v>45.7</v>
      </c>
      <c r="R937" s="3">
        <v>45.7</v>
      </c>
      <c r="S937" s="3"/>
      <c r="T937" s="42">
        <v>160.1</v>
      </c>
      <c r="U937" s="42">
        <f>AVERAGE(paper3[[#This Row],[Sittende høyde 1]:[Sittende høyde 3]])-56.2</f>
        <v>81.3</v>
      </c>
      <c r="V937" s="12">
        <f>paper3[[#This Row],[height]]-paper3[[#This Row],[sittingheight]]</f>
        <v>78.8</v>
      </c>
      <c r="W937" s="73">
        <v>45.7</v>
      </c>
      <c r="X937" s="43" cm="1">
        <f t="array" ref="X937">INDEX([1]!phvny[yphv], MATCH(1, (paper3[[#This Row],[id]]=[1]!phvny[id])*(paper3[[#This Row],[time]]=[1]!phvny[time]), 0))</f>
        <v>2.1421679392528623</v>
      </c>
      <c r="Y937" s="3">
        <v>2.27</v>
      </c>
      <c r="Z937" s="3">
        <v>3.9</v>
      </c>
      <c r="AA937" s="3">
        <v>5.52</v>
      </c>
      <c r="AB937" s="3">
        <v>2.2200000000000002</v>
      </c>
      <c r="AC937" s="3">
        <v>3.83</v>
      </c>
      <c r="AD937" s="3">
        <v>5.38</v>
      </c>
      <c r="AE937" s="3">
        <v>2.19</v>
      </c>
      <c r="AF937" s="3">
        <v>3.81</v>
      </c>
      <c r="AG937" s="3">
        <v>5.37</v>
      </c>
      <c r="AH937" s="44">
        <v>2.19</v>
      </c>
      <c r="AI937" s="44">
        <v>3.81</v>
      </c>
      <c r="AJ937" s="44">
        <v>5.37</v>
      </c>
      <c r="AK937" s="45">
        <v>6.4102564102564097</v>
      </c>
      <c r="AL937" s="3"/>
      <c r="AM937" s="3">
        <v>11.77</v>
      </c>
      <c r="AN937" s="3">
        <v>12.63</v>
      </c>
      <c r="AO937" s="3">
        <v>12.03</v>
      </c>
      <c r="AP937" s="3">
        <v>11.77</v>
      </c>
      <c r="AQ937" s="47">
        <v>11.77</v>
      </c>
      <c r="AR937" s="47">
        <v>12.03</v>
      </c>
      <c r="AS937" s="3">
        <v>28.7</v>
      </c>
      <c r="AT937" s="3"/>
      <c r="AU937" s="3"/>
      <c r="AV937" s="3"/>
      <c r="AW937" s="3"/>
      <c r="AX937" s="48">
        <v>28.7</v>
      </c>
      <c r="AY937" s="71"/>
      <c r="AZ937" s="3">
        <v>9</v>
      </c>
      <c r="BA937" s="3"/>
      <c r="BB937" s="3"/>
      <c r="BC937" s="3"/>
      <c r="BD937" s="40">
        <v>600.17724140234577</v>
      </c>
      <c r="BE937" s="40">
        <v>581.10861090616231</v>
      </c>
      <c r="BF937" s="40"/>
      <c r="BG937" s="40">
        <v>230.43111704115708</v>
      </c>
      <c r="BH937" s="40">
        <v>225.25458523322925</v>
      </c>
      <c r="BI937" s="49">
        <v>1181.2858523085081</v>
      </c>
      <c r="BJ937" s="49">
        <v>455.68570227438636</v>
      </c>
      <c r="BK937" s="66">
        <v>3.2814228077688412E-2</v>
      </c>
      <c r="BL937" s="66">
        <v>2.2980805485349087E-2</v>
      </c>
      <c r="BM937" s="51">
        <v>25.848705739792297</v>
      </c>
      <c r="BN937" s="51">
        <v>9.9712407499865723</v>
      </c>
      <c r="BO937" s="52">
        <v>176</v>
      </c>
      <c r="BP937" s="40">
        <v>172</v>
      </c>
      <c r="BQ937" s="40">
        <v>176</v>
      </c>
      <c r="BR937" s="67">
        <v>-2.2727272727272707E-2</v>
      </c>
      <c r="BS937" s="54">
        <v>3.8074398249452952</v>
      </c>
      <c r="BT937" s="3">
        <v>74</v>
      </c>
      <c r="BU937" s="40">
        <v>80</v>
      </c>
      <c r="BV937" s="3">
        <v>49</v>
      </c>
      <c r="BW937" s="3">
        <v>40</v>
      </c>
      <c r="BX937" s="70">
        <v>-7.4999999999999956E-2</v>
      </c>
      <c r="BY937" s="70">
        <v>0.22500000000000009</v>
      </c>
      <c r="BZ937" s="59">
        <v>2</v>
      </c>
      <c r="CA937" s="59">
        <v>1.510204081632653</v>
      </c>
      <c r="CB937" s="59">
        <f>IFERROR((paper3[[#This Row],[meanadd]]*(paper3[[#This Row],[leglength]]/100))/paper3[[#This Row],[bodymass]],"")</f>
        <v>1.3277024070021879</v>
      </c>
      <c r="CC937" s="59">
        <f>IFERROR((paper3[[#This Row],[meanabd]]*(paper3[[#This Row],[leglength]]/100))/paper3[[#This Row],[bodymass]],"")</f>
        <v>0.76730853391684883</v>
      </c>
      <c r="CD937" s="60">
        <v>53</v>
      </c>
      <c r="CE937" s="60">
        <v>50</v>
      </c>
      <c r="CF937" s="61">
        <v>1.1597374179431073</v>
      </c>
      <c r="CG937" s="61">
        <v>1.0940919037199124</v>
      </c>
      <c r="CH937" s="61">
        <v>0.94339622641509424</v>
      </c>
      <c r="CI937" s="41">
        <v>13.4</v>
      </c>
      <c r="CJ937" s="40">
        <f>VLOOKUP(paper3[[#This Row],[YYIR nivå]],$DB:$DC,2)</f>
        <v>440</v>
      </c>
      <c r="CK937" s="3"/>
      <c r="CL937" s="62"/>
      <c r="CM937" s="63">
        <v>0</v>
      </c>
      <c r="CN937" s="3">
        <v>80</v>
      </c>
      <c r="CO937" s="3">
        <v>49</v>
      </c>
      <c r="CP937" s="41">
        <v>15.408333333333333</v>
      </c>
      <c r="CQ937" s="3">
        <v>77</v>
      </c>
      <c r="CR937" s="40">
        <v>77</v>
      </c>
      <c r="CS937" s="40">
        <v>44.5</v>
      </c>
      <c r="CT937" s="40">
        <v>174</v>
      </c>
      <c r="CU937" s="40"/>
      <c r="CV937" s="40"/>
      <c r="CW937" s="40"/>
      <c r="CX937" s="40"/>
      <c r="CY937" s="40">
        <v>0</v>
      </c>
    </row>
    <row r="938" spans="1:103" ht="18.75">
      <c r="A938" s="162">
        <v>230</v>
      </c>
      <c r="B938" s="92" t="s">
        <v>103</v>
      </c>
      <c r="C938" s="3" t="s">
        <v>115</v>
      </c>
      <c r="D938" s="3" t="s">
        <v>269</v>
      </c>
      <c r="E938" s="39">
        <v>45209</v>
      </c>
      <c r="F938" s="3" t="s">
        <v>106</v>
      </c>
      <c r="G938" s="3" t="s">
        <v>107</v>
      </c>
      <c r="H938" s="3">
        <v>2008</v>
      </c>
      <c r="I938" s="40" t="s">
        <v>108</v>
      </c>
      <c r="J938" s="39" t="s">
        <v>109</v>
      </c>
      <c r="K938" s="3">
        <v>159.1</v>
      </c>
      <c r="L938" s="3">
        <v>159.9</v>
      </c>
      <c r="M938" s="3">
        <v>159.9</v>
      </c>
      <c r="N938" s="3">
        <v>141.6</v>
      </c>
      <c r="O938" s="3">
        <v>141.80000000000001</v>
      </c>
      <c r="P938" s="3"/>
      <c r="Q938" s="3">
        <v>54.3</v>
      </c>
      <c r="R938" s="3">
        <v>54.3</v>
      </c>
      <c r="S938" s="3"/>
      <c r="T938" s="42">
        <v>159.63333333333333</v>
      </c>
      <c r="U938" s="42">
        <f>AVERAGE(paper3[[#This Row],[Sittende høyde 1]:[Sittende høyde 3]])-56.2</f>
        <v>85.499999999999986</v>
      </c>
      <c r="V938" s="12">
        <f>paper3[[#This Row],[height]]-paper3[[#This Row],[sittingheight]]</f>
        <v>74.13333333333334</v>
      </c>
      <c r="W938" s="73">
        <v>54.3</v>
      </c>
      <c r="X938" s="43" cm="1">
        <f t="array" ref="X938">INDEX([1]!phvny[yphv], MATCH(1, (paper3[[#This Row],[id]]=[1]!phvny[id])*(paper3[[#This Row],[time]]=[1]!phvny[time]), 0))</f>
        <v>2.348733702502436</v>
      </c>
      <c r="Y938" s="3">
        <v>2.1</v>
      </c>
      <c r="Z938" s="3">
        <v>3.67</v>
      </c>
      <c r="AA938" s="3">
        <v>5.23</v>
      </c>
      <c r="AB938" s="3">
        <v>2.1</v>
      </c>
      <c r="AC938" s="3">
        <v>3.64</v>
      </c>
      <c r="AD938" s="3">
        <v>5.12</v>
      </c>
      <c r="AE938" s="3">
        <v>2.15</v>
      </c>
      <c r="AF938" s="3">
        <v>3.7</v>
      </c>
      <c r="AG938" s="3">
        <v>5.22</v>
      </c>
      <c r="AH938" s="44">
        <v>2.1</v>
      </c>
      <c r="AI938" s="44">
        <v>3.64</v>
      </c>
      <c r="AJ938" s="44">
        <v>5.12</v>
      </c>
      <c r="AK938" s="45">
        <v>6.756756756756757</v>
      </c>
      <c r="AL938" s="3">
        <v>11.2</v>
      </c>
      <c r="AM938" s="3">
        <v>11.19</v>
      </c>
      <c r="AN938" s="3">
        <v>11.62</v>
      </c>
      <c r="AO938" s="3">
        <v>11.29</v>
      </c>
      <c r="AP938" s="3">
        <v>11.19</v>
      </c>
      <c r="AQ938" s="47">
        <v>11.19</v>
      </c>
      <c r="AR938" s="47">
        <v>11.29</v>
      </c>
      <c r="AS938" s="3">
        <v>26.59</v>
      </c>
      <c r="AT938" s="3"/>
      <c r="AU938" s="3"/>
      <c r="AV938" s="3"/>
      <c r="AW938" s="3"/>
      <c r="AX938" s="48">
        <v>26.59</v>
      </c>
      <c r="AY938" s="71"/>
      <c r="AZ938" s="3">
        <v>9</v>
      </c>
      <c r="BA938" s="3"/>
      <c r="BB938" s="3"/>
      <c r="BC938" s="3"/>
      <c r="BD938" s="40"/>
      <c r="BE938" s="40"/>
      <c r="BF938" s="40"/>
      <c r="BG938" s="40">
        <v>300.92008039760412</v>
      </c>
      <c r="BH938" s="40">
        <v>293.51228391857683</v>
      </c>
      <c r="BI938" s="49"/>
      <c r="BJ938" s="49">
        <v>594.43236431618095</v>
      </c>
      <c r="BK938" s="66"/>
      <c r="BL938" s="66">
        <v>2.5238454691328238E-2</v>
      </c>
      <c r="BM938" s="51"/>
      <c r="BN938" s="51">
        <v>10.947189029763923</v>
      </c>
      <c r="BO938" s="52">
        <v>259</v>
      </c>
      <c r="BP938" s="40">
        <v>235</v>
      </c>
      <c r="BQ938" s="40">
        <v>259</v>
      </c>
      <c r="BR938" s="67">
        <v>-9.2664092664092701E-2</v>
      </c>
      <c r="BS938" s="54">
        <v>4.5488029465930024</v>
      </c>
      <c r="BT938" s="3">
        <v>91</v>
      </c>
      <c r="BU938" s="40">
        <v>96</v>
      </c>
      <c r="BV938" s="3">
        <v>87</v>
      </c>
      <c r="BW938" s="3">
        <v>87</v>
      </c>
      <c r="BX938" s="70">
        <v>-5.208333333333337E-2</v>
      </c>
      <c r="BY938" s="70">
        <v>0</v>
      </c>
      <c r="BZ938" s="59">
        <v>1.103448275862069</v>
      </c>
      <c r="CA938" s="59">
        <v>1.0459770114942528</v>
      </c>
      <c r="CB938" s="59">
        <f>IFERROR((paper3[[#This Row],[meanadd]]*(paper3[[#This Row],[leglength]]/100))/paper3[[#This Row],[bodymass]],"")</f>
        <v>1.2765131982811542</v>
      </c>
      <c r="CC938" s="59">
        <f>IFERROR((paper3[[#This Row],[meanabd]]*(paper3[[#This Row],[leglength]]/100))/paper3[[#This Row],[bodymass]],"")</f>
        <v>1.1877716390423576</v>
      </c>
      <c r="CD938" s="60">
        <v>53</v>
      </c>
      <c r="CE938" s="60">
        <v>64</v>
      </c>
      <c r="CF938" s="61">
        <v>0.97605893186003689</v>
      </c>
      <c r="CG938" s="61">
        <v>1.1786372007366483</v>
      </c>
      <c r="CH938" s="61">
        <v>1.2075471698113207</v>
      </c>
      <c r="CI938" s="41">
        <v>13.2</v>
      </c>
      <c r="CJ938" s="40">
        <f>VLOOKUP(paper3[[#This Row],[YYIR nivå]],$DB:$DC,2)</f>
        <v>360</v>
      </c>
      <c r="CK938" s="3"/>
      <c r="CL938" s="62"/>
      <c r="CM938" s="63">
        <v>0</v>
      </c>
      <c r="CN938" s="3">
        <v>96</v>
      </c>
      <c r="CO938" s="3">
        <v>87</v>
      </c>
      <c r="CP938" s="41">
        <v>15.275</v>
      </c>
      <c r="CQ938" s="3">
        <v>93.5</v>
      </c>
      <c r="CR938" s="40">
        <v>93.5</v>
      </c>
      <c r="CS938" s="40">
        <v>87</v>
      </c>
      <c r="CT938" s="40">
        <v>247</v>
      </c>
      <c r="CU938" s="40"/>
      <c r="CV938" s="40"/>
      <c r="CW938" s="40"/>
      <c r="CX938" s="40"/>
      <c r="CY938" s="40">
        <v>0</v>
      </c>
    </row>
    <row r="939" spans="1:103" ht="18.95" customHeight="1">
      <c r="A939" s="3">
        <v>231</v>
      </c>
      <c r="B939" s="92" t="s">
        <v>103</v>
      </c>
      <c r="C939" s="3" t="s">
        <v>115</v>
      </c>
      <c r="D939" s="3" t="s">
        <v>269</v>
      </c>
      <c r="E939" s="39">
        <v>45209</v>
      </c>
      <c r="F939" s="3" t="s">
        <v>106</v>
      </c>
      <c r="G939" s="3" t="s">
        <v>107</v>
      </c>
      <c r="H939" s="3">
        <v>2008</v>
      </c>
      <c r="I939" s="40" t="s">
        <v>108</v>
      </c>
      <c r="J939" s="39" t="s">
        <v>109</v>
      </c>
      <c r="K939" s="3">
        <v>179.1</v>
      </c>
      <c r="L939" s="3">
        <v>179.5</v>
      </c>
      <c r="M939" s="3">
        <v>179.6</v>
      </c>
      <c r="N939" s="3">
        <v>148</v>
      </c>
      <c r="O939" s="3">
        <v>148</v>
      </c>
      <c r="P939" s="3"/>
      <c r="Q939" s="3">
        <v>62.7</v>
      </c>
      <c r="R939" s="3">
        <v>62.7</v>
      </c>
      <c r="S939" s="3"/>
      <c r="T939" s="42">
        <v>179.4</v>
      </c>
      <c r="U939" s="42">
        <f>AVERAGE(paper3[[#This Row],[Sittende høyde 1]:[Sittende høyde 3]])-56.2</f>
        <v>91.8</v>
      </c>
      <c r="V939" s="12">
        <f>paper3[[#This Row],[height]]-paper3[[#This Row],[sittingheight]]</f>
        <v>87.600000000000009</v>
      </c>
      <c r="W939" s="73">
        <v>62.7</v>
      </c>
      <c r="X939" s="43" cm="1">
        <f t="array" ref="X939">INDEX([1]!phvny[yphv], MATCH(1, (paper3[[#This Row],[id]]=[1]!phvny[id])*(paper3[[#This Row],[time]]=[1]!phvny[time]), 0))</f>
        <v>3.6521679981181734</v>
      </c>
      <c r="Y939" s="3">
        <v>2.0099999999999998</v>
      </c>
      <c r="Z939" s="3">
        <v>3.48</v>
      </c>
      <c r="AA939" s="3">
        <v>4.8899999999999997</v>
      </c>
      <c r="AB939" s="3">
        <v>2.02</v>
      </c>
      <c r="AC939" s="3">
        <v>3.5</v>
      </c>
      <c r="AD939" s="3">
        <v>4.93</v>
      </c>
      <c r="AE939" s="3">
        <v>2.04</v>
      </c>
      <c r="AF939" s="3">
        <v>3.54</v>
      </c>
      <c r="AG939" s="3">
        <v>4.9400000000000004</v>
      </c>
      <c r="AH939" s="44">
        <v>2.0099999999999998</v>
      </c>
      <c r="AI939" s="44">
        <v>3.48</v>
      </c>
      <c r="AJ939" s="44">
        <v>4.8899999999999997</v>
      </c>
      <c r="AK939" s="45">
        <v>7.092198581560285</v>
      </c>
      <c r="AL939" s="3"/>
      <c r="AM939" s="3"/>
      <c r="AN939" s="3"/>
      <c r="AO939" s="3"/>
      <c r="AP939" s="3"/>
      <c r="AQ939" s="47"/>
      <c r="AR939" s="47"/>
      <c r="AS939" s="3">
        <v>25.79</v>
      </c>
      <c r="AT939" s="3"/>
      <c r="AU939" s="3"/>
      <c r="AV939" s="3"/>
      <c r="AW939" s="3"/>
      <c r="AX939" s="48">
        <v>25.79</v>
      </c>
      <c r="AY939" s="71"/>
      <c r="AZ939" s="3"/>
      <c r="BA939" s="3"/>
      <c r="BB939" s="3"/>
      <c r="BC939" s="3"/>
      <c r="BD939" s="40"/>
      <c r="BE939" s="40"/>
      <c r="BF939" s="40"/>
      <c r="BG939" s="40">
        <v>291.06372812632492</v>
      </c>
      <c r="BH939" s="40">
        <v>271.80347875647675</v>
      </c>
      <c r="BI939" s="49"/>
      <c r="BJ939" s="49">
        <v>562.86720688280161</v>
      </c>
      <c r="BK939" s="66"/>
      <c r="BL939" s="66">
        <v>7.0860937681759495E-2</v>
      </c>
      <c r="BM939" s="51"/>
      <c r="BN939" s="51">
        <v>8.9771484351324009</v>
      </c>
      <c r="BO939" s="52">
        <v>246</v>
      </c>
      <c r="BP939" s="40">
        <v>225</v>
      </c>
      <c r="BQ939" s="40">
        <v>246</v>
      </c>
      <c r="BR939" s="67">
        <v>-8.536585365853655E-2</v>
      </c>
      <c r="BS939" s="54">
        <v>3.7559808612440189</v>
      </c>
      <c r="BT939" s="3">
        <v>143</v>
      </c>
      <c r="BU939" s="40">
        <v>128</v>
      </c>
      <c r="BV939" s="3">
        <v>112</v>
      </c>
      <c r="BW939" s="3">
        <v>107</v>
      </c>
      <c r="BX939" s="70">
        <v>0.1171875</v>
      </c>
      <c r="BY939" s="70">
        <v>4.6728971962616717E-2</v>
      </c>
      <c r="BZ939" s="59">
        <v>1.1962616822429906</v>
      </c>
      <c r="CA939" s="59">
        <v>1.2767857142857142</v>
      </c>
      <c r="CB939" s="59">
        <f>IFERROR((paper3[[#This Row],[meanadd]]*(paper3[[#This Row],[leglength]]/100))/paper3[[#This Row],[bodymass]],"")</f>
        <v>1.8931100478468903</v>
      </c>
      <c r="CC939" s="59">
        <f>IFERROR((paper3[[#This Row],[meanabd]]*(paper3[[#This Row],[leglength]]/100))/paper3[[#This Row],[bodymass]],"")</f>
        <v>1.5298564593301436</v>
      </c>
      <c r="CD939" s="60">
        <v>76</v>
      </c>
      <c r="CE939" s="60">
        <v>87</v>
      </c>
      <c r="CF939" s="61">
        <v>1.2121212121212122</v>
      </c>
      <c r="CG939" s="61">
        <v>1.3875598086124401</v>
      </c>
      <c r="CH939" s="61">
        <v>1.1447368421052631</v>
      </c>
      <c r="CI939" s="41">
        <v>14.3</v>
      </c>
      <c r="CJ939" s="40">
        <f>VLOOKUP(paper3[[#This Row],[YYIR nivå]],$DB:$DC,2)</f>
        <v>560</v>
      </c>
      <c r="CK939" s="3"/>
      <c r="CL939" s="62"/>
      <c r="CM939" s="63">
        <v>0</v>
      </c>
      <c r="CN939" s="3">
        <v>143</v>
      </c>
      <c r="CO939" s="3">
        <v>112</v>
      </c>
      <c r="CP939" s="41">
        <v>15.697222222222223</v>
      </c>
      <c r="CQ939" s="3">
        <v>135.5</v>
      </c>
      <c r="CR939" s="40">
        <v>135.5</v>
      </c>
      <c r="CS939" s="40">
        <v>109.5</v>
      </c>
      <c r="CT939" s="40">
        <v>235.5</v>
      </c>
      <c r="CU939" s="40"/>
      <c r="CV939" s="40"/>
      <c r="CW939" s="40"/>
      <c r="CX939" s="40"/>
      <c r="CY939" s="40">
        <v>0</v>
      </c>
    </row>
    <row r="940" spans="1:103" ht="18.95" customHeight="1">
      <c r="A940" s="57">
        <v>261</v>
      </c>
      <c r="B940" s="92" t="s">
        <v>103</v>
      </c>
      <c r="C940" s="3" t="s">
        <v>115</v>
      </c>
      <c r="D940" s="3" t="s">
        <v>269</v>
      </c>
      <c r="E940" s="39">
        <v>45237</v>
      </c>
      <c r="F940" s="3" t="s">
        <v>106</v>
      </c>
      <c r="G940" s="3" t="s">
        <v>107</v>
      </c>
      <c r="H940" s="3">
        <v>2008</v>
      </c>
      <c r="I940" s="40" t="s">
        <v>108</v>
      </c>
      <c r="J940" s="39" t="s">
        <v>109</v>
      </c>
      <c r="K940" s="3">
        <v>163.4</v>
      </c>
      <c r="L940" s="3">
        <v>164.3</v>
      </c>
      <c r="M940" s="3"/>
      <c r="N940" s="3">
        <v>142.4</v>
      </c>
      <c r="O940" s="3">
        <v>142.30000000000001</v>
      </c>
      <c r="P940" s="3"/>
      <c r="Q940" s="3">
        <v>70.2</v>
      </c>
      <c r="R940" s="3"/>
      <c r="S940" s="3"/>
      <c r="T940" s="42">
        <f>MAXA(paper3[[#This Row],[Høyde 1]:[Høyde 3]])</f>
        <v>164.3</v>
      </c>
      <c r="U940" s="42">
        <f>AVERAGE(paper3[[#This Row],[Sittende høyde 1]:[Sittende høyde 3]])-56.2</f>
        <v>86.15000000000002</v>
      </c>
      <c r="V940" s="12">
        <f>paper3[[#This Row],[height]]-paper3[[#This Row],[sittingheight]]</f>
        <v>78.149999999999991</v>
      </c>
      <c r="W940" s="73">
        <v>70.2</v>
      </c>
      <c r="X940" s="43" cm="1">
        <f t="array" ref="X940">INDEX([1]!phvny[yphv], MATCH(1, (paper3[[#This Row],[id]]=[1]!phvny[id])*(paper3[[#This Row],[time]]=[1]!phvny[time]), 0))</f>
        <v>2.7449963758166995</v>
      </c>
      <c r="Y940" s="3">
        <v>2.17</v>
      </c>
      <c r="Z940" s="3">
        <v>3.77</v>
      </c>
      <c r="AA940" s="3">
        <v>5.3</v>
      </c>
      <c r="AB940" s="3">
        <v>2.2599999999999998</v>
      </c>
      <c r="AC940" s="3">
        <v>3.88</v>
      </c>
      <c r="AD940" s="3">
        <v>5.42</v>
      </c>
      <c r="AE940" s="3">
        <v>2.2999999999999998</v>
      </c>
      <c r="AF940" s="3">
        <v>3.97</v>
      </c>
      <c r="AG940" s="3">
        <v>5.59</v>
      </c>
      <c r="AH940" s="44">
        <v>2.17</v>
      </c>
      <c r="AI940" s="44">
        <v>3.77</v>
      </c>
      <c r="AJ940" s="44">
        <v>5.3</v>
      </c>
      <c r="AK940" s="45">
        <v>6.5359477124183014</v>
      </c>
      <c r="AL940" s="3">
        <v>11.23</v>
      </c>
      <c r="AM940" s="3">
        <v>11.32</v>
      </c>
      <c r="AN940" s="3">
        <v>11.42</v>
      </c>
      <c r="AO940" s="3">
        <v>11.4</v>
      </c>
      <c r="AP940" s="3">
        <v>11.23</v>
      </c>
      <c r="AQ940" s="47">
        <v>11.23</v>
      </c>
      <c r="AR940" s="47">
        <v>11.4</v>
      </c>
      <c r="AS940" s="3">
        <v>19.010000000000002</v>
      </c>
      <c r="AT940" s="3">
        <v>19.309999999999999</v>
      </c>
      <c r="AU940" s="3">
        <v>20.03</v>
      </c>
      <c r="AV940" s="3">
        <v>20.309999999999999</v>
      </c>
      <c r="AW940" s="3"/>
      <c r="AX940" s="48">
        <v>20.309999999999999</v>
      </c>
      <c r="AY940" s="71"/>
      <c r="AZ940" s="3">
        <v>10</v>
      </c>
      <c r="BA940" s="3"/>
      <c r="BB940" s="3">
        <v>10</v>
      </c>
      <c r="BC940" s="3">
        <v>250</v>
      </c>
      <c r="BD940" s="3">
        <v>981</v>
      </c>
      <c r="BE940" s="3">
        <v>1086</v>
      </c>
      <c r="BF940" s="3"/>
      <c r="BG940" s="3">
        <v>274</v>
      </c>
      <c r="BH940" s="3">
        <v>353</v>
      </c>
      <c r="BI940" s="49">
        <v>2067</v>
      </c>
      <c r="BJ940" s="49">
        <v>627</v>
      </c>
      <c r="BK940" s="66">
        <v>-9.6685082872928207E-2</v>
      </c>
      <c r="BL940" s="66">
        <v>-0.22379603399433423</v>
      </c>
      <c r="BM940" s="51">
        <v>29.444444444444443</v>
      </c>
      <c r="BN940" s="51">
        <v>8.9316239316239319</v>
      </c>
      <c r="BO940" s="52">
        <v>313</v>
      </c>
      <c r="BP940" s="40">
        <v>313</v>
      </c>
      <c r="BQ940" s="40">
        <v>309</v>
      </c>
      <c r="BR940" s="67">
        <v>1.2944983818770295E-2</v>
      </c>
      <c r="BS940" s="54">
        <v>4.4301994301994299</v>
      </c>
      <c r="BT940" s="3">
        <v>125</v>
      </c>
      <c r="BU940" s="3">
        <v>130</v>
      </c>
      <c r="BV940" s="46"/>
      <c r="BW940" s="46"/>
      <c r="BX940" s="211">
        <v>-3.8461538461538436E-2</v>
      </c>
      <c r="BY940" s="70"/>
      <c r="BZ940" s="59"/>
      <c r="CA940" s="59"/>
      <c r="CB940" s="59">
        <f>IFERROR((paper3[[#This Row],[meanadd]]*(paper3[[#This Row],[leglength]]/100))/paper3[[#This Row],[bodymass]],"")</f>
        <v>1.4193910256410254</v>
      </c>
      <c r="CC940" s="59"/>
      <c r="CD940" s="60"/>
      <c r="CE940" s="60"/>
      <c r="CF940" s="61"/>
      <c r="CG940" s="61"/>
      <c r="CH940" s="61"/>
      <c r="CI940" s="41"/>
      <c r="CJ940" s="40"/>
      <c r="CK940" s="3"/>
      <c r="CL940" s="62"/>
      <c r="CM940" s="63">
        <v>0</v>
      </c>
      <c r="CN940" s="3">
        <v>130</v>
      </c>
      <c r="CO940" s="3"/>
      <c r="CP940" s="41">
        <v>15.488888888888889</v>
      </c>
      <c r="CQ940" s="3"/>
      <c r="CR940" s="40">
        <v>127.5</v>
      </c>
      <c r="CS940" s="40"/>
      <c r="CT940" s="40">
        <v>311</v>
      </c>
      <c r="CU940" s="40"/>
      <c r="CV940" s="40"/>
      <c r="CW940" s="40"/>
      <c r="CX940" s="40"/>
      <c r="CY940" s="40">
        <v>0</v>
      </c>
    </row>
    <row r="941" spans="1:103" ht="18.95" customHeight="1">
      <c r="A941" s="3">
        <v>290</v>
      </c>
      <c r="B941" s="92" t="s">
        <v>103</v>
      </c>
      <c r="C941" s="3">
        <v>0</v>
      </c>
      <c r="D941" s="3" t="s">
        <v>269</v>
      </c>
      <c r="E941" s="39">
        <v>45237</v>
      </c>
      <c r="F941" s="3" t="s">
        <v>106</v>
      </c>
      <c r="G941" s="3" t="s">
        <v>107</v>
      </c>
      <c r="H941" s="3">
        <v>2008</v>
      </c>
      <c r="I941" s="40" t="s">
        <v>108</v>
      </c>
      <c r="J941" s="39" t="s">
        <v>109</v>
      </c>
      <c r="K941" s="3">
        <v>174.7</v>
      </c>
      <c r="L941" s="3">
        <v>174.9</v>
      </c>
      <c r="M941" s="3"/>
      <c r="N941" s="3">
        <v>148.5</v>
      </c>
      <c r="O941" s="3">
        <v>148.5</v>
      </c>
      <c r="P941" s="3"/>
      <c r="Q941" s="3">
        <v>66.599999999999994</v>
      </c>
      <c r="R941" s="3"/>
      <c r="S941" s="3"/>
      <c r="T941" s="42">
        <v>174.8</v>
      </c>
      <c r="U941" s="42">
        <f>AVERAGE(paper3[[#This Row],[Sittende høyde 1]:[Sittende høyde 3]])-56.2</f>
        <v>92.3</v>
      </c>
      <c r="V941" s="12">
        <f>paper3[[#This Row],[height]]-paper3[[#This Row],[sittingheight]]</f>
        <v>82.500000000000014</v>
      </c>
      <c r="W941" s="73">
        <v>66.599999999999994</v>
      </c>
      <c r="X941" s="43" cm="1">
        <f t="array" ref="X941">INDEX([1]!phvny[yphv], MATCH(1, (paper3[[#This Row],[id]]=[1]!phvny[id])*(paper3[[#This Row],[time]]=[1]!phvny[time]), 0))</f>
        <v>3.5559454040236482</v>
      </c>
      <c r="Y941" s="3">
        <v>1.96</v>
      </c>
      <c r="Z941" s="3">
        <v>3.34</v>
      </c>
      <c r="AA941" s="3">
        <v>4.6500000000000004</v>
      </c>
      <c r="AB941" s="60">
        <v>2</v>
      </c>
      <c r="AC941" s="3">
        <v>3.43</v>
      </c>
      <c r="AD941" s="3">
        <v>4.87</v>
      </c>
      <c r="AE941" s="3">
        <v>1.97</v>
      </c>
      <c r="AF941" s="3">
        <v>3.41</v>
      </c>
      <c r="AG941" s="3">
        <v>4.78</v>
      </c>
      <c r="AH941" s="44">
        <v>1.96</v>
      </c>
      <c r="AI941" s="44">
        <v>3.34</v>
      </c>
      <c r="AJ941" s="44">
        <v>4.6500000000000004</v>
      </c>
      <c r="AK941" s="45">
        <v>7.6335877862595387</v>
      </c>
      <c r="AL941" s="3">
        <v>10.78</v>
      </c>
      <c r="AM941" s="3">
        <v>10.82</v>
      </c>
      <c r="AN941" s="3">
        <v>11.04</v>
      </c>
      <c r="AO941" s="3">
        <v>11.05</v>
      </c>
      <c r="AP941" s="3">
        <v>10.78</v>
      </c>
      <c r="AQ941" s="47">
        <v>10.78</v>
      </c>
      <c r="AR941" s="47">
        <v>11.04</v>
      </c>
      <c r="AS941" s="3">
        <v>29.43</v>
      </c>
      <c r="AT941" s="3">
        <v>26.93</v>
      </c>
      <c r="AU941" s="3">
        <v>26.83</v>
      </c>
      <c r="AV941" s="3"/>
      <c r="AW941" s="3"/>
      <c r="AX941" s="48">
        <v>29.43</v>
      </c>
      <c r="AY941" s="71" t="s">
        <v>273</v>
      </c>
      <c r="AZ941" s="3">
        <v>10</v>
      </c>
      <c r="BA941" s="3"/>
      <c r="BB941" s="3"/>
      <c r="BC941" s="3">
        <v>290</v>
      </c>
      <c r="BD941" s="3">
        <v>1465</v>
      </c>
      <c r="BE941" s="3">
        <v>1433</v>
      </c>
      <c r="BF941" s="3"/>
      <c r="BG941" s="3">
        <v>499</v>
      </c>
      <c r="BH941" s="3">
        <v>500</v>
      </c>
      <c r="BI941" s="49">
        <v>2898</v>
      </c>
      <c r="BJ941" s="49">
        <v>999</v>
      </c>
      <c r="BK941" s="66">
        <v>2.2330774598743997E-2</v>
      </c>
      <c r="BL941" s="66">
        <v>-2.0000000000000018E-3</v>
      </c>
      <c r="BM941" s="51">
        <v>43.513513513513516</v>
      </c>
      <c r="BN941" s="51">
        <v>15.000000000000002</v>
      </c>
      <c r="BO941" s="52">
        <v>357</v>
      </c>
      <c r="BP941" s="40">
        <v>328</v>
      </c>
      <c r="BQ941" s="40">
        <v>357</v>
      </c>
      <c r="BR941" s="67">
        <v>-8.1232492997198924E-2</v>
      </c>
      <c r="BS941" s="54">
        <v>5.1426426426426435</v>
      </c>
      <c r="BT941" s="3">
        <v>116</v>
      </c>
      <c r="BU941" s="3">
        <v>125</v>
      </c>
      <c r="BV941" s="46"/>
      <c r="BW941" s="46"/>
      <c r="BX941" s="211">
        <v>-7.1999999999999953E-2</v>
      </c>
      <c r="BY941" s="70"/>
      <c r="BZ941" s="59"/>
      <c r="CA941" s="59"/>
      <c r="CB941" s="59">
        <f>IFERROR((paper3[[#This Row],[meanadd]]*(paper3[[#This Row],[leglength]]/100))/paper3[[#This Row],[bodymass]],"")</f>
        <v>1.4926801801801806</v>
      </c>
      <c r="CC941" s="59"/>
      <c r="CD941" s="60"/>
      <c r="CE941" s="60"/>
      <c r="CF941" s="61"/>
      <c r="CG941" s="61"/>
      <c r="CH941" s="61"/>
      <c r="CI941" s="41"/>
      <c r="CJ941" s="40"/>
      <c r="CK941" s="3"/>
      <c r="CL941" s="62"/>
      <c r="CM941" s="63">
        <v>0</v>
      </c>
      <c r="CN941" s="3">
        <v>125</v>
      </c>
      <c r="CO941" s="3"/>
      <c r="CP941" s="41">
        <v>15.761111111111111</v>
      </c>
      <c r="CQ941" s="3"/>
      <c r="CR941" s="40">
        <v>120.5</v>
      </c>
      <c r="CS941" s="40"/>
      <c r="CT941" s="40">
        <v>342.5</v>
      </c>
      <c r="CU941" s="40"/>
      <c r="CV941" s="40"/>
      <c r="CW941" s="40"/>
      <c r="CX941" s="40"/>
      <c r="CY941" s="40">
        <v>0</v>
      </c>
    </row>
    <row r="942" spans="1:103" ht="18.75">
      <c r="A942" s="57">
        <v>291</v>
      </c>
      <c r="B942" s="92" t="s">
        <v>103</v>
      </c>
      <c r="C942" s="192">
        <v>0</v>
      </c>
      <c r="D942" s="3" t="s">
        <v>269</v>
      </c>
      <c r="E942" s="39">
        <v>45237</v>
      </c>
      <c r="F942" s="3" t="s">
        <v>106</v>
      </c>
      <c r="G942" s="3" t="s">
        <v>107</v>
      </c>
      <c r="H942" s="3">
        <v>2008</v>
      </c>
      <c r="I942" s="40" t="s">
        <v>108</v>
      </c>
      <c r="J942" s="39" t="s">
        <v>109</v>
      </c>
      <c r="K942" s="3">
        <v>164.5</v>
      </c>
      <c r="L942" s="3">
        <v>164.6</v>
      </c>
      <c r="M942" s="3"/>
      <c r="N942" s="3">
        <v>142.30000000000001</v>
      </c>
      <c r="O942" s="3">
        <v>142.1</v>
      </c>
      <c r="P942" s="3"/>
      <c r="Q942" s="3">
        <v>59.2</v>
      </c>
      <c r="R942" s="3"/>
      <c r="S942" s="3"/>
      <c r="T942" s="42">
        <v>164.55</v>
      </c>
      <c r="U942" s="42">
        <f>AVERAGE(paper3[[#This Row],[Sittende høyde 1]:[Sittende høyde 3]])-56.2</f>
        <v>85.999999999999986</v>
      </c>
      <c r="V942" s="12">
        <f>paper3[[#This Row],[height]]-paper3[[#This Row],[sittingheight]]</f>
        <v>78.550000000000026</v>
      </c>
      <c r="W942" s="73">
        <v>59.2</v>
      </c>
      <c r="X942" s="43" cm="1">
        <f t="array" ref="X942">INDEX([1]!phvny[yphv], MATCH(1, (paper3[[#This Row],[id]]=[1]!phvny[id])*(paper3[[#This Row],[time]]=[1]!phvny[time]), 0))</f>
        <v>2.6138873024956939</v>
      </c>
      <c r="Y942" s="3">
        <v>2.11</v>
      </c>
      <c r="Z942" s="3">
        <v>3.59</v>
      </c>
      <c r="AA942" s="3">
        <v>4.99</v>
      </c>
      <c r="AB942" s="3">
        <v>2.08</v>
      </c>
      <c r="AC942" s="3">
        <v>3.6</v>
      </c>
      <c r="AD942" s="3">
        <v>5.0599999999999996</v>
      </c>
      <c r="AE942" s="3">
        <v>2.13</v>
      </c>
      <c r="AF942" s="3">
        <v>3.64</v>
      </c>
      <c r="AG942" s="3">
        <v>5.0999999999999996</v>
      </c>
      <c r="AH942" s="44">
        <v>2.08</v>
      </c>
      <c r="AI942" s="44">
        <v>3.59</v>
      </c>
      <c r="AJ942" s="44">
        <v>4.99</v>
      </c>
      <c r="AK942" s="45">
        <v>7.1428571428571415</v>
      </c>
      <c r="AL942" s="3">
        <v>10.99</v>
      </c>
      <c r="AM942" s="205" t="s">
        <v>274</v>
      </c>
      <c r="AN942" s="3">
        <v>11.27</v>
      </c>
      <c r="AO942" s="205" t="s">
        <v>275</v>
      </c>
      <c r="AP942" s="3">
        <v>10.99</v>
      </c>
      <c r="AQ942" s="47">
        <v>10.99</v>
      </c>
      <c r="AR942" s="47">
        <v>11.27</v>
      </c>
      <c r="AS942" s="3">
        <v>26.17</v>
      </c>
      <c r="AT942" s="3">
        <v>22.56</v>
      </c>
      <c r="AU942" s="3">
        <v>25</v>
      </c>
      <c r="AV942" s="3"/>
      <c r="AW942" s="3"/>
      <c r="AX942" s="48">
        <v>26.17</v>
      </c>
      <c r="AY942" s="71"/>
      <c r="AZ942" s="3">
        <v>9</v>
      </c>
      <c r="BA942" s="3"/>
      <c r="BB942" s="3"/>
      <c r="BC942" s="3">
        <v>320</v>
      </c>
      <c r="BD942" s="3">
        <v>1078</v>
      </c>
      <c r="BE942" s="3">
        <v>1068</v>
      </c>
      <c r="BF942" s="3"/>
      <c r="BG942" s="3">
        <v>335</v>
      </c>
      <c r="BH942" s="3">
        <v>371</v>
      </c>
      <c r="BI942" s="49">
        <v>2146</v>
      </c>
      <c r="BJ942" s="49">
        <v>706</v>
      </c>
      <c r="BK942" s="66">
        <v>9.3632958801497246E-3</v>
      </c>
      <c r="BL942" s="66">
        <v>-9.7035040431266872E-2</v>
      </c>
      <c r="BM942" s="51">
        <v>36.25</v>
      </c>
      <c r="BN942" s="51">
        <v>11.925675675675675</v>
      </c>
      <c r="BO942" s="52">
        <v>224</v>
      </c>
      <c r="BP942" s="40">
        <v>205</v>
      </c>
      <c r="BQ942" s="40">
        <v>224</v>
      </c>
      <c r="BR942" s="67">
        <v>-8.4821428571428603E-2</v>
      </c>
      <c r="BS942" s="54">
        <v>3.6233108108108105</v>
      </c>
      <c r="BT942" s="3">
        <v>139</v>
      </c>
      <c r="BU942" s="3">
        <v>143</v>
      </c>
      <c r="BV942" s="46"/>
      <c r="BW942" s="46"/>
      <c r="BX942" s="211">
        <v>-2.7972027972028024E-2</v>
      </c>
      <c r="BY942" s="70"/>
      <c r="BZ942" s="59"/>
      <c r="CA942" s="59"/>
      <c r="CB942" s="59">
        <f>IFERROR((paper3[[#This Row],[meanadd]]*(paper3[[#This Row],[leglength]]/100))/paper3[[#This Row],[bodymass]],"")</f>
        <v>1.8708699324324329</v>
      </c>
      <c r="CC942" s="59"/>
      <c r="CD942" s="60"/>
      <c r="CE942" s="60"/>
      <c r="CF942" s="61"/>
      <c r="CG942" s="61"/>
      <c r="CH942" s="61"/>
      <c r="CI942" s="41"/>
      <c r="CJ942" s="40"/>
      <c r="CK942" s="3"/>
      <c r="CL942" s="62"/>
      <c r="CM942" s="63">
        <v>0</v>
      </c>
      <c r="CN942" s="3">
        <v>143</v>
      </c>
      <c r="CO942" s="3"/>
      <c r="CP942" s="41">
        <v>15.355555555555556</v>
      </c>
      <c r="CQ942" s="3"/>
      <c r="CR942" s="40">
        <v>141</v>
      </c>
      <c r="CS942" s="40"/>
      <c r="CT942" s="40">
        <v>214.5</v>
      </c>
      <c r="CU942" s="40"/>
      <c r="CV942" s="40"/>
      <c r="CW942" s="40"/>
      <c r="CX942" s="40"/>
      <c r="CY942" s="40">
        <v>0</v>
      </c>
    </row>
    <row r="943" spans="1:103" ht="18.95" customHeight="1">
      <c r="A943" s="162">
        <v>323</v>
      </c>
      <c r="B943" s="92" t="s">
        <v>103</v>
      </c>
      <c r="C943" s="3" t="s">
        <v>104</v>
      </c>
      <c r="D943" s="3" t="s">
        <v>269</v>
      </c>
      <c r="E943" s="39">
        <v>45173</v>
      </c>
      <c r="F943" s="3" t="s">
        <v>106</v>
      </c>
      <c r="G943" s="3" t="s">
        <v>122</v>
      </c>
      <c r="H943" s="3">
        <v>2008</v>
      </c>
      <c r="I943" s="40" t="s">
        <v>108</v>
      </c>
      <c r="J943" s="39" t="s">
        <v>123</v>
      </c>
      <c r="K943" s="3">
        <v>181.1</v>
      </c>
      <c r="L943" s="3">
        <v>181</v>
      </c>
      <c r="M943" s="3"/>
      <c r="N943" s="3">
        <v>148.80000000000001</v>
      </c>
      <c r="O943" s="3">
        <v>149</v>
      </c>
      <c r="P943" s="3"/>
      <c r="Q943" s="3">
        <v>69.900000000000006</v>
      </c>
      <c r="R943" s="3">
        <v>69.900000000000006</v>
      </c>
      <c r="S943" s="3"/>
      <c r="T943" s="42">
        <v>181.05</v>
      </c>
      <c r="U943" s="42">
        <f>AVERAGE(paper3[[#This Row],[Sittende høyde 1]:[Sittende høyde 3]])-56.2</f>
        <v>92.7</v>
      </c>
      <c r="V943" s="12">
        <f>paper3[[#This Row],[height]]-paper3[[#This Row],[sittingheight]]</f>
        <v>88.350000000000009</v>
      </c>
      <c r="W943" s="42">
        <v>69.900000000000006</v>
      </c>
      <c r="X943" s="43" cm="1">
        <f t="array" ref="X943">INDEX([1]!phvny[yphv], MATCH(1, (paper3[[#This Row],[id]]=[1]!phvny[id])*(paper3[[#This Row],[time]]=[1]!phvny[time]), 0))</f>
        <v>1.9722180262823801</v>
      </c>
      <c r="Y943" s="3">
        <v>1.95</v>
      </c>
      <c r="Z943" s="3">
        <v>3.28</v>
      </c>
      <c r="AA943" s="3">
        <v>4.58</v>
      </c>
      <c r="AB943" s="3">
        <v>1.95</v>
      </c>
      <c r="AC943" s="3">
        <v>3.3</v>
      </c>
      <c r="AD943" s="3">
        <v>4.5999999999999996</v>
      </c>
      <c r="AE943" s="3">
        <v>1.92</v>
      </c>
      <c r="AF943" s="3">
        <v>3.3</v>
      </c>
      <c r="AG943" s="3">
        <v>4.62</v>
      </c>
      <c r="AH943" s="44">
        <v>1.92</v>
      </c>
      <c r="AI943" s="44">
        <v>3.28</v>
      </c>
      <c r="AJ943" s="44">
        <v>4.58</v>
      </c>
      <c r="AK943" s="45">
        <v>7.6923076923076907</v>
      </c>
      <c r="AL943" s="3">
        <v>9.6</v>
      </c>
      <c r="AM943" s="3">
        <v>9.49</v>
      </c>
      <c r="AN943" s="3">
        <v>9.89</v>
      </c>
      <c r="AO943" s="3"/>
      <c r="AP943" s="3">
        <v>9.49</v>
      </c>
      <c r="AQ943" s="47">
        <v>9.49</v>
      </c>
      <c r="AR943" s="47">
        <v>9.89</v>
      </c>
      <c r="AS943" s="3">
        <v>33.619999999999997</v>
      </c>
      <c r="AT943" s="3"/>
      <c r="AU943" s="3"/>
      <c r="AV943" s="3"/>
      <c r="AW943" s="3"/>
      <c r="AX943" s="48">
        <v>33.619999999999997</v>
      </c>
      <c r="AY943" s="71"/>
      <c r="AZ943" s="3">
        <v>10</v>
      </c>
      <c r="BA943" s="3">
        <v>270</v>
      </c>
      <c r="BB943" s="3">
        <v>11</v>
      </c>
      <c r="BC943" s="3">
        <v>296</v>
      </c>
      <c r="BD943" s="40">
        <v>1130.8827606083887</v>
      </c>
      <c r="BE943" s="40">
        <v>1073.9302488995413</v>
      </c>
      <c r="BF943" s="40"/>
      <c r="BG943" s="40">
        <v>531.3474791224894</v>
      </c>
      <c r="BH943" s="40">
        <v>503.0510103020838</v>
      </c>
      <c r="BI943" s="49">
        <v>2204.81300950793</v>
      </c>
      <c r="BJ943" s="49">
        <v>1034.3984894245732</v>
      </c>
      <c r="BK943" s="66">
        <v>5.3031853574481813E-2</v>
      </c>
      <c r="BL943" s="66">
        <v>5.6249700807505576E-2</v>
      </c>
      <c r="BM943" s="51">
        <v>31.542389263346635</v>
      </c>
      <c r="BN943" s="51">
        <v>14.798261651281447</v>
      </c>
      <c r="BO943" s="52">
        <v>340</v>
      </c>
      <c r="BP943" s="40">
        <v>312</v>
      </c>
      <c r="BQ943" s="40">
        <v>340</v>
      </c>
      <c r="BR943" s="67">
        <v>-8.2352941176470629E-2</v>
      </c>
      <c r="BS943" s="54">
        <v>4.6638054363376247</v>
      </c>
      <c r="BT943" s="3">
        <v>150</v>
      </c>
      <c r="BU943" s="40">
        <v>150</v>
      </c>
      <c r="BV943" s="3">
        <v>130</v>
      </c>
      <c r="BW943" s="3">
        <v>133</v>
      </c>
      <c r="BX943" s="70">
        <v>0</v>
      </c>
      <c r="BY943" s="70">
        <v>-2.2556390977443663E-2</v>
      </c>
      <c r="BZ943" s="59">
        <v>1.1278195488721805</v>
      </c>
      <c r="CA943" s="59">
        <v>1.1538461538461537</v>
      </c>
      <c r="CB943" s="59">
        <f>IFERROR((paper3[[#This Row],[meanadd]]*(paper3[[#This Row],[leglength]]/100))/paper3[[#This Row],[bodymass]],"")</f>
        <v>1.8959227467811157</v>
      </c>
      <c r="CC943" s="59">
        <f>IFERROR((paper3[[#This Row],[meanabd]]*(paper3[[#This Row],[leglength]]/100))/paper3[[#This Row],[bodymass]],"")</f>
        <v>1.6620922746781117</v>
      </c>
      <c r="CD943" s="60"/>
      <c r="CE943" s="60"/>
      <c r="CF943" s="61"/>
      <c r="CG943" s="61"/>
      <c r="CH943" s="61"/>
      <c r="CI943" s="41">
        <v>17.8</v>
      </c>
      <c r="CJ943" s="40">
        <f>VLOOKUP(paper3[[#This Row],[YYIR nivå]],$DB:$DC,2)</f>
        <v>1720</v>
      </c>
      <c r="CK943" s="3"/>
      <c r="CL943" s="62"/>
      <c r="CM943" s="63">
        <v>0</v>
      </c>
      <c r="CN943" s="3">
        <v>150</v>
      </c>
      <c r="CO943" s="3">
        <v>133</v>
      </c>
      <c r="CP943" s="41">
        <v>15.527777777777779</v>
      </c>
      <c r="CQ943" s="3"/>
      <c r="CR943" s="40">
        <v>150</v>
      </c>
      <c r="CS943" s="40">
        <v>131.5</v>
      </c>
      <c r="CT943" s="40">
        <v>326</v>
      </c>
      <c r="CU943" s="40"/>
      <c r="CV943" s="40"/>
      <c r="CW943" s="40"/>
      <c r="CX943" s="40"/>
      <c r="CY943" s="40">
        <v>0</v>
      </c>
    </row>
    <row r="944" spans="1:103" ht="18.95" customHeight="1">
      <c r="A944" s="3">
        <v>326</v>
      </c>
      <c r="B944" s="92" t="s">
        <v>103</v>
      </c>
      <c r="C944" s="3" t="s">
        <v>104</v>
      </c>
      <c r="D944" s="3" t="s">
        <v>269</v>
      </c>
      <c r="E944" s="39">
        <v>45173</v>
      </c>
      <c r="F944" s="3" t="s">
        <v>106</v>
      </c>
      <c r="G944" s="3" t="s">
        <v>122</v>
      </c>
      <c r="H944" s="3">
        <v>2008</v>
      </c>
      <c r="I944" s="40" t="s">
        <v>108</v>
      </c>
      <c r="J944" s="39" t="s">
        <v>123</v>
      </c>
      <c r="K944" s="3">
        <v>174.2</v>
      </c>
      <c r="L944" s="3">
        <v>173.9</v>
      </c>
      <c r="M944" s="3">
        <v>173.9</v>
      </c>
      <c r="N944" s="3">
        <v>148.30000000000001</v>
      </c>
      <c r="O944" s="3">
        <v>148.19999999999999</v>
      </c>
      <c r="P944" s="3"/>
      <c r="Q944" s="3">
        <v>65.3</v>
      </c>
      <c r="R944" s="3">
        <v>65.3</v>
      </c>
      <c r="S944" s="3"/>
      <c r="T944" s="42">
        <v>174</v>
      </c>
      <c r="U944" s="42">
        <f>AVERAGE(paper3[[#This Row],[Sittende høyde 1]:[Sittende høyde 3]])-56.2</f>
        <v>92.05</v>
      </c>
      <c r="V944" s="12">
        <f>paper3[[#This Row],[height]]-paper3[[#This Row],[sittingheight]]</f>
        <v>81.95</v>
      </c>
      <c r="W944" s="42">
        <v>65.3</v>
      </c>
      <c r="X944" s="43" cm="1">
        <f t="array" ref="X944">INDEX([1]!phvny[yphv], MATCH(1, (paper3[[#This Row],[id]]=[1]!phvny[id])*(paper3[[#This Row],[time]]=[1]!phvny[time]), 0))</f>
        <v>1.797366973689656</v>
      </c>
      <c r="Y944" s="3">
        <v>1.92</v>
      </c>
      <c r="Z944" s="3">
        <v>3.28</v>
      </c>
      <c r="AA944" s="3">
        <v>4.55</v>
      </c>
      <c r="AB944" s="3">
        <v>1.91</v>
      </c>
      <c r="AC944" s="3">
        <v>3.24</v>
      </c>
      <c r="AD944" s="3">
        <v>4.49</v>
      </c>
      <c r="AE944" s="3">
        <v>1.93</v>
      </c>
      <c r="AF944" s="3">
        <v>3.27</v>
      </c>
      <c r="AG944" s="3">
        <v>4.5199999999999996</v>
      </c>
      <c r="AH944" s="44">
        <v>1.91</v>
      </c>
      <c r="AI944" s="44">
        <v>3.24</v>
      </c>
      <c r="AJ944" s="44">
        <v>4.49</v>
      </c>
      <c r="AK944" s="45">
        <v>8</v>
      </c>
      <c r="AL944" s="3">
        <v>9.6</v>
      </c>
      <c r="AM944" s="3">
        <v>9.44</v>
      </c>
      <c r="AN944" s="3">
        <v>9.5399999999999991</v>
      </c>
      <c r="AO944" s="3">
        <v>9.4700000000000006</v>
      </c>
      <c r="AP944" s="3">
        <v>9.44</v>
      </c>
      <c r="AQ944" s="47">
        <v>9.44</v>
      </c>
      <c r="AR944" s="47">
        <v>9.4700000000000006</v>
      </c>
      <c r="AS944" s="3">
        <v>31.68</v>
      </c>
      <c r="AT944" s="3"/>
      <c r="AU944" s="3"/>
      <c r="AV944" s="3"/>
      <c r="AW944" s="3"/>
      <c r="AX944" s="48">
        <v>31.68</v>
      </c>
      <c r="AY944" s="71"/>
      <c r="AZ944" s="3">
        <v>10</v>
      </c>
      <c r="BA944" s="3">
        <v>290</v>
      </c>
      <c r="BB944" s="3">
        <v>10</v>
      </c>
      <c r="BC944" s="3">
        <v>289</v>
      </c>
      <c r="BD944" s="40">
        <v>1213.6452632523467</v>
      </c>
      <c r="BE944" s="40">
        <v>1176.467441481177</v>
      </c>
      <c r="BF944" s="40"/>
      <c r="BG944" s="40">
        <v>508.2624312400319</v>
      </c>
      <c r="BH944" s="40">
        <v>503.00857098539768</v>
      </c>
      <c r="BI944" s="49">
        <v>2390.112704733524</v>
      </c>
      <c r="BJ944" s="49">
        <v>1011.2710022254296</v>
      </c>
      <c r="BK944" s="66">
        <v>3.1601233030607911E-2</v>
      </c>
      <c r="BL944" s="66">
        <v>1.0444872230192637E-2</v>
      </c>
      <c r="BM944" s="51">
        <v>36.602032231753817</v>
      </c>
      <c r="BN944" s="51">
        <v>15.486539084616075</v>
      </c>
      <c r="BO944" s="52">
        <v>370</v>
      </c>
      <c r="BP944" s="40">
        <v>363</v>
      </c>
      <c r="BQ944" s="40">
        <v>370</v>
      </c>
      <c r="BR944" s="67">
        <v>-1.8918918918918948E-2</v>
      </c>
      <c r="BS944" s="54">
        <v>5.6125574272588059</v>
      </c>
      <c r="BT944" s="3">
        <v>190</v>
      </c>
      <c r="BU944" s="40">
        <v>190</v>
      </c>
      <c r="BV944" s="3">
        <v>170</v>
      </c>
      <c r="BW944" s="3">
        <v>181</v>
      </c>
      <c r="BX944" s="70">
        <v>0</v>
      </c>
      <c r="BY944" s="70">
        <v>-6.0773480662983381E-2</v>
      </c>
      <c r="BZ944" s="59">
        <v>1.0497237569060773</v>
      </c>
      <c r="CA944" s="59">
        <v>1.1176470588235294</v>
      </c>
      <c r="CB944" s="59">
        <f>IFERROR((paper3[[#This Row],[meanadd]]*(paper3[[#This Row],[leglength]]/100))/paper3[[#This Row],[bodymass]],"")</f>
        <v>2.3844563552833082</v>
      </c>
      <c r="CC944" s="59">
        <f>IFERROR((paper3[[#This Row],[meanabd]]*(paper3[[#This Row],[leglength]]/100))/paper3[[#This Row],[bodymass]],"")</f>
        <v>2.2024846860643188</v>
      </c>
      <c r="CD944" s="60">
        <v>149</v>
      </c>
      <c r="CE944" s="60">
        <v>121</v>
      </c>
      <c r="CF944" s="61">
        <v>2.2817764165390506</v>
      </c>
      <c r="CG944" s="61">
        <v>1.8529862174578868</v>
      </c>
      <c r="CH944" s="61">
        <v>0.81208053691275173</v>
      </c>
      <c r="CI944" s="41">
        <v>16.3</v>
      </c>
      <c r="CJ944" s="40">
        <f>VLOOKUP(paper3[[#This Row],[YYIR nivå]],$DB:$DC,2)</f>
        <v>1200</v>
      </c>
      <c r="CK944" s="3"/>
      <c r="CL944" s="62"/>
      <c r="CM944" s="63">
        <v>0</v>
      </c>
      <c r="CN944" s="3">
        <v>190</v>
      </c>
      <c r="CO944" s="3">
        <v>181</v>
      </c>
      <c r="CP944" s="41">
        <v>15.4</v>
      </c>
      <c r="CQ944" s="3"/>
      <c r="CR944" s="40">
        <v>190</v>
      </c>
      <c r="CS944" s="40">
        <v>175.5</v>
      </c>
      <c r="CT944" s="40">
        <v>366.5</v>
      </c>
      <c r="CU944" s="40"/>
      <c r="CV944" s="40"/>
      <c r="CW944" s="40"/>
      <c r="CX944" s="40"/>
      <c r="CY944" s="40">
        <v>0</v>
      </c>
    </row>
    <row r="945" spans="1:103" ht="18.75">
      <c r="A945" s="3">
        <v>410</v>
      </c>
      <c r="B945" s="92" t="s">
        <v>103</v>
      </c>
      <c r="C945" s="3" t="s">
        <v>115</v>
      </c>
      <c r="D945" s="3" t="s">
        <v>269</v>
      </c>
      <c r="E945" s="39">
        <v>45386</v>
      </c>
      <c r="F945" s="3" t="s">
        <v>186</v>
      </c>
      <c r="G945" s="3" t="s">
        <v>107</v>
      </c>
      <c r="H945" s="3">
        <v>2007</v>
      </c>
      <c r="I945" s="40" t="s">
        <v>116</v>
      </c>
      <c r="J945" s="39" t="s">
        <v>117</v>
      </c>
      <c r="K945" s="3">
        <v>182.5</v>
      </c>
      <c r="L945" s="3">
        <v>182.6</v>
      </c>
      <c r="M945" s="3"/>
      <c r="N945" s="3">
        <v>147.80000000000001</v>
      </c>
      <c r="O945" s="3">
        <v>147.80000000000001</v>
      </c>
      <c r="P945" s="3"/>
      <c r="Q945" s="3">
        <v>73.099999999999994</v>
      </c>
      <c r="R945" s="3"/>
      <c r="S945" s="3"/>
      <c r="T945" s="42">
        <v>182.55</v>
      </c>
      <c r="U945" s="42">
        <f>AVERAGE(paper3[[#This Row],[Sittende høyde 1]:[Sittende høyde 3]])-56.2</f>
        <v>91.600000000000009</v>
      </c>
      <c r="V945" s="12">
        <f>paper3[[#This Row],[height]]-paper3[[#This Row],[sittingheight]]</f>
        <v>90.95</v>
      </c>
      <c r="W945" s="73">
        <v>73.099999999999994</v>
      </c>
      <c r="X945" s="43" cm="1">
        <f t="array" ref="X945">INDEX([1]!phvny[yphv], MATCH(1, (paper3[[#This Row],[id]]=[1]!phvny[id])*(paper3[[#This Row],[time]]=[1]!phvny[time]), 0))</f>
        <v>4.164546842648317</v>
      </c>
      <c r="Y945" s="3">
        <v>2.14</v>
      </c>
      <c r="Z945" s="3">
        <v>3.76</v>
      </c>
      <c r="AA945" s="3">
        <v>5.34</v>
      </c>
      <c r="AB945" s="3">
        <v>2.12</v>
      </c>
      <c r="AC945" s="3">
        <v>3.72</v>
      </c>
      <c r="AD945" s="3">
        <v>5.29</v>
      </c>
      <c r="AE945" s="3">
        <v>2.1</v>
      </c>
      <c r="AF945" s="3">
        <v>3.72</v>
      </c>
      <c r="AG945" s="3">
        <v>5.36</v>
      </c>
      <c r="AH945" s="44">
        <v>2.1</v>
      </c>
      <c r="AI945" s="44">
        <v>3.72</v>
      </c>
      <c r="AJ945" s="44">
        <v>5.29</v>
      </c>
      <c r="AK945" s="45">
        <v>6.369426751592357</v>
      </c>
      <c r="AL945" s="3">
        <v>11.88</v>
      </c>
      <c r="AM945" s="3">
        <v>12.08</v>
      </c>
      <c r="AN945" s="3">
        <v>12.7</v>
      </c>
      <c r="AO945" s="3">
        <v>12.15</v>
      </c>
      <c r="AP945" s="3">
        <v>11.88</v>
      </c>
      <c r="AQ945" s="47">
        <v>11.88</v>
      </c>
      <c r="AR945" s="47">
        <v>12.15</v>
      </c>
      <c r="AS945" s="3">
        <v>19.75</v>
      </c>
      <c r="AT945" s="3">
        <v>24.24</v>
      </c>
      <c r="AU945" s="3">
        <v>20.64</v>
      </c>
      <c r="AV945" s="3">
        <v>21.97</v>
      </c>
      <c r="AW945" s="3"/>
      <c r="AX945" s="48">
        <f>MAXA(paper3[[#This Row],[Spenst 1]:[Spenst 5]])</f>
        <v>24.24</v>
      </c>
      <c r="AY945" s="71"/>
      <c r="AZ945" s="3"/>
      <c r="BA945" s="3"/>
      <c r="BB945" s="3"/>
      <c r="BC945" s="3"/>
      <c r="BD945" s="40">
        <v>814.65214289265259</v>
      </c>
      <c r="BE945" s="40">
        <v>816.44167950634414</v>
      </c>
      <c r="BF945" s="40"/>
      <c r="BG945" s="40">
        <v>428.58666916106677</v>
      </c>
      <c r="BH945" s="40">
        <v>437.45963948560802</v>
      </c>
      <c r="BI945" s="49">
        <f>SUM(paper3[[#This Row],[Kraft ikke-dominant]:[Kraft dominant]])</f>
        <v>1631.0938223989967</v>
      </c>
      <c r="BJ945" s="49">
        <f>SUM(paper3[[#This Row],[Pwr ikke-dominant]:[Pwr dominant]])</f>
        <v>866.04630864667479</v>
      </c>
      <c r="BK945" s="66">
        <f>paper3[[#This Row],[Kraft dominant]]/paper3[[#This Row],[Kraft ikke-dominant]]-100%</f>
        <v>2.196688033419214E-3</v>
      </c>
      <c r="BL945" s="66">
        <f>paper3[[#This Row],[Kraft dominant]]/paper3[[#This Row],[Kraft ikke-dominant]]-100%</f>
        <v>2.196688033419214E-3</v>
      </c>
      <c r="BM945" s="51">
        <f>paper3[[#This Row],[totforce]]/paper3[[#This Row],[bodymass]]</f>
        <v>22.313184984938399</v>
      </c>
      <c r="BN945" s="51">
        <f>paper3[[#This Row],[totpwr]]/paper3[[#This Row],[bodymass]]</f>
        <v>11.847418722936728</v>
      </c>
      <c r="BO945" s="52"/>
      <c r="BP945" s="40">
        <v>292.75</v>
      </c>
      <c r="BQ945" s="40">
        <v>282.5</v>
      </c>
      <c r="BR945" s="67">
        <v>3.6283185840707999E-2</v>
      </c>
      <c r="BS945" s="54">
        <v>3.9346785225718199</v>
      </c>
      <c r="BT945" s="3">
        <v>116</v>
      </c>
      <c r="BU945" s="3">
        <v>148.75</v>
      </c>
      <c r="BV945" s="46">
        <v>163</v>
      </c>
      <c r="BW945" s="3">
        <v>132.75</v>
      </c>
      <c r="BX945" s="70">
        <v>-0.22016806722689075</v>
      </c>
      <c r="BY945" s="70">
        <v>0.22787193973634645</v>
      </c>
      <c r="BZ945" s="59">
        <v>1.1205273069679849</v>
      </c>
      <c r="CA945" s="59">
        <v>0.71165644171779141</v>
      </c>
      <c r="CB945" s="59">
        <f>IFERROR((paper3[[#This Row],[meanadd]]*(paper3[[#This Row],[leglength]]/100))/paper3[[#This Row],[bodymass]],"")</f>
        <v>1.6469912790697674</v>
      </c>
      <c r="CC945" s="59">
        <f>IFERROR((paper3[[#This Row],[meanabd]]*(paper3[[#This Row],[leglength]]/100))/paper3[[#This Row],[bodymass]],"")</f>
        <v>1.8398401162790698</v>
      </c>
      <c r="CD945" s="60">
        <v>107</v>
      </c>
      <c r="CE945" s="60">
        <v>108.5</v>
      </c>
      <c r="CF945" s="61">
        <v>1.46374829001368</v>
      </c>
      <c r="CG945" s="61">
        <v>1.4842681258549932</v>
      </c>
      <c r="CH945" s="61">
        <v>1.014018691588785</v>
      </c>
      <c r="CI945" s="41"/>
      <c r="CJ945" s="40"/>
      <c r="CK945" s="3"/>
      <c r="CL945" s="62"/>
      <c r="CM945" s="63">
        <v>0</v>
      </c>
      <c r="CN945" s="3">
        <v>148.75</v>
      </c>
      <c r="CO945" s="3">
        <v>163</v>
      </c>
      <c r="CP945" s="41">
        <f>_xlfn.MAXIFS([1]!phvny[age],[1]!phvny[id],paper3[[#This Row],[id]],[1]!phvny[time],paper3[[#This Row],[time]])</f>
        <v>16.441666666666666</v>
      </c>
      <c r="CQ945" s="3"/>
      <c r="CR945" s="40">
        <f>AVERAGE(paper3[[#This Row],[Adduksjon ikke-dominant]:[Adduksjon dominant]])</f>
        <v>132.375</v>
      </c>
      <c r="CS945" s="40">
        <f>AVERAGE(paper3[[#This Row],[Abduksjon ikke-dominant]:[Abduksjon dominant]])</f>
        <v>147.875</v>
      </c>
      <c r="CT945" s="40">
        <v>287.625</v>
      </c>
      <c r="CU945" s="40"/>
      <c r="CV945" s="40"/>
      <c r="CW945" s="40"/>
      <c r="CX945" s="40"/>
      <c r="CY945" s="40">
        <v>0</v>
      </c>
    </row>
    <row r="946" spans="1:103" ht="18.95" customHeight="1">
      <c r="A946" s="3">
        <v>411</v>
      </c>
      <c r="B946" s="92" t="s">
        <v>103</v>
      </c>
      <c r="C946" s="3" t="s">
        <v>115</v>
      </c>
      <c r="D946" s="3" t="s">
        <v>269</v>
      </c>
      <c r="E946" s="39">
        <v>45386</v>
      </c>
      <c r="F946" s="3" t="s">
        <v>186</v>
      </c>
      <c r="G946" s="3" t="s">
        <v>107</v>
      </c>
      <c r="H946" s="3">
        <v>2007</v>
      </c>
      <c r="I946" s="40" t="s">
        <v>116</v>
      </c>
      <c r="J946" s="39" t="s">
        <v>117</v>
      </c>
      <c r="K946" s="3">
        <v>175.4</v>
      </c>
      <c r="L946" s="3">
        <v>175</v>
      </c>
      <c r="M946" s="3"/>
      <c r="N946" s="3">
        <v>145</v>
      </c>
      <c r="O946" s="3">
        <v>145</v>
      </c>
      <c r="P946" s="3"/>
      <c r="Q946" s="3">
        <v>63.2</v>
      </c>
      <c r="R946" s="3"/>
      <c r="S946" s="3"/>
      <c r="T946" s="42">
        <v>175.2</v>
      </c>
      <c r="U946" s="42">
        <f>AVERAGE(paper3[[#This Row],[Sittende høyde 1]:[Sittende høyde 3]])-56.2</f>
        <v>88.8</v>
      </c>
      <c r="V946" s="12">
        <f>paper3[[#This Row],[height]]-paper3[[#This Row],[sittingheight]]</f>
        <v>86.399999999999991</v>
      </c>
      <c r="W946" s="73">
        <v>63.2</v>
      </c>
      <c r="X946" s="43" cm="1">
        <f t="array" ref="X946">INDEX([1]!phvny[yphv], MATCH(1, (paper3[[#This Row],[id]]=[1]!phvny[id])*(paper3[[#This Row],[time]]=[1]!phvny[time]), 0))</f>
        <v>4.0226901006210039</v>
      </c>
      <c r="Y946" s="3">
        <v>1.89</v>
      </c>
      <c r="Z946" s="3">
        <v>3.29</v>
      </c>
      <c r="AA946" s="3">
        <v>4.67</v>
      </c>
      <c r="AB946" s="3">
        <v>1.91</v>
      </c>
      <c r="AC946" s="3">
        <v>3.31</v>
      </c>
      <c r="AD946" s="3">
        <v>4.6500000000000004</v>
      </c>
      <c r="AE946" s="3">
        <v>1.88</v>
      </c>
      <c r="AF946" s="3">
        <v>3.3</v>
      </c>
      <c r="AG946" s="3">
        <v>4.6500000000000004</v>
      </c>
      <c r="AH946" s="44">
        <v>1.88</v>
      </c>
      <c r="AI946" s="44">
        <v>3.29</v>
      </c>
      <c r="AJ946" s="44">
        <v>4.6500000000000004</v>
      </c>
      <c r="AK946" s="45">
        <v>7.3529411764705861</v>
      </c>
      <c r="AL946" s="3">
        <v>10.56</v>
      </c>
      <c r="AM946" s="3">
        <v>10.38</v>
      </c>
      <c r="AN946" s="3">
        <v>10.27</v>
      </c>
      <c r="AO946" s="3">
        <v>10.38</v>
      </c>
      <c r="AP946" s="3">
        <v>10.27</v>
      </c>
      <c r="AQ946" s="47">
        <v>10.38</v>
      </c>
      <c r="AR946" s="47">
        <v>10.27</v>
      </c>
      <c r="AS946" s="3">
        <v>27.38</v>
      </c>
      <c r="AT946" s="3">
        <v>29.27</v>
      </c>
      <c r="AU946" s="3">
        <v>28.19</v>
      </c>
      <c r="AV946" s="3"/>
      <c r="AW946" s="3"/>
      <c r="AX946" s="48">
        <f>MAXA(paper3[[#This Row],[Spenst 1]:[Spenst 5]])</f>
        <v>29.27</v>
      </c>
      <c r="AY946" s="71"/>
      <c r="AZ946" s="3"/>
      <c r="BA946" s="3"/>
      <c r="BB946" s="3"/>
      <c r="BC946" s="3"/>
      <c r="BD946" s="40">
        <v>1103.2220893716385</v>
      </c>
      <c r="BE946" s="40">
        <v>1078.3232992984683</v>
      </c>
      <c r="BF946" s="40"/>
      <c r="BG946" s="40">
        <v>502.64866429467099</v>
      </c>
      <c r="BH946" s="40">
        <v>496.98696180646914</v>
      </c>
      <c r="BI946" s="49">
        <f>SUM(paper3[[#This Row],[Kraft ikke-dominant]:[Kraft dominant]])</f>
        <v>2181.5453886701071</v>
      </c>
      <c r="BJ946" s="49">
        <f>SUM(paper3[[#This Row],[Pwr ikke-dominant]:[Pwr dominant]])</f>
        <v>999.63562610114013</v>
      </c>
      <c r="BK946" s="66">
        <f>paper3[[#This Row],[Kraft dominant]]/paper3[[#This Row],[Kraft ikke-dominant]]-100%</f>
        <v>-2.2569154763164456E-2</v>
      </c>
      <c r="BL946" s="66">
        <f>paper3[[#This Row],[Kraft dominant]]/paper3[[#This Row],[Kraft ikke-dominant]]-100%</f>
        <v>-2.2569154763164456E-2</v>
      </c>
      <c r="BM946" s="51">
        <f>paper3[[#This Row],[totforce]]/paper3[[#This Row],[bodymass]]</f>
        <v>34.518123238451061</v>
      </c>
      <c r="BN946" s="51">
        <f>paper3[[#This Row],[totpwr]]/paper3[[#This Row],[bodymass]]</f>
        <v>15.817019400334495</v>
      </c>
      <c r="BO946" s="52"/>
      <c r="BP946" s="40">
        <v>207.25</v>
      </c>
      <c r="BQ946" s="40">
        <v>203</v>
      </c>
      <c r="BR946" s="67">
        <v>2.0935960591133007E-2</v>
      </c>
      <c r="BS946" s="54">
        <v>3.2456487341772151</v>
      </c>
      <c r="BT946" s="46">
        <v>119</v>
      </c>
      <c r="BU946" s="46">
        <v>118</v>
      </c>
      <c r="BV946" s="46">
        <v>133</v>
      </c>
      <c r="BW946" s="46">
        <v>116</v>
      </c>
      <c r="BX946" s="70">
        <v>8.4745762711864181E-3</v>
      </c>
      <c r="BY946" s="70">
        <v>0.14655172413793105</v>
      </c>
      <c r="BZ946" s="59">
        <v>1.0172413793103448</v>
      </c>
      <c r="CA946" s="59">
        <v>0.89473684210526316</v>
      </c>
      <c r="CB946" s="59">
        <f>IFERROR((paper3[[#This Row],[meanadd]]*(paper3[[#This Row],[leglength]]/100))/paper3[[#This Row],[bodymass]],"")</f>
        <v>1.6199999999999997</v>
      </c>
      <c r="CC946" s="59">
        <f>IFERROR((paper3[[#This Row],[meanabd]]*(paper3[[#This Row],[leglength]]/100))/paper3[[#This Row],[bodymass]],"")</f>
        <v>1.7020253164556958</v>
      </c>
      <c r="CD946" s="60">
        <v>106.75</v>
      </c>
      <c r="CE946" s="60">
        <v>124.5</v>
      </c>
      <c r="CF946" s="61">
        <v>1.6890822784810127</v>
      </c>
      <c r="CG946" s="61">
        <v>1.9699367088607593</v>
      </c>
      <c r="CH946" s="61">
        <v>1.1662763466042154</v>
      </c>
      <c r="CI946" s="41"/>
      <c r="CJ946" s="40"/>
      <c r="CK946" s="3"/>
      <c r="CL946" s="62"/>
      <c r="CM946" s="63">
        <v>0</v>
      </c>
      <c r="CN946" s="3">
        <v>119</v>
      </c>
      <c r="CO946" s="3">
        <v>133</v>
      </c>
      <c r="CP946" s="41">
        <f>_xlfn.MAXIFS([1]!phvny[age],[1]!phvny[id],paper3[[#This Row],[id]],[1]!phvny[time],paper3[[#This Row],[time]])</f>
        <v>16.975000000000001</v>
      </c>
      <c r="CQ946" s="3"/>
      <c r="CR946" s="40">
        <f>AVERAGE(paper3[[#This Row],[Adduksjon ikke-dominant]:[Adduksjon dominant]])</f>
        <v>118.5</v>
      </c>
      <c r="CS946" s="40">
        <f>AVERAGE(paper3[[#This Row],[Abduksjon ikke-dominant]:[Abduksjon dominant]])</f>
        <v>124.5</v>
      </c>
      <c r="CT946" s="40">
        <v>205.125</v>
      </c>
      <c r="CU946" s="40"/>
      <c r="CV946" s="40"/>
      <c r="CW946" s="40"/>
      <c r="CX946" s="40"/>
      <c r="CY946" s="40">
        <v>0</v>
      </c>
    </row>
    <row r="947" spans="1:103" ht="18.95" customHeight="1">
      <c r="A947" s="3">
        <v>419</v>
      </c>
      <c r="B947" s="92" t="s">
        <v>103</v>
      </c>
      <c r="C947" s="3" t="s">
        <v>115</v>
      </c>
      <c r="D947" s="3" t="s">
        <v>269</v>
      </c>
      <c r="E947" s="39">
        <v>45386</v>
      </c>
      <c r="F947" s="3" t="s">
        <v>186</v>
      </c>
      <c r="G947" s="3" t="s">
        <v>107</v>
      </c>
      <c r="H947" s="3">
        <v>2007</v>
      </c>
      <c r="I947" s="40" t="s">
        <v>116</v>
      </c>
      <c r="J947" s="39" t="s">
        <v>117</v>
      </c>
      <c r="K947" s="3">
        <v>181.9</v>
      </c>
      <c r="L947" s="3">
        <v>180.6</v>
      </c>
      <c r="M947" s="3"/>
      <c r="N947" s="3">
        <v>148.6</v>
      </c>
      <c r="O947" s="3">
        <v>148.80000000000001</v>
      </c>
      <c r="P947" s="3"/>
      <c r="Q947" s="3">
        <v>66.900000000000006</v>
      </c>
      <c r="R947" s="3"/>
      <c r="S947" s="3"/>
      <c r="T947" s="42">
        <v>181.25</v>
      </c>
      <c r="U947" s="42">
        <f>AVERAGE(paper3[[#This Row],[Sittende høyde 1]:[Sittende høyde 3]])-56.2</f>
        <v>92.499999999999986</v>
      </c>
      <c r="V947" s="12">
        <f>paper3[[#This Row],[height]]-paper3[[#This Row],[sittingheight]]</f>
        <v>88.750000000000014</v>
      </c>
      <c r="W947" s="73">
        <v>66.900000000000006</v>
      </c>
      <c r="X947" s="43" cm="1">
        <f t="array" ref="X947">INDEX([1]!phvny[yphv], MATCH(1, (paper3[[#This Row],[id]]=[1]!phvny[id])*(paper3[[#This Row],[time]]=[1]!phvny[time]), 0))</f>
        <v>4.3054380978639823</v>
      </c>
      <c r="Y947" s="3">
        <v>2.23</v>
      </c>
      <c r="Z947" s="3">
        <v>3.91</v>
      </c>
      <c r="AA947" s="3">
        <v>5.6</v>
      </c>
      <c r="AB947" s="3">
        <v>2.33</v>
      </c>
      <c r="AC947" s="3">
        <v>4.03</v>
      </c>
      <c r="AD947" s="3">
        <v>5.72</v>
      </c>
      <c r="AE947" s="3">
        <v>2.39</v>
      </c>
      <c r="AF947" s="3">
        <v>4.17</v>
      </c>
      <c r="AG947" s="3">
        <v>5.99</v>
      </c>
      <c r="AH947" s="44">
        <v>2.23</v>
      </c>
      <c r="AI947" s="44">
        <v>3.91</v>
      </c>
      <c r="AJ947" s="44">
        <v>5.6</v>
      </c>
      <c r="AK947" s="45">
        <v>5.9171597633136113</v>
      </c>
      <c r="AL947" s="3">
        <v>11.97</v>
      </c>
      <c r="AM947" s="3">
        <v>12.46</v>
      </c>
      <c r="AN947" s="3">
        <v>12.64</v>
      </c>
      <c r="AO947" s="3">
        <v>12.22</v>
      </c>
      <c r="AP947" s="3">
        <v>11.97</v>
      </c>
      <c r="AQ947" s="47">
        <v>11.97</v>
      </c>
      <c r="AR947" s="47">
        <v>12.22</v>
      </c>
      <c r="AS947" s="3"/>
      <c r="AT947" s="3"/>
      <c r="AU947" s="3"/>
      <c r="AV947" s="3"/>
      <c r="AW947" s="3"/>
      <c r="AX947" s="48"/>
      <c r="AY947" s="71"/>
      <c r="AZ947" s="3"/>
      <c r="BA947" s="3"/>
      <c r="BB947" s="3"/>
      <c r="BC947" s="3"/>
      <c r="BD947" s="40">
        <v>832.35627232036893</v>
      </c>
      <c r="BE947" s="40">
        <v>824.67297805807073</v>
      </c>
      <c r="BF947" s="40"/>
      <c r="BG947" s="40">
        <v>365.47823325824015</v>
      </c>
      <c r="BH947" s="40">
        <v>373.36347431606151</v>
      </c>
      <c r="BI947" s="49">
        <f>SUM(paper3[[#This Row],[Kraft ikke-dominant]:[Kraft dominant]])</f>
        <v>1657.0292503784397</v>
      </c>
      <c r="BJ947" s="49">
        <f>SUM(paper3[[#This Row],[Pwr ikke-dominant]:[Pwr dominant]])</f>
        <v>738.84170757430161</v>
      </c>
      <c r="BK947" s="66">
        <f>paper3[[#This Row],[Kraft dominant]]/paper3[[#This Row],[Kraft ikke-dominant]]-100%</f>
        <v>-9.2307759523208022E-3</v>
      </c>
      <c r="BL947" s="66">
        <f>paper3[[#This Row],[Kraft dominant]]/paper3[[#This Row],[Kraft ikke-dominant]]-100%</f>
        <v>-9.2307759523208022E-3</v>
      </c>
      <c r="BM947" s="51">
        <f>paper3[[#This Row],[totforce]]/paper3[[#This Row],[bodymass]]</f>
        <v>24.768748137196404</v>
      </c>
      <c r="BN947" s="51">
        <f>paper3[[#This Row],[totpwr]]/paper3[[#This Row],[bodymass]]</f>
        <v>11.043971712620351</v>
      </c>
      <c r="BO947" s="52"/>
      <c r="BP947" s="40">
        <v>266</v>
      </c>
      <c r="BQ947" s="40">
        <v>243</v>
      </c>
      <c r="BR947" s="67">
        <v>9.4650205761316775E-2</v>
      </c>
      <c r="BS947" s="54">
        <v>3.8041853512705526</v>
      </c>
      <c r="BT947" s="46">
        <v>168.75</v>
      </c>
      <c r="BU947" s="46">
        <v>146.5</v>
      </c>
      <c r="BV947" s="46">
        <v>134</v>
      </c>
      <c r="BW947" s="46">
        <v>125.5</v>
      </c>
      <c r="BX947" s="70">
        <v>0.15187713310580198</v>
      </c>
      <c r="BY947" s="70">
        <v>6.7729083665338585E-2</v>
      </c>
      <c r="BZ947" s="59">
        <v>1.1673306772908367</v>
      </c>
      <c r="CA947" s="59">
        <v>1.2593283582089552</v>
      </c>
      <c r="CB947" s="59">
        <f>IFERROR((paper3[[#This Row],[meanadd]]*(paper3[[#This Row],[leglength]]/100))/paper3[[#This Row],[bodymass]],"")</f>
        <v>2.0910640881913305</v>
      </c>
      <c r="CC947" s="59">
        <f>IFERROR((paper3[[#This Row],[meanabd]]*(paper3[[#This Row],[leglength]]/100))/paper3[[#This Row],[bodymass]],"")</f>
        <v>1.7212724215246638</v>
      </c>
      <c r="CD947" s="60">
        <v>87.75</v>
      </c>
      <c r="CE947" s="60">
        <v>73.75</v>
      </c>
      <c r="CF947" s="61">
        <v>1.311659192825112</v>
      </c>
      <c r="CG947" s="61">
        <v>1.1023916292974587</v>
      </c>
      <c r="CH947" s="61">
        <v>0.84045584045584043</v>
      </c>
      <c r="CI947" s="41"/>
      <c r="CJ947" s="40"/>
      <c r="CK947" s="3"/>
      <c r="CL947" s="62"/>
      <c r="CM947" s="63">
        <v>0</v>
      </c>
      <c r="CN947" s="3">
        <v>168.75</v>
      </c>
      <c r="CO947" s="3">
        <v>134</v>
      </c>
      <c r="CP947" s="41">
        <f>_xlfn.MAXIFS([1]!phvny[age],[1]!phvny[id],paper3[[#This Row],[id]],[1]!phvny[time],paper3[[#This Row],[time]])</f>
        <v>16.669444444444444</v>
      </c>
      <c r="CQ947" s="3"/>
      <c r="CR947" s="40">
        <f>AVERAGE(paper3[[#This Row],[Adduksjon ikke-dominant]:[Adduksjon dominant]])</f>
        <v>157.625</v>
      </c>
      <c r="CS947" s="40">
        <f>AVERAGE(paper3[[#This Row],[Abduksjon ikke-dominant]:[Abduksjon dominant]])</f>
        <v>129.75</v>
      </c>
      <c r="CT947" s="40">
        <v>254.5</v>
      </c>
      <c r="CU947" s="40"/>
      <c r="CV947" s="40"/>
      <c r="CW947" s="40"/>
      <c r="CX947" s="40"/>
      <c r="CY947" s="40">
        <v>0</v>
      </c>
    </row>
    <row r="948" spans="1:103" ht="18.95" customHeight="1">
      <c r="A948" s="3">
        <v>420</v>
      </c>
      <c r="B948" s="92" t="s">
        <v>103</v>
      </c>
      <c r="C948" s="3" t="s">
        <v>158</v>
      </c>
      <c r="D948" s="3" t="s">
        <v>269</v>
      </c>
      <c r="E948" s="39">
        <v>45411</v>
      </c>
      <c r="F948" s="3" t="s">
        <v>186</v>
      </c>
      <c r="G948" s="3" t="s">
        <v>122</v>
      </c>
      <c r="H948" s="3">
        <v>2009</v>
      </c>
      <c r="I948" s="40" t="s">
        <v>108</v>
      </c>
      <c r="J948" s="39" t="s">
        <v>123</v>
      </c>
      <c r="K948" s="3">
        <v>180.5</v>
      </c>
      <c r="L948" s="3">
        <v>180.5</v>
      </c>
      <c r="M948" s="3"/>
      <c r="N948" s="3">
        <v>147.5</v>
      </c>
      <c r="O948" s="3">
        <v>147</v>
      </c>
      <c r="P948" s="3">
        <v>147.19999999999999</v>
      </c>
      <c r="Q948" s="3">
        <v>70.8</v>
      </c>
      <c r="R948" s="3"/>
      <c r="S948" s="3"/>
      <c r="T948" s="42">
        <v>180.5</v>
      </c>
      <c r="U948" s="42">
        <f>AVERAGE(paper3[[#This Row],[Sittende høyde 1]:[Sittende høyde 3]])-56.2</f>
        <v>91.033333333333317</v>
      </c>
      <c r="V948" s="12">
        <f>paper3[[#This Row],[height]]-paper3[[#This Row],[sittingheight]]</f>
        <v>89.466666666666683</v>
      </c>
      <c r="W948" s="73">
        <v>70.8</v>
      </c>
      <c r="X948" s="43" cm="1">
        <f t="array" ref="X948">INDEX([1]!phvny[yphv], MATCH(1, (paper3[[#This Row],[id]]=[1]!phvny[id])*(paper3[[#This Row],[time]]=[1]!phvny[time]), 0))</f>
        <v>1.1980762304592152</v>
      </c>
      <c r="Y948" s="3">
        <v>2.0099999999999998</v>
      </c>
      <c r="Z948" s="3">
        <v>3.49</v>
      </c>
      <c r="AA948" s="3">
        <v>4.97</v>
      </c>
      <c r="AB948" s="3">
        <v>2.06</v>
      </c>
      <c r="AC948" s="3">
        <v>3.56</v>
      </c>
      <c r="AD948" s="3">
        <v>5.05</v>
      </c>
      <c r="AE948" s="3">
        <v>2.0499999999999998</v>
      </c>
      <c r="AF948" s="3">
        <v>3.58</v>
      </c>
      <c r="AG948" s="3">
        <v>5.07</v>
      </c>
      <c r="AH948" s="44">
        <v>2.0099999999999998</v>
      </c>
      <c r="AI948" s="44">
        <v>3.49</v>
      </c>
      <c r="AJ948" s="44">
        <v>4.97</v>
      </c>
      <c r="AK948" s="45">
        <v>6.7567567567567588</v>
      </c>
      <c r="AL948" s="3">
        <v>11.55</v>
      </c>
      <c r="AM948" s="3">
        <v>11.26</v>
      </c>
      <c r="AN948" s="3">
        <v>11.29</v>
      </c>
      <c r="AO948" s="3">
        <v>11.35</v>
      </c>
      <c r="AP948" s="3">
        <v>11.26</v>
      </c>
      <c r="AQ948" s="47">
        <v>11.29</v>
      </c>
      <c r="AR948" s="47">
        <v>11.26</v>
      </c>
      <c r="AS948" s="3">
        <v>27.08</v>
      </c>
      <c r="AT948" s="3">
        <v>26.98</v>
      </c>
      <c r="AU948" s="3">
        <v>28.82</v>
      </c>
      <c r="AV948" s="3">
        <v>27.11</v>
      </c>
      <c r="AW948" s="3"/>
      <c r="AX948" s="48">
        <f>MAXA(paper3[[#This Row],[Spenst 1]:[Spenst 5]])</f>
        <v>28.82</v>
      </c>
      <c r="AY948" s="71"/>
      <c r="AZ948" s="3"/>
      <c r="BA948" s="3"/>
      <c r="BB948" s="3"/>
      <c r="BC948" s="3"/>
      <c r="BD948" s="40">
        <v>953.6954440626987</v>
      </c>
      <c r="BE948" s="40">
        <v>955.65016158122035</v>
      </c>
      <c r="BF948" s="40"/>
      <c r="BG948" s="40">
        <v>338.85977817715582</v>
      </c>
      <c r="BH948" s="40">
        <v>289.38067255028574</v>
      </c>
      <c r="BI948" s="49">
        <f>SUM(paper3[[#This Row],[Kraft ikke-dominant]:[Kraft dominant]])</f>
        <v>1909.345605643919</v>
      </c>
      <c r="BJ948" s="49">
        <f>SUM(paper3[[#This Row],[Pwr ikke-dominant]:[Pwr dominant]])</f>
        <v>628.24045072744161</v>
      </c>
      <c r="BK948" s="66">
        <f>paper3[[#This Row],[Kraft dominant]]/paper3[[#This Row],[Kraft ikke-dominant]]-100%</f>
        <v>2.0496244694161447E-3</v>
      </c>
      <c r="BL948" s="66">
        <f>paper3[[#This Row],[Kraft dominant]]/paper3[[#This Row],[Kraft ikke-dominant]]-100%</f>
        <v>2.0496244694161447E-3</v>
      </c>
      <c r="BM948" s="51">
        <f>paper3[[#This Row],[totforce]]/paper3[[#This Row],[bodymass]]</f>
        <v>26.968158271806768</v>
      </c>
      <c r="BN948" s="51">
        <f>paper3[[#This Row],[totpwr]]/paper3[[#This Row],[bodymass]]</f>
        <v>8.8734526938904192</v>
      </c>
      <c r="BO948" s="52"/>
      <c r="BP948" s="40">
        <v>184</v>
      </c>
      <c r="BQ948" s="40">
        <v>185</v>
      </c>
      <c r="BR948" s="67">
        <v>5.4347826086955653E-3</v>
      </c>
      <c r="BS948" s="54">
        <v>2.6059322033898304</v>
      </c>
      <c r="BT948" s="46">
        <v>149</v>
      </c>
      <c r="BU948" s="46">
        <v>155</v>
      </c>
      <c r="BV948" s="46">
        <v>185</v>
      </c>
      <c r="BW948" s="46">
        <v>181</v>
      </c>
      <c r="BX948" s="70"/>
      <c r="BY948" s="70"/>
      <c r="BZ948" s="59"/>
      <c r="CA948" s="59"/>
      <c r="CB948" s="59">
        <f>IFERROR((paper3[[#This Row],[meanadd]]*(paper3[[#This Row],[leglength]]/100))/paper3[[#This Row],[bodymass]],"")</f>
        <v>1.9207532956685502</v>
      </c>
      <c r="CC948" s="59">
        <f>IFERROR((paper3[[#This Row],[meanabd]]*(paper3[[#This Row],[leglength]]/100))/paper3[[#This Row],[bodymass]],"")</f>
        <v>2.3124858757062152</v>
      </c>
      <c r="CD948" s="60">
        <v>109</v>
      </c>
      <c r="CE948" s="60">
        <v>123</v>
      </c>
      <c r="CF948" s="61">
        <f>paper3[[#This Row],[ir]]/paper3[[#This Row],[bodymass]]</f>
        <v>1.53954802259887</v>
      </c>
      <c r="CG948" s="61">
        <f>paper3[[#This Row],[ir]]/paper3[[#This Row],[bodymass]]</f>
        <v>1.53954802259887</v>
      </c>
      <c r="CH948" s="61" t="e">
        <v>#DIV/0!</v>
      </c>
      <c r="CI948" s="41"/>
      <c r="CJ948" s="40"/>
      <c r="CK948" s="3"/>
      <c r="CL948" s="62"/>
      <c r="CM948" s="63">
        <v>0</v>
      </c>
      <c r="CN948" s="3">
        <v>0</v>
      </c>
      <c r="CO948" s="3">
        <v>0</v>
      </c>
      <c r="CP948" s="41">
        <f>_xlfn.MAXIFS([1]!phvny[age],[1]!phvny[id],paper3[[#This Row],[id]],[1]!phvny[time],paper3[[#This Row],[time]])</f>
        <v>14.425000000000001</v>
      </c>
      <c r="CQ948" s="3"/>
      <c r="CR948" s="40">
        <f>AVERAGE(paper3[[#This Row],[Adduksjon ikke-dominant]:[Adduksjon dominant]])</f>
        <v>152</v>
      </c>
      <c r="CS948" s="40">
        <f>AVERAGE(paper3[[#This Row],[Abduksjon ikke-dominant]:[Abduksjon dominant]])</f>
        <v>183</v>
      </c>
      <c r="CT948" s="40">
        <v>184.5</v>
      </c>
      <c r="CU948" s="40"/>
      <c r="CV948" s="40"/>
      <c r="CW948" s="40"/>
      <c r="CX948" s="40"/>
      <c r="CY948" s="40">
        <v>0</v>
      </c>
    </row>
    <row r="949" spans="1:103" ht="18.95" customHeight="1">
      <c r="A949" s="3">
        <v>421</v>
      </c>
      <c r="B949" s="92" t="s">
        <v>103</v>
      </c>
      <c r="C949" s="3" t="s">
        <v>104</v>
      </c>
      <c r="D949" s="3" t="s">
        <v>269</v>
      </c>
      <c r="E949" s="39">
        <v>45411</v>
      </c>
      <c r="F949" s="3" t="s">
        <v>186</v>
      </c>
      <c r="G949" s="3" t="s">
        <v>122</v>
      </c>
      <c r="H949" s="3">
        <v>2009</v>
      </c>
      <c r="I949" s="40" t="s">
        <v>108</v>
      </c>
      <c r="J949" s="39" t="s">
        <v>123</v>
      </c>
      <c r="K949" s="3">
        <v>170.5</v>
      </c>
      <c r="L949" s="3">
        <v>170.5</v>
      </c>
      <c r="M949" s="3"/>
      <c r="N949" s="3">
        <v>145.5</v>
      </c>
      <c r="O949" s="3">
        <v>145.6</v>
      </c>
      <c r="P949" s="3"/>
      <c r="Q949" s="3">
        <v>59</v>
      </c>
      <c r="R949" s="3"/>
      <c r="S949" s="3"/>
      <c r="T949" s="42">
        <v>170.5</v>
      </c>
      <c r="U949" s="42">
        <f>AVERAGE(paper3[[#This Row],[Sittende høyde 1]:[Sittende høyde 3]])-56.2</f>
        <v>89.350000000000009</v>
      </c>
      <c r="V949" s="12">
        <f>paper3[[#This Row],[height]]-paper3[[#This Row],[sittingheight]]</f>
        <v>81.149999999999991</v>
      </c>
      <c r="W949" s="73">
        <v>59</v>
      </c>
      <c r="X949" s="43" cm="1">
        <f t="array" ref="X949">INDEX([1]!phvny[yphv], MATCH(1, (paper3[[#This Row],[id]]=[1]!phvny[id])*(paper3[[#This Row],[time]]=[1]!phvny[time]), 0))</f>
        <v>1.2242312544845237</v>
      </c>
      <c r="Y949" s="3">
        <v>1.77</v>
      </c>
      <c r="Z949" s="3">
        <v>3.07</v>
      </c>
      <c r="AA949" s="3">
        <v>4.3099999999999996</v>
      </c>
      <c r="AB949" s="3">
        <v>1.82</v>
      </c>
      <c r="AC949" s="3">
        <v>3.13</v>
      </c>
      <c r="AD949" s="3">
        <v>4.37</v>
      </c>
      <c r="AE949" s="3">
        <v>1.81</v>
      </c>
      <c r="AF949" s="3">
        <v>3.13</v>
      </c>
      <c r="AG949" s="3">
        <v>4.38</v>
      </c>
      <c r="AH949" s="44">
        <v>1.77</v>
      </c>
      <c r="AI949" s="44">
        <v>3.07</v>
      </c>
      <c r="AJ949" s="44">
        <v>4.3099999999999996</v>
      </c>
      <c r="AK949" s="45">
        <v>8.0645161290322598</v>
      </c>
      <c r="AL949" s="3">
        <v>9.83</v>
      </c>
      <c r="AM949" s="3">
        <v>9.75</v>
      </c>
      <c r="AN949" s="3">
        <v>9.98</v>
      </c>
      <c r="AO949" s="3">
        <v>9.77</v>
      </c>
      <c r="AP949" s="3">
        <v>9.75</v>
      </c>
      <c r="AQ949" s="47">
        <v>9.75</v>
      </c>
      <c r="AR949" s="47">
        <v>9.77</v>
      </c>
      <c r="AS949" s="3">
        <v>31.66</v>
      </c>
      <c r="AT949" s="3">
        <v>34.07</v>
      </c>
      <c r="AU949" s="3">
        <v>32.99</v>
      </c>
      <c r="AV949" s="3"/>
      <c r="AW949" s="3"/>
      <c r="AX949" s="48">
        <f>MAXA(paper3[[#This Row],[Spenst 1]:[Spenst 5]])</f>
        <v>34.07</v>
      </c>
      <c r="AY949" s="71"/>
      <c r="AZ949" s="3"/>
      <c r="BA949" s="3"/>
      <c r="BB949" s="3"/>
      <c r="BC949" s="3"/>
      <c r="BD949" s="40">
        <v>1356.5332646447923</v>
      </c>
      <c r="BE949" s="40">
        <v>1399.2508465083145</v>
      </c>
      <c r="BF949" s="40"/>
      <c r="BG949" s="40">
        <v>490.20920865908704</v>
      </c>
      <c r="BH949" s="40">
        <v>521.47139792821338</v>
      </c>
      <c r="BI949" s="49">
        <f>SUM(paper3[[#This Row],[Kraft ikke-dominant]:[Kraft dominant]])</f>
        <v>2755.784111153107</v>
      </c>
      <c r="BJ949" s="49">
        <f>SUM(paper3[[#This Row],[Pwr ikke-dominant]:[Pwr dominant]])</f>
        <v>1011.6806065873004</v>
      </c>
      <c r="BK949" s="66">
        <f>paper3[[#This Row],[Kraft dominant]]/paper3[[#This Row],[Kraft ikke-dominant]]-100%</f>
        <v>3.149025753873258E-2</v>
      </c>
      <c r="BL949" s="66">
        <f>paper3[[#This Row],[Kraft dominant]]/paper3[[#This Row],[Kraft ikke-dominant]]-100%</f>
        <v>3.149025753873258E-2</v>
      </c>
      <c r="BM949" s="51">
        <f>paper3[[#This Row],[totforce]]/paper3[[#This Row],[bodymass]]</f>
        <v>46.708205273781473</v>
      </c>
      <c r="BN949" s="51">
        <f>paper3[[#This Row],[totpwr]]/paper3[[#This Row],[bodymass]]</f>
        <v>17.147128925208481</v>
      </c>
      <c r="BO949" s="52"/>
      <c r="BP949" s="40">
        <v>344</v>
      </c>
      <c r="BQ949" s="40">
        <v>434</v>
      </c>
      <c r="BR949" s="67">
        <v>-0.20737327188940091</v>
      </c>
      <c r="BS949" s="54">
        <v>6.593220338983051</v>
      </c>
      <c r="BT949" s="46">
        <v>190</v>
      </c>
      <c r="BU949" s="46">
        <v>191</v>
      </c>
      <c r="BV949" s="46">
        <v>144</v>
      </c>
      <c r="BW949" s="46">
        <v>130</v>
      </c>
      <c r="BX949" s="70"/>
      <c r="BY949" s="70"/>
      <c r="BZ949" s="59"/>
      <c r="CA949" s="59"/>
      <c r="CB949" s="59">
        <f>IFERROR((paper3[[#This Row],[meanadd]]*(paper3[[#This Row],[leglength]]/100))/paper3[[#This Row],[bodymass]],"")</f>
        <v>2.6201822033898301</v>
      </c>
      <c r="CC949" s="59">
        <f>IFERROR((paper3[[#This Row],[meanabd]]*(paper3[[#This Row],[leglength]]/100))/paper3[[#This Row],[bodymass]],"")</f>
        <v>1.8843305084745761</v>
      </c>
      <c r="CD949" s="60">
        <v>127</v>
      </c>
      <c r="CE949" s="60">
        <v>106</v>
      </c>
      <c r="CF949" s="61">
        <f>paper3[[#This Row],[ir]]/paper3[[#This Row],[bodymass]]</f>
        <v>2.152542372881356</v>
      </c>
      <c r="CG949" s="61">
        <f>paper3[[#This Row],[ir]]/paper3[[#This Row],[bodymass]]</f>
        <v>2.152542372881356</v>
      </c>
      <c r="CH949" s="61" t="e">
        <v>#DIV/0!</v>
      </c>
      <c r="CI949" s="41"/>
      <c r="CJ949" s="40"/>
      <c r="CK949" s="3"/>
      <c r="CL949" s="62"/>
      <c r="CM949" s="63">
        <v>0</v>
      </c>
      <c r="CN949" s="3">
        <v>0</v>
      </c>
      <c r="CO949" s="3">
        <v>0</v>
      </c>
      <c r="CP949" s="41">
        <f>_xlfn.MAXIFS([1]!phvny[age],[1]!phvny[id],paper3[[#This Row],[id]],[1]!phvny[time],paper3[[#This Row],[time]])</f>
        <v>15.111111111111111</v>
      </c>
      <c r="CQ949" s="3"/>
      <c r="CR949" s="40">
        <f>AVERAGE(paper3[[#This Row],[Adduksjon ikke-dominant]:[Adduksjon dominant]])</f>
        <v>190.5</v>
      </c>
      <c r="CS949" s="40">
        <f>AVERAGE(paper3[[#This Row],[Abduksjon ikke-dominant]:[Abduksjon dominant]])</f>
        <v>137</v>
      </c>
      <c r="CT949" s="40">
        <v>389</v>
      </c>
      <c r="CU949" s="40"/>
      <c r="CV949" s="40"/>
      <c r="CW949" s="40"/>
      <c r="CX949" s="40"/>
      <c r="CY949" s="40">
        <v>0</v>
      </c>
    </row>
    <row r="950" spans="1:103" ht="18.95" customHeight="1">
      <c r="A950" s="3">
        <v>423</v>
      </c>
      <c r="B950" s="92" t="s">
        <v>103</v>
      </c>
      <c r="C950" s="3" t="s">
        <v>115</v>
      </c>
      <c r="D950" s="3" t="s">
        <v>269</v>
      </c>
      <c r="E950" s="39">
        <v>45411</v>
      </c>
      <c r="F950" s="3" t="s">
        <v>186</v>
      </c>
      <c r="G950" s="3" t="s">
        <v>122</v>
      </c>
      <c r="H950" s="3">
        <v>2009</v>
      </c>
      <c r="I950" s="40" t="s">
        <v>108</v>
      </c>
      <c r="J950" s="39" t="s">
        <v>123</v>
      </c>
      <c r="K950" s="3">
        <v>174</v>
      </c>
      <c r="L950" s="3">
        <v>174</v>
      </c>
      <c r="M950" s="3"/>
      <c r="N950" s="3">
        <v>145.19999999999999</v>
      </c>
      <c r="O950" s="3">
        <v>145.4</v>
      </c>
      <c r="P950" s="3"/>
      <c r="Q950" s="3">
        <v>70.7</v>
      </c>
      <c r="R950" s="3"/>
      <c r="S950" s="3"/>
      <c r="T950" s="42">
        <v>174</v>
      </c>
      <c r="U950" s="42">
        <f>AVERAGE(paper3[[#This Row],[Sittende høyde 1]:[Sittende høyde 3]])-56.2</f>
        <v>89.100000000000009</v>
      </c>
      <c r="V950" s="12">
        <f>paper3[[#This Row],[height]]-paper3[[#This Row],[sittingheight]]</f>
        <v>84.899999999999991</v>
      </c>
      <c r="W950" s="73">
        <v>70.7</v>
      </c>
      <c r="X950" s="43" cm="1">
        <f t="array" ref="X950">INDEX([1]!phvny[yphv], MATCH(1, (paper3[[#This Row],[id]]=[1]!phvny[id])*(paper3[[#This Row],[time]]=[1]!phvny[time]), 0))</f>
        <v>1.3049783563390811</v>
      </c>
      <c r="Y950" s="3">
        <v>1.97</v>
      </c>
      <c r="Z950" s="3">
        <v>3.31</v>
      </c>
      <c r="AA950" s="3">
        <v>4.58</v>
      </c>
      <c r="AB950" s="3">
        <v>2.04</v>
      </c>
      <c r="AC950" s="3">
        <v>3.44</v>
      </c>
      <c r="AD950" s="3">
        <v>4.76</v>
      </c>
      <c r="AE950" s="3">
        <v>2.08</v>
      </c>
      <c r="AF950" s="3">
        <v>3.46</v>
      </c>
      <c r="AG950" s="3">
        <v>4.76</v>
      </c>
      <c r="AH950" s="44">
        <v>1.97</v>
      </c>
      <c r="AI950" s="44">
        <v>3.31</v>
      </c>
      <c r="AJ950" s="44">
        <v>4.58</v>
      </c>
      <c r="AK950" s="45">
        <v>7.8740157480314963</v>
      </c>
      <c r="AL950" s="3">
        <v>10.15</v>
      </c>
      <c r="AM950" s="3">
        <v>10.08</v>
      </c>
      <c r="AN950" s="3"/>
      <c r="AO950" s="3">
        <v>10.36</v>
      </c>
      <c r="AP950" s="3">
        <v>10.08</v>
      </c>
      <c r="AQ950" s="47">
        <v>10.08</v>
      </c>
      <c r="AR950" s="47">
        <v>10.36</v>
      </c>
      <c r="AS950" s="3">
        <v>33.57</v>
      </c>
      <c r="AT950" s="3">
        <v>30.89</v>
      </c>
      <c r="AU950" s="3">
        <v>32.880000000000003</v>
      </c>
      <c r="AV950" s="3"/>
      <c r="AW950" s="3"/>
      <c r="AX950" s="48">
        <f>MAXA(paper3[[#This Row],[Spenst 1]:[Spenst 5]])</f>
        <v>33.57</v>
      </c>
      <c r="AY950" s="71"/>
      <c r="AZ950" s="3"/>
      <c r="BA950" s="3"/>
      <c r="BB950" s="3"/>
      <c r="BC950" s="3"/>
      <c r="BD950" s="40">
        <v>1610.015934246353</v>
      </c>
      <c r="BE950" s="40">
        <v>1612.8453047611674</v>
      </c>
      <c r="BF950" s="40"/>
      <c r="BG950" s="40">
        <v>566.83499205097633</v>
      </c>
      <c r="BH950" s="40">
        <v>578.35113493110214</v>
      </c>
      <c r="BI950" s="49">
        <f>SUM(paper3[[#This Row],[Kraft ikke-dominant]:[Kraft dominant]])</f>
        <v>3222.8612390075205</v>
      </c>
      <c r="BJ950" s="49">
        <f>SUM(paper3[[#This Row],[Pwr ikke-dominant]:[Pwr dominant]])</f>
        <v>1145.1861269820783</v>
      </c>
      <c r="BK950" s="66">
        <f>paper3[[#This Row],[Kraft dominant]]/paper3[[#This Row],[Kraft ikke-dominant]]-100%</f>
        <v>1.7573555979362165E-3</v>
      </c>
      <c r="BL950" s="66">
        <f>paper3[[#This Row],[Kraft dominant]]/paper3[[#This Row],[Kraft ikke-dominant]]-100%</f>
        <v>1.7573555979362165E-3</v>
      </c>
      <c r="BM950" s="51">
        <f>paper3[[#This Row],[totforce]]/paper3[[#This Row],[bodymass]]</f>
        <v>45.585024596994629</v>
      </c>
      <c r="BN950" s="51">
        <f>paper3[[#This Row],[totpwr]]/paper3[[#This Row],[bodymass]]</f>
        <v>16.197823578247217</v>
      </c>
      <c r="BO950" s="52"/>
      <c r="BP950" s="40">
        <v>379</v>
      </c>
      <c r="BQ950" s="40">
        <v>355</v>
      </c>
      <c r="BR950" s="67">
        <v>6.7605633802816811E-2</v>
      </c>
      <c r="BS950" s="54">
        <v>5.190947666195191</v>
      </c>
      <c r="BT950" s="46">
        <v>254</v>
      </c>
      <c r="BU950" s="46">
        <v>223</v>
      </c>
      <c r="BV950" s="46">
        <v>155</v>
      </c>
      <c r="BW950" s="46">
        <v>170</v>
      </c>
      <c r="BX950" s="70"/>
      <c r="BY950" s="70"/>
      <c r="BZ950" s="59"/>
      <c r="CA950" s="59"/>
      <c r="CB950" s="59">
        <f>IFERROR((paper3[[#This Row],[meanadd]]*(paper3[[#This Row],[leglength]]/100))/paper3[[#This Row],[bodymass]],"")</f>
        <v>2.8640240452616688</v>
      </c>
      <c r="CC950" s="59">
        <f>IFERROR((paper3[[#This Row],[meanabd]]*(paper3[[#This Row],[leglength]]/100))/paper3[[#This Row],[bodymass]],"")</f>
        <v>2.8640240452616688</v>
      </c>
      <c r="CD950" s="60">
        <v>102</v>
      </c>
      <c r="CE950" s="60">
        <v>96</v>
      </c>
      <c r="CF950" s="61">
        <f>paper3[[#This Row],[ir]]/paper3[[#This Row],[bodymass]]</f>
        <v>1.4427157001414426</v>
      </c>
      <c r="CG950" s="61">
        <f>paper3[[#This Row],[ir]]/paper3[[#This Row],[bodymass]]</f>
        <v>1.4427157001414426</v>
      </c>
      <c r="CH950" s="61" t="e">
        <v>#DIV/0!</v>
      </c>
      <c r="CI950" s="41"/>
      <c r="CJ950" s="40"/>
      <c r="CK950" s="3"/>
      <c r="CL950" s="62"/>
      <c r="CM950" s="63">
        <v>0</v>
      </c>
      <c r="CN950" s="3">
        <v>0</v>
      </c>
      <c r="CO950" s="3">
        <v>0</v>
      </c>
      <c r="CP950" s="41">
        <f>_xlfn.MAXIFS([1]!phvny[age],[1]!phvny[id],paper3[[#This Row],[id]],[1]!phvny[time],paper3[[#This Row],[time]])</f>
        <v>15.069444444444445</v>
      </c>
      <c r="CQ950" s="3"/>
      <c r="CR950" s="40">
        <f>AVERAGE(paper3[[#This Row],[Adduksjon ikke-dominant]:[Adduksjon dominant]])</f>
        <v>238.5</v>
      </c>
      <c r="CS950" s="40">
        <f>AVERAGE(paper3[[#This Row],[Adduksjon ikke-dominant]:[Adduksjon dominant]])</f>
        <v>238.5</v>
      </c>
      <c r="CT950" s="40">
        <v>367</v>
      </c>
      <c r="CU950" s="40"/>
      <c r="CV950" s="40"/>
      <c r="CW950" s="40"/>
      <c r="CX950" s="40"/>
      <c r="CY950" s="40">
        <v>0</v>
      </c>
    </row>
    <row r="951" spans="1:103" ht="18.95" customHeight="1">
      <c r="A951" s="3">
        <v>424</v>
      </c>
      <c r="B951" s="92" t="s">
        <v>103</v>
      </c>
      <c r="C951" s="3" t="s">
        <v>104</v>
      </c>
      <c r="D951" s="3" t="s">
        <v>269</v>
      </c>
      <c r="E951" s="39">
        <v>45411</v>
      </c>
      <c r="F951" s="3" t="s">
        <v>186</v>
      </c>
      <c r="G951" s="3" t="s">
        <v>122</v>
      </c>
      <c r="H951" s="3">
        <v>2009</v>
      </c>
      <c r="I951" s="40" t="s">
        <v>108</v>
      </c>
      <c r="J951" s="39" t="s">
        <v>123</v>
      </c>
      <c r="K951" s="3">
        <v>181</v>
      </c>
      <c r="L951" s="3">
        <v>180.5</v>
      </c>
      <c r="M951" s="3">
        <v>181</v>
      </c>
      <c r="N951" s="3">
        <v>148</v>
      </c>
      <c r="O951" s="3">
        <v>148.19999999999999</v>
      </c>
      <c r="P951" s="3"/>
      <c r="Q951" s="3">
        <v>65.5</v>
      </c>
      <c r="R951" s="3"/>
      <c r="S951" s="3"/>
      <c r="T951" s="42">
        <v>180.83333333333334</v>
      </c>
      <c r="U951" s="42">
        <f>AVERAGE(paper3[[#This Row],[Sittende høyde 1]:[Sittende høyde 3]])-56.2</f>
        <v>91.899999999999991</v>
      </c>
      <c r="V951" s="12">
        <f>paper3[[#This Row],[height]]-paper3[[#This Row],[sittingheight]]</f>
        <v>88.933333333333351</v>
      </c>
      <c r="W951" s="73">
        <v>65.5</v>
      </c>
      <c r="X951" s="43" cm="1">
        <f t="array" ref="X951">INDEX([1]!phvny[yphv], MATCH(1, (paper3[[#This Row],[id]]=[1]!phvny[id])*(paper3[[#This Row],[time]]=[1]!phvny[time]), 0))</f>
        <v>1.5319512548622631</v>
      </c>
      <c r="Y951" s="3"/>
      <c r="Z951" s="3"/>
      <c r="AA951" s="3"/>
      <c r="AB951" s="3">
        <v>1.86</v>
      </c>
      <c r="AC951" s="3">
        <v>3.19</v>
      </c>
      <c r="AD951" s="3">
        <v>4.45</v>
      </c>
      <c r="AE951" s="3">
        <v>2.02</v>
      </c>
      <c r="AF951" s="3">
        <v>3.4</v>
      </c>
      <c r="AG951" s="3">
        <v>4.76</v>
      </c>
      <c r="AH951" s="44">
        <v>1.86</v>
      </c>
      <c r="AI951" s="44">
        <v>3.19</v>
      </c>
      <c r="AJ951" s="44">
        <v>4.45</v>
      </c>
      <c r="AK951" s="45">
        <v>7.936507936507935</v>
      </c>
      <c r="AL951" s="3">
        <v>10.25</v>
      </c>
      <c r="AM951" s="3">
        <v>10.66</v>
      </c>
      <c r="AN951" s="3">
        <v>10.210000000000001</v>
      </c>
      <c r="AO951" s="3">
        <v>9.89</v>
      </c>
      <c r="AP951" s="3">
        <v>9.89</v>
      </c>
      <c r="AQ951" s="47">
        <v>10.25</v>
      </c>
      <c r="AR951" s="47">
        <v>9.89</v>
      </c>
      <c r="AS951" s="3">
        <v>32.29</v>
      </c>
      <c r="AT951" s="3">
        <v>31.9</v>
      </c>
      <c r="AU951" s="3">
        <v>29.93</v>
      </c>
      <c r="AV951" s="3"/>
      <c r="AW951" s="3"/>
      <c r="AX951" s="48">
        <f>MAXA(paper3[[#This Row],[Spenst 1]:[Spenst 5]])</f>
        <v>32.29</v>
      </c>
      <c r="AY951" s="71"/>
      <c r="AZ951" s="3"/>
      <c r="BA951" s="3"/>
      <c r="BB951" s="3"/>
      <c r="BC951" s="3"/>
      <c r="BD951" s="40">
        <v>1253.0278422970664</v>
      </c>
      <c r="BE951" s="40">
        <v>1126.1972911422449</v>
      </c>
      <c r="BF951" s="40"/>
      <c r="BG951" s="40">
        <v>516.90692025641488</v>
      </c>
      <c r="BH951" s="40">
        <v>468.37026540044576</v>
      </c>
      <c r="BI951" s="49">
        <f>SUM(paper3[[#This Row],[Kraft ikke-dominant]:[Kraft dominant]])</f>
        <v>2379.2251334393113</v>
      </c>
      <c r="BJ951" s="49">
        <f>SUM(paper3[[#This Row],[Pwr ikke-dominant]:[Pwr dominant]])</f>
        <v>985.27718565686064</v>
      </c>
      <c r="BK951" s="66">
        <f>paper3[[#This Row],[Kraft dominant]]/paper3[[#This Row],[Kraft ikke-dominant]]-100%</f>
        <v>-0.10121926015810956</v>
      </c>
      <c r="BL951" s="66">
        <f>paper3[[#This Row],[Kraft dominant]]/paper3[[#This Row],[Kraft ikke-dominant]]-100%</f>
        <v>-0.10121926015810956</v>
      </c>
      <c r="BM951" s="51">
        <f>paper3[[#This Row],[totforce]]/paper3[[#This Row],[bodymass]]</f>
        <v>36.324047838768109</v>
      </c>
      <c r="BN951" s="51">
        <f>paper3[[#This Row],[totpwr]]/paper3[[#This Row],[bodymass]]</f>
        <v>15.042399781020773</v>
      </c>
      <c r="BO951" s="52"/>
      <c r="BP951" s="40">
        <v>372</v>
      </c>
      <c r="BQ951" s="40">
        <v>366</v>
      </c>
      <c r="BR951" s="67">
        <v>1.6393442622950838E-2</v>
      </c>
      <c r="BS951" s="54">
        <v>5.6335877862595423</v>
      </c>
      <c r="BT951" s="46">
        <v>150</v>
      </c>
      <c r="BU951" s="46">
        <v>162</v>
      </c>
      <c r="BV951" s="46">
        <v>109</v>
      </c>
      <c r="BW951" s="46">
        <v>127</v>
      </c>
      <c r="BX951" s="70"/>
      <c r="BY951" s="70"/>
      <c r="BZ951" s="59"/>
      <c r="CA951" s="59"/>
      <c r="CB951" s="59">
        <f>IFERROR((paper3[[#This Row],[meanadd]]*(paper3[[#This Row],[leglength]]/100))/paper3[[#This Row],[bodymass]],"")</f>
        <v>2.118106870229008</v>
      </c>
      <c r="CC951" s="59">
        <f>IFERROR((paper3[[#This Row],[meanabd]]*(paper3[[#This Row],[leglength]]/100))/paper3[[#This Row],[bodymass]],"")</f>
        <v>1.6021577608142499</v>
      </c>
      <c r="CD951" s="60">
        <v>127</v>
      </c>
      <c r="CE951" s="60">
        <v>119</v>
      </c>
      <c r="CF951" s="61">
        <f>paper3[[#This Row],[ir]]/paper3[[#This Row],[bodymass]]</f>
        <v>1.9389312977099236</v>
      </c>
      <c r="CG951" s="61">
        <f>paper3[[#This Row],[ir]]/paper3[[#This Row],[bodymass]]</f>
        <v>1.9389312977099236</v>
      </c>
      <c r="CH951" s="61" t="e">
        <v>#DIV/0!</v>
      </c>
      <c r="CI951" s="41"/>
      <c r="CJ951" s="40"/>
      <c r="CK951" s="3"/>
      <c r="CL951" s="62"/>
      <c r="CM951" s="63">
        <v>0</v>
      </c>
      <c r="CN951" s="3">
        <v>0</v>
      </c>
      <c r="CO951" s="3">
        <v>0</v>
      </c>
      <c r="CP951" s="41">
        <f>_xlfn.MAXIFS([1]!phvny[age],[1]!phvny[id],paper3[[#This Row],[id]],[1]!phvny[time],paper3[[#This Row],[time]])</f>
        <v>14.991666666666667</v>
      </c>
      <c r="CQ951" s="3"/>
      <c r="CR951" s="40">
        <f>AVERAGE(paper3[[#This Row],[Adduksjon ikke-dominant]:[Adduksjon dominant]])</f>
        <v>156</v>
      </c>
      <c r="CS951" s="40">
        <f>AVERAGE(paper3[[#This Row],[Abduksjon ikke-dominant]:[Abduksjon dominant]])</f>
        <v>118</v>
      </c>
      <c r="CT951" s="40">
        <v>369</v>
      </c>
      <c r="CU951" s="40"/>
      <c r="CV951" s="40"/>
      <c r="CW951" s="40"/>
      <c r="CX951" s="40"/>
      <c r="CY951" s="40" t="s">
        <v>125</v>
      </c>
    </row>
    <row r="952" spans="1:103" ht="18.95" customHeight="1">
      <c r="A952" s="3">
        <v>427</v>
      </c>
      <c r="B952" s="92" t="s">
        <v>103</v>
      </c>
      <c r="C952" s="3" t="s">
        <v>104</v>
      </c>
      <c r="D952" s="3" t="s">
        <v>269</v>
      </c>
      <c r="E952" s="39">
        <v>45411</v>
      </c>
      <c r="F952" s="3" t="s">
        <v>186</v>
      </c>
      <c r="G952" s="3" t="s">
        <v>122</v>
      </c>
      <c r="H952" s="3">
        <v>2009</v>
      </c>
      <c r="I952" s="40" t="s">
        <v>108</v>
      </c>
      <c r="J952" s="39" t="s">
        <v>123</v>
      </c>
      <c r="K952" s="3">
        <v>179.1</v>
      </c>
      <c r="L952" s="3">
        <v>179.1</v>
      </c>
      <c r="M952" s="3"/>
      <c r="N952" s="3">
        <v>145.9</v>
      </c>
      <c r="O952" s="3">
        <v>145.6</v>
      </c>
      <c r="P952" s="3">
        <v>145.6</v>
      </c>
      <c r="Q952" s="3">
        <v>68</v>
      </c>
      <c r="R952" s="3"/>
      <c r="S952" s="3"/>
      <c r="T952" s="42">
        <v>179.1</v>
      </c>
      <c r="U952" s="42">
        <f>AVERAGE(paper3[[#This Row],[Sittende høyde 1]:[Sittende høyde 3]])-56.2</f>
        <v>89.500000000000014</v>
      </c>
      <c r="V952" s="12">
        <f>paper3[[#This Row],[height]]-paper3[[#This Row],[sittingheight]]</f>
        <v>89.59999999999998</v>
      </c>
      <c r="W952" s="73">
        <v>68</v>
      </c>
      <c r="X952" s="43" cm="1">
        <f t="array" ref="X952">INDEX([1]!phvny[yphv], MATCH(1, (paper3[[#This Row],[id]]=[1]!phvny[id])*(paper3[[#This Row],[time]]=[1]!phvny[time]), 0))</f>
        <v>1.2071623198883319</v>
      </c>
      <c r="Y952" s="3">
        <v>2.1</v>
      </c>
      <c r="Z952" s="3">
        <v>3.6</v>
      </c>
      <c r="AA952" s="3">
        <v>5.03</v>
      </c>
      <c r="AB952" s="3">
        <v>2.06</v>
      </c>
      <c r="AC952" s="3">
        <v>3.54</v>
      </c>
      <c r="AD952" s="3">
        <v>4.9400000000000004</v>
      </c>
      <c r="AE952" s="3">
        <v>2.06</v>
      </c>
      <c r="AF952" s="3">
        <v>3.54</v>
      </c>
      <c r="AG952" s="3">
        <v>4.95</v>
      </c>
      <c r="AH952" s="44">
        <v>2.06</v>
      </c>
      <c r="AI952" s="44">
        <v>3.54</v>
      </c>
      <c r="AJ952" s="44">
        <v>4.9400000000000004</v>
      </c>
      <c r="AK952" s="45">
        <v>7.1428571428571415</v>
      </c>
      <c r="AL952" s="46">
        <v>11.13</v>
      </c>
      <c r="AM952" s="3">
        <v>10.78</v>
      </c>
      <c r="AN952" s="3">
        <v>10.93</v>
      </c>
      <c r="AO952" s="3">
        <v>10.69</v>
      </c>
      <c r="AP952" s="3">
        <v>10.69</v>
      </c>
      <c r="AQ952" s="47">
        <v>10.78</v>
      </c>
      <c r="AR952" s="47">
        <v>10.69</v>
      </c>
      <c r="AS952" s="3">
        <v>25.28</v>
      </c>
      <c r="AT952" s="3">
        <v>26.91</v>
      </c>
      <c r="AU952" s="3">
        <v>27.95</v>
      </c>
      <c r="AV952" s="3">
        <v>24.61</v>
      </c>
      <c r="AW952" s="3"/>
      <c r="AX952" s="48">
        <v>27.95</v>
      </c>
      <c r="AY952" s="71"/>
      <c r="AZ952" s="3"/>
      <c r="BA952" s="3"/>
      <c r="BB952" s="3"/>
      <c r="BC952" s="3"/>
      <c r="BD952" s="40">
        <v>1200.3009634456107</v>
      </c>
      <c r="BE952" s="40">
        <v>1212.1224551728305</v>
      </c>
      <c r="BF952" s="40"/>
      <c r="BG952" s="40">
        <v>478.32361477469794</v>
      </c>
      <c r="BH952" s="40">
        <v>505.21688597681697</v>
      </c>
      <c r="BI952" s="49">
        <f>SUM(paper3[[#This Row],[Kraft ikke-dominant]:[Kraft dominant]])</f>
        <v>2412.4234186184412</v>
      </c>
      <c r="BJ952" s="49">
        <f>SUM(paper3[[#This Row],[Pwr ikke-dominant]:[Pwr dominant]])</f>
        <v>983.54050075151486</v>
      </c>
      <c r="BK952" s="66">
        <f>paper3[[#This Row],[Kraft dominant]]/paper3[[#This Row],[Kraft ikke-dominant]]-100%</f>
        <v>9.8487730054674927E-3</v>
      </c>
      <c r="BL952" s="66">
        <f>paper3[[#This Row],[Kraft dominant]]/paper3[[#This Row],[Kraft ikke-dominant]]-100%</f>
        <v>9.8487730054674927E-3</v>
      </c>
      <c r="BM952" s="51">
        <f>paper3[[#This Row],[totforce]]/paper3[[#This Row],[bodymass]]</f>
        <v>35.476814979682956</v>
      </c>
      <c r="BN952" s="51">
        <f>paper3[[#This Row],[totpwr]]/paper3[[#This Row],[bodymass]]</f>
        <v>14.46383089340463</v>
      </c>
      <c r="BO952" s="52"/>
      <c r="BP952" s="40">
        <v>308</v>
      </c>
      <c r="BQ952" s="40">
        <v>321</v>
      </c>
      <c r="BR952" s="67">
        <v>-4.0498442367601251E-2</v>
      </c>
      <c r="BS952" s="54">
        <v>4.625</v>
      </c>
      <c r="BT952" s="46">
        <v>181</v>
      </c>
      <c r="BU952" s="46">
        <v>178</v>
      </c>
      <c r="BV952" s="46">
        <v>161</v>
      </c>
      <c r="BW952" s="46">
        <v>194</v>
      </c>
      <c r="BX952" s="70">
        <v>1.6853932584269593E-2</v>
      </c>
      <c r="BY952" s="70">
        <v>-0.17010309278350511</v>
      </c>
      <c r="BZ952" s="59">
        <v>0.91752577319587625</v>
      </c>
      <c r="CA952" s="59">
        <v>1.1242236024844721</v>
      </c>
      <c r="CB952" s="59">
        <f>IFERROR((paper3[[#This Row],[meanadd]]*(paper3[[#This Row],[leglength]]/100))/paper3[[#This Row],[bodymass]],"")</f>
        <v>2.365176470588235</v>
      </c>
      <c r="CC952" s="59">
        <f>IFERROR((paper3[[#This Row],[meanabd]]*(paper3[[#This Row],[leglength]]/100))/paper3[[#This Row],[bodymass]],"")</f>
        <v>2.3388235294117643</v>
      </c>
      <c r="CD952" s="60">
        <v>152</v>
      </c>
      <c r="CE952" s="60">
        <v>109</v>
      </c>
      <c r="CF952" s="61">
        <v>2.2352941176470589</v>
      </c>
      <c r="CG952" s="61">
        <v>1.6029411764705883</v>
      </c>
      <c r="CH952" s="61">
        <v>0.7171052631578948</v>
      </c>
      <c r="CI952" s="41"/>
      <c r="CJ952" s="40"/>
      <c r="CK952" s="3"/>
      <c r="CL952" s="62"/>
      <c r="CM952" s="63">
        <v>0</v>
      </c>
      <c r="CN952" s="3">
        <v>181</v>
      </c>
      <c r="CO952" s="3">
        <v>194</v>
      </c>
      <c r="CP952" s="41">
        <f>_xlfn.MAXIFS([1]!phvny[age],[1]!phvny[id],paper3[[#This Row],[id]],[1]!phvny[time],paper3[[#This Row],[time]])</f>
        <v>14.897222222222222</v>
      </c>
      <c r="CQ952" s="3"/>
      <c r="CR952" s="40">
        <f>AVERAGE(paper3[[#This Row],[Adduksjon ikke-dominant]:[Adduksjon dominant]])</f>
        <v>179.5</v>
      </c>
      <c r="CS952" s="40">
        <f>AVERAGE(paper3[[#This Row],[Abduksjon ikke-dominant]:[Abduksjon dominant]])</f>
        <v>177.5</v>
      </c>
      <c r="CT952" s="40">
        <v>314.5</v>
      </c>
      <c r="CU952" s="40"/>
      <c r="CV952" s="40"/>
      <c r="CW952" s="40"/>
      <c r="CX952" s="40"/>
      <c r="CY952" s="40">
        <v>0</v>
      </c>
    </row>
    <row r="953" spans="1:103" ht="18.75">
      <c r="A953" s="3">
        <v>430</v>
      </c>
      <c r="B953" s="92" t="s">
        <v>103</v>
      </c>
      <c r="C953" s="3" t="s">
        <v>104</v>
      </c>
      <c r="D953" s="3" t="s">
        <v>269</v>
      </c>
      <c r="E953" s="39">
        <v>45411</v>
      </c>
      <c r="F953" s="3" t="s">
        <v>186</v>
      </c>
      <c r="G953" s="3" t="s">
        <v>122</v>
      </c>
      <c r="H953" s="3">
        <v>2009</v>
      </c>
      <c r="I953" s="40" t="s">
        <v>108</v>
      </c>
      <c r="J953" s="39" t="s">
        <v>123</v>
      </c>
      <c r="K953" s="3">
        <v>179</v>
      </c>
      <c r="L953" s="3">
        <v>179</v>
      </c>
      <c r="M953" s="3"/>
      <c r="N953" s="3">
        <v>143.6</v>
      </c>
      <c r="O953" s="3">
        <v>143.6</v>
      </c>
      <c r="P953" s="3"/>
      <c r="Q953" s="3">
        <v>61.9</v>
      </c>
      <c r="R953" s="3"/>
      <c r="S953" s="3"/>
      <c r="T953" s="42">
        <v>179</v>
      </c>
      <c r="U953" s="42">
        <f>AVERAGE(paper3[[#This Row],[Sittende høyde 1]:[Sittende høyde 3]])-56.2</f>
        <v>87.399999999999991</v>
      </c>
      <c r="V953" s="12">
        <f>paper3[[#This Row],[height]]-paper3[[#This Row],[sittingheight]]</f>
        <v>91.600000000000009</v>
      </c>
      <c r="W953" s="73">
        <v>61.9</v>
      </c>
      <c r="X953" s="43" cm="1">
        <f t="array" ref="X953">INDEX([1]!phvny[yphv], MATCH(1, (paper3[[#This Row],[id]]=[1]!phvny[id])*(paper3[[#This Row],[time]]=[1]!phvny[time]), 0))</f>
        <v>0.60746858671135895</v>
      </c>
      <c r="Y953" s="3">
        <v>1.84</v>
      </c>
      <c r="Z953" s="3">
        <v>3.16</v>
      </c>
      <c r="AA953" s="3">
        <v>4.43</v>
      </c>
      <c r="AB953" s="3">
        <v>1.87</v>
      </c>
      <c r="AC953" s="3">
        <v>3.23</v>
      </c>
      <c r="AD953" s="3">
        <v>4.53</v>
      </c>
      <c r="AE953" s="3">
        <v>1.88</v>
      </c>
      <c r="AF953" s="3">
        <v>3.26</v>
      </c>
      <c r="AG953" s="3">
        <v>4.5599999999999996</v>
      </c>
      <c r="AH953" s="44">
        <v>1.84</v>
      </c>
      <c r="AI953" s="44">
        <v>3.16</v>
      </c>
      <c r="AJ953" s="44">
        <v>4.43</v>
      </c>
      <c r="AK953" s="45">
        <v>7.874015748031499</v>
      </c>
      <c r="AL953" s="3">
        <v>10.29</v>
      </c>
      <c r="AM953" s="3">
        <v>10.19</v>
      </c>
      <c r="AN953" s="3">
        <v>10.39</v>
      </c>
      <c r="AO953" s="3">
        <v>10.41</v>
      </c>
      <c r="AP953" s="3">
        <v>10.19</v>
      </c>
      <c r="AQ953" s="47">
        <v>10.19</v>
      </c>
      <c r="AR953" s="47">
        <v>10.39</v>
      </c>
      <c r="AS953" s="3">
        <v>30.74</v>
      </c>
      <c r="AT953" s="3">
        <v>31.19</v>
      </c>
      <c r="AU953" s="3">
        <v>32.1</v>
      </c>
      <c r="AV953" s="3">
        <v>31.51</v>
      </c>
      <c r="AW953" s="3"/>
      <c r="AX953" s="48">
        <v>32.1</v>
      </c>
      <c r="AY953" s="71"/>
      <c r="AZ953" s="3"/>
      <c r="BA953" s="3"/>
      <c r="BB953" s="3"/>
      <c r="BC953" s="3"/>
      <c r="BD953" s="40">
        <v>1095.7418992385051</v>
      </c>
      <c r="BE953" s="40">
        <v>1029.424626621731</v>
      </c>
      <c r="BF953" s="40"/>
      <c r="BG953" s="40">
        <v>328.17072610972019</v>
      </c>
      <c r="BH953" s="40">
        <v>296.76396123498887</v>
      </c>
      <c r="BI953" s="49">
        <f>SUM(paper3[[#This Row],[Kraft ikke-dominant]:[Kraft dominant]])</f>
        <v>2125.1665258602361</v>
      </c>
      <c r="BJ953" s="49">
        <f>SUM(paper3[[#This Row],[Pwr ikke-dominant]:[Pwr dominant]])</f>
        <v>624.93468734470912</v>
      </c>
      <c r="BK953" s="66">
        <f>paper3[[#This Row],[Kraft dominant]]/paper3[[#This Row],[Kraft ikke-dominant]]-100%</f>
        <v>-6.0522713115982674E-2</v>
      </c>
      <c r="BL953" s="66">
        <f>paper3[[#This Row],[Kraft dominant]]/paper3[[#This Row],[Kraft ikke-dominant]]-100%</f>
        <v>-6.0522713115982674E-2</v>
      </c>
      <c r="BM953" s="51">
        <f>paper3[[#This Row],[totforce]]/paper3[[#This Row],[bodymass]]</f>
        <v>34.332254052669406</v>
      </c>
      <c r="BN953" s="51">
        <f>paper3[[#This Row],[totpwr]]/paper3[[#This Row],[bodymass]]</f>
        <v>10.095875401368483</v>
      </c>
      <c r="BO953" s="52"/>
      <c r="BP953" s="40">
        <v>344</v>
      </c>
      <c r="BQ953" s="40">
        <v>316</v>
      </c>
      <c r="BR953" s="67">
        <v>8.8607594936708889E-2</v>
      </c>
      <c r="BS953" s="54">
        <v>5.3311793214862684</v>
      </c>
      <c r="BT953" s="46">
        <v>207</v>
      </c>
      <c r="BU953" s="46">
        <v>183</v>
      </c>
      <c r="BV953" s="46">
        <v>143</v>
      </c>
      <c r="BW953" s="46">
        <v>136</v>
      </c>
      <c r="BX953" s="70">
        <v>0.13114754098360648</v>
      </c>
      <c r="BY953" s="70">
        <v>5.1470588235294157E-2</v>
      </c>
      <c r="BZ953" s="59">
        <v>1.3455882352941178</v>
      </c>
      <c r="CA953" s="59">
        <v>1.4475524475524475</v>
      </c>
      <c r="CB953" s="59">
        <f>IFERROR((paper3[[#This Row],[meanadd]]*(paper3[[#This Row],[leglength]]/100))/paper3[[#This Row],[bodymass]],"")</f>
        <v>2.8856219709208402</v>
      </c>
      <c r="CC953" s="59">
        <f>IFERROR((paper3[[#This Row],[meanabd]]*(paper3[[#This Row],[leglength]]/100))/paper3[[#This Row],[bodymass]],"")</f>
        <v>2.0643295638126014</v>
      </c>
      <c r="CD953" s="60">
        <v>114</v>
      </c>
      <c r="CE953" s="60">
        <v>99</v>
      </c>
      <c r="CF953" s="61">
        <v>1.8416801292407108</v>
      </c>
      <c r="CG953" s="61">
        <v>1.5993537964458804</v>
      </c>
      <c r="CH953" s="61">
        <v>0.86842105263157898</v>
      </c>
      <c r="CI953" s="41"/>
      <c r="CJ953" s="40"/>
      <c r="CK953" s="3"/>
      <c r="CL953" s="62"/>
      <c r="CM953" s="63">
        <v>0</v>
      </c>
      <c r="CN953" s="3">
        <v>207</v>
      </c>
      <c r="CO953" s="3">
        <v>143</v>
      </c>
      <c r="CP953" s="41">
        <f>_xlfn.MAXIFS([1]!phvny[age],[1]!phvny[id],paper3[[#This Row],[id]],[1]!phvny[time],paper3[[#This Row],[time]])</f>
        <v>14.388888888888889</v>
      </c>
      <c r="CQ953" s="3"/>
      <c r="CR953" s="40">
        <f>AVERAGE(paper3[[#This Row],[Adduksjon ikke-dominant]:[Adduksjon dominant]])</f>
        <v>195</v>
      </c>
      <c r="CS953" s="40">
        <f>AVERAGE(paper3[[#This Row],[Abduksjon ikke-dominant]:[Abduksjon dominant]])</f>
        <v>139.5</v>
      </c>
      <c r="CT953" s="40">
        <v>330</v>
      </c>
      <c r="CU953" s="40"/>
      <c r="CV953" s="40"/>
      <c r="CW953" s="40"/>
      <c r="CX953" s="40"/>
      <c r="CY953" s="40">
        <v>0</v>
      </c>
    </row>
    <row r="954" spans="1:103" ht="18.95" customHeight="1">
      <c r="A954" s="3">
        <v>431</v>
      </c>
      <c r="B954" s="92" t="s">
        <v>103</v>
      </c>
      <c r="C954" s="3" t="s">
        <v>104</v>
      </c>
      <c r="D954" s="3" t="s">
        <v>269</v>
      </c>
      <c r="E954" s="39">
        <v>45411</v>
      </c>
      <c r="F954" s="3" t="s">
        <v>186</v>
      </c>
      <c r="G954" s="3" t="s">
        <v>122</v>
      </c>
      <c r="H954" s="3">
        <v>2009</v>
      </c>
      <c r="I954" s="40" t="s">
        <v>108</v>
      </c>
      <c r="J954" s="39" t="s">
        <v>123</v>
      </c>
      <c r="K954" s="3">
        <v>171.1</v>
      </c>
      <c r="L954" s="3">
        <v>171.1</v>
      </c>
      <c r="M954" s="3"/>
      <c r="N954" s="3">
        <v>143.80000000000001</v>
      </c>
      <c r="O954" s="3">
        <v>143.5</v>
      </c>
      <c r="P954" s="3">
        <v>143.80000000000001</v>
      </c>
      <c r="Q954" s="3">
        <v>58.9</v>
      </c>
      <c r="R954" s="3"/>
      <c r="S954" s="3"/>
      <c r="T954" s="42">
        <v>171.1</v>
      </c>
      <c r="U954" s="42">
        <f>AVERAGE(paper3[[#This Row],[Sittende høyde 1]:[Sittende høyde 3]])-56.2</f>
        <v>87.500000000000014</v>
      </c>
      <c r="V954" s="12">
        <f>paper3[[#This Row],[height]]-paper3[[#This Row],[sittingheight]]</f>
        <v>83.59999999999998</v>
      </c>
      <c r="W954" s="73">
        <v>58.9</v>
      </c>
      <c r="X954" s="43" cm="1">
        <f t="array" ref="X954">INDEX([1]!phvny[yphv], MATCH(1, (paper3[[#This Row],[id]]=[1]!phvny[id])*(paper3[[#This Row],[time]]=[1]!phvny[time]), 0))</f>
        <v>0.9482270300818274</v>
      </c>
      <c r="Y954" s="3">
        <v>1.88</v>
      </c>
      <c r="Z954" s="3">
        <v>3.24</v>
      </c>
      <c r="AA954" s="3">
        <v>4.54</v>
      </c>
      <c r="AB954" s="3">
        <v>1.92</v>
      </c>
      <c r="AC954" s="3">
        <v>3.3</v>
      </c>
      <c r="AD954" s="3">
        <v>4.63</v>
      </c>
      <c r="AE954" s="3">
        <v>1.93</v>
      </c>
      <c r="AF954" s="3">
        <v>3.31</v>
      </c>
      <c r="AG954" s="3">
        <v>4.63</v>
      </c>
      <c r="AH954" s="44">
        <v>1.88</v>
      </c>
      <c r="AI954" s="44">
        <v>3.24</v>
      </c>
      <c r="AJ954" s="44">
        <v>4.54</v>
      </c>
      <c r="AK954" s="45">
        <v>7.6923076923076934</v>
      </c>
      <c r="AL954" s="3">
        <v>9.6199999999999992</v>
      </c>
      <c r="AM954" s="3">
        <v>9.7100000000000009</v>
      </c>
      <c r="AN954" s="3">
        <v>9.9499999999999993</v>
      </c>
      <c r="AO954" s="3">
        <v>9.83</v>
      </c>
      <c r="AP954" s="3">
        <v>9.6199999999999992</v>
      </c>
      <c r="AQ954" s="47">
        <v>9.6199999999999992</v>
      </c>
      <c r="AR954" s="47">
        <v>9.83</v>
      </c>
      <c r="AS954" s="3">
        <v>29.47</v>
      </c>
      <c r="AT954" s="3">
        <v>32.130000000000003</v>
      </c>
      <c r="AU954" s="3">
        <v>31.54</v>
      </c>
      <c r="AV954" s="3">
        <v>33.69</v>
      </c>
      <c r="AW954" s="3">
        <v>30.38</v>
      </c>
      <c r="AX954" s="48">
        <v>33.69</v>
      </c>
      <c r="AY954" s="71"/>
      <c r="AZ954" s="3" t="s">
        <v>276</v>
      </c>
      <c r="BA954" s="3"/>
      <c r="BB954" s="3"/>
      <c r="BC954" s="3"/>
      <c r="BD954" s="40">
        <v>1416.0627922633887</v>
      </c>
      <c r="BE954" s="40">
        <v>1354.7291505942394</v>
      </c>
      <c r="BF954" s="40"/>
      <c r="BG954" s="40">
        <v>510.56432765273337</v>
      </c>
      <c r="BH954" s="40">
        <v>496.48295848727287</v>
      </c>
      <c r="BI954" s="49">
        <f>SUM(paper3[[#This Row],[Kraft ikke-dominant]:[Kraft dominant]])</f>
        <v>2770.7919428576279</v>
      </c>
      <c r="BJ954" s="49">
        <f>SUM(paper3[[#This Row],[Pwr ikke-dominant]:[Pwr dominant]])</f>
        <v>1007.0472861400062</v>
      </c>
      <c r="BK954" s="66">
        <f>paper3[[#This Row],[Kraft dominant]]/paper3[[#This Row],[Kraft ikke-dominant]]-100%</f>
        <v>-4.3312797994724206E-2</v>
      </c>
      <c r="BL954" s="66">
        <f>paper3[[#This Row],[Kraft dominant]]/paper3[[#This Row],[Kraft ikke-dominant]]-100%</f>
        <v>-4.3312797994724206E-2</v>
      </c>
      <c r="BM954" s="51">
        <f>paper3[[#This Row],[totforce]]/paper3[[#This Row],[bodymass]]</f>
        <v>47.04230802814309</v>
      </c>
      <c r="BN954" s="51">
        <f>paper3[[#This Row],[totpwr]]/paper3[[#This Row],[bodymass]]</f>
        <v>17.097577014261567</v>
      </c>
      <c r="BO954" s="52"/>
      <c r="BP954" s="40">
        <v>308</v>
      </c>
      <c r="BQ954" s="40">
        <v>267</v>
      </c>
      <c r="BR954" s="67">
        <v>0.15355805243445686</v>
      </c>
      <c r="BS954" s="54">
        <v>4.881154499151104</v>
      </c>
      <c r="BT954" s="46">
        <v>204</v>
      </c>
      <c r="BU954" s="46">
        <v>170</v>
      </c>
      <c r="BV954" s="46">
        <v>118</v>
      </c>
      <c r="BW954" s="46">
        <v>133</v>
      </c>
      <c r="BX954" s="70">
        <v>0.19999999999999996</v>
      </c>
      <c r="BY954" s="70">
        <v>-0.11278195488721809</v>
      </c>
      <c r="BZ954" s="59">
        <v>1.2781954887218046</v>
      </c>
      <c r="CA954" s="59">
        <v>1.728813559322034</v>
      </c>
      <c r="CB954" s="59">
        <f>IFERROR((paper3[[#This Row],[meanadd]]*(paper3[[#This Row],[leglength]]/100))/paper3[[#This Row],[bodymass]],"")</f>
        <v>2.6541935483870964</v>
      </c>
      <c r="CC954" s="59">
        <f>IFERROR((paper3[[#This Row],[meanabd]]*(paper3[[#This Row],[leglength]]/100))/paper3[[#This Row],[bodymass]],"")</f>
        <v>1.7812903225806449</v>
      </c>
      <c r="CD954" s="60">
        <v>100</v>
      </c>
      <c r="CE954" s="60">
        <v>92</v>
      </c>
      <c r="CF954" s="61">
        <v>1.6977928692699491</v>
      </c>
      <c r="CG954" s="61">
        <v>1.5619694397283532</v>
      </c>
      <c r="CH954" s="61">
        <v>0.92</v>
      </c>
      <c r="CI954" s="41"/>
      <c r="CJ954" s="40"/>
      <c r="CK954" s="3"/>
      <c r="CL954" s="62"/>
      <c r="CM954" s="63">
        <v>0</v>
      </c>
      <c r="CN954" s="3">
        <v>204</v>
      </c>
      <c r="CO954" s="3">
        <v>133</v>
      </c>
      <c r="CP954" s="41">
        <f>_xlfn.MAXIFS([1]!phvny[age],[1]!phvny[id],paper3[[#This Row],[id]],[1]!phvny[time],paper3[[#This Row],[time]])</f>
        <v>15.058333333333334</v>
      </c>
      <c r="CQ954" s="3"/>
      <c r="CR954" s="40">
        <f>AVERAGE(paper3[[#This Row],[Adduksjon ikke-dominant]:[Adduksjon dominant]])</f>
        <v>187</v>
      </c>
      <c r="CS954" s="40">
        <f>AVERAGE(paper3[[#This Row],[Abduksjon ikke-dominant]:[Abduksjon dominant]])</f>
        <v>125.5</v>
      </c>
      <c r="CT954" s="40">
        <v>287.5</v>
      </c>
      <c r="CU954" s="40"/>
      <c r="CV954" s="40"/>
      <c r="CW954" s="40"/>
      <c r="CX954" s="40"/>
      <c r="CY954" s="40">
        <v>0</v>
      </c>
    </row>
    <row r="955" spans="1:103" ht="18.95" customHeight="1">
      <c r="A955" s="3">
        <v>432</v>
      </c>
      <c r="B955" s="92" t="s">
        <v>103</v>
      </c>
      <c r="C955" s="3" t="s">
        <v>115</v>
      </c>
      <c r="D955" s="3" t="s">
        <v>269</v>
      </c>
      <c r="E955" s="39">
        <v>45411</v>
      </c>
      <c r="F955" s="3" t="s">
        <v>186</v>
      </c>
      <c r="G955" s="3" t="s">
        <v>122</v>
      </c>
      <c r="H955" s="3">
        <v>2009</v>
      </c>
      <c r="I955" s="40" t="s">
        <v>108</v>
      </c>
      <c r="J955" s="39" t="s">
        <v>123</v>
      </c>
      <c r="K955" s="3">
        <v>186.5</v>
      </c>
      <c r="L955" s="3">
        <v>186.7</v>
      </c>
      <c r="M955" s="3"/>
      <c r="N955" s="3">
        <v>149.80000000000001</v>
      </c>
      <c r="O955" s="3">
        <v>149.9</v>
      </c>
      <c r="P955" s="3"/>
      <c r="Q955" s="3">
        <v>66.8</v>
      </c>
      <c r="R955" s="3"/>
      <c r="S955" s="3"/>
      <c r="T955" s="42">
        <v>186.6</v>
      </c>
      <c r="U955" s="42">
        <f>AVERAGE(paper3[[#This Row],[Sittende høyde 1]:[Sittende høyde 3]])-56.2</f>
        <v>93.65000000000002</v>
      </c>
      <c r="V955" s="12">
        <f>paper3[[#This Row],[height]]-paper3[[#This Row],[sittingheight]]</f>
        <v>92.949999999999974</v>
      </c>
      <c r="W955" s="73">
        <v>66.8</v>
      </c>
      <c r="X955" s="43" cm="1">
        <f t="array" ref="X955">INDEX([1]!phvny[yphv], MATCH(1, (paper3[[#This Row],[id]]=[1]!phvny[id])*(paper3[[#This Row],[time]]=[1]!phvny[time]), 0))</f>
        <v>1.5122196854670453</v>
      </c>
      <c r="Y955" s="3">
        <v>1.99</v>
      </c>
      <c r="Z955" s="3">
        <v>3.44</v>
      </c>
      <c r="AA955" s="3">
        <v>4.79</v>
      </c>
      <c r="AB955" s="3">
        <v>2.0099999999999998</v>
      </c>
      <c r="AC955" s="3">
        <v>3.46</v>
      </c>
      <c r="AD955" s="3">
        <v>4.8600000000000003</v>
      </c>
      <c r="AE955" s="3">
        <v>2.02</v>
      </c>
      <c r="AF955" s="3">
        <v>3.48</v>
      </c>
      <c r="AG955" s="3">
        <v>4.87</v>
      </c>
      <c r="AH955" s="44">
        <v>1.99</v>
      </c>
      <c r="AI955" s="44">
        <v>3.44</v>
      </c>
      <c r="AJ955" s="44">
        <v>4.79</v>
      </c>
      <c r="AK955" s="45">
        <v>7.4074074074074066</v>
      </c>
      <c r="AL955" s="3">
        <v>11.07</v>
      </c>
      <c r="AM955" s="3">
        <v>10.19</v>
      </c>
      <c r="AN955" s="3">
        <v>10.57</v>
      </c>
      <c r="AO955" s="3">
        <v>10.92</v>
      </c>
      <c r="AP955" s="3">
        <v>10.19</v>
      </c>
      <c r="AQ955" s="47">
        <v>10.19</v>
      </c>
      <c r="AR955" s="47">
        <v>10.57</v>
      </c>
      <c r="AS955" s="3">
        <v>31.77</v>
      </c>
      <c r="AT955" s="3">
        <v>31.32</v>
      </c>
      <c r="AU955" s="3">
        <v>33.380000000000003</v>
      </c>
      <c r="AV955" s="3">
        <v>32.26</v>
      </c>
      <c r="AW955" s="3"/>
      <c r="AX955" s="48">
        <v>33.380000000000003</v>
      </c>
      <c r="AY955" s="71"/>
      <c r="AZ955" s="3"/>
      <c r="BA955" s="3"/>
      <c r="BB955" s="3"/>
      <c r="BC955" s="3"/>
      <c r="BD955" s="40">
        <v>1136.2947010208359</v>
      </c>
      <c r="BE955" s="40">
        <v>1075.6781942852867</v>
      </c>
      <c r="BF955" s="40"/>
      <c r="BG955" s="40">
        <v>432.79845330777277</v>
      </c>
      <c r="BH955" s="40">
        <v>484.29471959821842</v>
      </c>
      <c r="BI955" s="49">
        <f>SUM(paper3[[#This Row],[Kraft ikke-dominant]:[Kraft dominant]])</f>
        <v>2211.9728953061226</v>
      </c>
      <c r="BJ955" s="49">
        <f>SUM(paper3[[#This Row],[Pwr ikke-dominant]:[Pwr dominant]])</f>
        <v>917.0931729059912</v>
      </c>
      <c r="BK955" s="66">
        <f>paper3[[#This Row],[Kraft dominant]]/paper3[[#This Row],[Kraft ikke-dominant]]-100%</f>
        <v>-5.3345762046669631E-2</v>
      </c>
      <c r="BL955" s="66">
        <f>paper3[[#This Row],[Kraft dominant]]/paper3[[#This Row],[Kraft ikke-dominant]]-100%</f>
        <v>-5.3345762046669631E-2</v>
      </c>
      <c r="BM955" s="51">
        <f>paper3[[#This Row],[totforce]]/paper3[[#This Row],[bodymass]]</f>
        <v>33.113366696199442</v>
      </c>
      <c r="BN955" s="51">
        <f>paper3[[#This Row],[totpwr]]/paper3[[#This Row],[bodymass]]</f>
        <v>13.728939714161545</v>
      </c>
      <c r="BO955" s="52"/>
      <c r="BP955" s="40">
        <v>227</v>
      </c>
      <c r="BQ955" s="40">
        <v>276</v>
      </c>
      <c r="BR955" s="67">
        <v>-0.17753623188405798</v>
      </c>
      <c r="BS955" s="54">
        <v>3.7649700598802398</v>
      </c>
      <c r="BT955" s="46">
        <v>156</v>
      </c>
      <c r="BU955" s="46">
        <v>158</v>
      </c>
      <c r="BV955" s="46">
        <v>110</v>
      </c>
      <c r="BW955" s="46">
        <v>129</v>
      </c>
      <c r="BX955" s="70">
        <v>-1.2658227848101222E-2</v>
      </c>
      <c r="BY955" s="70">
        <v>-0.1472868217054264</v>
      </c>
      <c r="BZ955" s="59">
        <v>1.2248062015503876</v>
      </c>
      <c r="CA955" s="59">
        <v>1.4181818181818182</v>
      </c>
      <c r="CB955" s="59">
        <f>IFERROR((paper3[[#This Row],[meanadd]]*(paper3[[#This Row],[leglength]]/100))/paper3[[#This Row],[bodymass]],"")</f>
        <v>2.1846032934131734</v>
      </c>
      <c r="CC955" s="59">
        <f>IFERROR((paper3[[#This Row],[meanabd]]*(paper3[[#This Row],[leglength]]/100))/paper3[[#This Row],[bodymass]],"")</f>
        <v>1.6628031437125745</v>
      </c>
      <c r="CD955" s="60">
        <v>93</v>
      </c>
      <c r="CE955" s="60">
        <v>96</v>
      </c>
      <c r="CF955" s="61">
        <v>1.3922155688622755</v>
      </c>
      <c r="CG955" s="61">
        <v>1.437125748502994</v>
      </c>
      <c r="CH955" s="61">
        <v>1.032258064516129</v>
      </c>
      <c r="CI955" s="41"/>
      <c r="CJ955" s="40"/>
      <c r="CK955" s="3"/>
      <c r="CL955" s="62"/>
      <c r="CM955" s="63">
        <v>0</v>
      </c>
      <c r="CN955" s="3">
        <v>158</v>
      </c>
      <c r="CO955" s="3">
        <v>129</v>
      </c>
      <c r="CP955" s="41">
        <f>_xlfn.MAXIFS([1]!phvny[age],[1]!phvny[id],paper3[[#This Row],[id]],[1]!phvny[time],paper3[[#This Row],[time]])</f>
        <v>14.525</v>
      </c>
      <c r="CQ955" s="3"/>
      <c r="CR955" s="40">
        <f>AVERAGE(paper3[[#This Row],[Adduksjon ikke-dominant]:[Adduksjon dominant]])</f>
        <v>157</v>
      </c>
      <c r="CS955" s="40">
        <f>AVERAGE(paper3[[#This Row],[Abduksjon ikke-dominant]:[Abduksjon dominant]])</f>
        <v>119.5</v>
      </c>
      <c r="CT955" s="40">
        <v>251.5</v>
      </c>
      <c r="CU955" s="40"/>
      <c r="CV955" s="40"/>
      <c r="CW955" s="40"/>
      <c r="CX955" s="40"/>
      <c r="CY955" s="40">
        <v>0</v>
      </c>
    </row>
    <row r="956" spans="1:103" ht="18.95" customHeight="1">
      <c r="A956" s="3">
        <v>434</v>
      </c>
      <c r="B956" s="92" t="s">
        <v>103</v>
      </c>
      <c r="C956" s="3" t="s">
        <v>115</v>
      </c>
      <c r="D956" s="3" t="s">
        <v>269</v>
      </c>
      <c r="E956" s="39">
        <v>45357</v>
      </c>
      <c r="F956" s="3" t="s">
        <v>186</v>
      </c>
      <c r="G956" s="3" t="s">
        <v>122</v>
      </c>
      <c r="H956" s="3">
        <v>2007</v>
      </c>
      <c r="I956" s="40" t="s">
        <v>116</v>
      </c>
      <c r="J956" s="39" t="s">
        <v>157</v>
      </c>
      <c r="K956" s="3">
        <v>185.6</v>
      </c>
      <c r="L956" s="3">
        <v>185.5</v>
      </c>
      <c r="M956" s="3"/>
      <c r="N956" s="3">
        <v>149.80000000000001</v>
      </c>
      <c r="O956" s="3">
        <v>150.1</v>
      </c>
      <c r="P956" s="3">
        <v>150.19999999999999</v>
      </c>
      <c r="Q956" s="3">
        <v>68.400000000000006</v>
      </c>
      <c r="R956" s="3"/>
      <c r="S956" s="3"/>
      <c r="T956" s="42">
        <v>185.55</v>
      </c>
      <c r="U956" s="42">
        <f>AVERAGE(paper3[[#This Row],[Sittende høyde 1]:[Sittende høyde 3]])-56.2</f>
        <v>93.833333333333329</v>
      </c>
      <c r="V956" s="12">
        <f>paper3[[#This Row],[height]]-paper3[[#This Row],[sittingheight]]</f>
        <v>91.716666666666683</v>
      </c>
      <c r="W956" s="73">
        <v>68.400000000000006</v>
      </c>
      <c r="X956" s="43" cm="1">
        <f t="array" ref="X956">INDEX([1]!phvny[yphv], MATCH(1, (paper3[[#This Row],[id]]=[1]!phvny[id])*(paper3[[#This Row],[time]]=[1]!phvny[time]), 0))</f>
        <v>2.7479492734318018</v>
      </c>
      <c r="Y956" s="3">
        <v>1.84</v>
      </c>
      <c r="Z956" s="3">
        <v>3.06</v>
      </c>
      <c r="AA956" s="3">
        <v>4.21</v>
      </c>
      <c r="AB956" s="3">
        <v>1.78</v>
      </c>
      <c r="AC956" s="3">
        <v>2.99</v>
      </c>
      <c r="AD956" s="3">
        <v>4.12</v>
      </c>
      <c r="AE956" s="3">
        <v>1.76</v>
      </c>
      <c r="AF956" s="3">
        <v>2.96</v>
      </c>
      <c r="AG956" s="3">
        <v>4.09</v>
      </c>
      <c r="AH956" s="44">
        <v>1.76</v>
      </c>
      <c r="AI956" s="44">
        <v>2.96</v>
      </c>
      <c r="AJ956" s="44">
        <v>4.09</v>
      </c>
      <c r="AK956" s="45">
        <v>8.8495575221238951</v>
      </c>
      <c r="AL956" s="3">
        <v>9.3000000000000007</v>
      </c>
      <c r="AM956" s="46" t="s">
        <v>277</v>
      </c>
      <c r="AN956" s="3">
        <v>9.68</v>
      </c>
      <c r="AO956" s="3">
        <v>9.64</v>
      </c>
      <c r="AP956" s="3">
        <v>9.3000000000000007</v>
      </c>
      <c r="AQ956" s="47">
        <v>9.3000000000000007</v>
      </c>
      <c r="AR956" s="47">
        <v>9.64</v>
      </c>
      <c r="AS956" s="3">
        <v>41.98</v>
      </c>
      <c r="AT956" s="3">
        <v>43.26</v>
      </c>
      <c r="AU956" s="3">
        <v>44.52</v>
      </c>
      <c r="AV956" s="3">
        <v>45.24</v>
      </c>
      <c r="AW956" s="3"/>
      <c r="AX956" s="48">
        <v>45.24</v>
      </c>
      <c r="AY956" s="71"/>
      <c r="AZ956" s="3"/>
      <c r="BA956" s="3"/>
      <c r="BB956" s="3"/>
      <c r="BC956" s="3"/>
      <c r="BD956" s="40">
        <v>1381.1920303383931</v>
      </c>
      <c r="BE956" s="40">
        <v>1360.868710919942</v>
      </c>
      <c r="BF956" s="40"/>
      <c r="BG956" s="40">
        <v>609.10820492954554</v>
      </c>
      <c r="BH956" s="40">
        <v>571.1679151870344</v>
      </c>
      <c r="BI956" s="49">
        <v>2742.0607412583349</v>
      </c>
      <c r="BJ956" s="49">
        <v>1180.2761201165799</v>
      </c>
      <c r="BK956" s="66">
        <v>1.4934077957242886E-2</v>
      </c>
      <c r="BL956" s="66">
        <v>6.642580707651824E-2</v>
      </c>
      <c r="BM956" s="51">
        <v>40.088607328338227</v>
      </c>
      <c r="BN956" s="51">
        <f>paper3[[#This Row],[totpwr]]/paper3[[#This Row],[bodymass]]</f>
        <v>17.255498832113741</v>
      </c>
      <c r="BO956" s="52"/>
      <c r="BP956" s="40">
        <v>397</v>
      </c>
      <c r="BQ956" s="40">
        <v>362</v>
      </c>
      <c r="BR956" s="67">
        <v>9.6685082872928207E-2</v>
      </c>
      <c r="BS956" s="54">
        <v>5.5482456140350873</v>
      </c>
      <c r="BT956" s="3">
        <v>173</v>
      </c>
      <c r="BU956" s="3">
        <v>172</v>
      </c>
      <c r="BV956" s="3">
        <v>161</v>
      </c>
      <c r="BW956" s="3">
        <v>160</v>
      </c>
      <c r="BX956" s="70">
        <v>5.8139534883721034E-3</v>
      </c>
      <c r="BY956" s="70">
        <v>6.2500000000000888E-3</v>
      </c>
      <c r="BZ956" s="59">
        <v>1.075</v>
      </c>
      <c r="CA956" s="59">
        <v>1.0745341614906831</v>
      </c>
      <c r="CB956" s="59">
        <f>IFERROR((paper3[[#This Row],[meanadd]]*(paper3[[#This Row],[leglength]]/100))/paper3[[#This Row],[bodymass]],"")</f>
        <v>2.3130299707602342</v>
      </c>
      <c r="CC956" s="59">
        <f>IFERROR((paper3[[#This Row],[meanabd]]*(paper3[[#This Row],[leglength]]/100))/paper3[[#This Row],[bodymass]],"")</f>
        <v>2.1521235380116961</v>
      </c>
      <c r="CD956" s="60">
        <v>140</v>
      </c>
      <c r="CE956" s="60">
        <v>267</v>
      </c>
      <c r="CF956" s="61">
        <v>2.0467836257309941</v>
      </c>
      <c r="CG956" s="61">
        <v>3.903508771929824</v>
      </c>
      <c r="CH956" s="61">
        <v>1.9071428571428568</v>
      </c>
      <c r="CI956" s="41"/>
      <c r="CJ956" s="40"/>
      <c r="CK956" s="3"/>
      <c r="CL956" s="62"/>
      <c r="CM956" s="63">
        <v>0</v>
      </c>
      <c r="CN956" s="3">
        <v>173</v>
      </c>
      <c r="CO956" s="3">
        <v>161</v>
      </c>
      <c r="CP956" s="41">
        <f>_xlfn.MAXIFS([1]!phvny[age],[1]!phvny[id],paper3[[#This Row],[id]],[1]!phvny[time],paper3[[#This Row],[time]])</f>
        <v>16.791666666666668</v>
      </c>
      <c r="CQ956" s="3"/>
      <c r="CR956" s="40">
        <f>AVERAGE(paper3[[#This Row],[Adduksjon ikke-dominant]:[Adduksjon dominant]])</f>
        <v>172.5</v>
      </c>
      <c r="CS956" s="40">
        <f>AVERAGE(paper3[[#This Row],[Abduksjon ikke-dominant]:[Abduksjon dominant]])</f>
        <v>160.5</v>
      </c>
      <c r="CT956" s="40">
        <v>379.5</v>
      </c>
      <c r="CU956" s="40"/>
      <c r="CV956" s="40"/>
      <c r="CW956" s="40"/>
      <c r="CX956" s="40"/>
      <c r="CY956" s="40">
        <v>0</v>
      </c>
    </row>
    <row r="957" spans="1:103" ht="18.95" customHeight="1">
      <c r="A957" s="3">
        <v>437</v>
      </c>
      <c r="B957" s="92" t="s">
        <v>103</v>
      </c>
      <c r="C957" s="3" t="s">
        <v>115</v>
      </c>
      <c r="D957" s="3" t="s">
        <v>269</v>
      </c>
      <c r="E957" s="39">
        <v>45357</v>
      </c>
      <c r="F957" s="3" t="s">
        <v>186</v>
      </c>
      <c r="G957" s="3" t="s">
        <v>122</v>
      </c>
      <c r="H957" s="3">
        <v>2007</v>
      </c>
      <c r="I957" s="40" t="s">
        <v>116</v>
      </c>
      <c r="J957" s="39" t="s">
        <v>157</v>
      </c>
      <c r="K957" s="3">
        <v>173.2</v>
      </c>
      <c r="L957" s="3">
        <v>173.1</v>
      </c>
      <c r="M957" s="3"/>
      <c r="N957" s="3">
        <v>147</v>
      </c>
      <c r="O957" s="3">
        <v>147</v>
      </c>
      <c r="P957" s="3"/>
      <c r="Q957" s="3">
        <v>66.5</v>
      </c>
      <c r="R957" s="3"/>
      <c r="S957" s="3"/>
      <c r="T957" s="42">
        <v>173.14999999999998</v>
      </c>
      <c r="U957" s="42">
        <f>AVERAGE(paper3[[#This Row],[Sittende høyde 1]:[Sittende høyde 3]])-56.2</f>
        <v>90.8</v>
      </c>
      <c r="V957" s="12">
        <f>paper3[[#This Row],[height]]-paper3[[#This Row],[sittingheight]]</f>
        <v>82.34999999999998</v>
      </c>
      <c r="W957" s="73">
        <v>66.5</v>
      </c>
      <c r="X957" s="43" cm="1">
        <f t="array" ref="X957">INDEX([1]!phvny[yphv], MATCH(1, (paper3[[#This Row],[id]]=[1]!phvny[id])*(paper3[[#This Row],[time]]=[1]!phvny[time]), 0))</f>
        <v>2.5703372508578557</v>
      </c>
      <c r="Y957" s="3">
        <v>1.74</v>
      </c>
      <c r="Z957" s="3">
        <v>3.03</v>
      </c>
      <c r="AA957" s="3">
        <v>4.2300000000000004</v>
      </c>
      <c r="AB957" s="3">
        <v>1.73</v>
      </c>
      <c r="AC957" s="3">
        <v>3.02</v>
      </c>
      <c r="AD957" s="3">
        <v>4.2300000000000004</v>
      </c>
      <c r="AE957" s="3">
        <v>1.78</v>
      </c>
      <c r="AF957" s="3">
        <v>3.07</v>
      </c>
      <c r="AG957" s="3">
        <v>4.3099999999999996</v>
      </c>
      <c r="AH957" s="44">
        <v>1.73</v>
      </c>
      <c r="AI957" s="44">
        <v>3.02</v>
      </c>
      <c r="AJ957" s="44">
        <v>4.2300000000000004</v>
      </c>
      <c r="AK957" s="45">
        <v>8.2644628099173527</v>
      </c>
      <c r="AL957" s="3">
        <v>9.66</v>
      </c>
      <c r="AM957" s="3">
        <v>9.84</v>
      </c>
      <c r="AN957" s="3">
        <v>10.06</v>
      </c>
      <c r="AO957" s="3" t="s">
        <v>278</v>
      </c>
      <c r="AP957" s="3">
        <v>9.66</v>
      </c>
      <c r="AQ957" s="47">
        <v>9.66</v>
      </c>
      <c r="AR957" s="47">
        <v>10.06</v>
      </c>
      <c r="AS957" s="3"/>
      <c r="AT957" s="3"/>
      <c r="AU957" s="3"/>
      <c r="AV957" s="3"/>
      <c r="AW957" s="3"/>
      <c r="AX957" s="48"/>
      <c r="AY957" s="71"/>
      <c r="AZ957" s="3"/>
      <c r="BA957" s="3"/>
      <c r="BB957" s="3"/>
      <c r="BC957" s="3"/>
      <c r="BD957" s="40"/>
      <c r="BE957" s="40"/>
      <c r="BF957" s="40"/>
      <c r="BG957" s="40"/>
      <c r="BH957" s="40"/>
      <c r="BI957" s="49"/>
      <c r="BJ957" s="49"/>
      <c r="BK957" s="66"/>
      <c r="BL957" s="66"/>
      <c r="BM957" s="51"/>
      <c r="BN957" s="51"/>
      <c r="BO957" s="52"/>
      <c r="BP957" s="40"/>
      <c r="BQ957" s="40"/>
      <c r="BR957" s="67"/>
      <c r="BS957" s="54" t="s">
        <v>110</v>
      </c>
      <c r="BT957" s="3">
        <v>186</v>
      </c>
      <c r="BU957" s="3">
        <v>212</v>
      </c>
      <c r="BV957" s="3">
        <v>144</v>
      </c>
      <c r="BW957" s="3">
        <v>143</v>
      </c>
      <c r="BX957" s="70">
        <v>-0.12264150943396224</v>
      </c>
      <c r="BY957" s="70">
        <v>6.9930069930070893E-3</v>
      </c>
      <c r="BZ957" s="59">
        <v>1.4825174825174825</v>
      </c>
      <c r="CA957" s="59">
        <v>1.2916666666666667</v>
      </c>
      <c r="CB957" s="59">
        <f>IFERROR((paper3[[#This Row],[meanadd]]*(paper3[[#This Row],[leglength]]/100))/paper3[[#This Row],[bodymass]],"")</f>
        <v>2.4643082706766912</v>
      </c>
      <c r="CC957" s="59">
        <f>IFERROR((paper3[[#This Row],[meanabd]]*(paper3[[#This Row],[leglength]]/100))/paper3[[#This Row],[bodymass]],"")</f>
        <v>1.7770263157894732</v>
      </c>
      <c r="CD957" s="60">
        <v>162</v>
      </c>
      <c r="CE957" s="60">
        <v>142</v>
      </c>
      <c r="CF957" s="61">
        <v>2.4360902255639099</v>
      </c>
      <c r="CG957" s="61">
        <v>2.1353383458646618</v>
      </c>
      <c r="CH957" s="61">
        <v>0.87654320987654322</v>
      </c>
      <c r="CI957" s="41"/>
      <c r="CJ957" s="40"/>
      <c r="CK957" s="3"/>
      <c r="CL957" s="62"/>
      <c r="CM957" s="63">
        <v>0</v>
      </c>
      <c r="CN957" s="3">
        <v>212</v>
      </c>
      <c r="CO957" s="3">
        <v>144</v>
      </c>
      <c r="CP957" s="41">
        <f>_xlfn.MAXIFS([1]!phvny[age],[1]!phvny[id],paper3[[#This Row],[id]],[1]!phvny[time],paper3[[#This Row],[time]])</f>
        <v>17.175000000000001</v>
      </c>
      <c r="CQ957" s="3"/>
      <c r="CR957" s="40">
        <f>AVERAGE(paper3[[#This Row],[Adduksjon ikke-dominant]:[Adduksjon dominant]])</f>
        <v>199</v>
      </c>
      <c r="CS957" s="40">
        <f>AVERAGE(paper3[[#This Row],[Abduksjon ikke-dominant]:[Abduksjon dominant]])</f>
        <v>143.5</v>
      </c>
      <c r="CT957" s="40" t="s">
        <v>110</v>
      </c>
      <c r="CU957" s="40"/>
      <c r="CV957" s="40"/>
      <c r="CW957" s="40"/>
      <c r="CX957" s="40"/>
      <c r="CY957" s="40">
        <v>0</v>
      </c>
    </row>
    <row r="958" spans="1:103" ht="18.75">
      <c r="A958" s="3">
        <v>438</v>
      </c>
      <c r="B958" s="92" t="s">
        <v>103</v>
      </c>
      <c r="C958" s="3" t="s">
        <v>115</v>
      </c>
      <c r="D958" s="3" t="s">
        <v>269</v>
      </c>
      <c r="E958" s="39">
        <v>45357</v>
      </c>
      <c r="F958" s="3" t="s">
        <v>186</v>
      </c>
      <c r="G958" s="3" t="s">
        <v>122</v>
      </c>
      <c r="H958" s="3">
        <v>2007</v>
      </c>
      <c r="I958" s="40" t="s">
        <v>116</v>
      </c>
      <c r="J958" s="39" t="s">
        <v>157</v>
      </c>
      <c r="K958" s="3">
        <v>178.1</v>
      </c>
      <c r="L958" s="3">
        <v>178.3</v>
      </c>
      <c r="M958" s="3"/>
      <c r="N958" s="3">
        <v>149.69999999999999</v>
      </c>
      <c r="O958" s="3">
        <v>149.80000000000001</v>
      </c>
      <c r="P958" s="3"/>
      <c r="Q958" s="3">
        <v>82.4</v>
      </c>
      <c r="R958" s="3">
        <v>82.4</v>
      </c>
      <c r="S958" s="3"/>
      <c r="T958" s="42">
        <v>178.2</v>
      </c>
      <c r="U958" s="42">
        <f>AVERAGE(paper3[[#This Row],[Sittende høyde 1]:[Sittende høyde 3]])-56.2</f>
        <v>93.55</v>
      </c>
      <c r="V958" s="12">
        <f>paper3[[#This Row],[height]]-paper3[[#This Row],[sittingheight]]</f>
        <v>84.649999999999991</v>
      </c>
      <c r="W958" s="73">
        <v>82.4</v>
      </c>
      <c r="X958" s="43" cm="1">
        <f t="array" ref="X958">INDEX([1]!phvny[yphv], MATCH(1, (paper3[[#This Row],[id]]=[1]!phvny[id])*(paper3[[#This Row],[time]]=[1]!phvny[time]), 0))</f>
        <v>2.8730229801582494</v>
      </c>
      <c r="Y958" s="3">
        <v>1.88</v>
      </c>
      <c r="Z958" s="3">
        <v>3.22</v>
      </c>
      <c r="AA958" s="3">
        <v>4.49</v>
      </c>
      <c r="AB958" s="3">
        <v>1.91</v>
      </c>
      <c r="AC958" s="3">
        <v>3.27</v>
      </c>
      <c r="AD958" s="3">
        <v>4.5999999999999996</v>
      </c>
      <c r="AE958" s="3">
        <v>1.91</v>
      </c>
      <c r="AF958" s="3">
        <v>3.25</v>
      </c>
      <c r="AG958" s="3">
        <v>4.5599999999999996</v>
      </c>
      <c r="AH958" s="44">
        <v>1.88</v>
      </c>
      <c r="AI958" s="44">
        <v>3.22</v>
      </c>
      <c r="AJ958" s="44">
        <v>4.49</v>
      </c>
      <c r="AK958" s="45">
        <v>7.8740157480314963</v>
      </c>
      <c r="AL958" s="3">
        <v>9.94</v>
      </c>
      <c r="AM958" s="3">
        <v>10.01</v>
      </c>
      <c r="AN958" s="46">
        <v>10.23</v>
      </c>
      <c r="AO958" s="3">
        <v>10.029999999999999</v>
      </c>
      <c r="AP958" s="3">
        <v>9.94</v>
      </c>
      <c r="AQ958" s="47">
        <v>9.94</v>
      </c>
      <c r="AR958" s="47">
        <v>10.029999999999999</v>
      </c>
      <c r="AS958" s="3">
        <v>30.32</v>
      </c>
      <c r="AT958" s="3">
        <v>29.8</v>
      </c>
      <c r="AU958" s="3">
        <v>30.66</v>
      </c>
      <c r="AV958" s="3"/>
      <c r="AW958" s="3"/>
      <c r="AX958" s="48">
        <v>30.66</v>
      </c>
      <c r="AY958" s="71"/>
      <c r="AZ958" s="3"/>
      <c r="BA958" s="3"/>
      <c r="BB958" s="3"/>
      <c r="BC958" s="3"/>
      <c r="BD958" s="40">
        <v>1431.5277772098234</v>
      </c>
      <c r="BE958" s="40">
        <v>1385.3121037462029</v>
      </c>
      <c r="BF958" s="40"/>
      <c r="BG958" s="40">
        <v>649.30867900592625</v>
      </c>
      <c r="BH958" s="40">
        <v>606.54896621129171</v>
      </c>
      <c r="BI958" s="49">
        <v>2816.8398809560263</v>
      </c>
      <c r="BJ958" s="49">
        <v>1255.8576452172179</v>
      </c>
      <c r="BK958" s="66">
        <v>3.3361199500562266E-2</v>
      </c>
      <c r="BL958" s="66">
        <v>7.0496720259414669E-2</v>
      </c>
      <c r="BM958" s="51">
        <v>34.184950011602261</v>
      </c>
      <c r="BN958" s="51">
        <v>15.24099084001478</v>
      </c>
      <c r="BO958" s="52"/>
      <c r="BP958" s="40">
        <v>429</v>
      </c>
      <c r="BQ958" s="40">
        <v>445</v>
      </c>
      <c r="BR958" s="67">
        <v>-3.5955056179775235E-2</v>
      </c>
      <c r="BS958" s="54">
        <v>5.3033980582524265</v>
      </c>
      <c r="BT958" s="3">
        <v>180</v>
      </c>
      <c r="BU958" s="3">
        <v>193</v>
      </c>
      <c r="BV958" s="3">
        <v>218</v>
      </c>
      <c r="BW958" s="3">
        <v>201</v>
      </c>
      <c r="BX958" s="70">
        <v>-6.7357512953367893E-2</v>
      </c>
      <c r="BY958" s="70">
        <v>8.4577114427860645E-2</v>
      </c>
      <c r="BZ958" s="59">
        <v>0.96019900497512434</v>
      </c>
      <c r="CA958" s="59">
        <v>0.82568807339449546</v>
      </c>
      <c r="CB958" s="59">
        <f>IFERROR((paper3[[#This Row],[meanadd]]*(paper3[[#This Row],[leglength]]/100))/paper3[[#This Row],[bodymass]],"")</f>
        <v>1.9159253640776694</v>
      </c>
      <c r="CC958" s="59">
        <f>IFERROR((paper3[[#This Row],[meanabd]]*(paper3[[#This Row],[leglength]]/100))/paper3[[#This Row],[bodymass]],"")</f>
        <v>2.152205703883495</v>
      </c>
      <c r="CD958" s="60">
        <v>186</v>
      </c>
      <c r="CE958" s="60">
        <v>218</v>
      </c>
      <c r="CF958" s="61">
        <v>2.2572815533980579</v>
      </c>
      <c r="CG958" s="61">
        <v>2.645631067961165</v>
      </c>
      <c r="CH958" s="61">
        <v>1.1720430107526882</v>
      </c>
      <c r="CI958" s="41"/>
      <c r="CJ958" s="40"/>
      <c r="CK958" s="3"/>
      <c r="CL958" s="62"/>
      <c r="CM958" s="63">
        <v>0</v>
      </c>
      <c r="CN958" s="3">
        <v>193</v>
      </c>
      <c r="CO958" s="3">
        <v>218</v>
      </c>
      <c r="CP958" s="41">
        <f>_xlfn.MAXIFS([1]!phvny[age],[1]!phvny[id],paper3[[#This Row],[id]],[1]!phvny[time],paper3[[#This Row],[time]])</f>
        <v>16.666666666666668</v>
      </c>
      <c r="CQ958" s="3"/>
      <c r="CR958" s="40">
        <f>AVERAGE(paper3[[#This Row],[Adduksjon ikke-dominant]:[Adduksjon dominant]])</f>
        <v>186.5</v>
      </c>
      <c r="CS958" s="40">
        <f>AVERAGE(paper3[[#This Row],[Abduksjon ikke-dominant]:[Abduksjon dominant]])</f>
        <v>209.5</v>
      </c>
      <c r="CT958" s="40">
        <v>437</v>
      </c>
      <c r="CU958" s="40"/>
      <c r="CV958" s="40"/>
      <c r="CW958" s="40"/>
      <c r="CX958" s="40"/>
      <c r="CY958" s="40">
        <v>0</v>
      </c>
    </row>
    <row r="959" spans="1:103" ht="18.95" customHeight="1">
      <c r="A959" s="3">
        <v>441</v>
      </c>
      <c r="B959" s="92" t="s">
        <v>103</v>
      </c>
      <c r="C959" s="3" t="s">
        <v>115</v>
      </c>
      <c r="D959" s="3" t="s">
        <v>269</v>
      </c>
      <c r="E959" s="39">
        <v>45357</v>
      </c>
      <c r="F959" s="3" t="s">
        <v>186</v>
      </c>
      <c r="G959" s="3" t="s">
        <v>122</v>
      </c>
      <c r="H959" s="3">
        <v>2007</v>
      </c>
      <c r="I959" s="40" t="s">
        <v>116</v>
      </c>
      <c r="J959" s="39" t="s">
        <v>157</v>
      </c>
      <c r="K959" s="3">
        <v>188.6</v>
      </c>
      <c r="L959" s="3">
        <v>188.7</v>
      </c>
      <c r="M959" s="3"/>
      <c r="N959" s="3">
        <v>153.9</v>
      </c>
      <c r="O959" s="3">
        <v>153.9</v>
      </c>
      <c r="P959" s="3"/>
      <c r="Q959" s="3">
        <v>69.3</v>
      </c>
      <c r="R959" s="3"/>
      <c r="S959" s="3"/>
      <c r="T959" s="42">
        <v>188.64999999999998</v>
      </c>
      <c r="U959" s="42">
        <f>AVERAGE(paper3[[#This Row],[Sittende høyde 1]:[Sittende høyde 3]])-56.2</f>
        <v>97.7</v>
      </c>
      <c r="V959" s="12">
        <f>paper3[[#This Row],[height]]-paper3[[#This Row],[sittingheight]]</f>
        <v>90.949999999999974</v>
      </c>
      <c r="W959" s="73">
        <v>69.3</v>
      </c>
      <c r="X959" s="43" cm="1">
        <f t="array" ref="X959">INDEX([1]!phvny[yphv], MATCH(1, (paper3[[#This Row],[id]]=[1]!phvny[id])*(paper3[[#This Row],[time]]=[1]!phvny[time]), 0))</f>
        <v>3.349134648173469</v>
      </c>
      <c r="Y959" s="3">
        <v>1.77</v>
      </c>
      <c r="Z959" s="3">
        <v>3</v>
      </c>
      <c r="AA959" s="3">
        <v>4.18</v>
      </c>
      <c r="AB959" s="3">
        <v>1.79</v>
      </c>
      <c r="AC959" s="3">
        <v>3.04</v>
      </c>
      <c r="AD959" s="3">
        <v>4.2699999999999996</v>
      </c>
      <c r="AE959" s="3">
        <v>1.76</v>
      </c>
      <c r="AF959" s="3">
        <v>3.02</v>
      </c>
      <c r="AG959" s="3">
        <v>4.24</v>
      </c>
      <c r="AH959" s="44">
        <v>1.76</v>
      </c>
      <c r="AI959" s="44">
        <v>3</v>
      </c>
      <c r="AJ959" s="44">
        <v>4.18</v>
      </c>
      <c r="AK959" s="45">
        <v>8.474576271186443</v>
      </c>
      <c r="AL959" s="3">
        <v>9.3699999999999992</v>
      </c>
      <c r="AM959" s="3">
        <v>9.3000000000000007</v>
      </c>
      <c r="AN959" s="3">
        <v>9.51</v>
      </c>
      <c r="AO959" s="3">
        <v>9.39</v>
      </c>
      <c r="AP959" s="3">
        <v>9.3000000000000007</v>
      </c>
      <c r="AQ959" s="47">
        <v>9.3000000000000007</v>
      </c>
      <c r="AR959" s="47">
        <v>9.39</v>
      </c>
      <c r="AS959" s="3">
        <v>39.67</v>
      </c>
      <c r="AT959" s="3">
        <v>41.89</v>
      </c>
      <c r="AU959" s="3">
        <v>44.44</v>
      </c>
      <c r="AV959" s="3">
        <v>42.88</v>
      </c>
      <c r="AW959" s="3"/>
      <c r="AX959" s="48">
        <v>44.44</v>
      </c>
      <c r="AY959" s="71"/>
      <c r="AZ959" s="3">
        <v>11</v>
      </c>
      <c r="BA959" s="3">
        <v>280</v>
      </c>
      <c r="BB959" s="3">
        <v>10</v>
      </c>
      <c r="BC959" s="3">
        <v>306</v>
      </c>
      <c r="BD959" s="40">
        <v>1183.6965045808238</v>
      </c>
      <c r="BE959" s="40">
        <v>1084.8641299176816</v>
      </c>
      <c r="BF959" s="40"/>
      <c r="BG959" s="40">
        <v>534.69657226865002</v>
      </c>
      <c r="BH959" s="40">
        <v>480.91363437357541</v>
      </c>
      <c r="BI959" s="49">
        <v>2268.5606344985054</v>
      </c>
      <c r="BJ959" s="49">
        <v>1015.6102066422254</v>
      </c>
      <c r="BK959" s="66">
        <v>9.110115445575806E-2</v>
      </c>
      <c r="BL959" s="66">
        <v>0.1118349201413904</v>
      </c>
      <c r="BM959" s="51">
        <v>32.735362691176128</v>
      </c>
      <c r="BN959" s="51">
        <v>14.65526993711725</v>
      </c>
      <c r="BO959" s="52"/>
      <c r="BP959" s="40">
        <v>369</v>
      </c>
      <c r="BQ959" s="40">
        <v>389</v>
      </c>
      <c r="BR959" s="67">
        <v>-5.1413881748071932E-2</v>
      </c>
      <c r="BS959" s="54">
        <v>5.4689754689754695</v>
      </c>
      <c r="BT959" s="3">
        <v>164</v>
      </c>
      <c r="BU959" s="3">
        <v>165</v>
      </c>
      <c r="BV959" s="3">
        <v>144</v>
      </c>
      <c r="BW959" s="3">
        <v>146</v>
      </c>
      <c r="BX959" s="70">
        <v>-6.0606060606060996E-3</v>
      </c>
      <c r="BY959" s="70">
        <v>-1.3698630136986356E-2</v>
      </c>
      <c r="BZ959" s="59">
        <v>1.1301369863013699</v>
      </c>
      <c r="CA959" s="59">
        <v>1.1388888888888888</v>
      </c>
      <c r="CB959" s="59">
        <f>IFERROR((paper3[[#This Row],[meanadd]]*(paper3[[#This Row],[leglength]]/100))/paper3[[#This Row],[bodymass]],"")</f>
        <v>2.1589141414141406</v>
      </c>
      <c r="CC959" s="59">
        <f>IFERROR((paper3[[#This Row],[meanabd]]*(paper3[[#This Row],[leglength]]/100))/paper3[[#This Row],[bodymass]],"")</f>
        <v>1.9029942279942276</v>
      </c>
      <c r="CD959" s="60">
        <v>107</v>
      </c>
      <c r="CE959" s="60">
        <v>115</v>
      </c>
      <c r="CF959" s="61">
        <v>1.5440115440115441</v>
      </c>
      <c r="CG959" s="61">
        <v>1.6594516594516595</v>
      </c>
      <c r="CH959" s="61">
        <v>1.0747663551401869</v>
      </c>
      <c r="CI959" s="41"/>
      <c r="CJ959" s="40"/>
      <c r="CK959" s="3"/>
      <c r="CL959" s="62"/>
      <c r="CM959" s="63">
        <v>0</v>
      </c>
      <c r="CN959" s="3">
        <v>165</v>
      </c>
      <c r="CO959" s="3">
        <v>146</v>
      </c>
      <c r="CP959" s="41">
        <f>_xlfn.MAXIFS([1]!phvny[age],[1]!phvny[id],paper3[[#This Row],[id]],[1]!phvny[time],paper3[[#This Row],[time]])</f>
        <v>16.861111111111111</v>
      </c>
      <c r="CQ959" s="3"/>
      <c r="CR959" s="40">
        <f>AVERAGE(paper3[[#This Row],[Adduksjon ikke-dominant]:[Adduksjon dominant]])</f>
        <v>164.5</v>
      </c>
      <c r="CS959" s="40">
        <f>AVERAGE(paper3[[#This Row],[Abduksjon ikke-dominant]:[Abduksjon dominant]])</f>
        <v>145</v>
      </c>
      <c r="CT959" s="40">
        <v>379</v>
      </c>
      <c r="CU959" s="40"/>
      <c r="CV959" s="40"/>
      <c r="CW959" s="40"/>
      <c r="CX959" s="40"/>
      <c r="CY959" s="40">
        <v>0</v>
      </c>
    </row>
    <row r="960" spans="1:103" ht="18.95" customHeight="1">
      <c r="A960" s="3">
        <v>442</v>
      </c>
      <c r="B960" s="92" t="s">
        <v>103</v>
      </c>
      <c r="C960" s="3" t="s">
        <v>115</v>
      </c>
      <c r="D960" s="3" t="s">
        <v>269</v>
      </c>
      <c r="E960" s="39">
        <v>45357</v>
      </c>
      <c r="F960" s="3" t="s">
        <v>186</v>
      </c>
      <c r="G960" s="3" t="s">
        <v>122</v>
      </c>
      <c r="H960" s="3">
        <v>2007</v>
      </c>
      <c r="I960" s="40" t="s">
        <v>116</v>
      </c>
      <c r="J960" s="39" t="s">
        <v>157</v>
      </c>
      <c r="K960" s="3">
        <v>184.2</v>
      </c>
      <c r="L960" s="3">
        <v>184.3</v>
      </c>
      <c r="M960" s="3"/>
      <c r="N960" s="3">
        <v>148.1</v>
      </c>
      <c r="O960" s="3">
        <v>148.1</v>
      </c>
      <c r="P960" s="3"/>
      <c r="Q960" s="3">
        <v>69.3</v>
      </c>
      <c r="R960" s="3"/>
      <c r="S960" s="3"/>
      <c r="T960" s="42">
        <v>184.25</v>
      </c>
      <c r="U960" s="42">
        <f>AVERAGE(paper3[[#This Row],[Sittende høyde 1]:[Sittende høyde 3]])-56.2</f>
        <v>91.899999999999991</v>
      </c>
      <c r="V960" s="12">
        <f>paper3[[#This Row],[height]]-paper3[[#This Row],[sittingheight]]</f>
        <v>92.350000000000009</v>
      </c>
      <c r="W960" s="73">
        <v>69.3</v>
      </c>
      <c r="X960" s="43" cm="1">
        <f t="array" ref="X960">INDEX([1]!phvny[yphv], MATCH(1, (paper3[[#This Row],[id]]=[1]!phvny[id])*(paper3[[#This Row],[time]]=[1]!phvny[time]), 0))</f>
        <v>2.2530127586417881</v>
      </c>
      <c r="Y960" s="3">
        <v>1.82</v>
      </c>
      <c r="Z960" s="3">
        <v>3.1</v>
      </c>
      <c r="AA960" s="3">
        <v>4.3</v>
      </c>
      <c r="AB960" s="3">
        <v>1.82</v>
      </c>
      <c r="AC960" s="3">
        <v>3.1</v>
      </c>
      <c r="AD960" s="3">
        <v>4.3099999999999996</v>
      </c>
      <c r="AE960" s="3"/>
      <c r="AF960" s="3"/>
      <c r="AG960" s="3"/>
      <c r="AH960" s="44">
        <v>1.82</v>
      </c>
      <c r="AI960" s="44">
        <v>3.1</v>
      </c>
      <c r="AJ960" s="44">
        <v>4.3</v>
      </c>
      <c r="AK960" s="45">
        <v>8.3333333333333357</v>
      </c>
      <c r="AL960" s="3"/>
      <c r="AM960" s="3"/>
      <c r="AN960" s="3"/>
      <c r="AO960" s="3"/>
      <c r="AP960" s="3"/>
      <c r="AQ960" s="47"/>
      <c r="AR960" s="47"/>
      <c r="AS960" s="3">
        <v>35.549999999999997</v>
      </c>
      <c r="AT960" s="3">
        <v>34.159999999999997</v>
      </c>
      <c r="AU960" s="3">
        <v>35.47</v>
      </c>
      <c r="AV960" s="3"/>
      <c r="AW960" s="3"/>
      <c r="AX960" s="48">
        <v>35.549999999999997</v>
      </c>
      <c r="AY960" s="71"/>
      <c r="AZ960" s="3"/>
      <c r="BA960" s="3">
        <v>270</v>
      </c>
      <c r="BB960" s="3"/>
      <c r="BC960" s="3" t="s">
        <v>279</v>
      </c>
      <c r="BD960" s="40">
        <v>1194.6711592337128</v>
      </c>
      <c r="BE960" s="40">
        <v>1000.1643090625832</v>
      </c>
      <c r="BF960" s="40"/>
      <c r="BG960" s="40">
        <v>620.9007774655322</v>
      </c>
      <c r="BH960" s="40">
        <v>500.72530024979176</v>
      </c>
      <c r="BI960" s="49">
        <v>2194.8354682962963</v>
      </c>
      <c r="BJ960" s="49">
        <v>1121.6260777153238</v>
      </c>
      <c r="BK960" s="66">
        <v>0.19447489618324165</v>
      </c>
      <c r="BL960" s="66">
        <v>0.24000280624084658</v>
      </c>
      <c r="BM960" s="51">
        <v>31.671507479023035</v>
      </c>
      <c r="BN960" s="51">
        <v>16.185080486512611</v>
      </c>
      <c r="BO960" s="52"/>
      <c r="BP960" s="40">
        <v>346</v>
      </c>
      <c r="BQ960" s="40">
        <v>388</v>
      </c>
      <c r="BR960" s="67">
        <v>-0.10824742268041232</v>
      </c>
      <c r="BS960" s="54">
        <v>5.295815295815296</v>
      </c>
      <c r="BT960" s="3">
        <v>183</v>
      </c>
      <c r="BU960" s="3">
        <v>197</v>
      </c>
      <c r="BV960" s="3">
        <v>139</v>
      </c>
      <c r="BW960" s="3">
        <v>151</v>
      </c>
      <c r="BX960" s="70">
        <v>-7.1065989847715727E-2</v>
      </c>
      <c r="BY960" s="70">
        <v>-7.9470198675496651E-2</v>
      </c>
      <c r="BZ960" s="59">
        <v>1.304635761589404</v>
      </c>
      <c r="CA960" s="59">
        <v>1.3165467625899281</v>
      </c>
      <c r="CB960" s="59">
        <f>IFERROR((paper3[[#This Row],[meanadd]]*(paper3[[#This Row],[leglength]]/100))/paper3[[#This Row],[bodymass]],"")</f>
        <v>2.5319624819624824</v>
      </c>
      <c r="CC960" s="59">
        <f>IFERROR((paper3[[#This Row],[meanabd]]*(paper3[[#This Row],[leglength]]/100))/paper3[[#This Row],[bodymass]],"")</f>
        <v>1.9322871572871578</v>
      </c>
      <c r="CD960" s="60">
        <v>139</v>
      </c>
      <c r="CE960" s="60">
        <v>114</v>
      </c>
      <c r="CF960" s="61">
        <v>2.0057720057720059</v>
      </c>
      <c r="CG960" s="61">
        <v>1.6450216450216451</v>
      </c>
      <c r="CH960" s="61">
        <v>0.82014388489208634</v>
      </c>
      <c r="CI960" s="41"/>
      <c r="CJ960" s="40"/>
      <c r="CK960" s="3"/>
      <c r="CL960" s="62"/>
      <c r="CM960" s="63">
        <v>0</v>
      </c>
      <c r="CN960" s="3">
        <v>197</v>
      </c>
      <c r="CO960" s="3">
        <v>151</v>
      </c>
      <c r="CP960" s="41">
        <f>_xlfn.MAXIFS([1]!phvny[age],[1]!phvny[id],paper3[[#This Row],[id]],[1]!phvny[time],paper3[[#This Row],[time]])</f>
        <v>16.344444444444445</v>
      </c>
      <c r="CQ960" s="3"/>
      <c r="CR960" s="40">
        <f>AVERAGE(paper3[[#This Row],[Adduksjon ikke-dominant]:[Adduksjon dominant]])</f>
        <v>190</v>
      </c>
      <c r="CS960" s="40">
        <f>AVERAGE(paper3[[#This Row],[Abduksjon ikke-dominant]:[Abduksjon dominant]])</f>
        <v>145</v>
      </c>
      <c r="CT960" s="40">
        <v>367</v>
      </c>
      <c r="CU960" s="40"/>
      <c r="CV960" s="40"/>
      <c r="CW960" s="40"/>
      <c r="CX960" s="40"/>
      <c r="CY960" s="40">
        <v>0</v>
      </c>
    </row>
    <row r="961" spans="1:103" ht="18.95" customHeight="1">
      <c r="A961" s="3">
        <v>447</v>
      </c>
      <c r="B961" s="92" t="s">
        <v>103</v>
      </c>
      <c r="C961" s="3" t="s">
        <v>115</v>
      </c>
      <c r="D961" s="3" t="s">
        <v>269</v>
      </c>
      <c r="E961" s="39">
        <v>45370</v>
      </c>
      <c r="F961" s="3" t="s">
        <v>186</v>
      </c>
      <c r="G961" s="3" t="s">
        <v>107</v>
      </c>
      <c r="H961" s="3">
        <v>2009</v>
      </c>
      <c r="I961" s="40" t="s">
        <v>108</v>
      </c>
      <c r="J961" s="39" t="s">
        <v>109</v>
      </c>
      <c r="K961" s="3">
        <v>163</v>
      </c>
      <c r="L961" s="3">
        <v>163.19999999999999</v>
      </c>
      <c r="M961" s="3"/>
      <c r="N961" s="3">
        <v>140.4</v>
      </c>
      <c r="O961" s="3">
        <v>139.4</v>
      </c>
      <c r="P961" s="3">
        <v>140.19999999999999</v>
      </c>
      <c r="Q961" s="3">
        <v>57.2</v>
      </c>
      <c r="R961" s="3"/>
      <c r="S961" s="3"/>
      <c r="T961" s="42">
        <v>163.1</v>
      </c>
      <c r="U961" s="42">
        <f>AVERAGE(paper3[[#This Row],[Sittende høyde 1]:[Sittende høyde 3]])-56.2</f>
        <v>83.8</v>
      </c>
      <c r="V961" s="12">
        <f>paper3[[#This Row],[height]]-paper3[[#This Row],[sittingheight]]</f>
        <v>79.3</v>
      </c>
      <c r="W961" s="73">
        <v>57.2</v>
      </c>
      <c r="X961" s="43" cm="1">
        <f t="array" ref="X961">INDEX([1]!phvny[yphv], MATCH(1, (paper3[[#This Row],[id]]=[1]!phvny[id])*(paper3[[#This Row],[time]]=[1]!phvny[time]), 0))</f>
        <v>2.1074843530381511</v>
      </c>
      <c r="Y961" s="3">
        <v>2.09</v>
      </c>
      <c r="Z961" s="3">
        <v>3.69</v>
      </c>
      <c r="AA961" s="3">
        <v>5.22</v>
      </c>
      <c r="AB961" s="3">
        <v>2.0499999999999998</v>
      </c>
      <c r="AC961" s="3">
        <v>3.62</v>
      </c>
      <c r="AD961" s="3">
        <v>5.15</v>
      </c>
      <c r="AE961" s="3">
        <v>2.0699999999999998</v>
      </c>
      <c r="AF961" s="3">
        <v>3.61</v>
      </c>
      <c r="AG961" s="3">
        <v>5.14</v>
      </c>
      <c r="AH961" s="44">
        <v>2.0499999999999998</v>
      </c>
      <c r="AI961" s="44">
        <v>3.61</v>
      </c>
      <c r="AJ961" s="44">
        <v>5.14</v>
      </c>
      <c r="AK961" s="45">
        <v>6.5359477124183014</v>
      </c>
      <c r="AL961" s="3">
        <v>11.06</v>
      </c>
      <c r="AM961" s="3">
        <v>11.08</v>
      </c>
      <c r="AN961" s="3">
        <v>11.3</v>
      </c>
      <c r="AO961" s="3">
        <v>11.32</v>
      </c>
      <c r="AP961" s="3">
        <v>11.06</v>
      </c>
      <c r="AQ961" s="47">
        <v>11.06</v>
      </c>
      <c r="AR961" s="47">
        <v>11.3</v>
      </c>
      <c r="AS961" s="3">
        <v>29.1</v>
      </c>
      <c r="AT961" s="3">
        <v>28.63</v>
      </c>
      <c r="AU961" s="3">
        <v>26.34</v>
      </c>
      <c r="AV961" s="3"/>
      <c r="AW961" s="3"/>
      <c r="AX961" s="48">
        <v>29.1</v>
      </c>
      <c r="AY961" s="71"/>
      <c r="AZ961" s="159"/>
      <c r="BA961" s="159"/>
      <c r="BB961" s="159"/>
      <c r="BC961" s="159"/>
      <c r="BD961" s="40">
        <v>780.05093646817318</v>
      </c>
      <c r="BE961" s="40">
        <v>750.96139499918263</v>
      </c>
      <c r="BF961" s="40"/>
      <c r="BG961" s="40">
        <v>375.96925557436759</v>
      </c>
      <c r="BH961" s="40">
        <v>365.50903057447294</v>
      </c>
      <c r="BI961" s="49">
        <v>1531.0123314673558</v>
      </c>
      <c r="BJ961" s="49">
        <v>741.47828614884054</v>
      </c>
      <c r="BK961" s="66">
        <v>3.8736400649493019E-2</v>
      </c>
      <c r="BL961" s="66">
        <v>2.8618239564298209E-2</v>
      </c>
      <c r="BM961" s="51">
        <v>26.765949850827898</v>
      </c>
      <c r="BN961" s="51">
        <v>12.962907100504205</v>
      </c>
      <c r="BO961" s="52"/>
      <c r="BP961" s="40">
        <v>259</v>
      </c>
      <c r="BQ961" s="40">
        <v>253</v>
      </c>
      <c r="BR961" s="67">
        <v>2.3715415019762931E-2</v>
      </c>
      <c r="BS961" s="54">
        <v>4.475524475524475</v>
      </c>
      <c r="BT961" s="3">
        <v>112</v>
      </c>
      <c r="BU961" s="3">
        <v>113</v>
      </c>
      <c r="BV961" s="3">
        <v>109</v>
      </c>
      <c r="BW961" s="3">
        <v>110</v>
      </c>
      <c r="BX961" s="70">
        <v>-8.8495575221239076E-3</v>
      </c>
      <c r="BY961" s="70">
        <v>-9.0909090909090384E-3</v>
      </c>
      <c r="BZ961" s="59">
        <v>1.0272727272727273</v>
      </c>
      <c r="CA961" s="59">
        <v>1.0275229357798166</v>
      </c>
      <c r="CB961" s="59">
        <f>IFERROR((paper3[[#This Row],[meanadd]]*(paper3[[#This Row],[leglength]]/100))/paper3[[#This Row],[bodymass]],"")</f>
        <v>1.5596590909090906</v>
      </c>
      <c r="CC961" s="59">
        <f>IFERROR((paper3[[#This Row],[meanabd]]*(paper3[[#This Row],[leglength]]/100))/paper3[[#This Row],[bodymass]],"")</f>
        <v>1.5180681818181816</v>
      </c>
      <c r="CD961" s="60">
        <v>92</v>
      </c>
      <c r="CE961" s="60">
        <v>90</v>
      </c>
      <c r="CF961" s="61">
        <v>1.6083916083916083</v>
      </c>
      <c r="CG961" s="61">
        <v>1.5734265734265733</v>
      </c>
      <c r="CH961" s="61">
        <v>0.97826086956521741</v>
      </c>
      <c r="CI961" s="41">
        <v>14.2</v>
      </c>
      <c r="CJ961" s="40">
        <f>VLOOKUP(paper3[[#This Row],[YYIR nivå]],$DB:$DC,2)</f>
        <v>520</v>
      </c>
      <c r="CK961" s="3"/>
      <c r="CL961" s="62"/>
      <c r="CM961" s="63">
        <v>0</v>
      </c>
      <c r="CN961" s="3">
        <v>113</v>
      </c>
      <c r="CO961" s="3">
        <v>110</v>
      </c>
      <c r="CP961" s="41">
        <f>_xlfn.MAXIFS([1]!phvny[age],[1]!phvny[id],paper3[[#This Row],[id]],[1]!phvny[time],paper3[[#This Row],[time]])</f>
        <v>14.719444444444445</v>
      </c>
      <c r="CQ961" s="3"/>
      <c r="CR961" s="40">
        <f>AVERAGE(paper3[[#This Row],[Adduksjon ikke-dominant]:[Adduksjon dominant]])</f>
        <v>112.5</v>
      </c>
      <c r="CS961" s="40">
        <f>AVERAGE(paper3[[#This Row],[Abduksjon ikke-dominant]:[Abduksjon dominant]])</f>
        <v>109.5</v>
      </c>
      <c r="CT961" s="40">
        <v>256</v>
      </c>
      <c r="CU961" s="40"/>
      <c r="CV961" s="40"/>
      <c r="CW961" s="40"/>
      <c r="CX961" s="40"/>
      <c r="CY961" s="40">
        <v>0</v>
      </c>
    </row>
    <row r="962" spans="1:103" ht="18.75">
      <c r="A962" s="3">
        <v>448</v>
      </c>
      <c r="B962" s="92" t="s">
        <v>103</v>
      </c>
      <c r="C962" s="3" t="s">
        <v>115</v>
      </c>
      <c r="D962" s="3" t="s">
        <v>269</v>
      </c>
      <c r="E962" s="39">
        <v>45370</v>
      </c>
      <c r="F962" s="3" t="s">
        <v>186</v>
      </c>
      <c r="G962" s="3" t="s">
        <v>107</v>
      </c>
      <c r="H962" s="3">
        <v>2009</v>
      </c>
      <c r="I962" s="40" t="s">
        <v>108</v>
      </c>
      <c r="J962" s="39" t="s">
        <v>109</v>
      </c>
      <c r="K962" s="3">
        <v>156</v>
      </c>
      <c r="L962" s="3">
        <v>155.5</v>
      </c>
      <c r="M962" s="3">
        <v>155.5</v>
      </c>
      <c r="N962" s="3"/>
      <c r="O962" s="3">
        <v>138.80000000000001</v>
      </c>
      <c r="P962" s="3"/>
      <c r="Q962" s="3">
        <v>69.7</v>
      </c>
      <c r="R962" s="3"/>
      <c r="S962" s="3"/>
      <c r="T962" s="42">
        <v>155.66666666666666</v>
      </c>
      <c r="U962" s="42">
        <f>AVERAGE(paper3[[#This Row],[Sittende høyde 1]:[Sittende høyde 3]])-56.2</f>
        <v>82.600000000000009</v>
      </c>
      <c r="V962" s="12">
        <f>paper3[[#This Row],[height]]-paper3[[#This Row],[sittingheight]]</f>
        <v>73.066666666666649</v>
      </c>
      <c r="W962" s="73">
        <v>69.7</v>
      </c>
      <c r="X962" s="43" cm="1">
        <f t="array" ref="X962">INDEX([1]!phvny[yphv], MATCH(1, (paper3[[#This Row],[id]]=[1]!phvny[id])*(paper3[[#This Row],[time]]=[1]!phvny[time]), 0))</f>
        <v>2.1487108455176465</v>
      </c>
      <c r="Y962" s="3">
        <v>2.33</v>
      </c>
      <c r="Z962" s="3">
        <v>4.08</v>
      </c>
      <c r="AA962" s="3">
        <v>5.96</v>
      </c>
      <c r="AB962" s="3">
        <v>2.2400000000000002</v>
      </c>
      <c r="AC962" s="3">
        <v>3.96</v>
      </c>
      <c r="AD962" s="3">
        <v>5.79</v>
      </c>
      <c r="AE962" s="3">
        <v>2.31</v>
      </c>
      <c r="AF962" s="3">
        <v>4.1399999999999997</v>
      </c>
      <c r="AG962" s="3">
        <v>6.4</v>
      </c>
      <c r="AH962" s="44">
        <v>2.2400000000000002</v>
      </c>
      <c r="AI962" s="44">
        <v>3.96</v>
      </c>
      <c r="AJ962" s="44">
        <v>5.79</v>
      </c>
      <c r="AK962" s="45">
        <v>5.4644808743169397</v>
      </c>
      <c r="AL962" s="3">
        <v>13.21</v>
      </c>
      <c r="AM962" s="3">
        <v>12.97</v>
      </c>
      <c r="AN962" s="3">
        <v>12.87</v>
      </c>
      <c r="AO962" s="3">
        <v>12.46</v>
      </c>
      <c r="AP962" s="3">
        <v>12.46</v>
      </c>
      <c r="AQ962" s="47">
        <v>12.97</v>
      </c>
      <c r="AR962" s="47">
        <v>12.46</v>
      </c>
      <c r="AS962" s="208" t="s">
        <v>280</v>
      </c>
      <c r="AT962" s="3"/>
      <c r="AU962" s="3"/>
      <c r="AV962" s="3"/>
      <c r="AW962" s="3"/>
      <c r="AX962" s="48"/>
      <c r="AY962" s="71"/>
      <c r="AZ962" s="3"/>
      <c r="BA962" s="3"/>
      <c r="BB962" s="3"/>
      <c r="BC962" s="3"/>
      <c r="BD962" s="40">
        <v>1015.5925150150314</v>
      </c>
      <c r="BE962" s="40">
        <v>1032.6835807587286</v>
      </c>
      <c r="BF962" s="40"/>
      <c r="BG962" s="40">
        <v>308.7632910304493</v>
      </c>
      <c r="BH962" s="40">
        <v>339.73107031846507</v>
      </c>
      <c r="BI962" s="49">
        <v>2048.2760957737601</v>
      </c>
      <c r="BJ962" s="49">
        <v>648.49436134891437</v>
      </c>
      <c r="BK962" s="66">
        <v>-1.655014765620666E-2</v>
      </c>
      <c r="BL962" s="66">
        <v>-9.1153803680618539E-2</v>
      </c>
      <c r="BM962" s="51">
        <v>29.387031503210331</v>
      </c>
      <c r="BN962" s="51">
        <v>9.3040797897979104</v>
      </c>
      <c r="BO962" s="52"/>
      <c r="BP962" s="40">
        <v>206</v>
      </c>
      <c r="BQ962" s="40">
        <v>238</v>
      </c>
      <c r="BR962" s="67">
        <v>-0.13445378151260501</v>
      </c>
      <c r="BS962" s="54">
        <v>3.1850789096126255</v>
      </c>
      <c r="BT962" s="3"/>
      <c r="BU962" s="3"/>
      <c r="BV962" s="3"/>
      <c r="BW962" s="3"/>
      <c r="BX962" s="70"/>
      <c r="BY962" s="70"/>
      <c r="BZ962" s="59"/>
      <c r="CA962" s="59"/>
      <c r="CB962" s="59"/>
      <c r="CC962" s="59"/>
      <c r="CD962" s="60"/>
      <c r="CE962" s="60"/>
      <c r="CF962" s="61"/>
      <c r="CG962" s="61"/>
      <c r="CH962" s="61"/>
      <c r="CI962" s="41">
        <v>12.3</v>
      </c>
      <c r="CJ962" s="40">
        <f>VLOOKUP(paper3[[#This Row],[YYIR nivå]],$DB:$DC,2)</f>
        <v>280</v>
      </c>
      <c r="CK962" s="3"/>
      <c r="CL962" s="62"/>
      <c r="CM962" s="63"/>
      <c r="CN962" s="3"/>
      <c r="CO962" s="3"/>
      <c r="CP962" s="41">
        <f>_xlfn.MAXIFS([1]!phvny[age],[1]!phvny[id],paper3[[#This Row],[id]],[1]!phvny[time],paper3[[#This Row],[time]])</f>
        <v>15.16388888888889</v>
      </c>
      <c r="CQ962" s="3"/>
      <c r="CR962" s="40"/>
      <c r="CS962" s="40" t="s">
        <v>110</v>
      </c>
      <c r="CT962" s="40">
        <v>222</v>
      </c>
      <c r="CU962" s="40"/>
      <c r="CV962" s="40"/>
      <c r="CW962" s="40"/>
      <c r="CX962" s="40"/>
      <c r="CY962" s="40">
        <v>0</v>
      </c>
    </row>
    <row r="963" spans="1:103" ht="18.95" customHeight="1">
      <c r="A963" s="3">
        <v>449</v>
      </c>
      <c r="B963" s="92" t="s">
        <v>103</v>
      </c>
      <c r="C963" s="3" t="s">
        <v>115</v>
      </c>
      <c r="D963" s="3" t="s">
        <v>269</v>
      </c>
      <c r="E963" s="39">
        <v>45357</v>
      </c>
      <c r="F963" s="3" t="s">
        <v>186</v>
      </c>
      <c r="G963" s="3" t="s">
        <v>107</v>
      </c>
      <c r="H963" s="3">
        <v>2009</v>
      </c>
      <c r="I963" s="40" t="s">
        <v>108</v>
      </c>
      <c r="J963" s="39" t="s">
        <v>109</v>
      </c>
      <c r="K963" s="3">
        <v>165.6</v>
      </c>
      <c r="L963" s="3">
        <v>165.5</v>
      </c>
      <c r="M963" s="3"/>
      <c r="N963" s="3">
        <v>140</v>
      </c>
      <c r="O963" s="3">
        <v>140.19999999999999</v>
      </c>
      <c r="P963" s="3"/>
      <c r="Q963" s="3">
        <v>50.7</v>
      </c>
      <c r="R963" s="3"/>
      <c r="S963" s="3"/>
      <c r="T963" s="42">
        <v>165.55</v>
      </c>
      <c r="U963" s="42">
        <f>AVERAGE(paper3[[#This Row],[Sittende høyde 1]:[Sittende høyde 3]])-56.2</f>
        <v>83.899999999999991</v>
      </c>
      <c r="V963" s="12">
        <f>paper3[[#This Row],[height]]-paper3[[#This Row],[sittingheight]]</f>
        <v>81.65000000000002</v>
      </c>
      <c r="W963" s="73">
        <v>50.7</v>
      </c>
      <c r="X963" s="43" cm="1">
        <f t="array" ref="X963">INDEX([1]!phvny[yphv], MATCH(1, (paper3[[#This Row],[id]]=[1]!phvny[id])*(paper3[[#This Row],[time]]=[1]!phvny[time]), 0))</f>
        <v>2.0881309070035252</v>
      </c>
      <c r="Y963" s="3">
        <v>1.96</v>
      </c>
      <c r="Z963" s="3">
        <v>3.43</v>
      </c>
      <c r="AA963" s="3">
        <v>4.8499999999999996</v>
      </c>
      <c r="AB963" s="3">
        <v>2.0499999999999998</v>
      </c>
      <c r="AC963" s="3">
        <v>3.51</v>
      </c>
      <c r="AD963" s="3">
        <v>4.95</v>
      </c>
      <c r="AE963" s="3">
        <v>2.04</v>
      </c>
      <c r="AF963" s="3">
        <v>3.53</v>
      </c>
      <c r="AG963" s="3">
        <v>5.0199999999999996</v>
      </c>
      <c r="AH963" s="44">
        <v>1.96</v>
      </c>
      <c r="AI963" s="44">
        <v>3.43</v>
      </c>
      <c r="AJ963" s="44">
        <v>4.8499999999999996</v>
      </c>
      <c r="AK963" s="45">
        <v>7.0422535211267627</v>
      </c>
      <c r="AL963" s="3"/>
      <c r="AM963" s="3">
        <v>10.73</v>
      </c>
      <c r="AN963" s="3">
        <v>10.64</v>
      </c>
      <c r="AO963" s="3">
        <v>10.48</v>
      </c>
      <c r="AP963" s="3">
        <v>10.48</v>
      </c>
      <c r="AQ963" s="47">
        <v>10.73</v>
      </c>
      <c r="AR963" s="47">
        <v>10.48</v>
      </c>
      <c r="AS963" s="3">
        <v>28.54</v>
      </c>
      <c r="AT963" s="3">
        <v>22.99</v>
      </c>
      <c r="AU963" s="3">
        <v>29.06</v>
      </c>
      <c r="AV963" s="3">
        <v>26.02</v>
      </c>
      <c r="AW963" s="3"/>
      <c r="AX963" s="48">
        <v>29.06</v>
      </c>
      <c r="AY963" s="71"/>
      <c r="AZ963" s="3"/>
      <c r="BA963" s="3"/>
      <c r="BB963" s="3"/>
      <c r="BC963" s="3"/>
      <c r="BD963" s="40">
        <v>749.69859418785973</v>
      </c>
      <c r="BE963" s="40">
        <v>755.13818420160578</v>
      </c>
      <c r="BF963" s="40"/>
      <c r="BG963" s="40">
        <v>329.64755342436905</v>
      </c>
      <c r="BH963" s="40">
        <v>301.85878868358367</v>
      </c>
      <c r="BI963" s="49">
        <v>1504.8367783894655</v>
      </c>
      <c r="BJ963" s="49">
        <v>631.50634210795272</v>
      </c>
      <c r="BK963" s="66">
        <v>-7.2034365729991556E-3</v>
      </c>
      <c r="BL963" s="66">
        <v>9.205882280907951E-2</v>
      </c>
      <c r="BM963" s="51">
        <v>29.681198784802078</v>
      </c>
      <c r="BN963" s="51">
        <v>12.455746392661789</v>
      </c>
      <c r="BO963" s="52"/>
      <c r="BP963" s="40">
        <v>220</v>
      </c>
      <c r="BQ963" s="40">
        <v>245</v>
      </c>
      <c r="BR963" s="67">
        <v>-0.10204081632653061</v>
      </c>
      <c r="BS963" s="54">
        <v>4.5857988165680474</v>
      </c>
      <c r="BT963" s="3"/>
      <c r="BU963" s="3">
        <v>126</v>
      </c>
      <c r="BV963" s="3">
        <v>93</v>
      </c>
      <c r="BW963" s="3">
        <v>117</v>
      </c>
      <c r="BX963" s="70">
        <v>-1</v>
      </c>
      <c r="BY963" s="70">
        <v>-0.20512820512820518</v>
      </c>
      <c r="BZ963" s="59">
        <v>1.0769230769230769</v>
      </c>
      <c r="CA963" s="59">
        <v>0</v>
      </c>
      <c r="CB963" s="59">
        <f>IFERROR((paper3[[#This Row],[meanadd]]*(paper3[[#This Row],[leglength]]/100))/paper3[[#This Row],[bodymass]],"")</f>
        <v>2.0291715976331366</v>
      </c>
      <c r="CC963" s="59">
        <f>IFERROR((paper3[[#This Row],[meanabd]]*(paper3[[#This Row],[leglength]]/100))/paper3[[#This Row],[bodymass]],"")</f>
        <v>1.6909763313609472</v>
      </c>
      <c r="CD963" s="60">
        <v>90</v>
      </c>
      <c r="CE963" s="60">
        <v>76</v>
      </c>
      <c r="CF963" s="61">
        <v>1.7751479289940828</v>
      </c>
      <c r="CG963" s="61">
        <v>1.4990138067061143</v>
      </c>
      <c r="CH963" s="61">
        <v>0.84444444444444444</v>
      </c>
      <c r="CI963" s="41">
        <v>14.2</v>
      </c>
      <c r="CJ963" s="40">
        <f>VLOOKUP(paper3[[#This Row],[YYIR nivå]],$DB:$DC,2)</f>
        <v>520</v>
      </c>
      <c r="CK963" s="3"/>
      <c r="CL963" s="62"/>
      <c r="CM963" s="63">
        <v>0</v>
      </c>
      <c r="CN963" s="3">
        <v>126</v>
      </c>
      <c r="CO963" s="3">
        <v>117</v>
      </c>
      <c r="CP963" s="41">
        <f>_xlfn.MAXIFS([1]!phvny[age],[1]!phvny[id],paper3[[#This Row],[id]],[1]!phvny[time],paper3[[#This Row],[time]])</f>
        <v>14.616666666666667</v>
      </c>
      <c r="CQ963" s="3"/>
      <c r="CR963" s="40">
        <f>AVERAGE(paper3[[#This Row],[Adduksjon ikke-dominant]:[Adduksjon dominant]])</f>
        <v>126</v>
      </c>
      <c r="CS963" s="40">
        <f>AVERAGE(paper3[[#This Row],[Abduksjon ikke-dominant]:[Abduksjon dominant]])</f>
        <v>105</v>
      </c>
      <c r="CT963" s="40">
        <v>232.5</v>
      </c>
      <c r="CU963" s="40"/>
      <c r="CV963" s="40"/>
      <c r="CW963" s="40"/>
      <c r="CX963" s="40"/>
      <c r="CY963" s="40">
        <v>0</v>
      </c>
    </row>
    <row r="964" spans="1:103" ht="18.95" customHeight="1">
      <c r="A964" s="3">
        <v>450</v>
      </c>
      <c r="B964" s="92" t="s">
        <v>103</v>
      </c>
      <c r="C964" s="3" t="s">
        <v>115</v>
      </c>
      <c r="D964" s="3" t="s">
        <v>269</v>
      </c>
      <c r="E964" s="39">
        <v>45370</v>
      </c>
      <c r="F964" s="3" t="s">
        <v>186</v>
      </c>
      <c r="G964" s="3" t="s">
        <v>107</v>
      </c>
      <c r="H964" s="3">
        <v>2009</v>
      </c>
      <c r="I964" s="40" t="s">
        <v>108</v>
      </c>
      <c r="J964" s="39" t="s">
        <v>109</v>
      </c>
      <c r="K964" s="3">
        <v>172.8</v>
      </c>
      <c r="L964" s="3">
        <v>172.9</v>
      </c>
      <c r="M964" s="3"/>
      <c r="N964" s="3">
        <v>143.69999999999999</v>
      </c>
      <c r="O964" s="3">
        <v>143.9</v>
      </c>
      <c r="P964" s="3"/>
      <c r="Q964" s="3">
        <v>51.6</v>
      </c>
      <c r="R964" s="3"/>
      <c r="S964" s="3"/>
      <c r="T964" s="42">
        <v>172.85000000000002</v>
      </c>
      <c r="U964" s="42">
        <f>AVERAGE(paper3[[#This Row],[Sittende høyde 1]:[Sittende høyde 3]])-56.2</f>
        <v>87.600000000000009</v>
      </c>
      <c r="V964" s="12">
        <f>paper3[[#This Row],[height]]-paper3[[#This Row],[sittingheight]]</f>
        <v>85.250000000000014</v>
      </c>
      <c r="W964" s="73">
        <v>51.6</v>
      </c>
      <c r="X964" s="43" cm="1">
        <f t="array" ref="X964">INDEX([1]!phvny[yphv], MATCH(1, (paper3[[#This Row],[id]]=[1]!phvny[id])*(paper3[[#This Row],[time]]=[1]!phvny[time]), 0))</f>
        <v>2.5618787687828259</v>
      </c>
      <c r="Y964" s="3">
        <v>2.0499999999999998</v>
      </c>
      <c r="Z964" s="3">
        <v>3.6</v>
      </c>
      <c r="AA964" s="3">
        <v>5.14</v>
      </c>
      <c r="AB964" s="3">
        <v>2.06</v>
      </c>
      <c r="AC964" s="3">
        <v>3.62</v>
      </c>
      <c r="AD964" s="3">
        <v>5.18</v>
      </c>
      <c r="AE964" s="3">
        <v>2.04</v>
      </c>
      <c r="AF964" s="3">
        <v>3.56</v>
      </c>
      <c r="AG964" s="3">
        <v>5.03</v>
      </c>
      <c r="AH964" s="44">
        <v>2.04</v>
      </c>
      <c r="AI964" s="44">
        <v>3.56</v>
      </c>
      <c r="AJ964" s="44">
        <v>5.03</v>
      </c>
      <c r="AK964" s="45">
        <v>6.8027210884353728</v>
      </c>
      <c r="AL964" s="3">
        <v>11.4</v>
      </c>
      <c r="AM964" s="3">
        <v>11.29</v>
      </c>
      <c r="AN964" s="3">
        <v>11.23</v>
      </c>
      <c r="AO964" s="3">
        <v>11.52</v>
      </c>
      <c r="AP964" s="3">
        <v>11.23</v>
      </c>
      <c r="AQ964" s="47">
        <v>11.29</v>
      </c>
      <c r="AR964" s="47">
        <v>11.23</v>
      </c>
      <c r="AS964" s="3">
        <v>26.89</v>
      </c>
      <c r="AT964" s="3">
        <v>29.21</v>
      </c>
      <c r="AU964" s="3">
        <v>29.97</v>
      </c>
      <c r="AV964" s="3">
        <v>27.67</v>
      </c>
      <c r="AW964" s="3"/>
      <c r="AX964" s="48">
        <v>29.97</v>
      </c>
      <c r="AY964" s="71"/>
      <c r="AZ964" s="3"/>
      <c r="BA964" s="3"/>
      <c r="BB964" s="3"/>
      <c r="BC964" s="3"/>
      <c r="BD964" s="40">
        <v>670.92064132312191</v>
      </c>
      <c r="BE964" s="40">
        <v>675.56560845754132</v>
      </c>
      <c r="BF964" s="40"/>
      <c r="BG964" s="40">
        <v>364.20892859920593</v>
      </c>
      <c r="BH964" s="40">
        <v>360.87991183803587</v>
      </c>
      <c r="BI964" s="49">
        <v>1346.4862497806632</v>
      </c>
      <c r="BJ964" s="49">
        <v>725.08884043724174</v>
      </c>
      <c r="BK964" s="66">
        <v>-6.8756714022563115E-3</v>
      </c>
      <c r="BL964" s="66">
        <v>9.2247217203493825E-3</v>
      </c>
      <c r="BM964" s="51">
        <v>26.094694763191146</v>
      </c>
      <c r="BN964" s="51">
        <v>14.052109310799258</v>
      </c>
      <c r="BO964" s="52"/>
      <c r="BP964" s="40">
        <v>253</v>
      </c>
      <c r="BQ964" s="40">
        <v>227</v>
      </c>
      <c r="BR964" s="67">
        <v>0.11453744493392071</v>
      </c>
      <c r="BS964" s="54">
        <v>4.6511627906976747</v>
      </c>
      <c r="BT964" s="3">
        <v>96</v>
      </c>
      <c r="BU964" s="3">
        <v>96</v>
      </c>
      <c r="BV964" s="3">
        <v>91</v>
      </c>
      <c r="BW964" s="3">
        <v>97</v>
      </c>
      <c r="BX964" s="70">
        <v>0</v>
      </c>
      <c r="BY964" s="70">
        <v>-6.1855670103092786E-2</v>
      </c>
      <c r="BZ964" s="59">
        <v>0.98969072164948457</v>
      </c>
      <c r="CA964" s="59">
        <v>1.054945054945055</v>
      </c>
      <c r="CB964" s="59">
        <f>IFERROR((paper3[[#This Row],[meanadd]]*(paper3[[#This Row],[leglength]]/100))/paper3[[#This Row],[bodymass]],"")</f>
        <v>1.5860465116279072</v>
      </c>
      <c r="CC964" s="59">
        <f>IFERROR((paper3[[#This Row],[meanabd]]*(paper3[[#This Row],[leglength]]/100))/paper3[[#This Row],[bodymass]],"")</f>
        <v>1.5530038759689926</v>
      </c>
      <c r="CD964" s="60">
        <v>55</v>
      </c>
      <c r="CE964" s="60">
        <v>74</v>
      </c>
      <c r="CF964" s="61">
        <v>1.0658914728682169</v>
      </c>
      <c r="CG964" s="61">
        <v>1.4341085271317828</v>
      </c>
      <c r="CH964" s="61">
        <v>1.3454545454545455</v>
      </c>
      <c r="CI964" s="41">
        <v>14.2</v>
      </c>
      <c r="CJ964" s="40">
        <f>VLOOKUP(paper3[[#This Row],[YYIR nivå]],$DB:$DC,2)</f>
        <v>520</v>
      </c>
      <c r="CK964" s="3"/>
      <c r="CL964" s="62"/>
      <c r="CM964" s="63">
        <v>0</v>
      </c>
      <c r="CN964" s="3">
        <v>96</v>
      </c>
      <c r="CO964" s="3">
        <v>97</v>
      </c>
      <c r="CP964" s="41">
        <f>_xlfn.MAXIFS([1]!phvny[age],[1]!phvny[id],paper3[[#This Row],[id]],[1]!phvny[time],paper3[[#This Row],[time]])</f>
        <v>14.652777777777779</v>
      </c>
      <c r="CQ964" s="3"/>
      <c r="CR964" s="40">
        <f>AVERAGE(paper3[[#This Row],[Adduksjon ikke-dominant]:[Adduksjon dominant]])</f>
        <v>96</v>
      </c>
      <c r="CS964" s="40">
        <f>AVERAGE(paper3[[#This Row],[Abduksjon ikke-dominant]:[Abduksjon dominant]])</f>
        <v>94</v>
      </c>
      <c r="CT964" s="40">
        <v>240</v>
      </c>
      <c r="CU964" s="40"/>
      <c r="CV964" s="40"/>
      <c r="CW964" s="40"/>
      <c r="CX964" s="40"/>
      <c r="CY964" s="40">
        <v>0</v>
      </c>
    </row>
    <row r="965" spans="1:103" ht="18.95" customHeight="1">
      <c r="A965" s="3">
        <v>451</v>
      </c>
      <c r="B965" s="92" t="s">
        <v>103</v>
      </c>
      <c r="C965" s="3" t="s">
        <v>158</v>
      </c>
      <c r="D965" s="3" t="s">
        <v>269</v>
      </c>
      <c r="E965" s="39">
        <v>45357</v>
      </c>
      <c r="F965" s="3" t="s">
        <v>186</v>
      </c>
      <c r="G965" s="3" t="s">
        <v>107</v>
      </c>
      <c r="H965" s="3">
        <v>2009</v>
      </c>
      <c r="I965" s="40" t="s">
        <v>108</v>
      </c>
      <c r="J965" s="39" t="s">
        <v>109</v>
      </c>
      <c r="K965" s="3">
        <v>166.2</v>
      </c>
      <c r="L965" s="3">
        <v>166.4</v>
      </c>
      <c r="M965" s="3"/>
      <c r="N965" s="3">
        <v>141.4</v>
      </c>
      <c r="O965" s="3">
        <v>141.5</v>
      </c>
      <c r="P965" s="3"/>
      <c r="Q965" s="3">
        <v>53.2</v>
      </c>
      <c r="R965" s="3"/>
      <c r="S965" s="3"/>
      <c r="T965" s="42">
        <v>166.3</v>
      </c>
      <c r="U965" s="42">
        <f>AVERAGE(paper3[[#This Row],[Sittende høyde 1]:[Sittende høyde 3]])-56.2</f>
        <v>85.249999999999986</v>
      </c>
      <c r="V965" s="12">
        <f>paper3[[#This Row],[height]]-paper3[[#This Row],[sittingheight]]</f>
        <v>81.050000000000026</v>
      </c>
      <c r="W965" s="73">
        <v>53.2</v>
      </c>
      <c r="X965" s="43" cm="1">
        <f t="array" ref="X965">INDEX([1]!phvny[yphv], MATCH(1, (paper3[[#This Row],[id]]=[1]!phvny[id])*(paper3[[#This Row],[time]]=[1]!phvny[time]), 0))</f>
        <v>2.2105376143504882</v>
      </c>
      <c r="Y965" s="3">
        <v>2.11</v>
      </c>
      <c r="Z965" s="3">
        <v>3.57</v>
      </c>
      <c r="AA965" s="3">
        <v>4.9800000000000004</v>
      </c>
      <c r="AB965" s="3">
        <v>2.08</v>
      </c>
      <c r="AC965" s="3">
        <v>3.55</v>
      </c>
      <c r="AD965" s="3">
        <v>4.9800000000000004</v>
      </c>
      <c r="AE965" s="3">
        <v>1.98</v>
      </c>
      <c r="AF965" s="3">
        <v>3.45</v>
      </c>
      <c r="AG965" s="3">
        <v>4.88</v>
      </c>
      <c r="AH965" s="44">
        <v>1.98</v>
      </c>
      <c r="AI965" s="44">
        <v>3.45</v>
      </c>
      <c r="AJ965" s="44">
        <v>4.88</v>
      </c>
      <c r="AK965" s="45">
        <v>6.9930069930069942</v>
      </c>
      <c r="AL965" s="3">
        <v>10.96</v>
      </c>
      <c r="AM965" s="3">
        <v>11.02</v>
      </c>
      <c r="AN965" s="3">
        <v>10.68</v>
      </c>
      <c r="AO965" s="3">
        <v>10.59</v>
      </c>
      <c r="AP965" s="3">
        <v>10.59</v>
      </c>
      <c r="AQ965" s="47">
        <v>10.59</v>
      </c>
      <c r="AR965" s="47">
        <v>10.96</v>
      </c>
      <c r="AS965" s="3">
        <v>27.94</v>
      </c>
      <c r="AT965" s="3">
        <v>25.64</v>
      </c>
      <c r="AU965" s="3">
        <v>26.67</v>
      </c>
      <c r="AV965" s="3"/>
      <c r="AW965" s="3"/>
      <c r="AX965" s="48">
        <v>27.94</v>
      </c>
      <c r="AY965" s="71"/>
      <c r="AZ965" s="3"/>
      <c r="BA965" s="3"/>
      <c r="BB965" s="3"/>
      <c r="BC965" s="3"/>
      <c r="BD965" s="40">
        <v>950.31831140902045</v>
      </c>
      <c r="BE965" s="40">
        <v>927.07821977351693</v>
      </c>
      <c r="BF965" s="40"/>
      <c r="BG965" s="40">
        <v>285.23788282936903</v>
      </c>
      <c r="BH965" s="40">
        <v>232.27488018949927</v>
      </c>
      <c r="BI965" s="49">
        <v>1877.3965311825373</v>
      </c>
      <c r="BJ965" s="49">
        <v>517.51276301886833</v>
      </c>
      <c r="BK965" s="66">
        <v>-2.4455060327150613E-2</v>
      </c>
      <c r="BL965" s="66">
        <v>-0.18568011413670649</v>
      </c>
      <c r="BM965" s="51">
        <v>35.289408480874762</v>
      </c>
      <c r="BN965" s="51">
        <v>9.7276835153922612</v>
      </c>
      <c r="BO965" s="52"/>
      <c r="BP965" s="40">
        <v>238</v>
      </c>
      <c r="BQ965" s="40">
        <v>218</v>
      </c>
      <c r="BR965" s="67">
        <v>-8.4033613445378186E-2</v>
      </c>
      <c r="BS965" s="54">
        <v>4.2857142857142856</v>
      </c>
      <c r="BT965" s="3">
        <v>96</v>
      </c>
      <c r="BU965" s="3">
        <v>76</v>
      </c>
      <c r="BV965" s="3">
        <v>111</v>
      </c>
      <c r="BW965" s="3">
        <v>97</v>
      </c>
      <c r="BX965" s="70">
        <v>0.14432989690721643</v>
      </c>
      <c r="BY965" s="70">
        <v>0.26315789473684204</v>
      </c>
      <c r="BZ965" s="59">
        <v>1.2763157894736843</v>
      </c>
      <c r="CA965" s="59">
        <v>1.15625</v>
      </c>
      <c r="CB965" s="59">
        <f>IFERROR((paper3[[#This Row],[meanadd]]*(paper3[[#This Row],[leglength]]/100))/paper3[[#This Row],[bodymass]],"")</f>
        <v>1.3102067669172934</v>
      </c>
      <c r="CC965" s="59">
        <f>IFERROR((paper3[[#This Row],[meanabd]]*(paper3[[#This Row],[leglength]]/100))/paper3[[#This Row],[bodymass]],"")</f>
        <v>1.5844360902255643</v>
      </c>
      <c r="CD965" s="60">
        <v>73</v>
      </c>
      <c r="CE965" s="60">
        <v>49</v>
      </c>
      <c r="CF965" s="61">
        <v>1.3721804511278195</v>
      </c>
      <c r="CG965" s="61">
        <v>0.92105263157894735</v>
      </c>
      <c r="CH965" s="61">
        <v>0.67123287671232879</v>
      </c>
      <c r="CI965" s="41">
        <v>15.2</v>
      </c>
      <c r="CJ965" s="40">
        <f>VLOOKUP(paper3[[#This Row],[YYIR nivå]],$DB:$DC,2)</f>
        <v>840</v>
      </c>
      <c r="CK965" s="3"/>
      <c r="CL965" s="62"/>
      <c r="CM965" s="63">
        <v>0</v>
      </c>
      <c r="CN965" s="3">
        <v>111</v>
      </c>
      <c r="CO965" s="3">
        <v>96</v>
      </c>
      <c r="CP965" s="41">
        <f>_xlfn.MAXIFS([1]!phvny[age],[1]!phvny[id],paper3[[#This Row],[id]],[1]!phvny[time],paper3[[#This Row],[time]])</f>
        <v>14.630555555555556</v>
      </c>
      <c r="CQ965" s="3"/>
      <c r="CR965" s="40">
        <f>AVERAGE(paper3[[#This Row],[Adduksjon ikke-dominant]:[Adduksjon dominant]])</f>
        <v>86</v>
      </c>
      <c r="CS965" s="40">
        <f>AVERAGE(paper3[[#This Row],[Abduksjon ikke-dominant]:[Abduksjon dominant]])</f>
        <v>104</v>
      </c>
      <c r="CT965" s="40">
        <v>228</v>
      </c>
      <c r="CU965" s="40"/>
      <c r="CV965" s="40"/>
      <c r="CW965" s="40"/>
      <c r="CX965" s="40"/>
      <c r="CY965" s="40">
        <v>0</v>
      </c>
    </row>
    <row r="966" spans="1:103" ht="18.75">
      <c r="A966" s="3">
        <v>452</v>
      </c>
      <c r="B966" s="92" t="s">
        <v>103</v>
      </c>
      <c r="C966" s="3" t="s">
        <v>115</v>
      </c>
      <c r="D966" s="3" t="s">
        <v>269</v>
      </c>
      <c r="E966" s="39">
        <v>45357</v>
      </c>
      <c r="F966" s="3" t="s">
        <v>186</v>
      </c>
      <c r="G966" s="3" t="s">
        <v>107</v>
      </c>
      <c r="H966" s="3">
        <v>2009</v>
      </c>
      <c r="I966" s="40" t="s">
        <v>108</v>
      </c>
      <c r="J966" s="39" t="s">
        <v>109</v>
      </c>
      <c r="K966" s="3">
        <v>170</v>
      </c>
      <c r="L966" s="3">
        <v>170.1</v>
      </c>
      <c r="M966" s="3"/>
      <c r="N966" s="3">
        <v>142.30000000000001</v>
      </c>
      <c r="O966" s="3">
        <v>142.1</v>
      </c>
      <c r="P966" s="3"/>
      <c r="Q966" s="3">
        <v>59.1</v>
      </c>
      <c r="R966" s="3"/>
      <c r="S966" s="3"/>
      <c r="T966" s="42">
        <v>170.05</v>
      </c>
      <c r="U966" s="42">
        <f>AVERAGE(paper3[[#This Row],[Sittende høyde 1]:[Sittende høyde 3]])-56.2</f>
        <v>85.999999999999986</v>
      </c>
      <c r="V966" s="12">
        <f>paper3[[#This Row],[height]]-paper3[[#This Row],[sittingheight]]</f>
        <v>84.050000000000026</v>
      </c>
      <c r="W966" s="73">
        <v>59.1</v>
      </c>
      <c r="X966" s="43" cm="1">
        <f t="array" ref="X966">INDEX([1]!phvny[yphv], MATCH(1, (paper3[[#This Row],[id]]=[1]!phvny[id])*(paper3[[#This Row],[time]]=[1]!phvny[time]), 0))</f>
        <v>2.5807988344421573</v>
      </c>
      <c r="Y966" s="3">
        <v>1.96</v>
      </c>
      <c r="Z966" s="3">
        <v>3.4</v>
      </c>
      <c r="AA966" s="3">
        <v>4.8</v>
      </c>
      <c r="AB966" s="3">
        <v>2.0099999999999998</v>
      </c>
      <c r="AC966" s="3">
        <v>3.49</v>
      </c>
      <c r="AD966" s="3">
        <v>4.97</v>
      </c>
      <c r="AE966" s="3">
        <v>2.02</v>
      </c>
      <c r="AF966" s="3">
        <v>3.48</v>
      </c>
      <c r="AG966" s="3">
        <v>4.96</v>
      </c>
      <c r="AH966" s="44">
        <v>1.96</v>
      </c>
      <c r="AI966" s="44">
        <v>3.4</v>
      </c>
      <c r="AJ966" s="44">
        <v>4.8</v>
      </c>
      <c r="AK966" s="45">
        <v>7.1428571428571432</v>
      </c>
      <c r="AL966" s="3">
        <v>11.31</v>
      </c>
      <c r="AM966" s="3">
        <v>11.75</v>
      </c>
      <c r="AN966" s="3">
        <v>11.92</v>
      </c>
      <c r="AO966" s="3">
        <v>11.39</v>
      </c>
      <c r="AP966" s="3">
        <v>11.31</v>
      </c>
      <c r="AQ966" s="47">
        <v>11.31</v>
      </c>
      <c r="AR966" s="47">
        <v>11.39</v>
      </c>
      <c r="AS966" s="3">
        <v>29.96</v>
      </c>
      <c r="AT966" s="3">
        <v>28.8</v>
      </c>
      <c r="AU966" s="3">
        <v>27.07</v>
      </c>
      <c r="AV966" s="3"/>
      <c r="AW966" s="3"/>
      <c r="AX966" s="48">
        <v>29.96</v>
      </c>
      <c r="AY966" s="71"/>
      <c r="AZ966" s="3"/>
      <c r="BA966" s="3"/>
      <c r="BB966" s="3"/>
      <c r="BC966" s="3"/>
      <c r="BD966" s="40">
        <v>1026.5175228224539</v>
      </c>
      <c r="BE966" s="40">
        <v>1029.0580491119363</v>
      </c>
      <c r="BF966" s="40"/>
      <c r="BG966" s="40">
        <v>400.26076544533788</v>
      </c>
      <c r="BH966" s="40">
        <v>424.14003926617482</v>
      </c>
      <c r="BI966" s="49">
        <v>2055.5755719343902</v>
      </c>
      <c r="BJ966" s="49">
        <v>824.40080471151271</v>
      </c>
      <c r="BK966" s="66">
        <v>-2.4687881229584763E-3</v>
      </c>
      <c r="BL966" s="66">
        <v>-5.6300447046102153E-2</v>
      </c>
      <c r="BM966" s="51">
        <v>34.781312553881392</v>
      </c>
      <c r="BN966" s="51">
        <v>13.949252194780248</v>
      </c>
      <c r="BO966" s="52"/>
      <c r="BP966" s="40">
        <v>208</v>
      </c>
      <c r="BQ966" s="40">
        <v>219</v>
      </c>
      <c r="BR966" s="67">
        <v>-5.0228310502283158E-2</v>
      </c>
      <c r="BS966" s="54">
        <v>3.6125211505922166</v>
      </c>
      <c r="BT966" s="3">
        <v>98</v>
      </c>
      <c r="BU966" s="3">
        <v>102</v>
      </c>
      <c r="BV966" s="3">
        <v>171</v>
      </c>
      <c r="BW966" s="3">
        <v>169</v>
      </c>
      <c r="BX966" s="70">
        <v>-3.9215686274509776E-2</v>
      </c>
      <c r="BY966" s="70">
        <v>1.1834319526627279E-2</v>
      </c>
      <c r="BZ966" s="59">
        <v>0.60355029585798814</v>
      </c>
      <c r="CA966" s="59">
        <v>0.57309941520467833</v>
      </c>
      <c r="CB966" s="59">
        <f>IFERROR((paper3[[#This Row],[meanadd]]*(paper3[[#This Row],[leglength]]/100))/paper3[[#This Row],[bodymass]],"")</f>
        <v>1.4221658206429784</v>
      </c>
      <c r="CC966" s="59">
        <f>IFERROR((paper3[[#This Row],[meanabd]]*(paper3[[#This Row],[leglength]]/100))/paper3[[#This Row],[bodymass]],"")</f>
        <v>2.4176818950930632</v>
      </c>
      <c r="CD966" s="60">
        <v>74</v>
      </c>
      <c r="CE966" s="60">
        <v>75</v>
      </c>
      <c r="CF966" s="61">
        <v>1.2521150592216581</v>
      </c>
      <c r="CG966" s="61">
        <v>1.2690355329949239</v>
      </c>
      <c r="CH966" s="61">
        <v>1.0135135135135136</v>
      </c>
      <c r="CI966" s="41">
        <v>13.4</v>
      </c>
      <c r="CJ966" s="40">
        <f>VLOOKUP(paper3[[#This Row],[YYIR nivå]],$DB:$DC,2)</f>
        <v>440</v>
      </c>
      <c r="CK966" s="3"/>
      <c r="CL966" s="62"/>
      <c r="CM966" s="63">
        <v>0</v>
      </c>
      <c r="CN966" s="3">
        <v>102</v>
      </c>
      <c r="CO966" s="3">
        <v>171</v>
      </c>
      <c r="CP966" s="41">
        <f>_xlfn.MAXIFS([1]!phvny[age],[1]!phvny[id],paper3[[#This Row],[id]],[1]!phvny[time],paper3[[#This Row],[time]])</f>
        <v>14.944444444444445</v>
      </c>
      <c r="CQ966" s="3"/>
      <c r="CR966" s="40">
        <f>AVERAGE(paper3[[#This Row],[Adduksjon ikke-dominant]:[Adduksjon dominant]])</f>
        <v>100</v>
      </c>
      <c r="CS966" s="40">
        <f>AVERAGE(paper3[[#This Row],[Abduksjon ikke-dominant]:[Abduksjon dominant]])</f>
        <v>170</v>
      </c>
      <c r="CT966" s="40">
        <v>213.5</v>
      </c>
      <c r="CU966" s="40"/>
      <c r="CV966" s="40"/>
      <c r="CW966" s="40"/>
      <c r="CX966" s="40"/>
      <c r="CY966" s="40">
        <v>0</v>
      </c>
    </row>
    <row r="967" spans="1:103" ht="18.95" customHeight="1">
      <c r="A967" s="212">
        <v>464</v>
      </c>
      <c r="B967" s="92" t="s">
        <v>103</v>
      </c>
      <c r="C967" s="3">
        <v>0</v>
      </c>
      <c r="D967" s="3" t="s">
        <v>269</v>
      </c>
      <c r="E967" s="39">
        <v>45370</v>
      </c>
      <c r="F967" s="3" t="s">
        <v>186</v>
      </c>
      <c r="G967" s="3" t="s">
        <v>107</v>
      </c>
      <c r="H967" s="3">
        <v>2007</v>
      </c>
      <c r="I967" s="40" t="s">
        <v>116</v>
      </c>
      <c r="J967" s="39" t="s">
        <v>117</v>
      </c>
      <c r="K967" s="3">
        <v>165.5</v>
      </c>
      <c r="L967" s="3">
        <v>165.3</v>
      </c>
      <c r="M967" s="3"/>
      <c r="N967" s="3">
        <v>140.30000000000001</v>
      </c>
      <c r="O967" s="3">
        <v>140.30000000000001</v>
      </c>
      <c r="P967" s="3"/>
      <c r="Q967" s="3">
        <v>66.8</v>
      </c>
      <c r="R967" s="3"/>
      <c r="S967" s="3"/>
      <c r="T967" s="42">
        <v>165.4</v>
      </c>
      <c r="U967" s="42">
        <f>AVERAGE(paper3[[#This Row],[Sittende høyde 1]:[Sittende høyde 3]])-56.2</f>
        <v>84.100000000000009</v>
      </c>
      <c r="V967" s="12">
        <f>paper3[[#This Row],[height]]-paper3[[#This Row],[sittingheight]]</f>
        <v>81.3</v>
      </c>
      <c r="W967" s="73">
        <v>66.8</v>
      </c>
      <c r="X967" s="43" cm="1">
        <f t="array" ref="X967">INDEX([1]!phvny[yphv], MATCH(1, (paper3[[#This Row],[id]]=[1]!phvny[id])*(paper3[[#This Row],[time]]=[1]!phvny[time]), 0))</f>
        <v>3.0734151512075769</v>
      </c>
      <c r="Y967" s="3">
        <v>2.13</v>
      </c>
      <c r="Z967" s="3">
        <v>3.68</v>
      </c>
      <c r="AA967" s="3">
        <v>5.16</v>
      </c>
      <c r="AB967" s="3">
        <v>2.11</v>
      </c>
      <c r="AC967" s="3">
        <v>3.67</v>
      </c>
      <c r="AD967" s="3">
        <v>5.17</v>
      </c>
      <c r="AE967" s="3">
        <v>2.11</v>
      </c>
      <c r="AF967" s="3">
        <v>3.66</v>
      </c>
      <c r="AG967" s="3">
        <v>5.18</v>
      </c>
      <c r="AH967" s="44">
        <v>2.11</v>
      </c>
      <c r="AI967" s="44">
        <v>3.66</v>
      </c>
      <c r="AJ967" s="44">
        <v>5.16</v>
      </c>
      <c r="AK967" s="45">
        <v>6.666666666666667</v>
      </c>
      <c r="AL967" s="3">
        <v>11.23</v>
      </c>
      <c r="AM967" s="3">
        <v>11.27</v>
      </c>
      <c r="AN967" s="3">
        <v>11.46</v>
      </c>
      <c r="AO967" s="3">
        <v>11.39</v>
      </c>
      <c r="AP967" s="3">
        <v>11.23</v>
      </c>
      <c r="AQ967" s="47">
        <v>11.23</v>
      </c>
      <c r="AR967" s="47">
        <v>11.39</v>
      </c>
      <c r="AS967" s="3">
        <v>22.13</v>
      </c>
      <c r="AT967" s="3">
        <v>21.91</v>
      </c>
      <c r="AU967" s="3">
        <v>22.47</v>
      </c>
      <c r="AV967" s="3">
        <v>22.8</v>
      </c>
      <c r="AW967" s="3">
        <v>22.05</v>
      </c>
      <c r="AX967" s="48">
        <v>22.8</v>
      </c>
      <c r="AY967" s="71"/>
      <c r="AZ967" s="3"/>
      <c r="BA967" s="3">
        <v>272</v>
      </c>
      <c r="BB967" s="3"/>
      <c r="BC967" s="3" t="s">
        <v>281</v>
      </c>
      <c r="BD967" s="40">
        <v>1127.0403989126353</v>
      </c>
      <c r="BE967" s="40">
        <v>1157.7310579512321</v>
      </c>
      <c r="BF967" s="40"/>
      <c r="BG967" s="40">
        <v>397.28110068945341</v>
      </c>
      <c r="BH967" s="40">
        <v>386.01953880341551</v>
      </c>
      <c r="BI967" s="49">
        <v>2284.7714568638676</v>
      </c>
      <c r="BJ967" s="49">
        <v>783.30063949286887</v>
      </c>
      <c r="BK967" s="66">
        <v>-2.6509316501285074E-2</v>
      </c>
      <c r="BL967" s="66">
        <v>2.9173554066580509E-2</v>
      </c>
      <c r="BM967" s="51">
        <v>34.203165521914187</v>
      </c>
      <c r="BN967" s="51">
        <v>11.726057477438157</v>
      </c>
      <c r="BO967" s="52"/>
      <c r="BP967" s="40">
        <v>249</v>
      </c>
      <c r="BQ967" s="40">
        <v>222</v>
      </c>
      <c r="BR967" s="67">
        <v>0.12162162162162171</v>
      </c>
      <c r="BS967" s="54">
        <v>3.5254491017964074</v>
      </c>
      <c r="BT967" s="46">
        <v>96</v>
      </c>
      <c r="BU967" s="3">
        <v>91</v>
      </c>
      <c r="BV967" s="46">
        <v>119</v>
      </c>
      <c r="BW967" s="3">
        <v>119</v>
      </c>
      <c r="BX967" s="70">
        <v>5.4945054945054972E-2</v>
      </c>
      <c r="BY967" s="70">
        <v>0</v>
      </c>
      <c r="BZ967" s="59">
        <v>0.76470588235294112</v>
      </c>
      <c r="CA967" s="59">
        <v>0.80672268907563027</v>
      </c>
      <c r="CB967" s="59">
        <f>IFERROR((paper3[[#This Row],[meanadd]]*(paper3[[#This Row],[leglength]]/100))/paper3[[#This Row],[bodymass]],"")</f>
        <v>1.1379565868263473</v>
      </c>
      <c r="CC967" s="59">
        <f>IFERROR((paper3[[#This Row],[meanabd]]*(paper3[[#This Row],[leglength]]/100))/paper3[[#This Row],[bodymass]],"")</f>
        <v>1.4483083832335331</v>
      </c>
      <c r="CD967" s="60">
        <v>72</v>
      </c>
      <c r="CE967" s="60">
        <v>71</v>
      </c>
      <c r="CF967" s="61">
        <v>1.0778443113772456</v>
      </c>
      <c r="CG967" s="61">
        <v>1.062874251497006</v>
      </c>
      <c r="CH967" s="61">
        <v>0.98611111111111105</v>
      </c>
      <c r="CI967" s="41"/>
      <c r="CJ967" s="40"/>
      <c r="CK967" s="3"/>
      <c r="CL967" s="62"/>
      <c r="CM967" s="63">
        <v>0</v>
      </c>
      <c r="CN967" s="3">
        <v>96</v>
      </c>
      <c r="CO967" s="3">
        <v>119</v>
      </c>
      <c r="CP967" s="41">
        <f>_xlfn.MAXIFS([1]!phvny[age],[1]!phvny[id],paper3[[#This Row],[id]],[1]!phvny[time],paper3[[#This Row],[time]])</f>
        <v>16.355555555555554</v>
      </c>
      <c r="CQ967" s="3"/>
      <c r="CR967" s="40">
        <f>AVERAGE(paper3[[#This Row],[Adduksjon ikke-dominant]:[Adduksjon dominant]])</f>
        <v>93.5</v>
      </c>
      <c r="CS967" s="40">
        <f>AVERAGE(paper3[[#This Row],[Abduksjon ikke-dominant]:[Abduksjon dominant]])</f>
        <v>119</v>
      </c>
      <c r="CT967" s="40">
        <v>235.5</v>
      </c>
      <c r="CU967" s="40"/>
      <c r="CV967" s="40"/>
      <c r="CW967" s="40"/>
      <c r="CX967" s="40"/>
      <c r="CY967" s="40">
        <v>0</v>
      </c>
    </row>
    <row r="968" spans="1:103" ht="18.95" customHeight="1">
      <c r="A968" s="212">
        <v>466</v>
      </c>
      <c r="B968" s="92" t="s">
        <v>103</v>
      </c>
      <c r="C968" s="3">
        <v>0</v>
      </c>
      <c r="D968" s="3" t="s">
        <v>269</v>
      </c>
      <c r="E968" s="39">
        <v>45370</v>
      </c>
      <c r="F968" s="3" t="s">
        <v>186</v>
      </c>
      <c r="G968" s="3" t="s">
        <v>107</v>
      </c>
      <c r="H968" s="3">
        <v>2007</v>
      </c>
      <c r="I968" s="40" t="s">
        <v>116</v>
      </c>
      <c r="J968" s="39" t="s">
        <v>117</v>
      </c>
      <c r="K968" s="3">
        <v>179.2</v>
      </c>
      <c r="L968" s="3">
        <v>179</v>
      </c>
      <c r="M968" s="3"/>
      <c r="N968" s="3">
        <v>146.5</v>
      </c>
      <c r="O968" s="3">
        <v>146.30000000000001</v>
      </c>
      <c r="P968" s="3"/>
      <c r="Q968" s="3">
        <v>77.2</v>
      </c>
      <c r="R968" s="3"/>
      <c r="S968" s="3"/>
      <c r="T968" s="42">
        <v>179.1</v>
      </c>
      <c r="U968" s="42">
        <f>AVERAGE(paper3[[#This Row],[Sittende høyde 1]:[Sittende høyde 3]])-56.2</f>
        <v>90.2</v>
      </c>
      <c r="V968" s="12">
        <f>paper3[[#This Row],[height]]-paper3[[#This Row],[sittingheight]]</f>
        <v>88.899999999999991</v>
      </c>
      <c r="W968" s="73">
        <v>77.2</v>
      </c>
      <c r="X968" s="43" cm="1">
        <f t="array" ref="X968">INDEX([1]!phvny[yphv], MATCH(1, (paper3[[#This Row],[id]]=[1]!phvny[id])*(paper3[[#This Row],[time]]=[1]!phvny[time]), 0))</f>
        <v>3.8701210537805695</v>
      </c>
      <c r="Y968" s="3">
        <v>2.12</v>
      </c>
      <c r="Z968" s="3">
        <v>3.71</v>
      </c>
      <c r="AA968" s="3">
        <v>5.24</v>
      </c>
      <c r="AB968" s="3">
        <v>2.14</v>
      </c>
      <c r="AC968" s="3">
        <v>3.7</v>
      </c>
      <c r="AD968" s="3">
        <v>5.19</v>
      </c>
      <c r="AE968" s="3">
        <v>2.11</v>
      </c>
      <c r="AF968" s="3">
        <v>3.68</v>
      </c>
      <c r="AG968" s="3">
        <v>5.18</v>
      </c>
      <c r="AH968" s="44">
        <v>2.11</v>
      </c>
      <c r="AI968" s="44">
        <v>3.68</v>
      </c>
      <c r="AJ968" s="44">
        <v>5.18</v>
      </c>
      <c r="AK968" s="45">
        <v>6.6666666666666687</v>
      </c>
      <c r="AL968" s="3">
        <v>11.23</v>
      </c>
      <c r="AM968" s="3">
        <v>11.44</v>
      </c>
      <c r="AN968" s="3">
        <v>11.36</v>
      </c>
      <c r="AO968" s="3">
        <v>11.37</v>
      </c>
      <c r="AP968" s="3">
        <v>11.23</v>
      </c>
      <c r="AQ968" s="47">
        <v>11.23</v>
      </c>
      <c r="AR968" s="47">
        <v>11.36</v>
      </c>
      <c r="AS968" s="3">
        <v>24.41</v>
      </c>
      <c r="AT968" s="3">
        <v>25.93</v>
      </c>
      <c r="AU968" s="3">
        <v>27.65</v>
      </c>
      <c r="AV968" s="3">
        <v>26.75</v>
      </c>
      <c r="AW968" s="3"/>
      <c r="AX968" s="48">
        <v>27.65</v>
      </c>
      <c r="AY968" s="71"/>
      <c r="AZ968" s="3"/>
      <c r="BA968" s="3">
        <v>250</v>
      </c>
      <c r="BB968" s="3"/>
      <c r="BC968" s="3"/>
      <c r="BD968" s="40">
        <v>898.21194020906933</v>
      </c>
      <c r="BE968" s="40">
        <v>879.56374595932527</v>
      </c>
      <c r="BF968" s="40"/>
      <c r="BG968" s="40">
        <v>260.50660487726554</v>
      </c>
      <c r="BH968" s="40">
        <v>271.84375940482437</v>
      </c>
      <c r="BI968" s="49">
        <v>1777.7756861683947</v>
      </c>
      <c r="BJ968" s="49">
        <v>532.35036428208991</v>
      </c>
      <c r="BK968" s="66">
        <v>2.1201640398905708E-2</v>
      </c>
      <c r="BL968" s="66">
        <v>-4.1704670919723963E-2</v>
      </c>
      <c r="BM968" s="51">
        <v>23.028182463321173</v>
      </c>
      <c r="BN968" s="51">
        <v>6.8957301072809569</v>
      </c>
      <c r="BO968" s="52"/>
      <c r="BP968" s="40">
        <v>226</v>
      </c>
      <c r="BQ968" s="40">
        <v>221</v>
      </c>
      <c r="BR968" s="67">
        <v>2.2624434389140191E-2</v>
      </c>
      <c r="BS968" s="54">
        <v>2.895077720207254</v>
      </c>
      <c r="BT968" s="46">
        <v>91</v>
      </c>
      <c r="BU968" s="3">
        <v>98</v>
      </c>
      <c r="BV968" s="46">
        <v>121</v>
      </c>
      <c r="BW968" s="3">
        <v>116</v>
      </c>
      <c r="BX968" s="70">
        <v>-7.1428571428571397E-2</v>
      </c>
      <c r="BY968" s="70">
        <v>4.31034482758621E-2</v>
      </c>
      <c r="BZ968" s="59">
        <v>0.84482758620689657</v>
      </c>
      <c r="CA968" s="59">
        <v>0.75206611570247939</v>
      </c>
      <c r="CB968" s="59">
        <f>IFERROR((paper3[[#This Row],[meanadd]]*(paper3[[#This Row],[leglength]]/100))/paper3[[#This Row],[bodymass]],"")</f>
        <v>1.0882189119170984</v>
      </c>
      <c r="CC968" s="59">
        <f>IFERROR((paper3[[#This Row],[meanabd]]*(paper3[[#This Row],[leglength]]/100))/paper3[[#This Row],[bodymass]],"")</f>
        <v>1.364591968911917</v>
      </c>
      <c r="CD968" s="60">
        <v>76</v>
      </c>
      <c r="CE968" s="60">
        <v>94</v>
      </c>
      <c r="CF968" s="61">
        <v>0.98445595854922274</v>
      </c>
      <c r="CG968" s="61">
        <v>1.2176165803108807</v>
      </c>
      <c r="CH968" s="61">
        <v>1.2368421052631577</v>
      </c>
      <c r="CI968" s="41"/>
      <c r="CJ968" s="40"/>
      <c r="CK968" s="3"/>
      <c r="CL968" s="62"/>
      <c r="CM968" s="63">
        <v>0</v>
      </c>
      <c r="CN968" s="3">
        <v>98</v>
      </c>
      <c r="CO968" s="3">
        <v>121</v>
      </c>
      <c r="CP968" s="41">
        <f>_xlfn.MAXIFS([1]!phvny[age],[1]!phvny[id],paper3[[#This Row],[id]],[1]!phvny[time],paper3[[#This Row],[time]])</f>
        <v>16.280555555555555</v>
      </c>
      <c r="CQ968" s="3"/>
      <c r="CR968" s="40">
        <f>AVERAGE(paper3[[#This Row],[Adduksjon ikke-dominant]:[Adduksjon dominant]])</f>
        <v>94.5</v>
      </c>
      <c r="CS968" s="40">
        <f>AVERAGE(paper3[[#This Row],[Abduksjon ikke-dominant]:[Abduksjon dominant]])</f>
        <v>118.5</v>
      </c>
      <c r="CT968" s="40">
        <v>223.5</v>
      </c>
      <c r="CU968" s="40"/>
      <c r="CV968" s="40"/>
      <c r="CW968" s="40"/>
      <c r="CX968" s="40"/>
      <c r="CY968" s="40">
        <v>0</v>
      </c>
    </row>
    <row r="969" spans="1:103" ht="18.75">
      <c r="A969" s="212">
        <v>467</v>
      </c>
      <c r="B969" s="92" t="s">
        <v>103</v>
      </c>
      <c r="C969" s="3" t="s">
        <v>104</v>
      </c>
      <c r="D969" s="3" t="s">
        <v>269</v>
      </c>
      <c r="E969" s="39">
        <v>45370</v>
      </c>
      <c r="F969" s="3" t="s">
        <v>186</v>
      </c>
      <c r="G969" s="3" t="s">
        <v>107</v>
      </c>
      <c r="H969" s="3">
        <v>2007</v>
      </c>
      <c r="I969" s="40" t="s">
        <v>116</v>
      </c>
      <c r="J969" s="39" t="s">
        <v>117</v>
      </c>
      <c r="K969" s="3">
        <v>157</v>
      </c>
      <c r="L969" s="3">
        <v>157.1</v>
      </c>
      <c r="M969" s="3"/>
      <c r="N969" s="3">
        <v>134.1</v>
      </c>
      <c r="O969" s="3">
        <v>134.6</v>
      </c>
      <c r="P969" s="3">
        <v>134.80000000000001</v>
      </c>
      <c r="Q969" s="3">
        <v>61.1</v>
      </c>
      <c r="R969" s="3"/>
      <c r="S969" s="3"/>
      <c r="T969" s="42">
        <v>157.05000000000001</v>
      </c>
      <c r="U969" s="42">
        <f>AVERAGE(paper3[[#This Row],[Sittende høyde 1]:[Sittende høyde 3]])-56.2</f>
        <v>78.3</v>
      </c>
      <c r="V969" s="12">
        <f>paper3[[#This Row],[height]]-paper3[[#This Row],[sittingheight]]</f>
        <v>78.750000000000014</v>
      </c>
      <c r="W969" s="73">
        <v>61.1</v>
      </c>
      <c r="X969" s="43" cm="1">
        <f t="array" ref="X969">INDEX([1]!phvny[yphv], MATCH(1, (paper3[[#This Row],[id]]=[1]!phvny[id])*(paper3[[#This Row],[time]]=[1]!phvny[time]), 0))</f>
        <v>2.8199869905523727</v>
      </c>
      <c r="Y969" s="3">
        <v>2.12</v>
      </c>
      <c r="Z969" s="3">
        <v>3.72</v>
      </c>
      <c r="AA969" s="3">
        <v>5.28</v>
      </c>
      <c r="AB969" s="3">
        <v>2.09</v>
      </c>
      <c r="AC969" s="3">
        <v>3.64</v>
      </c>
      <c r="AD969" s="3">
        <v>5.17</v>
      </c>
      <c r="AE969" s="3">
        <v>2.14</v>
      </c>
      <c r="AF969" s="3">
        <v>3.67</v>
      </c>
      <c r="AG969" s="3">
        <v>5.16</v>
      </c>
      <c r="AH969" s="44">
        <v>2.09</v>
      </c>
      <c r="AI969" s="44">
        <v>3.64</v>
      </c>
      <c r="AJ969" s="44">
        <v>5.16</v>
      </c>
      <c r="AK969" s="45">
        <v>6.5789473684210522</v>
      </c>
      <c r="AL969" s="3">
        <v>11.31</v>
      </c>
      <c r="AM969" s="3">
        <v>11.13</v>
      </c>
      <c r="AN969" s="3">
        <v>11.25</v>
      </c>
      <c r="AO969" s="3">
        <v>11.32</v>
      </c>
      <c r="AP969" s="3">
        <v>11.13</v>
      </c>
      <c r="AQ969" s="47">
        <v>11.13</v>
      </c>
      <c r="AR969" s="47">
        <v>11.25</v>
      </c>
      <c r="AS969" s="3">
        <v>26.58</v>
      </c>
      <c r="AT969" s="3">
        <v>30.54</v>
      </c>
      <c r="AU969" s="3">
        <v>29.34</v>
      </c>
      <c r="AV969" s="3"/>
      <c r="AW969" s="3"/>
      <c r="AX969" s="48">
        <v>30.54</v>
      </c>
      <c r="AY969" s="71"/>
      <c r="AZ969" s="3"/>
      <c r="BA969" s="3">
        <v>250</v>
      </c>
      <c r="BB969" s="3"/>
      <c r="BC969" s="3">
        <v>226</v>
      </c>
      <c r="BD969" s="40">
        <v>990.6472467791458</v>
      </c>
      <c r="BE969" s="40">
        <v>995.70493347085926</v>
      </c>
      <c r="BF969" s="40"/>
      <c r="BG969" s="40">
        <v>456.95868750080035</v>
      </c>
      <c r="BH969" s="40">
        <v>453.92882992911484</v>
      </c>
      <c r="BI969" s="49">
        <v>1986.3521802500049</v>
      </c>
      <c r="BJ969" s="49">
        <v>910.88751742991519</v>
      </c>
      <c r="BK969" s="66">
        <v>-5.0795034971687913E-3</v>
      </c>
      <c r="BL969" s="66">
        <v>6.6747414394425775E-3</v>
      </c>
      <c r="BM969" s="51">
        <v>32.509855650572909</v>
      </c>
      <c r="BN969" s="51">
        <v>14.908142674794028</v>
      </c>
      <c r="BO969" s="52"/>
      <c r="BP969" s="40">
        <v>167</v>
      </c>
      <c r="BQ969" s="40">
        <v>156</v>
      </c>
      <c r="BR969" s="67">
        <v>7.0512820512820484E-2</v>
      </c>
      <c r="BS969" s="54">
        <v>2.6432078559738135</v>
      </c>
      <c r="BT969" s="46">
        <v>91</v>
      </c>
      <c r="BU969" s="3">
        <v>83</v>
      </c>
      <c r="BV969" s="46">
        <v>119</v>
      </c>
      <c r="BW969" s="3">
        <v>132</v>
      </c>
      <c r="BX969" s="70">
        <v>9.6385542168674787E-2</v>
      </c>
      <c r="BY969" s="70">
        <v>-9.8484848484848508E-2</v>
      </c>
      <c r="BZ969" s="59">
        <v>0.62878787878787878</v>
      </c>
      <c r="CA969" s="59">
        <v>0.76470588235294112</v>
      </c>
      <c r="CB969" s="59">
        <f>IFERROR((paper3[[#This Row],[meanadd]]*(paper3[[#This Row],[leglength]]/100))/paper3[[#This Row],[bodymass]],"")</f>
        <v>1.121317512274959</v>
      </c>
      <c r="CC969" s="59">
        <f>IFERROR((paper3[[#This Row],[meanabd]]*(paper3[[#This Row],[leglength]]/100))/paper3[[#This Row],[bodymass]],"")</f>
        <v>1.6175327332242226</v>
      </c>
      <c r="CD969" s="60">
        <v>79</v>
      </c>
      <c r="CE969" s="60">
        <v>75</v>
      </c>
      <c r="CF969" s="61">
        <v>1.292962356792144</v>
      </c>
      <c r="CG969" s="61">
        <v>1.2274959083469721</v>
      </c>
      <c r="CH969" s="61">
        <v>0.94936708860759489</v>
      </c>
      <c r="CI969" s="41"/>
      <c r="CJ969" s="40"/>
      <c r="CK969" s="3"/>
      <c r="CL969" s="62"/>
      <c r="CM969" s="63">
        <v>0</v>
      </c>
      <c r="CN969" s="3">
        <v>91</v>
      </c>
      <c r="CO969" s="3">
        <v>132</v>
      </c>
      <c r="CP969" s="41">
        <f>_xlfn.MAXIFS([1]!phvny[age],[1]!phvny[id],paper3[[#This Row],[id]],[1]!phvny[time],paper3[[#This Row],[time]])</f>
        <v>17.177777777777777</v>
      </c>
      <c r="CQ969" s="3"/>
      <c r="CR969" s="40">
        <f>AVERAGE(paper3[[#This Row],[Adduksjon ikke-dominant]:[Adduksjon dominant]])</f>
        <v>87</v>
      </c>
      <c r="CS969" s="40">
        <f>AVERAGE(paper3[[#This Row],[Abduksjon ikke-dominant]:[Abduksjon dominant]])</f>
        <v>125.5</v>
      </c>
      <c r="CT969" s="40">
        <v>161.5</v>
      </c>
      <c r="CU969" s="40"/>
      <c r="CV969" s="40"/>
      <c r="CW969" s="40"/>
      <c r="CX969" s="40"/>
      <c r="CY969" s="40">
        <v>0</v>
      </c>
    </row>
    <row r="970" spans="1:103" ht="18.95" customHeight="1">
      <c r="A970" s="212">
        <v>469</v>
      </c>
      <c r="B970" s="92" t="s">
        <v>103</v>
      </c>
      <c r="C970" s="3">
        <v>0</v>
      </c>
      <c r="D970" s="3" t="s">
        <v>269</v>
      </c>
      <c r="E970" s="39">
        <v>45370</v>
      </c>
      <c r="F970" s="3" t="s">
        <v>186</v>
      </c>
      <c r="G970" s="3" t="s">
        <v>107</v>
      </c>
      <c r="H970" s="3">
        <v>2007</v>
      </c>
      <c r="I970" s="40" t="s">
        <v>116</v>
      </c>
      <c r="J970" s="39" t="s">
        <v>117</v>
      </c>
      <c r="K970" s="3">
        <v>163.19999999999999</v>
      </c>
      <c r="L970" s="3">
        <v>163.1</v>
      </c>
      <c r="M970" s="3"/>
      <c r="N970" s="3">
        <v>142.5</v>
      </c>
      <c r="O970" s="3">
        <v>143.19999999999999</v>
      </c>
      <c r="P970" s="3">
        <v>142.69999999999999</v>
      </c>
      <c r="Q970" s="3">
        <v>65.3</v>
      </c>
      <c r="R970" s="3"/>
      <c r="S970" s="3"/>
      <c r="T970" s="42">
        <v>163.14999999999998</v>
      </c>
      <c r="U970" s="42">
        <f>AVERAGE(paper3[[#This Row],[Sittende høyde 1]:[Sittende høyde 3]])-56.2</f>
        <v>86.59999999999998</v>
      </c>
      <c r="V970" s="12">
        <f>paper3[[#This Row],[height]]-paper3[[#This Row],[sittingheight]]</f>
        <v>76.55</v>
      </c>
      <c r="W970" s="73">
        <v>65.3</v>
      </c>
      <c r="X970" s="43" cm="1">
        <f t="array" ref="X970">INDEX([1]!phvny[yphv], MATCH(1, (paper3[[#This Row],[id]]=[1]!phvny[id])*(paper3[[#This Row],[time]]=[1]!phvny[time]), 0))</f>
        <v>3.2896975008479563</v>
      </c>
      <c r="Y970" s="3">
        <v>2.15</v>
      </c>
      <c r="Z970" s="3">
        <v>3.74</v>
      </c>
      <c r="AA970" s="3">
        <v>5.32</v>
      </c>
      <c r="AB970" s="3">
        <v>2.12</v>
      </c>
      <c r="AC970" s="3">
        <v>3.68</v>
      </c>
      <c r="AD970" s="3">
        <v>5.22</v>
      </c>
      <c r="AE970" s="3">
        <v>2.08</v>
      </c>
      <c r="AF970" s="3">
        <v>3.63</v>
      </c>
      <c r="AG970" s="3">
        <v>5.18</v>
      </c>
      <c r="AH970" s="44">
        <v>2.08</v>
      </c>
      <c r="AI970" s="44">
        <v>3.63</v>
      </c>
      <c r="AJ970" s="44">
        <v>5.18</v>
      </c>
      <c r="AK970" s="45">
        <v>6.4516129032258069</v>
      </c>
      <c r="AL970" s="3">
        <v>11.2</v>
      </c>
      <c r="AM970" s="3">
        <v>11.31</v>
      </c>
      <c r="AN970" s="3">
        <v>11.64</v>
      </c>
      <c r="AO970" s="3">
        <v>11.2</v>
      </c>
      <c r="AP970" s="3">
        <v>11.2</v>
      </c>
      <c r="AQ970" s="47">
        <v>11.2</v>
      </c>
      <c r="AR970" s="47">
        <v>11.2</v>
      </c>
      <c r="AS970" s="3">
        <v>23.99</v>
      </c>
      <c r="AT970" s="3">
        <v>24.53</v>
      </c>
      <c r="AU970" s="3">
        <v>25.92</v>
      </c>
      <c r="AV970" s="3">
        <v>25.41</v>
      </c>
      <c r="AW970" s="3"/>
      <c r="AX970" s="48">
        <v>25.92</v>
      </c>
      <c r="AY970" s="71"/>
      <c r="AZ970" s="3"/>
      <c r="BA970" s="3"/>
      <c r="BB970" s="3"/>
      <c r="BC970" s="3"/>
      <c r="BD970" s="40">
        <v>1431.7594242867788</v>
      </c>
      <c r="BE970" s="40">
        <v>1460.8708224255772</v>
      </c>
      <c r="BF970" s="40"/>
      <c r="BG970" s="40">
        <v>404.67328201071518</v>
      </c>
      <c r="BH970" s="40">
        <v>468.69700176962704</v>
      </c>
      <c r="BI970" s="49">
        <v>2892.630246712356</v>
      </c>
      <c r="BJ970" s="49">
        <v>873.37028378034222</v>
      </c>
      <c r="BK970" s="66">
        <v>-1.9927428005210523E-2</v>
      </c>
      <c r="BL970" s="66">
        <v>-0.13659937980653147</v>
      </c>
      <c r="BM970" s="51">
        <v>44.29755354842812</v>
      </c>
      <c r="BN970" s="51">
        <v>13.374736351919482</v>
      </c>
      <c r="BO970" s="52"/>
      <c r="BP970" s="40">
        <v>211</v>
      </c>
      <c r="BQ970" s="40">
        <v>245</v>
      </c>
      <c r="BR970" s="67">
        <v>-0.13877551020408163</v>
      </c>
      <c r="BS970" s="54">
        <v>3.4915773353751915</v>
      </c>
      <c r="BT970" s="46">
        <v>90</v>
      </c>
      <c r="BU970" s="3">
        <v>106</v>
      </c>
      <c r="BV970" s="46">
        <v>92</v>
      </c>
      <c r="BW970" s="3">
        <v>103</v>
      </c>
      <c r="BX970" s="70">
        <v>-0.15094339622641506</v>
      </c>
      <c r="BY970" s="70">
        <v>-0.10679611650485432</v>
      </c>
      <c r="BZ970" s="59">
        <v>1.029126213592233</v>
      </c>
      <c r="CA970" s="59">
        <v>0.97826086956521741</v>
      </c>
      <c r="CB970" s="59">
        <f>IFERROR((paper3[[#This Row],[meanadd]]*(paper3[[#This Row],[leglength]]/100))/paper3[[#This Row],[bodymass]],"")</f>
        <v>1.1488361408882082</v>
      </c>
      <c r="CC970" s="59">
        <f>IFERROR((paper3[[#This Row],[meanabd]]*(paper3[[#This Row],[leglength]]/100))/paper3[[#This Row],[bodymass]],"")</f>
        <v>1.1429747320061254</v>
      </c>
      <c r="CD970" s="60">
        <v>92</v>
      </c>
      <c r="CE970" s="60">
        <v>100</v>
      </c>
      <c r="CF970" s="61">
        <v>1.4088820826952528</v>
      </c>
      <c r="CG970" s="61">
        <v>1.5313935681470139</v>
      </c>
      <c r="CH970" s="61">
        <v>1.0869565217391304</v>
      </c>
      <c r="CI970" s="41"/>
      <c r="CJ970" s="40"/>
      <c r="CK970" s="3"/>
      <c r="CL970" s="62"/>
      <c r="CM970" s="63">
        <v>0</v>
      </c>
      <c r="CN970" s="3">
        <v>106</v>
      </c>
      <c r="CO970" s="3">
        <v>103</v>
      </c>
      <c r="CP970" s="41">
        <f>_xlfn.MAXIFS([1]!phvny[age],[1]!phvny[id],paper3[[#This Row],[id]],[1]!phvny[time],paper3[[#This Row],[time]])</f>
        <v>16.655555555555555</v>
      </c>
      <c r="CQ970" s="3"/>
      <c r="CR970" s="40">
        <f>AVERAGE(paper3[[#This Row],[Adduksjon ikke-dominant]:[Adduksjon dominant]])</f>
        <v>98</v>
      </c>
      <c r="CS970" s="40">
        <f>AVERAGE(paper3[[#This Row],[Abduksjon ikke-dominant]:[Abduksjon dominant]])</f>
        <v>97.5</v>
      </c>
      <c r="CT970" s="40">
        <v>228</v>
      </c>
      <c r="CU970" s="40"/>
      <c r="CV970" s="40"/>
      <c r="CW970" s="40"/>
      <c r="CX970" s="40"/>
      <c r="CY970" s="40">
        <v>0</v>
      </c>
    </row>
    <row r="971" spans="1:103" ht="18.95" customHeight="1">
      <c r="A971" s="3">
        <v>480</v>
      </c>
      <c r="B971" s="92" t="s">
        <v>103</v>
      </c>
      <c r="C971" s="3" t="s">
        <v>115</v>
      </c>
      <c r="D971" s="3" t="s">
        <v>269</v>
      </c>
      <c r="E971" s="39">
        <v>45348</v>
      </c>
      <c r="F971" s="3" t="s">
        <v>186</v>
      </c>
      <c r="G971" s="3" t="s">
        <v>122</v>
      </c>
      <c r="H971" s="3">
        <v>2007</v>
      </c>
      <c r="I971" s="40" t="s">
        <v>116</v>
      </c>
      <c r="J971" s="39" t="s">
        <v>157</v>
      </c>
      <c r="K971" s="3">
        <v>181.4</v>
      </c>
      <c r="L971" s="3">
        <v>181.6</v>
      </c>
      <c r="M971" s="3"/>
      <c r="N971" s="3">
        <v>145</v>
      </c>
      <c r="O971" s="3">
        <v>145</v>
      </c>
      <c r="P971" s="3"/>
      <c r="Q971" s="3">
        <v>70.7</v>
      </c>
      <c r="R971" s="3"/>
      <c r="S971" s="3"/>
      <c r="T971" s="42">
        <v>181.5</v>
      </c>
      <c r="U971" s="42">
        <f>AVERAGE(paper3[[#This Row],[Sittende høyde 1]:[Sittende høyde 3]])-56.2</f>
        <v>88.8</v>
      </c>
      <c r="V971" s="12">
        <f>paper3[[#This Row],[height]]-paper3[[#This Row],[sittingheight]]</f>
        <v>92.7</v>
      </c>
      <c r="W971" s="73">
        <v>70.7</v>
      </c>
      <c r="X971" s="43" cm="1">
        <f t="array" ref="X971">INDEX([1]!phvny[yphv], MATCH(1, (paper3[[#This Row],[id]]=[1]!phvny[id])*(paper3[[#This Row],[time]]=[1]!phvny[time]), 0))</f>
        <v>1.8395122162369146</v>
      </c>
      <c r="Y971" s="3">
        <v>1.91</v>
      </c>
      <c r="Z971" s="3">
        <v>3.2</v>
      </c>
      <c r="AA971" s="3">
        <v>4.4400000000000004</v>
      </c>
      <c r="AB971" s="3">
        <v>1.78</v>
      </c>
      <c r="AC971" s="3">
        <v>3.05</v>
      </c>
      <c r="AD971" s="3">
        <v>4.28</v>
      </c>
      <c r="AE971" s="3">
        <v>1.81</v>
      </c>
      <c r="AF971" s="3">
        <v>3.09</v>
      </c>
      <c r="AG971" s="3">
        <v>4.32</v>
      </c>
      <c r="AH971" s="44">
        <v>1.78</v>
      </c>
      <c r="AI971" s="44">
        <v>3.05</v>
      </c>
      <c r="AJ971" s="44">
        <v>4.28</v>
      </c>
      <c r="AK971" s="45">
        <v>8.1300813008130053</v>
      </c>
      <c r="AL971" s="3">
        <v>9.2799999999999994</v>
      </c>
      <c r="AM971" s="3"/>
      <c r="AN971" s="3">
        <v>9.42</v>
      </c>
      <c r="AO971" s="3">
        <v>9.2200000000000006</v>
      </c>
      <c r="AP971" s="3">
        <v>9.2200000000000006</v>
      </c>
      <c r="AQ971" s="47">
        <v>9.2799999999999994</v>
      </c>
      <c r="AR971" s="47">
        <v>9.2200000000000006</v>
      </c>
      <c r="AS971" s="3">
        <v>45.32</v>
      </c>
      <c r="AT971" s="3">
        <v>46.64</v>
      </c>
      <c r="AU971" s="3">
        <v>48.4</v>
      </c>
      <c r="AV971" s="3"/>
      <c r="AW971" s="3"/>
      <c r="AX971" s="48">
        <v>48.4</v>
      </c>
      <c r="AY971" s="71"/>
      <c r="AZ971" s="3"/>
      <c r="BA971" s="3"/>
      <c r="BB971" s="3"/>
      <c r="BC971" s="3"/>
      <c r="BD971" s="40">
        <v>1511.7742206135613</v>
      </c>
      <c r="BE971" s="40">
        <v>1513.7506508540298</v>
      </c>
      <c r="BF971" s="40"/>
      <c r="BG971" s="40">
        <v>800.94157768132663</v>
      </c>
      <c r="BH971" s="40">
        <v>754.84446064750068</v>
      </c>
      <c r="BI971" s="49">
        <v>3025.5248714675909</v>
      </c>
      <c r="BJ971" s="49">
        <v>1555.7860383288273</v>
      </c>
      <c r="BK971" s="66">
        <v>-1.3056511251396952E-3</v>
      </c>
      <c r="BL971" s="66">
        <v>6.1068364990430224E-2</v>
      </c>
      <c r="BM971" s="51">
        <v>42.79384542386974</v>
      </c>
      <c r="BN971" s="51">
        <v>22.005460230959368</v>
      </c>
      <c r="BO971" s="52"/>
      <c r="BP971" s="40">
        <v>333</v>
      </c>
      <c r="BQ971" s="40">
        <v>355</v>
      </c>
      <c r="BR971" s="67">
        <v>-6.1971830985915521E-2</v>
      </c>
      <c r="BS971" s="54">
        <v>4.8656294200848658</v>
      </c>
      <c r="BT971" s="3">
        <v>236</v>
      </c>
      <c r="BU971" s="3">
        <v>254</v>
      </c>
      <c r="BV971" s="3">
        <v>205</v>
      </c>
      <c r="BW971" s="3">
        <v>204</v>
      </c>
      <c r="BX971" s="70">
        <v>-7.086614173228345E-2</v>
      </c>
      <c r="BY971" s="70">
        <v>4.9019607843137081E-3</v>
      </c>
      <c r="BZ971" s="59">
        <v>1.2450980392156863</v>
      </c>
      <c r="CA971" s="59">
        <v>1.1512195121951219</v>
      </c>
      <c r="CB971" s="59">
        <f>IFERROR((paper3[[#This Row],[meanadd]]*(paper3[[#This Row],[leglength]]/100))/paper3[[#This Row],[bodymass]],"")</f>
        <v>3.2123762376237623</v>
      </c>
      <c r="CC971" s="59">
        <f>IFERROR((paper3[[#This Row],[meanabd]]*(paper3[[#This Row],[leglength]]/100))/paper3[[#This Row],[bodymass]],"")</f>
        <v>2.6813507779349366</v>
      </c>
      <c r="CD971" s="60">
        <v>122</v>
      </c>
      <c r="CE971" s="60">
        <v>116</v>
      </c>
      <c r="CF971" s="61">
        <v>1.7256011315417255</v>
      </c>
      <c r="CG971" s="61">
        <v>1.6407355021216408</v>
      </c>
      <c r="CH971" s="61">
        <v>0.9508196721311476</v>
      </c>
      <c r="CI971" s="41"/>
      <c r="CJ971" s="40"/>
      <c r="CK971" s="3" t="s">
        <v>236</v>
      </c>
      <c r="CL971" s="62"/>
      <c r="CM971" s="63">
        <v>0</v>
      </c>
      <c r="CN971" s="3">
        <v>254</v>
      </c>
      <c r="CO971" s="3">
        <v>205</v>
      </c>
      <c r="CP971" s="41">
        <f>_xlfn.MAXIFS([1]!phvny[age],[1]!phvny[id],paper3[[#This Row],[id]],[1]!phvny[time],paper3[[#This Row],[time]])</f>
        <v>16.344444444444445</v>
      </c>
      <c r="CQ971" s="3"/>
      <c r="CR971" s="40">
        <f>AVERAGE(paper3[[#This Row],[Adduksjon ikke-dominant]:[Adduksjon dominant]])</f>
        <v>245</v>
      </c>
      <c r="CS971" s="40">
        <f>AVERAGE(paper3[[#This Row],[Abduksjon ikke-dominant]:[Abduksjon dominant]])</f>
        <v>204.5</v>
      </c>
      <c r="CT971" s="40">
        <v>344</v>
      </c>
      <c r="CU971" s="40"/>
      <c r="CV971" s="40"/>
      <c r="CW971" s="40"/>
      <c r="CX971" s="40"/>
      <c r="CY971" s="40">
        <v>0</v>
      </c>
    </row>
    <row r="972" spans="1:103" ht="18.75">
      <c r="A972" s="3">
        <v>485</v>
      </c>
      <c r="B972" s="92" t="s">
        <v>103</v>
      </c>
      <c r="C972" s="3" t="s">
        <v>115</v>
      </c>
      <c r="D972" s="3" t="s">
        <v>269</v>
      </c>
      <c r="E972" s="39">
        <v>45348</v>
      </c>
      <c r="F972" s="3" t="s">
        <v>186</v>
      </c>
      <c r="G972" s="3" t="s">
        <v>122</v>
      </c>
      <c r="H972" s="3">
        <v>2007</v>
      </c>
      <c r="I972" s="40" t="s">
        <v>116</v>
      </c>
      <c r="J972" s="39" t="s">
        <v>157</v>
      </c>
      <c r="K972" s="3">
        <v>166.9</v>
      </c>
      <c r="L972" s="3">
        <v>166.8</v>
      </c>
      <c r="M972" s="3"/>
      <c r="N972" s="3">
        <v>143.5</v>
      </c>
      <c r="O972" s="3">
        <v>143.6</v>
      </c>
      <c r="P972" s="3"/>
      <c r="Q972" s="3">
        <v>53.3</v>
      </c>
      <c r="R972" s="3"/>
      <c r="S972" s="3"/>
      <c r="T972" s="42">
        <v>166.85000000000002</v>
      </c>
      <c r="U972" s="42">
        <f>AVERAGE(paper3[[#This Row],[Sittende høyde 1]:[Sittende høyde 3]])-56.2</f>
        <v>87.350000000000009</v>
      </c>
      <c r="V972" s="12">
        <f>paper3[[#This Row],[height]]-paper3[[#This Row],[sittingheight]]</f>
        <v>79.500000000000014</v>
      </c>
      <c r="W972" s="73">
        <v>53.3</v>
      </c>
      <c r="X972" s="43" cm="1">
        <f t="array" ref="X972">INDEX([1]!phvny[yphv], MATCH(1, (paper3[[#This Row],[id]]=[1]!phvny[id])*(paper3[[#This Row],[time]]=[1]!phvny[time]), 0))</f>
        <v>1.8929813897843228</v>
      </c>
      <c r="Y972" s="3">
        <v>1.81</v>
      </c>
      <c r="Z972" s="3">
        <v>3.04</v>
      </c>
      <c r="AA972" s="3">
        <v>4.25</v>
      </c>
      <c r="AB972" s="3">
        <v>1.79</v>
      </c>
      <c r="AC972" s="60">
        <v>3</v>
      </c>
      <c r="AD972" s="60">
        <v>4.2</v>
      </c>
      <c r="AE972" s="3">
        <v>1.76</v>
      </c>
      <c r="AF972" s="3">
        <v>2.99</v>
      </c>
      <c r="AG972" s="3">
        <v>4.1900000000000004</v>
      </c>
      <c r="AH972" s="44">
        <v>1.76</v>
      </c>
      <c r="AI972" s="44">
        <v>2.99</v>
      </c>
      <c r="AJ972" s="44">
        <v>4.1900000000000004</v>
      </c>
      <c r="AK972" s="45">
        <v>8.3333333333333321</v>
      </c>
      <c r="AL972" s="3">
        <v>9.26</v>
      </c>
      <c r="AM972" s="3">
        <v>9.2799999999999994</v>
      </c>
      <c r="AN972" s="3">
        <v>9.43</v>
      </c>
      <c r="AO972" s="3">
        <v>9.5</v>
      </c>
      <c r="AP972" s="3">
        <v>9.26</v>
      </c>
      <c r="AQ972" s="47">
        <v>9.26</v>
      </c>
      <c r="AR972" s="47">
        <v>9.43</v>
      </c>
      <c r="AS972" s="3">
        <v>39.020000000000003</v>
      </c>
      <c r="AT972" s="3">
        <v>37.36</v>
      </c>
      <c r="AU972" s="3">
        <v>40.35</v>
      </c>
      <c r="AV972" s="3"/>
      <c r="AW972" s="3"/>
      <c r="AX972" s="48">
        <v>40.35</v>
      </c>
      <c r="AY972" s="71"/>
      <c r="AZ972" s="3"/>
      <c r="BA972" s="3"/>
      <c r="BB972" s="3"/>
      <c r="BC972" s="3"/>
      <c r="BD972" s="40">
        <v>1246.779411544034</v>
      </c>
      <c r="BE972" s="40">
        <v>1255.7200255155938</v>
      </c>
      <c r="BF972" s="40"/>
      <c r="BG972" s="40">
        <v>414.1980495029718</v>
      </c>
      <c r="BH972" s="40">
        <v>458.45553942740491</v>
      </c>
      <c r="BI972" s="49">
        <v>2502.4994370596278</v>
      </c>
      <c r="BJ972" s="49">
        <v>872.65358893037671</v>
      </c>
      <c r="BK972" s="66">
        <v>-7.1199103222781002E-3</v>
      </c>
      <c r="BL972" s="66">
        <v>-9.6536056647301471E-2</v>
      </c>
      <c r="BM972" s="51">
        <v>46.95120895046206</v>
      </c>
      <c r="BN972" s="51">
        <v>16.372487597192809</v>
      </c>
      <c r="BO972" s="52"/>
      <c r="BP972" s="40">
        <v>344</v>
      </c>
      <c r="BQ972" s="40">
        <v>345</v>
      </c>
      <c r="BR972" s="67">
        <v>-2.8985507246376274E-3</v>
      </c>
      <c r="BS972" s="54">
        <v>6.4634146341463419</v>
      </c>
      <c r="BT972" s="3">
        <v>122</v>
      </c>
      <c r="BU972" s="3">
        <v>126</v>
      </c>
      <c r="BV972" s="3">
        <v>95</v>
      </c>
      <c r="BW972" s="3">
        <v>96</v>
      </c>
      <c r="BX972" s="70">
        <v>-3.1746031746031744E-2</v>
      </c>
      <c r="BY972" s="70">
        <v>-1.041666666666663E-2</v>
      </c>
      <c r="BZ972" s="59">
        <v>1.3125</v>
      </c>
      <c r="CA972" s="59">
        <v>1.2842105263157895</v>
      </c>
      <c r="CB972" s="59">
        <f>IFERROR((paper3[[#This Row],[meanadd]]*(paper3[[#This Row],[leglength]]/100))/paper3[[#This Row],[bodymass]],"")</f>
        <v>1.8495309568480303</v>
      </c>
      <c r="CC972" s="59">
        <f>IFERROR((paper3[[#This Row],[meanabd]]*(paper3[[#This Row],[leglength]]/100))/paper3[[#This Row],[bodymass]],"")</f>
        <v>1.4244371482176363</v>
      </c>
      <c r="CD972" s="60">
        <v>96</v>
      </c>
      <c r="CE972" s="60">
        <v>85</v>
      </c>
      <c r="CF972" s="61">
        <v>1.8011257035647281</v>
      </c>
      <c r="CG972" s="61">
        <v>1.5947467166979363</v>
      </c>
      <c r="CH972" s="61">
        <v>0.88541666666666663</v>
      </c>
      <c r="CI972" s="41"/>
      <c r="CJ972" s="40"/>
      <c r="CK972" s="3"/>
      <c r="CL972" s="62"/>
      <c r="CM972" s="63">
        <v>0</v>
      </c>
      <c r="CN972" s="3">
        <v>126</v>
      </c>
      <c r="CO972" s="3">
        <v>96</v>
      </c>
      <c r="CP972" s="41">
        <f>_xlfn.MAXIFS([1]!phvny[age],[1]!phvny[id],paper3[[#This Row],[id]],[1]!phvny[time],paper3[[#This Row],[time]])</f>
        <v>17.097222222222221</v>
      </c>
      <c r="CQ972" s="3"/>
      <c r="CR972" s="40">
        <f>AVERAGE(paper3[[#This Row],[Adduksjon ikke-dominant]:[Adduksjon dominant]])</f>
        <v>124</v>
      </c>
      <c r="CS972" s="40">
        <f>AVERAGE(paper3[[#This Row],[Abduksjon ikke-dominant]:[Abduksjon dominant]])</f>
        <v>95.5</v>
      </c>
      <c r="CT972" s="40">
        <v>344.5</v>
      </c>
      <c r="CU972" s="40"/>
      <c r="CV972" s="40"/>
      <c r="CW972" s="40"/>
      <c r="CX972" s="40"/>
      <c r="CY972" s="40">
        <v>0</v>
      </c>
    </row>
    <row r="973" spans="1:103" ht="18.95" customHeight="1">
      <c r="A973" s="3">
        <v>486</v>
      </c>
      <c r="B973" s="92" t="s">
        <v>103</v>
      </c>
      <c r="C973" s="3" t="s">
        <v>115</v>
      </c>
      <c r="D973" s="3" t="s">
        <v>269</v>
      </c>
      <c r="E973" s="39">
        <v>45348</v>
      </c>
      <c r="F973" s="3" t="s">
        <v>186</v>
      </c>
      <c r="G973" s="3" t="s">
        <v>122</v>
      </c>
      <c r="H973" s="3">
        <v>2007</v>
      </c>
      <c r="I973" s="40" t="s">
        <v>116</v>
      </c>
      <c r="J973" s="39" t="s">
        <v>157</v>
      </c>
      <c r="K973" s="3">
        <v>184</v>
      </c>
      <c r="L973" s="3">
        <v>184</v>
      </c>
      <c r="M973" s="3"/>
      <c r="N973" s="3">
        <v>149</v>
      </c>
      <c r="O973" s="3">
        <v>149</v>
      </c>
      <c r="P973" s="3"/>
      <c r="Q973" s="3">
        <v>72.5</v>
      </c>
      <c r="R973" s="3"/>
      <c r="S973" s="3"/>
      <c r="T973" s="42">
        <v>184</v>
      </c>
      <c r="U973" s="42">
        <f>AVERAGE(paper3[[#This Row],[Sittende høyde 1]:[Sittende høyde 3]])-56.2</f>
        <v>92.8</v>
      </c>
      <c r="V973" s="12">
        <f>paper3[[#This Row],[height]]-paper3[[#This Row],[sittingheight]]</f>
        <v>91.2</v>
      </c>
      <c r="W973" s="73">
        <v>72.5</v>
      </c>
      <c r="X973" s="43" cm="1">
        <f t="array" ref="X973">INDEX([1]!phvny[yphv], MATCH(1, (paper3[[#This Row],[id]]=[1]!phvny[id])*(paper3[[#This Row],[time]]=[1]!phvny[time]), 0))</f>
        <v>2.6178613407536209</v>
      </c>
      <c r="Y973" s="3">
        <v>1.88</v>
      </c>
      <c r="Z973" s="3">
        <v>3.15</v>
      </c>
      <c r="AA973" s="3">
        <v>4.3600000000000003</v>
      </c>
      <c r="AB973" s="3">
        <v>1.96</v>
      </c>
      <c r="AC973" s="3">
        <v>3.23</v>
      </c>
      <c r="AD973" s="3">
        <v>4.43</v>
      </c>
      <c r="AE973" s="3">
        <v>2.0099999999999998</v>
      </c>
      <c r="AF973" s="3">
        <v>3.29</v>
      </c>
      <c r="AG973" s="3">
        <v>4.51</v>
      </c>
      <c r="AH973" s="44">
        <v>1.88</v>
      </c>
      <c r="AI973" s="44">
        <v>3.15</v>
      </c>
      <c r="AJ973" s="44">
        <v>4.3600000000000003</v>
      </c>
      <c r="AK973" s="45">
        <v>8.2644628099173527</v>
      </c>
      <c r="AL973" s="60">
        <v>9.3000000000000007</v>
      </c>
      <c r="AM973" s="3">
        <v>9.36</v>
      </c>
      <c r="AN973" s="3">
        <v>9.6</v>
      </c>
      <c r="AO973" s="3">
        <v>9.41</v>
      </c>
      <c r="AP973" s="3">
        <v>9.3000000000000007</v>
      </c>
      <c r="AQ973" s="47">
        <v>9.3000000000000007</v>
      </c>
      <c r="AR973" s="47">
        <v>9.41</v>
      </c>
      <c r="AS973" s="3">
        <v>39.9</v>
      </c>
      <c r="AT973" s="3">
        <v>41.15</v>
      </c>
      <c r="AU973" s="3">
        <v>40.770000000000003</v>
      </c>
      <c r="AV973" s="3"/>
      <c r="AW973" s="3"/>
      <c r="AX973" s="48">
        <v>41.15</v>
      </c>
      <c r="AY973" s="71"/>
      <c r="AZ973" s="3">
        <v>10</v>
      </c>
      <c r="BA973" s="3">
        <v>350</v>
      </c>
      <c r="BB973" s="3">
        <v>7</v>
      </c>
      <c r="BC973" s="3">
        <v>250</v>
      </c>
      <c r="BD973" s="40">
        <v>1058.5922241113406</v>
      </c>
      <c r="BE973" s="40">
        <v>1100.2797600355493</v>
      </c>
      <c r="BF973" s="40"/>
      <c r="BG973" s="40">
        <v>647.59605190992454</v>
      </c>
      <c r="BH973" s="40">
        <v>617.6482175148758</v>
      </c>
      <c r="BI973" s="49">
        <v>2158.8719841468901</v>
      </c>
      <c r="BJ973" s="49">
        <v>1265.2442694248002</v>
      </c>
      <c r="BK973" s="66">
        <v>-3.7888123946642316E-2</v>
      </c>
      <c r="BL973" s="66">
        <v>4.8486879012692219E-2</v>
      </c>
      <c r="BM973" s="51">
        <v>29.777544608922621</v>
      </c>
      <c r="BN973" s="51">
        <v>17.451645095514486</v>
      </c>
      <c r="BO973" s="52"/>
      <c r="BP973" s="40">
        <v>376</v>
      </c>
      <c r="BQ973" s="40">
        <v>371</v>
      </c>
      <c r="BR973" s="67">
        <v>1.3477088948786964E-2</v>
      </c>
      <c r="BS973" s="54">
        <v>5.1517241379310343</v>
      </c>
      <c r="BT973" s="3">
        <v>177</v>
      </c>
      <c r="BU973" s="3">
        <v>182.5</v>
      </c>
      <c r="BV973" s="3">
        <v>136</v>
      </c>
      <c r="BW973" s="3">
        <v>137.5</v>
      </c>
      <c r="BX973" s="70">
        <v>-3.013698630136985E-2</v>
      </c>
      <c r="BY973" s="70">
        <v>-1.0909090909090868E-2</v>
      </c>
      <c r="BZ973" s="59">
        <v>1.3272727272727274</v>
      </c>
      <c r="CA973" s="59">
        <v>1.3014705882352942</v>
      </c>
      <c r="CB973" s="59">
        <f>IFERROR((paper3[[#This Row],[meanadd]]*(paper3[[#This Row],[leglength]]/100))/paper3[[#This Row],[bodymass]],"")</f>
        <v>2.2611310344827587</v>
      </c>
      <c r="CC973" s="59">
        <f>IFERROR((paper3[[#This Row],[meanabd]]*(paper3[[#This Row],[leglength]]/100))/paper3[[#This Row],[bodymass]],"")</f>
        <v>1.7202206896551726</v>
      </c>
      <c r="CD973" s="60">
        <v>106</v>
      </c>
      <c r="CE973" s="60">
        <v>138</v>
      </c>
      <c r="CF973" s="61">
        <v>1.4620689655172414</v>
      </c>
      <c r="CG973" s="61">
        <v>1.903448275862069</v>
      </c>
      <c r="CH973" s="61">
        <v>1.3018867924528301</v>
      </c>
      <c r="CI973" s="41"/>
      <c r="CJ973" s="40"/>
      <c r="CK973" s="3"/>
      <c r="CL973" s="62"/>
      <c r="CM973" s="63">
        <v>0</v>
      </c>
      <c r="CN973" s="3">
        <v>182.5</v>
      </c>
      <c r="CO973" s="3">
        <v>137.5</v>
      </c>
      <c r="CP973" s="41">
        <f>_xlfn.MAXIFS([1]!phvny[age],[1]!phvny[id],paper3[[#This Row],[id]],[1]!phvny[time],paper3[[#This Row],[time]])</f>
        <v>16.716666666666665</v>
      </c>
      <c r="CQ973" s="3"/>
      <c r="CR973" s="40">
        <f>AVERAGE(paper3[[#This Row],[Adduksjon ikke-dominant]:[Adduksjon dominant]])</f>
        <v>179.75</v>
      </c>
      <c r="CS973" s="40">
        <f>AVERAGE(paper3[[#This Row],[Abduksjon ikke-dominant]:[Abduksjon dominant]])</f>
        <v>136.75</v>
      </c>
      <c r="CT973" s="40">
        <v>373.5</v>
      </c>
      <c r="CU973" s="40"/>
      <c r="CV973" s="40"/>
      <c r="CW973" s="40"/>
      <c r="CX973" s="40"/>
      <c r="CY973" s="40">
        <v>0</v>
      </c>
    </row>
    <row r="974" spans="1:103" ht="18.95" customHeight="1">
      <c r="A974" s="3">
        <v>487</v>
      </c>
      <c r="B974" s="92" t="s">
        <v>103</v>
      </c>
      <c r="C974" s="3" t="s">
        <v>115</v>
      </c>
      <c r="D974" s="3" t="s">
        <v>269</v>
      </c>
      <c r="E974" s="39">
        <v>45348</v>
      </c>
      <c r="F974" s="3" t="s">
        <v>186</v>
      </c>
      <c r="G974" s="3" t="s">
        <v>122</v>
      </c>
      <c r="H974" s="3">
        <v>2007</v>
      </c>
      <c r="I974" s="40" t="s">
        <v>116</v>
      </c>
      <c r="J974" s="39" t="s">
        <v>157</v>
      </c>
      <c r="K974" s="3">
        <v>182.1</v>
      </c>
      <c r="L974" s="3">
        <v>182.1</v>
      </c>
      <c r="M974" s="3"/>
      <c r="N974" s="3">
        <v>149.9</v>
      </c>
      <c r="O974" s="3">
        <v>149.80000000000001</v>
      </c>
      <c r="P974" s="3"/>
      <c r="Q974" s="3">
        <v>71.599999999999994</v>
      </c>
      <c r="R974" s="3"/>
      <c r="S974" s="3"/>
      <c r="T974" s="42">
        <v>182.1</v>
      </c>
      <c r="U974" s="42">
        <f>AVERAGE(paper3[[#This Row],[Sittende høyde 1]:[Sittende høyde 3]])-56.2</f>
        <v>93.65000000000002</v>
      </c>
      <c r="V974" s="12">
        <f>paper3[[#This Row],[height]]-paper3[[#This Row],[sittingheight]]</f>
        <v>88.449999999999974</v>
      </c>
      <c r="W974" s="73">
        <v>71.599999999999994</v>
      </c>
      <c r="X974" s="43" cm="1">
        <f t="array" ref="X974">INDEX([1]!phvny[yphv], MATCH(1, (paper3[[#This Row],[id]]=[1]!phvny[id])*(paper3[[#This Row],[time]]=[1]!phvny[time]), 0))</f>
        <v>2.6492645935689234</v>
      </c>
      <c r="Y974" s="3"/>
      <c r="Z974" s="3"/>
      <c r="AA974" s="3"/>
      <c r="AB974" s="3">
        <v>1.83</v>
      </c>
      <c r="AC974" s="3">
        <v>3.12</v>
      </c>
      <c r="AD974" s="3">
        <v>4.32</v>
      </c>
      <c r="AE974" s="3">
        <v>1.9</v>
      </c>
      <c r="AF974" s="3">
        <v>3.2</v>
      </c>
      <c r="AG974" s="3">
        <v>4.43</v>
      </c>
      <c r="AH974" s="44">
        <v>1.83</v>
      </c>
      <c r="AI974" s="44">
        <v>3.12</v>
      </c>
      <c r="AJ974" s="44">
        <v>4.32</v>
      </c>
      <c r="AK974" s="45">
        <v>8.3333333333333321</v>
      </c>
      <c r="AL974" s="3">
        <v>9.57</v>
      </c>
      <c r="AM974" s="3">
        <v>9.5</v>
      </c>
      <c r="AN974" s="3">
        <v>9.51</v>
      </c>
      <c r="AO974" s="3">
        <v>9.5</v>
      </c>
      <c r="AP974" s="3">
        <v>9.5</v>
      </c>
      <c r="AQ974" s="47">
        <v>9.5</v>
      </c>
      <c r="AR974" s="47">
        <v>9.5</v>
      </c>
      <c r="AS974" s="3">
        <v>33.119999999999997</v>
      </c>
      <c r="AT974" s="3">
        <v>36.75</v>
      </c>
      <c r="AU974" s="3">
        <v>36.76</v>
      </c>
      <c r="AV974" s="3">
        <v>35.28</v>
      </c>
      <c r="AW974" s="3"/>
      <c r="AX974" s="48">
        <v>36.76</v>
      </c>
      <c r="AY974" s="71"/>
      <c r="AZ974" s="3">
        <v>10</v>
      </c>
      <c r="BA974" s="3">
        <v>350</v>
      </c>
      <c r="BB974" s="3">
        <v>8</v>
      </c>
      <c r="BC974" s="3">
        <v>250</v>
      </c>
      <c r="BD974" s="40">
        <v>1121.8383091854412</v>
      </c>
      <c r="BE974" s="40">
        <v>1068.1062714658653</v>
      </c>
      <c r="BF974" s="40"/>
      <c r="BG974" s="40">
        <v>480.64458271065541</v>
      </c>
      <c r="BH974" s="40">
        <v>429.66995275152857</v>
      </c>
      <c r="BI974" s="49">
        <v>2189.9445806513068</v>
      </c>
      <c r="BJ974" s="49">
        <v>910.31453546218404</v>
      </c>
      <c r="BK974" s="66">
        <v>5.0305891047558671E-2</v>
      </c>
      <c r="BL974" s="66">
        <v>0.11863671088167682</v>
      </c>
      <c r="BM974" s="51">
        <v>30.585818165521047</v>
      </c>
      <c r="BN974" s="51">
        <v>12.71389016008637</v>
      </c>
      <c r="BO974" s="52"/>
      <c r="BP974" s="40">
        <v>413</v>
      </c>
      <c r="BQ974" s="40">
        <v>363</v>
      </c>
      <c r="BR974" s="67">
        <v>0.13774104683195598</v>
      </c>
      <c r="BS974" s="54">
        <v>5.4189944134078214</v>
      </c>
      <c r="BT974" s="3">
        <v>222</v>
      </c>
      <c r="BU974" s="3">
        <v>224</v>
      </c>
      <c r="BV974" s="3">
        <v>195</v>
      </c>
      <c r="BW974" s="3">
        <v>185</v>
      </c>
      <c r="BX974" s="70">
        <v>-8.9285714285713969E-3</v>
      </c>
      <c r="BY974" s="70">
        <v>5.4054054054053946E-2</v>
      </c>
      <c r="BZ974" s="59">
        <v>1.2108108108108109</v>
      </c>
      <c r="CA974" s="59">
        <v>1.1384615384615384</v>
      </c>
      <c r="CB974" s="59">
        <f>IFERROR((paper3[[#This Row],[meanadd]]*(paper3[[#This Row],[leglength]]/100))/paper3[[#This Row],[bodymass]],"")</f>
        <v>2.7547974860335187</v>
      </c>
      <c r="CC974" s="59">
        <f>IFERROR((paper3[[#This Row],[meanabd]]*(paper3[[#This Row],[leglength]]/100))/paper3[[#This Row],[bodymass]],"")</f>
        <v>2.3471368715083796</v>
      </c>
      <c r="CD974" s="60">
        <v>119</v>
      </c>
      <c r="CE974" s="60">
        <v>152</v>
      </c>
      <c r="CF974" s="61">
        <v>1.6620111731843576</v>
      </c>
      <c r="CG974" s="61">
        <v>2.1229050279329611</v>
      </c>
      <c r="CH974" s="61">
        <v>1.277310924369748</v>
      </c>
      <c r="CI974" s="41"/>
      <c r="CJ974" s="40"/>
      <c r="CK974" s="3"/>
      <c r="CL974" s="62"/>
      <c r="CM974" s="63">
        <v>0</v>
      </c>
      <c r="CN974" s="3">
        <v>224</v>
      </c>
      <c r="CO974" s="3">
        <v>195</v>
      </c>
      <c r="CP974" s="41">
        <f>_xlfn.MAXIFS([1]!phvny[age],[1]!phvny[id],paper3[[#This Row],[id]],[1]!phvny[time],paper3[[#This Row],[time]])</f>
        <v>16.533333333333335</v>
      </c>
      <c r="CQ974" s="3"/>
      <c r="CR974" s="40">
        <f>AVERAGE(paper3[[#This Row],[Adduksjon ikke-dominant]:[Adduksjon dominant]])</f>
        <v>223</v>
      </c>
      <c r="CS974" s="40">
        <f>AVERAGE(paper3[[#This Row],[Abduksjon ikke-dominant]:[Abduksjon dominant]])</f>
        <v>190</v>
      </c>
      <c r="CT974" s="40">
        <v>388</v>
      </c>
      <c r="CU974" s="40"/>
      <c r="CV974" s="40"/>
      <c r="CW974" s="40"/>
      <c r="CX974" s="40"/>
      <c r="CY974" s="40" t="s">
        <v>125</v>
      </c>
    </row>
    <row r="975" spans="1:103" ht="18.75">
      <c r="A975" s="3">
        <v>494</v>
      </c>
      <c r="B975" s="92" t="s">
        <v>103</v>
      </c>
      <c r="C975" s="3" t="s">
        <v>115</v>
      </c>
      <c r="D975" s="3" t="s">
        <v>269</v>
      </c>
      <c r="E975" s="39">
        <v>45355</v>
      </c>
      <c r="F975" s="3" t="s">
        <v>186</v>
      </c>
      <c r="G975" s="3" t="s">
        <v>107</v>
      </c>
      <c r="H975" s="3">
        <v>2009</v>
      </c>
      <c r="I975" s="40" t="s">
        <v>108</v>
      </c>
      <c r="J975" s="39" t="s">
        <v>109</v>
      </c>
      <c r="K975" s="3">
        <v>157.69999999999999</v>
      </c>
      <c r="L975" s="3">
        <v>158</v>
      </c>
      <c r="M975" s="3"/>
      <c r="N975" s="3">
        <v>139.1</v>
      </c>
      <c r="O975" s="3">
        <v>138.5</v>
      </c>
      <c r="P975" s="3"/>
      <c r="Q975" s="3">
        <v>54.2</v>
      </c>
      <c r="R975" s="3"/>
      <c r="S975" s="3"/>
      <c r="T975" s="42">
        <v>157.85</v>
      </c>
      <c r="U975" s="42">
        <f>AVERAGE(paper3[[#This Row],[Sittende høyde 1]:[Sittende høyde 3]])-56.2</f>
        <v>82.600000000000009</v>
      </c>
      <c r="V975" s="12">
        <f>paper3[[#This Row],[height]]-paper3[[#This Row],[sittingheight]]</f>
        <v>75.249999999999986</v>
      </c>
      <c r="W975" s="73">
        <v>54.2</v>
      </c>
      <c r="X975" s="43" cm="1">
        <f t="array" ref="X975">INDEX([1]!phvny[yphv], MATCH(1, (paper3[[#This Row],[id]]=[1]!phvny[id])*(paper3[[#This Row],[time]]=[1]!phvny[time]), 0))</f>
        <v>1.7272041574636625</v>
      </c>
      <c r="Y975" s="3">
        <v>2.08</v>
      </c>
      <c r="Z975" s="3">
        <v>3.63</v>
      </c>
      <c r="AA975" s="3">
        <v>5.2</v>
      </c>
      <c r="AB975" s="3">
        <v>2.1</v>
      </c>
      <c r="AC975" s="3">
        <v>3.68</v>
      </c>
      <c r="AD975" s="3">
        <v>5.23</v>
      </c>
      <c r="AE975" s="3">
        <v>2.06</v>
      </c>
      <c r="AF975" s="3">
        <v>3.63</v>
      </c>
      <c r="AG975" s="3">
        <v>5.16</v>
      </c>
      <c r="AH975" s="44">
        <v>2.06</v>
      </c>
      <c r="AI975" s="44">
        <v>3.63</v>
      </c>
      <c r="AJ975" s="44">
        <v>5.16</v>
      </c>
      <c r="AK975" s="45">
        <v>6.5359477124182996</v>
      </c>
      <c r="AL975" s="3">
        <v>11.47</v>
      </c>
      <c r="AM975" s="3">
        <v>11.32</v>
      </c>
      <c r="AN975" s="3">
        <v>11.45</v>
      </c>
      <c r="AO975" s="3">
        <v>11.67</v>
      </c>
      <c r="AP975" s="3">
        <v>11.32</v>
      </c>
      <c r="AQ975" s="47">
        <v>11.32</v>
      </c>
      <c r="AR975" s="47">
        <v>11.45</v>
      </c>
      <c r="AS975" s="3">
        <v>21.78</v>
      </c>
      <c r="AT975" s="3">
        <v>19.02</v>
      </c>
      <c r="AU975" s="3">
        <v>20.99</v>
      </c>
      <c r="AV975" s="3"/>
      <c r="AW975" s="3"/>
      <c r="AX975" s="48">
        <v>21.78</v>
      </c>
      <c r="AY975" s="71"/>
      <c r="AZ975" s="3"/>
      <c r="BA975" s="3"/>
      <c r="BB975" s="3"/>
      <c r="BC975" s="3"/>
      <c r="BD975" s="40">
        <v>814.32026669547838</v>
      </c>
      <c r="BE975" s="40">
        <v>747.74477219051357</v>
      </c>
      <c r="BF975" s="40"/>
      <c r="BG975" s="40">
        <v>230.49045373132651</v>
      </c>
      <c r="BH975" s="40">
        <v>139.12369413047827</v>
      </c>
      <c r="BI975" s="49">
        <v>1562.065038885992</v>
      </c>
      <c r="BJ975" s="49">
        <v>369.61414786180478</v>
      </c>
      <c r="BK975" s="66">
        <v>8.9035051772989648E-2</v>
      </c>
      <c r="BL975" s="66">
        <v>0.65673040219273648</v>
      </c>
      <c r="BM975" s="51">
        <v>28.820388171328265</v>
      </c>
      <c r="BN975" s="51">
        <v>6.8194492225425236</v>
      </c>
      <c r="BO975" s="52"/>
      <c r="BP975" s="40">
        <v>273</v>
      </c>
      <c r="BQ975" s="40">
        <v>281</v>
      </c>
      <c r="BR975" s="67">
        <v>-2.8469750889679735E-2</v>
      </c>
      <c r="BS975" s="54">
        <v>5.1107011070110699</v>
      </c>
      <c r="BT975" s="3">
        <v>118</v>
      </c>
      <c r="BU975" s="3">
        <v>109</v>
      </c>
      <c r="BV975" s="3">
        <v>108</v>
      </c>
      <c r="BW975" s="3">
        <v>108</v>
      </c>
      <c r="BX975" s="70">
        <v>8.256880733944949E-2</v>
      </c>
      <c r="BY975" s="70">
        <v>0</v>
      </c>
      <c r="BZ975" s="59">
        <v>1.0092592592592593</v>
      </c>
      <c r="CA975" s="59">
        <v>1.0925925925925926</v>
      </c>
      <c r="CB975" s="59">
        <f>IFERROR((paper3[[#This Row],[meanadd]]*(paper3[[#This Row],[leglength]]/100))/paper3[[#This Row],[bodymass]],"")</f>
        <v>1.5758071955719553</v>
      </c>
      <c r="CC975" s="59">
        <f>IFERROR((paper3[[#This Row],[meanabd]]*(paper3[[#This Row],[leglength]]/100))/paper3[[#This Row],[bodymass]],"")</f>
        <v>1.4994464944649442</v>
      </c>
      <c r="CD975" s="60">
        <v>67</v>
      </c>
      <c r="CE975" s="60">
        <v>45</v>
      </c>
      <c r="CF975" s="61">
        <v>1.2361623616236161</v>
      </c>
      <c r="CG975" s="61">
        <v>0.8302583025830258</v>
      </c>
      <c r="CH975" s="61">
        <v>0.67164179104477617</v>
      </c>
      <c r="CI975" s="41">
        <v>12.3</v>
      </c>
      <c r="CJ975" s="40">
        <f>VLOOKUP(paper3[[#This Row],[YYIR nivå]],$DB:$DC,2)</f>
        <v>280</v>
      </c>
      <c r="CK975" s="3"/>
      <c r="CL975" s="62"/>
      <c r="CM975" s="63">
        <v>0</v>
      </c>
      <c r="CN975" s="3">
        <v>118</v>
      </c>
      <c r="CO975" s="3">
        <v>108</v>
      </c>
      <c r="CP975" s="41">
        <f>_xlfn.MAXIFS([1]!phvny[age],[1]!phvny[id],paper3[[#This Row],[id]],[1]!phvny[time],paper3[[#This Row],[time]])</f>
        <v>14.469444444444445</v>
      </c>
      <c r="CQ975" s="3"/>
      <c r="CR975" s="40">
        <f>AVERAGE(paper3[[#This Row],[Adduksjon ikke-dominant]:[Adduksjon dominant]])</f>
        <v>113.5</v>
      </c>
      <c r="CS975" s="40">
        <f>AVERAGE(paper3[[#This Row],[Abduksjon ikke-dominant]:[Abduksjon dominant]])</f>
        <v>108</v>
      </c>
      <c r="CT975" s="40">
        <v>277</v>
      </c>
      <c r="CU975" s="40"/>
      <c r="CV975" s="40"/>
      <c r="CW975" s="40"/>
      <c r="CX975" s="40"/>
      <c r="CY975" s="40" t="s">
        <v>125</v>
      </c>
    </row>
    <row r="976" spans="1:103" ht="18.95" customHeight="1">
      <c r="A976" s="3">
        <v>495</v>
      </c>
      <c r="B976" s="92" t="s">
        <v>103</v>
      </c>
      <c r="C976" s="3" t="s">
        <v>115</v>
      </c>
      <c r="D976" s="3" t="s">
        <v>269</v>
      </c>
      <c r="E976" s="39">
        <v>45355</v>
      </c>
      <c r="F976" s="3" t="s">
        <v>186</v>
      </c>
      <c r="G976" s="3" t="s">
        <v>107</v>
      </c>
      <c r="H976" s="3">
        <v>2009</v>
      </c>
      <c r="I976" s="40" t="s">
        <v>108</v>
      </c>
      <c r="J976" s="39" t="s">
        <v>109</v>
      </c>
      <c r="K976" s="3">
        <v>167.1</v>
      </c>
      <c r="L976" s="3">
        <v>167.6</v>
      </c>
      <c r="M976" s="3"/>
      <c r="N976" s="3">
        <v>145.5</v>
      </c>
      <c r="O976" s="3">
        <v>145</v>
      </c>
      <c r="P976" s="3"/>
      <c r="Q976" s="3">
        <v>57.7</v>
      </c>
      <c r="R976" s="3"/>
      <c r="S976" s="3"/>
      <c r="T976" s="42">
        <v>167.35</v>
      </c>
      <c r="U976" s="42">
        <f>AVERAGE(paper3[[#This Row],[Sittende høyde 1]:[Sittende høyde 3]])-56.2</f>
        <v>89.05</v>
      </c>
      <c r="V976" s="12">
        <f>paper3[[#This Row],[height]]-paper3[[#This Row],[sittingheight]]</f>
        <v>78.3</v>
      </c>
      <c r="W976" s="73">
        <v>57.7</v>
      </c>
      <c r="X976" s="43" cm="1">
        <f t="array" ref="X976">INDEX([1]!phvny[yphv], MATCH(1, (paper3[[#This Row],[id]]=[1]!phvny[id])*(paper3[[#This Row],[time]]=[1]!phvny[time]), 0))</f>
        <v>2.6397661703997848</v>
      </c>
      <c r="Y976" s="3">
        <v>2.14</v>
      </c>
      <c r="Z976" s="3">
        <v>3.66</v>
      </c>
      <c r="AA976" s="3">
        <v>5.17</v>
      </c>
      <c r="AB976" s="3">
        <v>2.1</v>
      </c>
      <c r="AC976" s="3">
        <v>3.62</v>
      </c>
      <c r="AD976" s="3">
        <v>5.09</v>
      </c>
      <c r="AE976" s="3">
        <v>2.08</v>
      </c>
      <c r="AF976" s="3">
        <v>3.57</v>
      </c>
      <c r="AG976" s="3">
        <v>5.0999999999999996</v>
      </c>
      <c r="AH976" s="44">
        <v>2.08</v>
      </c>
      <c r="AI976" s="44">
        <v>3.57</v>
      </c>
      <c r="AJ976" s="44">
        <v>5.09</v>
      </c>
      <c r="AK976" s="45">
        <v>6.5789473684210522</v>
      </c>
      <c r="AL976" s="3">
        <v>12.09</v>
      </c>
      <c r="AM976" s="3">
        <v>12.24</v>
      </c>
      <c r="AN976" s="3">
        <v>12.83</v>
      </c>
      <c r="AO976" s="3">
        <v>12.14</v>
      </c>
      <c r="AP976" s="3">
        <v>12.09</v>
      </c>
      <c r="AQ976" s="47">
        <v>12.09</v>
      </c>
      <c r="AR976" s="47">
        <v>12.14</v>
      </c>
      <c r="AS976" s="3">
        <v>22.14</v>
      </c>
      <c r="AT976" s="3">
        <v>22.57</v>
      </c>
      <c r="AU976" s="3">
        <v>20.170000000000002</v>
      </c>
      <c r="AV976" s="3"/>
      <c r="AW976" s="3"/>
      <c r="AX976" s="48">
        <v>22.57</v>
      </c>
      <c r="AY976" s="71" t="s">
        <v>282</v>
      </c>
      <c r="AZ976" s="3"/>
      <c r="BA976" s="3"/>
      <c r="BB976" s="3"/>
      <c r="BC976" s="3"/>
      <c r="BD976" s="40">
        <v>692.60608734111349</v>
      </c>
      <c r="BE976" s="40">
        <v>629.05617159665906</v>
      </c>
      <c r="BF976" s="40"/>
      <c r="BG976" s="40">
        <v>179.01624606454152</v>
      </c>
      <c r="BH976" s="40">
        <v>182.12743725869177</v>
      </c>
      <c r="BI976" s="49">
        <v>1321.6622589377725</v>
      </c>
      <c r="BJ976" s="49">
        <v>361.14368332323329</v>
      </c>
      <c r="BK976" s="66">
        <v>0.10102423060750398</v>
      </c>
      <c r="BL976" s="66">
        <v>-1.7082495866513225E-2</v>
      </c>
      <c r="BM976" s="51">
        <v>22.905758387136437</v>
      </c>
      <c r="BN976" s="51">
        <v>6.258989312361062</v>
      </c>
      <c r="BO976" s="52"/>
      <c r="BP976" s="40">
        <v>224</v>
      </c>
      <c r="BQ976" s="40">
        <v>189</v>
      </c>
      <c r="BR976" s="67">
        <v>0.18518518518518512</v>
      </c>
      <c r="BS976" s="54">
        <v>3.5788561525129983</v>
      </c>
      <c r="BT976" s="3">
        <v>90</v>
      </c>
      <c r="BU976" s="3">
        <v>97</v>
      </c>
      <c r="BV976" s="3">
        <v>108</v>
      </c>
      <c r="BW976" s="3">
        <v>108</v>
      </c>
      <c r="BX976" s="70">
        <v>-7.2164948453608213E-2</v>
      </c>
      <c r="BY976" s="70">
        <v>0</v>
      </c>
      <c r="BZ976" s="59">
        <v>0.89814814814814814</v>
      </c>
      <c r="CA976" s="59">
        <v>0.83333333333333337</v>
      </c>
      <c r="CB976" s="59">
        <f>IFERROR((paper3[[#This Row],[meanadd]]*(paper3[[#This Row],[leglength]]/100))/paper3[[#This Row],[bodymass]],"")</f>
        <v>1.2688128249566724</v>
      </c>
      <c r="CC976" s="59">
        <f>IFERROR((paper3[[#This Row],[meanabd]]*(paper3[[#This Row],[leglength]]/100))/paper3[[#This Row],[bodymass]],"")</f>
        <v>1.4655805892547658</v>
      </c>
      <c r="CD976" s="60">
        <v>100</v>
      </c>
      <c r="CE976" s="60">
        <v>67</v>
      </c>
      <c r="CF976" s="61">
        <v>1.7331022530329288</v>
      </c>
      <c r="CG976" s="61">
        <v>1.1611785095320624</v>
      </c>
      <c r="CH976" s="61">
        <v>0.67</v>
      </c>
      <c r="CI976" s="41">
        <v>12.2</v>
      </c>
      <c r="CJ976" s="40">
        <f>VLOOKUP(paper3[[#This Row],[YYIR nivå]],$DB:$DC,2)</f>
        <v>240</v>
      </c>
      <c r="CK976" s="3"/>
      <c r="CL976" s="62"/>
      <c r="CM976" s="63">
        <v>0</v>
      </c>
      <c r="CN976" s="3">
        <v>97</v>
      </c>
      <c r="CO976" s="3">
        <v>108</v>
      </c>
      <c r="CP976" s="41">
        <f>_xlfn.MAXIFS([1]!phvny[age],[1]!phvny[id],paper3[[#This Row],[id]],[1]!phvny[time],paper3[[#This Row],[time]])</f>
        <v>14.936111111111112</v>
      </c>
      <c r="CQ976" s="3"/>
      <c r="CR976" s="40">
        <f>AVERAGE(paper3[[#This Row],[Adduksjon ikke-dominant]:[Adduksjon dominant]])</f>
        <v>93.5</v>
      </c>
      <c r="CS976" s="40">
        <f>AVERAGE(paper3[[#This Row],[Abduksjon ikke-dominant]:[Abduksjon dominant]])</f>
        <v>108</v>
      </c>
      <c r="CT976" s="40">
        <v>206.5</v>
      </c>
      <c r="CU976" s="40"/>
      <c r="CV976" s="40"/>
      <c r="CW976" s="40"/>
      <c r="CX976" s="40"/>
      <c r="CY976" s="40">
        <v>0</v>
      </c>
    </row>
    <row r="977" spans="1:103" ht="18.95" customHeight="1">
      <c r="A977" s="3">
        <v>496</v>
      </c>
      <c r="B977" s="92" t="s">
        <v>103</v>
      </c>
      <c r="C977" s="3" t="s">
        <v>158</v>
      </c>
      <c r="D977" s="3" t="s">
        <v>269</v>
      </c>
      <c r="E977" s="39">
        <v>45355</v>
      </c>
      <c r="F977" s="3" t="s">
        <v>186</v>
      </c>
      <c r="G977" s="3" t="s">
        <v>107</v>
      </c>
      <c r="H977" s="3">
        <v>2009</v>
      </c>
      <c r="I977" s="40" t="s">
        <v>108</v>
      </c>
      <c r="J977" s="39" t="s">
        <v>109</v>
      </c>
      <c r="K977" s="3">
        <v>166</v>
      </c>
      <c r="L977" s="3">
        <v>166</v>
      </c>
      <c r="M977" s="3"/>
      <c r="N977" s="3">
        <v>142</v>
      </c>
      <c r="O977" s="3">
        <v>142.5</v>
      </c>
      <c r="P977" s="3"/>
      <c r="Q977" s="3">
        <v>55.8</v>
      </c>
      <c r="R977" s="3"/>
      <c r="S977" s="3"/>
      <c r="T977" s="42">
        <v>166</v>
      </c>
      <c r="U977" s="42">
        <f>AVERAGE(paper3[[#This Row],[Sittende høyde 1]:[Sittende høyde 3]])-56.2</f>
        <v>86.05</v>
      </c>
      <c r="V977" s="12">
        <f>paper3[[#This Row],[height]]-paper3[[#This Row],[sittingheight]]</f>
        <v>79.95</v>
      </c>
      <c r="W977" s="73">
        <v>55.8</v>
      </c>
      <c r="X977" s="43" cm="1">
        <f t="array" ref="X977">INDEX([1]!phvny[yphv], MATCH(1, (paper3[[#This Row],[id]]=[1]!phvny[id])*(paper3[[#This Row],[time]]=[1]!phvny[time]), 0))</f>
        <v>2.4237207050471898</v>
      </c>
      <c r="Y977" s="3">
        <v>1.95</v>
      </c>
      <c r="Z977" s="3">
        <v>3.4</v>
      </c>
      <c r="AA977" s="3">
        <v>4.76</v>
      </c>
      <c r="AB977" s="3">
        <v>2</v>
      </c>
      <c r="AC977" s="3">
        <v>3.46</v>
      </c>
      <c r="AD977" s="3">
        <v>4.8899999999999997</v>
      </c>
      <c r="AE977" s="3">
        <v>1.98</v>
      </c>
      <c r="AF977" s="3">
        <v>3.44</v>
      </c>
      <c r="AG977" s="3">
        <v>4.8499999999999996</v>
      </c>
      <c r="AH977" s="44">
        <v>1.95</v>
      </c>
      <c r="AI977" s="44">
        <v>3.4</v>
      </c>
      <c r="AJ977" s="44">
        <v>4.76</v>
      </c>
      <c r="AK977" s="45">
        <v>7.3529411764705888</v>
      </c>
      <c r="AL977" s="3">
        <v>11.22</v>
      </c>
      <c r="AM977" s="3">
        <v>10.71</v>
      </c>
      <c r="AN977" s="3">
        <v>10.64</v>
      </c>
      <c r="AO977" s="3">
        <v>10.77</v>
      </c>
      <c r="AP977" s="3">
        <v>10.64</v>
      </c>
      <c r="AQ977" s="47">
        <v>10.64</v>
      </c>
      <c r="AR977" s="47">
        <v>10.71</v>
      </c>
      <c r="AS977" s="3">
        <v>22.65</v>
      </c>
      <c r="AT977" s="3">
        <v>24.18</v>
      </c>
      <c r="AU977" s="3">
        <v>27.32</v>
      </c>
      <c r="AV977" s="3">
        <v>25.72</v>
      </c>
      <c r="AW977" s="3" t="s">
        <v>283</v>
      </c>
      <c r="AX977" s="48">
        <v>27.32</v>
      </c>
      <c r="AY977" s="71"/>
      <c r="AZ977" s="3"/>
      <c r="BA977" s="3"/>
      <c r="BB977" s="3"/>
      <c r="BC977" s="3"/>
      <c r="BD977" s="40">
        <v>873.64523631857242</v>
      </c>
      <c r="BE977" s="40">
        <v>776.71269801064636</v>
      </c>
      <c r="BF977" s="40"/>
      <c r="BG977" s="40">
        <v>435.88549701043598</v>
      </c>
      <c r="BH977" s="40">
        <v>404.74834167876435</v>
      </c>
      <c r="BI977" s="49">
        <v>1650.3579343292188</v>
      </c>
      <c r="BJ977" s="49">
        <v>840.63383868920027</v>
      </c>
      <c r="BK977" s="66">
        <v>-0.11095183064968928</v>
      </c>
      <c r="BL977" s="66">
        <v>-7.1434254053481694E-2</v>
      </c>
      <c r="BM977" s="51">
        <v>29.57630706683188</v>
      </c>
      <c r="BN977" s="51">
        <v>15.065122557154128</v>
      </c>
      <c r="BO977" s="52"/>
      <c r="BP977" s="40">
        <v>262</v>
      </c>
      <c r="BQ977" s="40">
        <v>298</v>
      </c>
      <c r="BR977" s="67">
        <v>0.13740458015267176</v>
      </c>
      <c r="BS977" s="54">
        <v>5.0179211469534053</v>
      </c>
      <c r="BT977" s="3">
        <v>132</v>
      </c>
      <c r="BU977" s="3">
        <v>116</v>
      </c>
      <c r="BV977" s="3">
        <v>160</v>
      </c>
      <c r="BW977" s="3">
        <v>167</v>
      </c>
      <c r="BX977" s="70">
        <v>-4.1916167664670656E-2</v>
      </c>
      <c r="BY977" s="70">
        <v>0.13793103448275867</v>
      </c>
      <c r="BZ977" s="59">
        <v>1.4396551724137931</v>
      </c>
      <c r="CA977" s="59">
        <v>1.2121212121212122</v>
      </c>
      <c r="CB977" s="59">
        <f>IFERROR((paper3[[#This Row],[meanadd]]*(paper3[[#This Row],[leglength]]/100))/paper3[[#This Row],[bodymass]],"")</f>
        <v>1.7766666666666668</v>
      </c>
      <c r="CC977" s="59">
        <f>IFERROR((paper3[[#This Row],[meanabd]]*(paper3[[#This Row],[leglength]]/100))/paper3[[#This Row],[bodymass]],"")</f>
        <v>2.3426209677419356</v>
      </c>
      <c r="CD977" s="60">
        <v>104</v>
      </c>
      <c r="CE977" s="60">
        <v>108</v>
      </c>
      <c r="CF977" s="61">
        <v>1.8637992831541219</v>
      </c>
      <c r="CG977" s="61">
        <v>1.935483870967742</v>
      </c>
      <c r="CH977" s="61">
        <v>1.0384615384615385</v>
      </c>
      <c r="CI977" s="41">
        <v>13.3</v>
      </c>
      <c r="CJ977" s="40">
        <f>VLOOKUP(paper3[[#This Row],[YYIR nivå]],$DB:$DC,2)</f>
        <v>400</v>
      </c>
      <c r="CK977" s="3"/>
      <c r="CL977" s="62"/>
      <c r="CM977" s="63">
        <v>0</v>
      </c>
      <c r="CN977" s="3">
        <v>167</v>
      </c>
      <c r="CO977" s="3">
        <v>132</v>
      </c>
      <c r="CP977" s="41">
        <f>_xlfn.MAXIFS([1]!phvny[age],[1]!phvny[id],paper3[[#This Row],[id]],[1]!phvny[time],paper3[[#This Row],[time]])</f>
        <v>14.936111111111112</v>
      </c>
      <c r="CQ977" s="3"/>
      <c r="CR977" s="40">
        <f>AVERAGE(paper3[[#This Row],[Adduksjon ikke-dominant]:[Adduksjon dominant]])</f>
        <v>124</v>
      </c>
      <c r="CS977" s="40">
        <f>AVERAGE(paper3[[#This Row],[Abduksjon ikke-dominant]:[Abduksjon dominant]])</f>
        <v>163.5</v>
      </c>
      <c r="CT977" s="40">
        <v>280</v>
      </c>
      <c r="CU977" s="40"/>
      <c r="CV977" s="40"/>
      <c r="CW977" s="40"/>
      <c r="CX977" s="40"/>
      <c r="CY977" s="40">
        <v>0</v>
      </c>
    </row>
    <row r="978" spans="1:103" ht="18.95" customHeight="1">
      <c r="A978" s="3">
        <v>497</v>
      </c>
      <c r="B978" s="92" t="s">
        <v>103</v>
      </c>
      <c r="C978" s="3" t="s">
        <v>115</v>
      </c>
      <c r="D978" s="3" t="s">
        <v>269</v>
      </c>
      <c r="E978" s="39">
        <v>45355</v>
      </c>
      <c r="F978" s="3" t="s">
        <v>186</v>
      </c>
      <c r="G978" s="3" t="s">
        <v>107</v>
      </c>
      <c r="H978" s="3">
        <v>2009</v>
      </c>
      <c r="I978" s="40" t="s">
        <v>108</v>
      </c>
      <c r="J978" s="39" t="s">
        <v>109</v>
      </c>
      <c r="K978" s="3">
        <v>164.4</v>
      </c>
      <c r="L978" s="3">
        <v>164.6</v>
      </c>
      <c r="M978" s="3"/>
      <c r="N978" s="3">
        <v>140</v>
      </c>
      <c r="O978" s="3">
        <v>139.80000000000001</v>
      </c>
      <c r="P978" s="3"/>
      <c r="Q978" s="3">
        <v>54.8</v>
      </c>
      <c r="R978" s="3"/>
      <c r="S978" s="3"/>
      <c r="T978" s="42">
        <v>164.5</v>
      </c>
      <c r="U978" s="42">
        <f>AVERAGE(paper3[[#This Row],[Sittende høyde 1]:[Sittende høyde 3]])-56.2</f>
        <v>83.7</v>
      </c>
      <c r="V978" s="12">
        <f>paper3[[#This Row],[height]]-paper3[[#This Row],[sittingheight]]</f>
        <v>80.8</v>
      </c>
      <c r="W978" s="73">
        <v>54.8</v>
      </c>
      <c r="X978" s="43" cm="1">
        <f t="array" ref="X978">INDEX([1]!phvny[yphv], MATCH(1, (paper3[[#This Row],[id]]=[1]!phvny[id])*(paper3[[#This Row],[time]]=[1]!phvny[time]), 0))</f>
        <v>2.2440717642517729</v>
      </c>
      <c r="Y978" s="3">
        <v>2.2000000000000002</v>
      </c>
      <c r="Z978" s="3">
        <v>3.84</v>
      </c>
      <c r="AA978" s="3">
        <v>5.42</v>
      </c>
      <c r="AB978" s="3">
        <v>2.19</v>
      </c>
      <c r="AC978" s="3">
        <v>3.84</v>
      </c>
      <c r="AD978" s="3">
        <v>5.44</v>
      </c>
      <c r="AE978" s="3">
        <v>2.1800000000000002</v>
      </c>
      <c r="AF978" s="3">
        <v>3.87</v>
      </c>
      <c r="AG978" s="3">
        <v>5.46</v>
      </c>
      <c r="AH978" s="44">
        <v>2.1800000000000002</v>
      </c>
      <c r="AI978" s="44">
        <v>3.84</v>
      </c>
      <c r="AJ978" s="44">
        <v>5.42</v>
      </c>
      <c r="AK978" s="45">
        <v>6.3291139240506329</v>
      </c>
      <c r="AL978" s="3">
        <v>12.2</v>
      </c>
      <c r="AM978" s="3">
        <v>11.99</v>
      </c>
      <c r="AN978" s="3">
        <v>11.96</v>
      </c>
      <c r="AO978" s="3"/>
      <c r="AP978" s="3">
        <v>11.96</v>
      </c>
      <c r="AQ978" s="47">
        <v>11.99</v>
      </c>
      <c r="AR978" s="47">
        <v>11.96</v>
      </c>
      <c r="AS978" s="3">
        <v>19.28</v>
      </c>
      <c r="AT978" s="3">
        <v>20.07</v>
      </c>
      <c r="AU978" s="3">
        <v>20.58</v>
      </c>
      <c r="AV978" s="3">
        <v>20.97</v>
      </c>
      <c r="AW978" s="3">
        <v>22.27</v>
      </c>
      <c r="AX978" s="48">
        <v>22.27</v>
      </c>
      <c r="AY978" s="71"/>
      <c r="AZ978" s="3"/>
      <c r="BA978" s="3"/>
      <c r="BB978" s="3"/>
      <c r="BC978" s="3"/>
      <c r="BD978" s="40">
        <v>800.09671161745382</v>
      </c>
      <c r="BE978" s="40">
        <v>797.06190493154293</v>
      </c>
      <c r="BF978" s="40"/>
      <c r="BG978" s="40">
        <v>307.47203437475127</v>
      </c>
      <c r="BH978" s="40">
        <v>297.21340539342862</v>
      </c>
      <c r="BI978" s="49">
        <v>1597.1586165489966</v>
      </c>
      <c r="BJ978" s="49">
        <v>604.68543976817989</v>
      </c>
      <c r="BK978" s="66">
        <v>3.8074918235762034E-3</v>
      </c>
      <c r="BL978" s="66">
        <v>3.4516037282178003E-2</v>
      </c>
      <c r="BM978" s="51">
        <v>29.14523022899629</v>
      </c>
      <c r="BN978" s="51">
        <v>11.034405835185765</v>
      </c>
      <c r="BO978" s="52"/>
      <c r="BP978" s="40">
        <v>240</v>
      </c>
      <c r="BQ978" s="40">
        <v>200</v>
      </c>
      <c r="BR978" s="67">
        <v>0.19999999999999996</v>
      </c>
      <c r="BS978" s="54">
        <v>4.014598540145986</v>
      </c>
      <c r="BT978" s="3">
        <v>110</v>
      </c>
      <c r="BU978" s="3">
        <v>114</v>
      </c>
      <c r="BV978" s="3">
        <v>108</v>
      </c>
      <c r="BW978" s="3">
        <v>99</v>
      </c>
      <c r="BX978" s="70">
        <v>-3.5087719298245612E-2</v>
      </c>
      <c r="BY978" s="70">
        <v>9.0909090909090828E-2</v>
      </c>
      <c r="BZ978" s="59">
        <v>1.1515151515151516</v>
      </c>
      <c r="CA978" s="59">
        <v>1.0185185185185186</v>
      </c>
      <c r="CB978" s="59">
        <f>IFERROR((paper3[[#This Row],[meanadd]]*(paper3[[#This Row],[leglength]]/100))/paper3[[#This Row],[bodymass]],"")</f>
        <v>1.6513868613138687</v>
      </c>
      <c r="CC978" s="59">
        <f>IFERROR((paper3[[#This Row],[meanabd]]*(paper3[[#This Row],[leglength]]/100))/paper3[[#This Row],[bodymass]],"")</f>
        <v>1.5260583941605841</v>
      </c>
      <c r="CD978" s="94">
        <v>78</v>
      </c>
      <c r="CE978" s="60">
        <v>133</v>
      </c>
      <c r="CF978" s="61">
        <v>1.4233576642335768</v>
      </c>
      <c r="CG978" s="61">
        <v>2.4270072992700733</v>
      </c>
      <c r="CH978" s="61">
        <v>1.7051282051282051</v>
      </c>
      <c r="CI978" s="41">
        <v>12.1</v>
      </c>
      <c r="CJ978" s="40">
        <f>VLOOKUP(paper3[[#This Row],[YYIR nivå]],$DB:$DC,2)</f>
        <v>200</v>
      </c>
      <c r="CK978" s="3"/>
      <c r="CL978" s="62"/>
      <c r="CM978" s="63">
        <v>0</v>
      </c>
      <c r="CN978" s="3">
        <v>114</v>
      </c>
      <c r="CO978" s="3">
        <v>108</v>
      </c>
      <c r="CP978" s="41">
        <f>_xlfn.MAXIFS([1]!phvny[age],[1]!phvny[id],paper3[[#This Row],[id]],[1]!phvny[time],paper3[[#This Row],[time]])</f>
        <v>14.941666666666666</v>
      </c>
      <c r="CQ978" s="3"/>
      <c r="CR978" s="40">
        <f>AVERAGE(paper3[[#This Row],[Adduksjon ikke-dominant]:[Adduksjon dominant]])</f>
        <v>112</v>
      </c>
      <c r="CS978" s="40">
        <f>AVERAGE(paper3[[#This Row],[Abduksjon ikke-dominant]:[Abduksjon dominant]])</f>
        <v>103.5</v>
      </c>
      <c r="CT978" s="40">
        <v>220</v>
      </c>
      <c r="CU978" s="40"/>
      <c r="CV978" s="40"/>
      <c r="CW978" s="40"/>
      <c r="CX978" s="40"/>
      <c r="CY978" s="40">
        <v>0</v>
      </c>
    </row>
    <row r="979" spans="1:103" ht="18.75">
      <c r="A979" s="3">
        <v>498</v>
      </c>
      <c r="B979" s="92" t="s">
        <v>103</v>
      </c>
      <c r="C979" s="3" t="s">
        <v>115</v>
      </c>
      <c r="D979" s="3" t="s">
        <v>269</v>
      </c>
      <c r="E979" s="39">
        <v>45355</v>
      </c>
      <c r="F979" s="3" t="s">
        <v>186</v>
      </c>
      <c r="G979" s="3" t="s">
        <v>107</v>
      </c>
      <c r="H979" s="3">
        <v>2009</v>
      </c>
      <c r="I979" s="40" t="s">
        <v>108</v>
      </c>
      <c r="J979" s="39" t="s">
        <v>109</v>
      </c>
      <c r="K979" s="3">
        <v>171.3</v>
      </c>
      <c r="L979" s="3">
        <v>171.4</v>
      </c>
      <c r="M979" s="3"/>
      <c r="N979" s="3">
        <v>146.4</v>
      </c>
      <c r="O979" s="3">
        <v>146</v>
      </c>
      <c r="P979" s="3"/>
      <c r="Q979" s="3">
        <v>58.4</v>
      </c>
      <c r="R979" s="3"/>
      <c r="S979" s="3"/>
      <c r="T979" s="42">
        <v>171.35000000000002</v>
      </c>
      <c r="U979" s="42">
        <f>AVERAGE(paper3[[#This Row],[Sittende høyde 1]:[Sittende høyde 3]])-56.2</f>
        <v>89.999999999999986</v>
      </c>
      <c r="V979" s="12">
        <f>paper3[[#This Row],[height]]-paper3[[#This Row],[sittingheight]]</f>
        <v>81.350000000000037</v>
      </c>
      <c r="W979" s="73">
        <v>58.4</v>
      </c>
      <c r="X979" s="43" cm="1">
        <f t="array" ref="X979">INDEX([1]!phvny[yphv], MATCH(1, (paper3[[#This Row],[id]]=[1]!phvny[id])*(paper3[[#This Row],[time]]=[1]!phvny[time]), 0))</f>
        <v>2.5982633050416628</v>
      </c>
      <c r="Y979" s="3">
        <v>2.06</v>
      </c>
      <c r="Z979" s="3">
        <v>3.51</v>
      </c>
      <c r="AA979" s="3">
        <v>4.92</v>
      </c>
      <c r="AB979" s="3">
        <v>2.0099999999999998</v>
      </c>
      <c r="AC979" s="3">
        <v>3.51</v>
      </c>
      <c r="AD979" s="3">
        <v>4.95</v>
      </c>
      <c r="AE979" s="3">
        <v>2.06</v>
      </c>
      <c r="AF979" s="3">
        <v>3.57</v>
      </c>
      <c r="AG979" s="3">
        <v>5.03</v>
      </c>
      <c r="AH979" s="44">
        <v>2.0099999999999998</v>
      </c>
      <c r="AI979" s="44">
        <v>3.51</v>
      </c>
      <c r="AJ979" s="44">
        <v>4.92</v>
      </c>
      <c r="AK979" s="45">
        <v>7.0921985815602833</v>
      </c>
      <c r="AL979" s="3">
        <v>11.36</v>
      </c>
      <c r="AM979" s="3">
        <v>11.54</v>
      </c>
      <c r="AN979" s="3">
        <v>11.95</v>
      </c>
      <c r="AO979" s="3"/>
      <c r="AP979" s="3">
        <v>11.36</v>
      </c>
      <c r="AQ979" s="47">
        <v>11.36</v>
      </c>
      <c r="AR979" s="47">
        <v>11.95</v>
      </c>
      <c r="AS979" s="3">
        <v>26.93</v>
      </c>
      <c r="AT979" s="3">
        <v>25.81</v>
      </c>
      <c r="AU979" s="3">
        <v>24.47</v>
      </c>
      <c r="AV979" s="3"/>
      <c r="AW979" s="3"/>
      <c r="AX979" s="48">
        <v>26.93</v>
      </c>
      <c r="AY979" s="71"/>
      <c r="AZ979" s="3"/>
      <c r="BA979" s="3"/>
      <c r="BB979" s="3"/>
      <c r="BC979" s="3"/>
      <c r="BD979" s="40">
        <v>873.55385924102666</v>
      </c>
      <c r="BE979" s="40">
        <v>940.93288332757356</v>
      </c>
      <c r="BF979" s="40"/>
      <c r="BG979" s="40">
        <v>319.9659606804239</v>
      </c>
      <c r="BH979" s="40">
        <v>343.26695187772134</v>
      </c>
      <c r="BI979" s="49">
        <v>1814.4867425686002</v>
      </c>
      <c r="BJ979" s="49">
        <v>663.23291255814524</v>
      </c>
      <c r="BK979" s="66">
        <v>-7.1608746256442313E-2</v>
      </c>
      <c r="BL979" s="66">
        <v>-6.7880088863310428E-2</v>
      </c>
      <c r="BM979" s="51">
        <v>31.069978468640414</v>
      </c>
      <c r="BN979" s="51">
        <v>11.356727954762761</v>
      </c>
      <c r="BO979" s="52"/>
      <c r="BP979" s="40">
        <v>219</v>
      </c>
      <c r="BQ979" s="40">
        <v>181</v>
      </c>
      <c r="BR979" s="67">
        <v>0.20994475138121538</v>
      </c>
      <c r="BS979" s="54">
        <v>3.4246575342465753</v>
      </c>
      <c r="BT979" s="3">
        <v>124</v>
      </c>
      <c r="BU979" s="3">
        <v>128</v>
      </c>
      <c r="BV979" s="3">
        <v>110</v>
      </c>
      <c r="BW979" s="3">
        <v>111</v>
      </c>
      <c r="BX979" s="70">
        <v>-3.125E-2</v>
      </c>
      <c r="BY979" s="70">
        <v>-9.009009009009028E-3</v>
      </c>
      <c r="BZ979" s="59">
        <v>1.1531531531531531</v>
      </c>
      <c r="CA979" s="59">
        <v>1.1272727272727272</v>
      </c>
      <c r="CB979" s="59">
        <f>IFERROR((paper3[[#This Row],[meanadd]]*(paper3[[#This Row],[leglength]]/100))/paper3[[#This Row],[bodymass]],"")</f>
        <v>1.7551541095890419</v>
      </c>
      <c r="CC979" s="59">
        <f>IFERROR((paper3[[#This Row],[meanabd]]*(paper3[[#This Row],[leglength]]/100))/paper3[[#This Row],[bodymass]],"")</f>
        <v>1.5392422945205484</v>
      </c>
      <c r="CD979" s="60">
        <v>109</v>
      </c>
      <c r="CE979" s="60">
        <v>132</v>
      </c>
      <c r="CF979" s="61">
        <v>1.8664383561643836</v>
      </c>
      <c r="CG979" s="61">
        <v>2.2602739726027399</v>
      </c>
      <c r="CH979" s="61">
        <v>1.2110091743119267</v>
      </c>
      <c r="CI979" s="41">
        <v>13.2</v>
      </c>
      <c r="CJ979" s="40">
        <f>VLOOKUP(paper3[[#This Row],[YYIR nivå]],$DB:$DC,2)</f>
        <v>360</v>
      </c>
      <c r="CK979" s="3"/>
      <c r="CL979" s="62"/>
      <c r="CM979" s="63">
        <v>0</v>
      </c>
      <c r="CN979" s="3">
        <v>128</v>
      </c>
      <c r="CO979" s="3">
        <v>111</v>
      </c>
      <c r="CP979" s="41">
        <f>_xlfn.MAXIFS([1]!phvny[age],[1]!phvny[id],paper3[[#This Row],[id]],[1]!phvny[time],paper3[[#This Row],[time]])</f>
        <v>14.513888888888889</v>
      </c>
      <c r="CQ979" s="3"/>
      <c r="CR979" s="40">
        <f>AVERAGE(paper3[[#This Row],[Adduksjon ikke-dominant]:[Adduksjon dominant]])</f>
        <v>126</v>
      </c>
      <c r="CS979" s="40">
        <f>AVERAGE(paper3[[#This Row],[Abduksjon ikke-dominant]:[Abduksjon dominant]])</f>
        <v>110.5</v>
      </c>
      <c r="CT979" s="40">
        <v>200</v>
      </c>
      <c r="CU979" s="40"/>
      <c r="CV979" s="40"/>
      <c r="CW979" s="40"/>
      <c r="CX979" s="40"/>
      <c r="CY979" s="40">
        <v>0</v>
      </c>
    </row>
    <row r="980" spans="1:103" ht="18.95" customHeight="1">
      <c r="A980" s="3">
        <v>500</v>
      </c>
      <c r="B980" s="92" t="s">
        <v>103</v>
      </c>
      <c r="C980" s="3" t="s">
        <v>115</v>
      </c>
      <c r="D980" s="3" t="s">
        <v>269</v>
      </c>
      <c r="E980" s="39">
        <v>45355</v>
      </c>
      <c r="F980" s="3" t="s">
        <v>186</v>
      </c>
      <c r="G980" s="3" t="s">
        <v>107</v>
      </c>
      <c r="H980" s="3">
        <v>2009</v>
      </c>
      <c r="I980" s="40" t="s">
        <v>108</v>
      </c>
      <c r="J980" s="39" t="s">
        <v>109</v>
      </c>
      <c r="K980" s="3">
        <v>169.6</v>
      </c>
      <c r="L980" s="3">
        <v>169.4</v>
      </c>
      <c r="M980" s="3"/>
      <c r="N980" s="3">
        <v>142.5</v>
      </c>
      <c r="O980" s="3">
        <v>142.1</v>
      </c>
      <c r="P980" s="3"/>
      <c r="Q980" s="3">
        <v>66.2</v>
      </c>
      <c r="R980" s="3"/>
      <c r="S980" s="3"/>
      <c r="T980" s="42">
        <v>169.5</v>
      </c>
      <c r="U980" s="42">
        <f>AVERAGE(paper3[[#This Row],[Sittende høyde 1]:[Sittende høyde 3]])-56.2</f>
        <v>86.100000000000009</v>
      </c>
      <c r="V980" s="12">
        <f>paper3[[#This Row],[height]]-paper3[[#This Row],[sittingheight]]</f>
        <v>83.399999999999991</v>
      </c>
      <c r="W980" s="73">
        <v>66.2</v>
      </c>
      <c r="X980" s="43" cm="1">
        <f t="array" ref="X980">INDEX([1]!phvny[yphv], MATCH(1, (paper3[[#This Row],[id]]=[1]!phvny[id])*(paper3[[#This Row],[time]]=[1]!phvny[time]), 0))</f>
        <v>2.6789903539144553</v>
      </c>
      <c r="Y980" s="3">
        <v>2.04</v>
      </c>
      <c r="Z980" s="3">
        <v>3.53</v>
      </c>
      <c r="AA980" s="3">
        <v>5.04</v>
      </c>
      <c r="AB980" s="3">
        <v>2.0499999999999998</v>
      </c>
      <c r="AC980" s="3">
        <v>3.54</v>
      </c>
      <c r="AD980" s="3">
        <v>5.03</v>
      </c>
      <c r="AE980" s="3">
        <v>2.0499999999999998</v>
      </c>
      <c r="AF980" s="3">
        <v>3.54</v>
      </c>
      <c r="AG980" s="3">
        <v>5.04</v>
      </c>
      <c r="AH980" s="44">
        <v>2.04</v>
      </c>
      <c r="AI980" s="44">
        <v>3.53</v>
      </c>
      <c r="AJ980" s="44">
        <v>5.03</v>
      </c>
      <c r="AK980" s="45">
        <v>6.6666666666666643</v>
      </c>
      <c r="AL980" s="3">
        <v>11.33</v>
      </c>
      <c r="AM980" s="3">
        <v>10.99</v>
      </c>
      <c r="AN980" s="3">
        <v>11.69</v>
      </c>
      <c r="AO980" s="3">
        <v>11.67</v>
      </c>
      <c r="AP980" s="3">
        <v>10.99</v>
      </c>
      <c r="AQ980" s="47">
        <v>10.99</v>
      </c>
      <c r="AR980" s="47">
        <v>11.67</v>
      </c>
      <c r="AS980" s="3">
        <v>24.18</v>
      </c>
      <c r="AT980" s="3">
        <v>21.29</v>
      </c>
      <c r="AU980" s="3">
        <v>23.06</v>
      </c>
      <c r="AV980" s="3"/>
      <c r="AW980" s="3"/>
      <c r="AX980" s="48">
        <v>24.18</v>
      </c>
      <c r="AY980" s="71"/>
      <c r="AZ980" s="3"/>
      <c r="BA980" s="3"/>
      <c r="BB980" s="3"/>
      <c r="BC980" s="3"/>
      <c r="BD980" s="40">
        <v>1063.9200525598744</v>
      </c>
      <c r="BE980" s="40">
        <v>1045.4705579450115</v>
      </c>
      <c r="BF980" s="40"/>
      <c r="BG980" s="40">
        <v>344.54272745660558</v>
      </c>
      <c r="BH980" s="40">
        <v>333.26007863796116</v>
      </c>
      <c r="BI980" s="49">
        <v>2109.3906105048859</v>
      </c>
      <c r="BJ980" s="49">
        <v>677.80280609456668</v>
      </c>
      <c r="BK980" s="66">
        <v>1.7647072387315665E-2</v>
      </c>
      <c r="BL980" s="66">
        <v>3.3855386654041419E-2</v>
      </c>
      <c r="BM980" s="51">
        <v>31.863906503094952</v>
      </c>
      <c r="BN980" s="51">
        <v>10.238713082999496</v>
      </c>
      <c r="BO980" s="52"/>
      <c r="BP980" s="40">
        <v>266</v>
      </c>
      <c r="BQ980" s="40">
        <v>233</v>
      </c>
      <c r="BR980" s="67">
        <v>0.14163090128755362</v>
      </c>
      <c r="BS980" s="54">
        <v>3.7688821752265858</v>
      </c>
      <c r="BT980" s="3">
        <v>148</v>
      </c>
      <c r="BU980" s="3">
        <v>137</v>
      </c>
      <c r="BV980" s="3">
        <v>145</v>
      </c>
      <c r="BW980" s="3">
        <v>155</v>
      </c>
      <c r="BX980" s="70">
        <v>8.0291970802919721E-2</v>
      </c>
      <c r="BY980" s="70">
        <v>-6.4516129032258118E-2</v>
      </c>
      <c r="BZ980" s="59">
        <v>0.88387096774193552</v>
      </c>
      <c r="CA980" s="59">
        <v>1.0206896551724138</v>
      </c>
      <c r="CB980" s="59">
        <f>IFERROR((paper3[[#This Row],[meanadd]]*(paper3[[#This Row],[leglength]]/100))/paper3[[#This Row],[bodymass]],"")</f>
        <v>1.7952416918429002</v>
      </c>
      <c r="CC980" s="59">
        <f>IFERROR((paper3[[#This Row],[meanabd]]*(paper3[[#This Row],[leglength]]/100))/paper3[[#This Row],[bodymass]],"")</f>
        <v>1.8897280966767369</v>
      </c>
      <c r="CD980" s="60">
        <v>127</v>
      </c>
      <c r="CE980" s="60">
        <v>60</v>
      </c>
      <c r="CF980" s="61">
        <v>1.9184290030211479</v>
      </c>
      <c r="CG980" s="61">
        <v>0.90634441087613293</v>
      </c>
      <c r="CH980" s="61">
        <v>0.47244094488188981</v>
      </c>
      <c r="CI980" s="41"/>
      <c r="CJ980" s="40"/>
      <c r="CK980" s="3"/>
      <c r="CL980" s="62"/>
      <c r="CM980" s="63">
        <v>0</v>
      </c>
      <c r="CN980" s="3">
        <v>148</v>
      </c>
      <c r="CO980" s="3">
        <v>155</v>
      </c>
      <c r="CP980" s="41">
        <f>_xlfn.MAXIFS([1]!phvny[age],[1]!phvny[id],paper3[[#This Row],[id]],[1]!phvny[time],paper3[[#This Row],[time]])</f>
        <v>15.083333333333334</v>
      </c>
      <c r="CQ980" s="3"/>
      <c r="CR980" s="40">
        <f>AVERAGE(paper3[[#This Row],[Adduksjon ikke-dominant]:[Adduksjon dominant]])</f>
        <v>142.5</v>
      </c>
      <c r="CS980" s="40">
        <f>AVERAGE(paper3[[#This Row],[Abduksjon ikke-dominant]:[Abduksjon dominant]])</f>
        <v>150</v>
      </c>
      <c r="CT980" s="40">
        <v>249.5</v>
      </c>
      <c r="CU980" s="40"/>
      <c r="CV980" s="40"/>
      <c r="CW980" s="40"/>
      <c r="CX980" s="40"/>
      <c r="CY980" s="40">
        <v>0</v>
      </c>
    </row>
    <row r="981" spans="1:103" ht="18.95" customHeight="1">
      <c r="A981" s="3">
        <v>502</v>
      </c>
      <c r="B981" s="92" t="s">
        <v>103</v>
      </c>
      <c r="C981" s="3" t="s">
        <v>115</v>
      </c>
      <c r="D981" s="3" t="s">
        <v>269</v>
      </c>
      <c r="E981" s="39">
        <v>45355</v>
      </c>
      <c r="F981" s="3" t="s">
        <v>186</v>
      </c>
      <c r="G981" s="3" t="s">
        <v>107</v>
      </c>
      <c r="H981" s="3">
        <v>2009</v>
      </c>
      <c r="I981" s="40" t="s">
        <v>108</v>
      </c>
      <c r="J981" s="39" t="s">
        <v>109</v>
      </c>
      <c r="K981" s="3">
        <v>158.5</v>
      </c>
      <c r="L981" s="3">
        <v>158.30000000000001</v>
      </c>
      <c r="M981" s="3"/>
      <c r="N981" s="3">
        <v>136</v>
      </c>
      <c r="O981" s="3">
        <v>135.9</v>
      </c>
      <c r="P981" s="3"/>
      <c r="Q981" s="3">
        <v>48.2</v>
      </c>
      <c r="R981" s="3"/>
      <c r="S981" s="3"/>
      <c r="T981" s="42">
        <v>158.4</v>
      </c>
      <c r="U981" s="42">
        <f>AVERAGE(paper3[[#This Row],[Sittende høyde 1]:[Sittende høyde 3]])-56.2</f>
        <v>79.749999999999986</v>
      </c>
      <c r="V981" s="12">
        <f>paper3[[#This Row],[height]]-paper3[[#This Row],[sittingheight]]</f>
        <v>78.65000000000002</v>
      </c>
      <c r="W981" s="73">
        <v>48.2</v>
      </c>
      <c r="X981" s="43" cm="1">
        <f t="array" ref="X981">INDEX([1]!phvny[yphv], MATCH(1, (paper3[[#This Row],[id]]=[1]!phvny[id])*(paper3[[#This Row],[time]]=[1]!phvny[time]), 0))</f>
        <v>1.4772518869949487</v>
      </c>
      <c r="Y981" s="3">
        <v>2.15</v>
      </c>
      <c r="Z981" s="3">
        <v>3.65</v>
      </c>
      <c r="AA981" s="3">
        <v>5.13</v>
      </c>
      <c r="AB981" s="3">
        <v>2.02</v>
      </c>
      <c r="AC981" s="3">
        <v>3.52</v>
      </c>
      <c r="AD981" s="3">
        <v>4.9800000000000004</v>
      </c>
      <c r="AE981" s="3">
        <v>2.15</v>
      </c>
      <c r="AF981" s="3">
        <v>3.66</v>
      </c>
      <c r="AG981" s="3">
        <v>5.14</v>
      </c>
      <c r="AH981" s="44">
        <v>2.02</v>
      </c>
      <c r="AI981" s="44">
        <v>3.52</v>
      </c>
      <c r="AJ981" s="44">
        <v>4.9800000000000004</v>
      </c>
      <c r="AK981" s="45">
        <v>6.8493150684931488</v>
      </c>
      <c r="AL981" s="3">
        <v>11.21</v>
      </c>
      <c r="AM981" s="3">
        <v>11.05</v>
      </c>
      <c r="AN981" s="3">
        <v>11.29</v>
      </c>
      <c r="AO981" s="3">
        <v>10.88</v>
      </c>
      <c r="AP981" s="3">
        <v>10.88</v>
      </c>
      <c r="AQ981" s="47">
        <v>11.05</v>
      </c>
      <c r="AR981" s="47">
        <v>10.88</v>
      </c>
      <c r="AS981" s="3">
        <v>26.99</v>
      </c>
      <c r="AT981" s="3">
        <v>29.82</v>
      </c>
      <c r="AU981" s="3">
        <v>28.5</v>
      </c>
      <c r="AV981" s="3"/>
      <c r="AW981" s="3"/>
      <c r="AX981" s="48">
        <v>29.82</v>
      </c>
      <c r="AY981" s="71"/>
      <c r="AZ981" s="3"/>
      <c r="BA981" s="3"/>
      <c r="BB981" s="3">
        <v>7</v>
      </c>
      <c r="BC981" s="3">
        <v>208</v>
      </c>
      <c r="BD981" s="40">
        <v>778.61637546795998</v>
      </c>
      <c r="BE981" s="40">
        <v>775.19938638254848</v>
      </c>
      <c r="BF981" s="40"/>
      <c r="BG981" s="40">
        <v>273.48561408014706</v>
      </c>
      <c r="BH981" s="40">
        <v>255.52768080590261</v>
      </c>
      <c r="BI981" s="49">
        <v>1553.8157618505084</v>
      </c>
      <c r="BJ981" s="49">
        <v>529.01329488604961</v>
      </c>
      <c r="BK981" s="66">
        <v>4.4078841462411589E-3</v>
      </c>
      <c r="BL981" s="66">
        <v>7.0277839244685225E-2</v>
      </c>
      <c r="BM981" s="51">
        <v>32.236841532168221</v>
      </c>
      <c r="BN981" s="51">
        <v>10.975379561951236</v>
      </c>
      <c r="BO981" s="52"/>
      <c r="BP981" s="40">
        <v>243</v>
      </c>
      <c r="BQ981" s="40">
        <v>236</v>
      </c>
      <c r="BR981" s="67">
        <v>2.9661016949152463E-2</v>
      </c>
      <c r="BS981" s="54">
        <v>4.9688796680497926</v>
      </c>
      <c r="BT981" s="3">
        <v>150</v>
      </c>
      <c r="BU981" s="3">
        <v>130</v>
      </c>
      <c r="BV981" s="3">
        <v>103</v>
      </c>
      <c r="BW981" s="3">
        <v>99</v>
      </c>
      <c r="BX981" s="70">
        <v>0.15384615384615374</v>
      </c>
      <c r="BY981" s="70">
        <v>4.0404040404040442E-2</v>
      </c>
      <c r="BZ981" s="59">
        <v>1.3131313131313131</v>
      </c>
      <c r="CA981" s="59">
        <v>1.4563106796116505</v>
      </c>
      <c r="CB981" s="59">
        <f>IFERROR((paper3[[#This Row],[meanadd]]*(paper3[[#This Row],[leglength]]/100))/paper3[[#This Row],[bodymass]],"")</f>
        <v>2.2844398340248966</v>
      </c>
      <c r="CC981" s="59">
        <f>IFERROR((paper3[[#This Row],[meanabd]]*(paper3[[#This Row],[leglength]]/100))/paper3[[#This Row],[bodymass]],"")</f>
        <v>1.6480601659751042</v>
      </c>
      <c r="CD981" s="60">
        <v>94</v>
      </c>
      <c r="CE981" s="60">
        <v>61</v>
      </c>
      <c r="CF981" s="61">
        <v>1.950207468879668</v>
      </c>
      <c r="CG981" s="61">
        <v>1.2655601659751037</v>
      </c>
      <c r="CH981" s="61">
        <v>0.64893617021276595</v>
      </c>
      <c r="CI981" s="41">
        <v>14.1</v>
      </c>
      <c r="CJ981" s="40">
        <f>VLOOKUP(paper3[[#This Row],[YYIR nivå]],$DB:$DC,2)</f>
        <v>480</v>
      </c>
      <c r="CK981" s="3"/>
      <c r="CL981" s="62"/>
      <c r="CM981" s="63">
        <v>0</v>
      </c>
      <c r="CN981" s="3">
        <v>150</v>
      </c>
      <c r="CO981" s="3">
        <v>103</v>
      </c>
      <c r="CP981" s="41">
        <f>_xlfn.MAXIFS([1]!phvny[age],[1]!phvny[id],paper3[[#This Row],[id]],[1]!phvny[time],paper3[[#This Row],[time]])</f>
        <v>14.355555555555556</v>
      </c>
      <c r="CQ981" s="3"/>
      <c r="CR981" s="40">
        <f>AVERAGE(paper3[[#This Row],[Adduksjon ikke-dominant]:[Adduksjon dominant]])</f>
        <v>140</v>
      </c>
      <c r="CS981" s="40">
        <f>AVERAGE(paper3[[#This Row],[Abduksjon ikke-dominant]:[Abduksjon dominant]])</f>
        <v>101</v>
      </c>
      <c r="CT981" s="40">
        <v>239.5</v>
      </c>
      <c r="CU981" s="40"/>
      <c r="CV981" s="40"/>
      <c r="CW981" s="40"/>
      <c r="CX981" s="40"/>
      <c r="CY981" s="40">
        <v>0</v>
      </c>
    </row>
    <row r="982" spans="1:103" ht="18.75">
      <c r="A982" s="3">
        <v>503</v>
      </c>
      <c r="B982" s="92" t="s">
        <v>103</v>
      </c>
      <c r="C982" s="3" t="s">
        <v>115</v>
      </c>
      <c r="D982" s="3" t="s">
        <v>269</v>
      </c>
      <c r="E982" s="39">
        <v>45355</v>
      </c>
      <c r="F982" s="3" t="s">
        <v>186</v>
      </c>
      <c r="G982" s="3" t="s">
        <v>107</v>
      </c>
      <c r="H982" s="3">
        <v>2009</v>
      </c>
      <c r="I982" s="40" t="s">
        <v>108</v>
      </c>
      <c r="J982" s="39" t="s">
        <v>109</v>
      </c>
      <c r="K982" s="3">
        <v>165.5</v>
      </c>
      <c r="L982" s="3">
        <v>165.8</v>
      </c>
      <c r="M982" s="3"/>
      <c r="N982" s="3">
        <v>142.5</v>
      </c>
      <c r="O982" s="3">
        <v>142.6</v>
      </c>
      <c r="P982" s="3"/>
      <c r="Q982" s="3">
        <v>47.4</v>
      </c>
      <c r="R982" s="3"/>
      <c r="S982" s="3"/>
      <c r="T982" s="42">
        <v>165.65</v>
      </c>
      <c r="U982" s="42">
        <f>AVERAGE(paper3[[#This Row],[Sittende høyde 1]:[Sittende høyde 3]])-56.2</f>
        <v>86.350000000000009</v>
      </c>
      <c r="V982" s="12">
        <f>paper3[[#This Row],[height]]-paper3[[#This Row],[sittingheight]]</f>
        <v>79.3</v>
      </c>
      <c r="W982" s="73">
        <v>47.4</v>
      </c>
      <c r="X982" s="43" cm="1">
        <f t="array" ref="X982">INDEX([1]!phvny[yphv], MATCH(1, (paper3[[#This Row],[id]]=[1]!phvny[id])*(paper3[[#This Row],[time]]=[1]!phvny[time]), 0))</f>
        <v>2.3866806279398762</v>
      </c>
      <c r="Y982" s="3"/>
      <c r="Z982" s="3"/>
      <c r="AA982" s="3"/>
      <c r="AB982" s="3"/>
      <c r="AC982" s="3"/>
      <c r="AD982" s="3"/>
      <c r="AE982" s="3"/>
      <c r="AF982" s="3"/>
      <c r="AG982" s="3"/>
      <c r="AH982" s="44"/>
      <c r="AI982" s="44"/>
      <c r="AJ982" s="44"/>
      <c r="AK982" s="45"/>
      <c r="AL982" s="3"/>
      <c r="AM982" s="3"/>
      <c r="AN982" s="3"/>
      <c r="AO982" s="3"/>
      <c r="AP982" s="3"/>
      <c r="AQ982" s="47"/>
      <c r="AR982" s="47"/>
      <c r="AS982" s="3" t="s">
        <v>284</v>
      </c>
      <c r="AT982" s="3"/>
      <c r="AU982" s="3"/>
      <c r="AV982" s="3"/>
      <c r="AW982" s="3"/>
      <c r="AX982" s="48"/>
      <c r="AY982" s="71"/>
      <c r="AZ982" s="3"/>
      <c r="BA982" s="3"/>
      <c r="BB982" s="3"/>
      <c r="BC982" s="3"/>
      <c r="BD982" s="40"/>
      <c r="BE982" s="40"/>
      <c r="BF982" s="40"/>
      <c r="BG982" s="40"/>
      <c r="BH982" s="40"/>
      <c r="BI982" s="49"/>
      <c r="BJ982" s="49"/>
      <c r="BK982" s="66"/>
      <c r="BL982" s="66"/>
      <c r="BM982" s="51"/>
      <c r="BN982" s="51"/>
      <c r="BO982" s="52"/>
      <c r="BP982" s="40">
        <v>220</v>
      </c>
      <c r="BQ982" s="40">
        <v>193</v>
      </c>
      <c r="BR982" s="67">
        <v>0.13989637305699487</v>
      </c>
      <c r="BS982" s="54">
        <v>4.3565400843881861</v>
      </c>
      <c r="BT982" s="3">
        <v>115</v>
      </c>
      <c r="BU982" s="3">
        <v>116</v>
      </c>
      <c r="BV982" s="3" t="s">
        <v>285</v>
      </c>
      <c r="BW982" s="3"/>
      <c r="BX982" s="70">
        <v>-8.6206896551723755E-3</v>
      </c>
      <c r="BY982" s="70"/>
      <c r="BZ982" s="59"/>
      <c r="CA982" s="59"/>
      <c r="CB982" s="59">
        <f>IFERROR((paper3[[#This Row],[meanadd]]*(paper3[[#This Row],[leglength]]/100))/paper3[[#This Row],[bodymass]],"")</f>
        <v>1.9323101265822784</v>
      </c>
      <c r="CC982" s="59"/>
      <c r="CD982" s="60">
        <v>61</v>
      </c>
      <c r="CE982" s="60">
        <v>60</v>
      </c>
      <c r="CF982" s="61">
        <v>1.2869198312236287</v>
      </c>
      <c r="CG982" s="61">
        <v>1.2658227848101267</v>
      </c>
      <c r="CH982" s="61">
        <v>0.98360655737704916</v>
      </c>
      <c r="CI982" s="41">
        <v>14.2</v>
      </c>
      <c r="CJ982" s="40">
        <f>VLOOKUP(paper3[[#This Row],[YYIR nivå]],$DB:$DC,2)</f>
        <v>520</v>
      </c>
      <c r="CK982" s="3"/>
      <c r="CL982" s="62"/>
      <c r="CM982" s="63">
        <v>0</v>
      </c>
      <c r="CN982" s="3">
        <v>116</v>
      </c>
      <c r="CO982" s="3"/>
      <c r="CP982" s="41">
        <f>_xlfn.MAXIFS([1]!phvny[age],[1]!phvny[id],paper3[[#This Row],[id]],[1]!phvny[time],paper3[[#This Row],[time]])</f>
        <v>14.963888888888889</v>
      </c>
      <c r="CQ982" s="3"/>
      <c r="CR982" s="40">
        <f>AVERAGE(paper3[[#This Row],[Adduksjon ikke-dominant]:[Adduksjon dominant]])</f>
        <v>115.5</v>
      </c>
      <c r="CS982" s="40"/>
      <c r="CT982" s="40">
        <v>206.5</v>
      </c>
      <c r="CU982" s="40"/>
      <c r="CV982" s="40"/>
      <c r="CW982" s="40"/>
      <c r="CX982" s="40"/>
      <c r="CY982" s="40">
        <v>0</v>
      </c>
    </row>
    <row r="983" spans="1:103" ht="18.95" customHeight="1">
      <c r="A983" s="3">
        <v>504</v>
      </c>
      <c r="B983" s="92" t="s">
        <v>103</v>
      </c>
      <c r="C983" s="3" t="s">
        <v>115</v>
      </c>
      <c r="D983" s="3" t="s">
        <v>269</v>
      </c>
      <c r="E983" s="39">
        <v>45355</v>
      </c>
      <c r="F983" s="3" t="s">
        <v>186</v>
      </c>
      <c r="G983" s="3" t="s">
        <v>107</v>
      </c>
      <c r="H983" s="3">
        <v>2009</v>
      </c>
      <c r="I983" s="40" t="s">
        <v>108</v>
      </c>
      <c r="J983" s="39" t="s">
        <v>109</v>
      </c>
      <c r="K983" s="3">
        <v>170.9</v>
      </c>
      <c r="L983" s="3">
        <v>171.2</v>
      </c>
      <c r="M983" s="3"/>
      <c r="N983" s="3">
        <v>144.1</v>
      </c>
      <c r="O983" s="3">
        <v>144.1</v>
      </c>
      <c r="P983" s="3"/>
      <c r="Q983" s="3">
        <v>63.1</v>
      </c>
      <c r="R983" s="3"/>
      <c r="S983" s="3"/>
      <c r="T983" s="42">
        <v>171.05</v>
      </c>
      <c r="U983" s="42">
        <f>AVERAGE(paper3[[#This Row],[Sittende høyde 1]:[Sittende høyde 3]])-56.2</f>
        <v>87.899999999999991</v>
      </c>
      <c r="V983" s="12">
        <f>paper3[[#This Row],[height]]-paper3[[#This Row],[sittingheight]]</f>
        <v>83.15000000000002</v>
      </c>
      <c r="W983" s="73">
        <v>63.1</v>
      </c>
      <c r="X983" s="43" cm="1">
        <f t="array" ref="X983">INDEX([1]!phvny[yphv], MATCH(1, (paper3[[#This Row],[id]]=[1]!phvny[id])*(paper3[[#This Row],[time]]=[1]!phvny[time]), 0))</f>
        <v>2.6862122975165001</v>
      </c>
      <c r="Y983" s="3">
        <v>2.1</v>
      </c>
      <c r="Z983" s="3">
        <v>3.57</v>
      </c>
      <c r="AA983" s="3">
        <v>5.07</v>
      </c>
      <c r="AB983" s="3">
        <v>2.12</v>
      </c>
      <c r="AC983" s="3">
        <v>3.63</v>
      </c>
      <c r="AD983" s="3">
        <v>5.0999999999999996</v>
      </c>
      <c r="AE983" s="3">
        <v>2.15</v>
      </c>
      <c r="AF983" s="3">
        <v>3.67</v>
      </c>
      <c r="AG983" s="3">
        <v>5.18</v>
      </c>
      <c r="AH983" s="44">
        <v>2.1</v>
      </c>
      <c r="AI983" s="44">
        <v>3.57</v>
      </c>
      <c r="AJ983" s="44">
        <v>5.07</v>
      </c>
      <c r="AK983" s="45">
        <v>6.6666666666666643</v>
      </c>
      <c r="AL983" s="3">
        <v>11.73</v>
      </c>
      <c r="AM983" s="3">
        <v>11.74</v>
      </c>
      <c r="AN983" s="3">
        <v>11.86</v>
      </c>
      <c r="AO983" s="3">
        <v>11.44</v>
      </c>
      <c r="AP983" s="3">
        <v>11.44</v>
      </c>
      <c r="AQ983" s="47">
        <v>11.73</v>
      </c>
      <c r="AR983" s="47">
        <v>11.44</v>
      </c>
      <c r="AS983" s="3">
        <v>23.47</v>
      </c>
      <c r="AT983" s="3">
        <v>23.91</v>
      </c>
      <c r="AU983" s="3">
        <v>25.54</v>
      </c>
      <c r="AV983" s="3">
        <v>23.65</v>
      </c>
      <c r="AW983" s="3"/>
      <c r="AX983" s="48">
        <v>25.54</v>
      </c>
      <c r="AY983" s="71"/>
      <c r="AZ983" s="3"/>
      <c r="BA983" s="3"/>
      <c r="BB983" s="3"/>
      <c r="BC983" s="3"/>
      <c r="BD983" s="40">
        <v>823.71967699699633</v>
      </c>
      <c r="BE983" s="40">
        <v>874.71652845637323</v>
      </c>
      <c r="BF983" s="40"/>
      <c r="BG983" s="40">
        <v>360.89039712029103</v>
      </c>
      <c r="BH983" s="40">
        <v>340.22473877279322</v>
      </c>
      <c r="BI983" s="49">
        <v>1698.4362054533694</v>
      </c>
      <c r="BJ983" s="49">
        <v>701.11513589308424</v>
      </c>
      <c r="BK983" s="66">
        <v>-5.83010035826943E-2</v>
      </c>
      <c r="BL983" s="66">
        <v>6.0741198367995963E-2</v>
      </c>
      <c r="BM983" s="51">
        <v>26.91658011811996</v>
      </c>
      <c r="BN983" s="51">
        <v>11.11117489529452</v>
      </c>
      <c r="BO983" s="52"/>
      <c r="BP983" s="40">
        <v>302</v>
      </c>
      <c r="BQ983" s="40">
        <v>288</v>
      </c>
      <c r="BR983" s="67">
        <v>4.861111111111116E-2</v>
      </c>
      <c r="BS983" s="54">
        <v>4.6751188589540407</v>
      </c>
      <c r="BT983" s="3">
        <v>137</v>
      </c>
      <c r="BU983" s="3">
        <v>130</v>
      </c>
      <c r="BV983" s="3">
        <v>109</v>
      </c>
      <c r="BW983" s="3">
        <v>111</v>
      </c>
      <c r="BX983" s="70">
        <v>5.3846153846153877E-2</v>
      </c>
      <c r="BY983" s="70">
        <v>-1.8018018018018056E-2</v>
      </c>
      <c r="BZ983" s="59">
        <v>1.1711711711711712</v>
      </c>
      <c r="CA983" s="59">
        <v>1.2568807339449541</v>
      </c>
      <c r="CB983" s="59">
        <f>IFERROR((paper3[[#This Row],[meanadd]]*(paper3[[#This Row],[leglength]]/100))/paper3[[#This Row],[bodymass]],"")</f>
        <v>1.759195721077655</v>
      </c>
      <c r="CC983" s="59">
        <f>IFERROR((paper3[[#This Row],[meanabd]]*(paper3[[#This Row],[leglength]]/100))/paper3[[#This Row],[bodymass]],"")</f>
        <v>1.4495245641838357</v>
      </c>
      <c r="CD983" s="60">
        <v>92</v>
      </c>
      <c r="CE983" s="60">
        <v>107</v>
      </c>
      <c r="CF983" s="61">
        <v>1.4580031695721076</v>
      </c>
      <c r="CG983" s="61">
        <v>1.6957210776545166</v>
      </c>
      <c r="CH983" s="61">
        <v>1.1630434782608696</v>
      </c>
      <c r="CI983" s="41">
        <v>14.1</v>
      </c>
      <c r="CJ983" s="40">
        <f>VLOOKUP(paper3[[#This Row],[YYIR nivå]],$DB:$DC,2)</f>
        <v>480</v>
      </c>
      <c r="CK983" s="3"/>
      <c r="CL983" s="62"/>
      <c r="CM983" s="63">
        <v>0</v>
      </c>
      <c r="CN983" s="3">
        <v>137</v>
      </c>
      <c r="CO983" s="3">
        <v>111</v>
      </c>
      <c r="CP983" s="41">
        <f>_xlfn.MAXIFS([1]!phvny[age],[1]!phvny[id],paper3[[#This Row],[id]],[1]!phvny[time],paper3[[#This Row],[time]])</f>
        <v>14.847222222222221</v>
      </c>
      <c r="CQ983" s="3"/>
      <c r="CR983" s="40">
        <f>AVERAGE(paper3[[#This Row],[Adduksjon ikke-dominant]:[Adduksjon dominant]])</f>
        <v>133.5</v>
      </c>
      <c r="CS983" s="40">
        <f>AVERAGE(paper3[[#This Row],[Abduksjon ikke-dominant]:[Abduksjon dominant]])</f>
        <v>110</v>
      </c>
      <c r="CT983" s="40">
        <v>295</v>
      </c>
      <c r="CU983" s="40"/>
      <c r="CV983" s="40"/>
      <c r="CW983" s="40"/>
      <c r="CX983" s="40"/>
      <c r="CY983" s="40">
        <v>0</v>
      </c>
    </row>
    <row r="984" spans="1:103" ht="18.95" customHeight="1">
      <c r="A984" s="3">
        <v>505</v>
      </c>
      <c r="B984" s="92" t="s">
        <v>103</v>
      </c>
      <c r="C984" s="3" t="s">
        <v>115</v>
      </c>
      <c r="D984" s="3" t="s">
        <v>269</v>
      </c>
      <c r="E984" s="39">
        <v>45355</v>
      </c>
      <c r="F984" s="3" t="s">
        <v>186</v>
      </c>
      <c r="G984" s="3" t="s">
        <v>107</v>
      </c>
      <c r="H984" s="3">
        <v>2009</v>
      </c>
      <c r="I984" s="40" t="s">
        <v>108</v>
      </c>
      <c r="J984" s="39" t="s">
        <v>109</v>
      </c>
      <c r="K984" s="3">
        <v>161.80000000000001</v>
      </c>
      <c r="L984" s="3">
        <v>161.9</v>
      </c>
      <c r="M984" s="3"/>
      <c r="N984" s="3">
        <v>141.1</v>
      </c>
      <c r="O984" s="3">
        <v>140.80000000000001</v>
      </c>
      <c r="P984" s="3"/>
      <c r="Q984" s="3">
        <v>57.2</v>
      </c>
      <c r="R984" s="3"/>
      <c r="S984" s="3"/>
      <c r="T984" s="42">
        <v>161.85000000000002</v>
      </c>
      <c r="U984" s="42">
        <f>AVERAGE(paper3[[#This Row],[Sittende høyde 1]:[Sittende høyde 3]])-56.2</f>
        <v>84.749999999999986</v>
      </c>
      <c r="V984" s="12">
        <f>paper3[[#This Row],[height]]-paper3[[#This Row],[sittingheight]]</f>
        <v>77.100000000000037</v>
      </c>
      <c r="W984" s="73">
        <v>57.2</v>
      </c>
      <c r="X984" s="43" cm="1">
        <f t="array" ref="X984">INDEX([1]!phvny[yphv], MATCH(1, (paper3[[#This Row],[id]]=[1]!phvny[id])*(paper3[[#This Row],[time]]=[1]!phvny[time]), 0))</f>
        <v>2.3314311687299192</v>
      </c>
      <c r="Y984" s="3">
        <v>1.98</v>
      </c>
      <c r="Z984" s="3">
        <v>3.36</v>
      </c>
      <c r="AA984" s="3">
        <v>4.7</v>
      </c>
      <c r="AB984" s="3"/>
      <c r="AC984" s="3"/>
      <c r="AD984" s="3"/>
      <c r="AE984" s="3">
        <v>1.96</v>
      </c>
      <c r="AF984" s="3">
        <v>3.31</v>
      </c>
      <c r="AG984" s="3">
        <v>4.66</v>
      </c>
      <c r="AH984" s="44">
        <v>1.96</v>
      </c>
      <c r="AI984" s="44">
        <v>3.31</v>
      </c>
      <c r="AJ984" s="44">
        <v>4.66</v>
      </c>
      <c r="AK984" s="45">
        <v>7.4074074074074066</v>
      </c>
      <c r="AL984" s="3">
        <v>10.23</v>
      </c>
      <c r="AM984" s="3">
        <v>10.16</v>
      </c>
      <c r="AN984" s="3">
        <v>10.65</v>
      </c>
      <c r="AO984" s="3">
        <v>11.03</v>
      </c>
      <c r="AP984" s="3">
        <v>10.16</v>
      </c>
      <c r="AQ984" s="47">
        <v>10.16</v>
      </c>
      <c r="AR984" s="47">
        <v>10.65</v>
      </c>
      <c r="AS984" s="3">
        <v>33.28</v>
      </c>
      <c r="AT984" s="3">
        <v>31.6</v>
      </c>
      <c r="AU984" s="3">
        <v>31.25</v>
      </c>
      <c r="AV984" s="3"/>
      <c r="AW984" s="3"/>
      <c r="AX984" s="48">
        <v>33.28</v>
      </c>
      <c r="AY984" s="71"/>
      <c r="AZ984" s="3">
        <v>9</v>
      </c>
      <c r="BA984" s="3"/>
      <c r="BB984" s="3"/>
      <c r="BC984" s="3"/>
      <c r="BD984" s="40">
        <v>921.92410270136122</v>
      </c>
      <c r="BE984" s="40">
        <v>941.50832890670495</v>
      </c>
      <c r="BF984" s="40"/>
      <c r="BG984" s="40">
        <v>293.76532217486351</v>
      </c>
      <c r="BH984" s="40">
        <v>280.06833726853563</v>
      </c>
      <c r="BI984" s="49">
        <v>1863.4324316080661</v>
      </c>
      <c r="BJ984" s="49">
        <v>573.83365944339914</v>
      </c>
      <c r="BK984" s="66">
        <v>-2.0800905954900362E-2</v>
      </c>
      <c r="BL984" s="66">
        <v>4.8905867189102947E-2</v>
      </c>
      <c r="BM984" s="51">
        <v>32.577490063078073</v>
      </c>
      <c r="BN984" s="51">
        <v>10.032056983276208</v>
      </c>
      <c r="BO984" s="52"/>
      <c r="BP984" s="40" t="s">
        <v>286</v>
      </c>
      <c r="BQ984" s="40"/>
      <c r="BR984" s="67"/>
      <c r="BS984" s="54" t="s">
        <v>110</v>
      </c>
      <c r="BT984" s="3">
        <v>119</v>
      </c>
      <c r="BU984" s="3">
        <v>124</v>
      </c>
      <c r="BV984" s="3">
        <v>103</v>
      </c>
      <c r="BW984" s="3">
        <v>114</v>
      </c>
      <c r="BX984" s="70">
        <v>-4.0322580645161255E-2</v>
      </c>
      <c r="BY984" s="70">
        <v>-9.6491228070175405E-2</v>
      </c>
      <c r="BZ984" s="59">
        <v>1.0877192982456141</v>
      </c>
      <c r="CA984" s="59">
        <v>1.1553398058252426</v>
      </c>
      <c r="CB984" s="59">
        <f>IFERROR((paper3[[#This Row],[meanadd]]*(paper3[[#This Row],[leglength]]/100))/paper3[[#This Row],[bodymass]],"")</f>
        <v>1.6377010489510497</v>
      </c>
      <c r="CC984" s="59">
        <f>IFERROR((paper3[[#This Row],[meanabd]]*(paper3[[#This Row],[leglength]]/100))/paper3[[#This Row],[bodymass]],"")</f>
        <v>1.4624737762237767</v>
      </c>
      <c r="CD984" s="60">
        <v>98</v>
      </c>
      <c r="CE984" s="60">
        <v>81</v>
      </c>
      <c r="CF984" s="61">
        <v>1.7132867132867131</v>
      </c>
      <c r="CG984" s="61">
        <v>1.416083916083916</v>
      </c>
      <c r="CH984" s="61">
        <v>0.82653061224489799</v>
      </c>
      <c r="CI984" s="41">
        <v>14.5</v>
      </c>
      <c r="CJ984" s="40">
        <f>VLOOKUP(paper3[[#This Row],[YYIR nivå]],$DB:$DC,2)</f>
        <v>640</v>
      </c>
      <c r="CK984" s="3"/>
      <c r="CL984" s="62"/>
      <c r="CM984" s="63">
        <v>0</v>
      </c>
      <c r="CN984" s="3">
        <v>124</v>
      </c>
      <c r="CO984" s="3">
        <v>114</v>
      </c>
      <c r="CP984" s="41">
        <f>_xlfn.MAXIFS([1]!phvny[age],[1]!phvny[id],paper3[[#This Row],[id]],[1]!phvny[time],paper3[[#This Row],[time]])</f>
        <v>15.136111111111111</v>
      </c>
      <c r="CQ984" s="3"/>
      <c r="CR984" s="40">
        <f>AVERAGE(paper3[[#This Row],[Adduksjon ikke-dominant]:[Adduksjon dominant]])</f>
        <v>121.5</v>
      </c>
      <c r="CS984" s="40">
        <f>AVERAGE(paper3[[#This Row],[Abduksjon ikke-dominant]:[Abduksjon dominant]])</f>
        <v>108.5</v>
      </c>
      <c r="CT984" s="40" t="s">
        <v>110</v>
      </c>
      <c r="CU984" s="40"/>
      <c r="CV984" s="40"/>
      <c r="CW984" s="40"/>
      <c r="CX984" s="40"/>
      <c r="CY984" s="40">
        <v>0</v>
      </c>
    </row>
    <row r="985" spans="1:103" ht="18.95" customHeight="1">
      <c r="A985" s="3">
        <v>511</v>
      </c>
      <c r="B985" s="92" t="s">
        <v>103</v>
      </c>
      <c r="C985" s="3" t="s">
        <v>115</v>
      </c>
      <c r="D985" s="3" t="s">
        <v>269</v>
      </c>
      <c r="E985" s="39">
        <v>45349</v>
      </c>
      <c r="F985" s="3" t="s">
        <v>186</v>
      </c>
      <c r="G985" s="3" t="s">
        <v>122</v>
      </c>
      <c r="H985" s="3">
        <v>2009</v>
      </c>
      <c r="I985" s="40" t="s">
        <v>108</v>
      </c>
      <c r="J985" s="39" t="s">
        <v>123</v>
      </c>
      <c r="K985" s="3">
        <v>176.1</v>
      </c>
      <c r="L985" s="3">
        <v>176.1</v>
      </c>
      <c r="M985" s="3"/>
      <c r="N985" s="3">
        <v>143.5</v>
      </c>
      <c r="O985" s="3">
        <v>143.4</v>
      </c>
      <c r="P985" s="3"/>
      <c r="Q985" s="3">
        <v>58.2</v>
      </c>
      <c r="R985" s="3"/>
      <c r="S985" s="3"/>
      <c r="T985" s="42">
        <v>176.1</v>
      </c>
      <c r="U985" s="42">
        <f>AVERAGE(paper3[[#This Row],[Sittende høyde 1]:[Sittende høyde 3]])-56.2</f>
        <v>87.249999999999986</v>
      </c>
      <c r="V985" s="12">
        <f>paper3[[#This Row],[height]]-paper3[[#This Row],[sittingheight]]</f>
        <v>88.850000000000009</v>
      </c>
      <c r="W985" s="73">
        <v>58.2</v>
      </c>
      <c r="X985" s="43" cm="1">
        <f t="array" ref="X985">INDEX([1]!phvny[yphv], MATCH(1, (paper3[[#This Row],[id]]=[1]!phvny[id])*(paper3[[#This Row],[time]]=[1]!phvny[time]), 0))</f>
        <v>0.74127947779008041</v>
      </c>
      <c r="Y985" s="3">
        <v>1.85</v>
      </c>
      <c r="Z985" s="3">
        <v>3.18</v>
      </c>
      <c r="AA985" s="3">
        <v>4.45</v>
      </c>
      <c r="AB985" s="3">
        <v>1.83</v>
      </c>
      <c r="AC985" s="3">
        <v>3.18</v>
      </c>
      <c r="AD985" s="3">
        <v>4.4800000000000004</v>
      </c>
      <c r="AE985" s="3">
        <v>1.85</v>
      </c>
      <c r="AF985" s="3">
        <v>3.18</v>
      </c>
      <c r="AG985" s="3">
        <v>4.43</v>
      </c>
      <c r="AH985" s="44">
        <v>1.83</v>
      </c>
      <c r="AI985" s="44">
        <v>3.18</v>
      </c>
      <c r="AJ985" s="44">
        <v>4.43</v>
      </c>
      <c r="AK985" s="45">
        <v>8.0000000000000036</v>
      </c>
      <c r="AL985" s="3">
        <v>9.43</v>
      </c>
      <c r="AM985" s="3">
        <v>9.58</v>
      </c>
      <c r="AN985" s="3">
        <v>9.84</v>
      </c>
      <c r="AO985" s="3">
        <v>9.68</v>
      </c>
      <c r="AP985" s="3">
        <v>9.43</v>
      </c>
      <c r="AQ985" s="47">
        <v>9.43</v>
      </c>
      <c r="AR985" s="47">
        <v>9.68</v>
      </c>
      <c r="AS985" s="3">
        <v>33.46</v>
      </c>
      <c r="AT985" s="3">
        <v>34.92</v>
      </c>
      <c r="AU985" s="3">
        <v>35.65</v>
      </c>
      <c r="AV985" s="3"/>
      <c r="AW985" s="3"/>
      <c r="AX985" s="48">
        <v>35.65</v>
      </c>
      <c r="AY985" s="71"/>
      <c r="AZ985" s="3"/>
      <c r="BA985" s="3"/>
      <c r="BB985" s="3"/>
      <c r="BC985" s="3"/>
      <c r="BD985" s="40">
        <v>1314.5277265171831</v>
      </c>
      <c r="BE985" s="40">
        <v>1288.317253174612</v>
      </c>
      <c r="BF985" s="40"/>
      <c r="BG985" s="40">
        <v>380.40011624970066</v>
      </c>
      <c r="BH985" s="40">
        <v>354.48321679098683</v>
      </c>
      <c r="BI985" s="49">
        <v>2602.8449796917948</v>
      </c>
      <c r="BJ985" s="49">
        <v>734.88333304068749</v>
      </c>
      <c r="BK985" s="66">
        <v>2.0344735179152806E-2</v>
      </c>
      <c r="BL985" s="66">
        <v>7.3111781407679821E-2</v>
      </c>
      <c r="BM985" s="51">
        <v>44.722422331474135</v>
      </c>
      <c r="BN985" s="51">
        <v>12.626861392451675</v>
      </c>
      <c r="BO985" s="52"/>
      <c r="BP985" s="40">
        <v>292</v>
      </c>
      <c r="BQ985" s="40">
        <v>299</v>
      </c>
      <c r="BR985" s="67">
        <v>-2.3411371237458178E-2</v>
      </c>
      <c r="BS985" s="54">
        <v>5.0773195876288657</v>
      </c>
      <c r="BT985" s="3">
        <v>132</v>
      </c>
      <c r="BU985" s="3">
        <v>140</v>
      </c>
      <c r="BV985" s="3">
        <v>165</v>
      </c>
      <c r="BW985" s="3">
        <v>162</v>
      </c>
      <c r="BX985" s="70">
        <v>-5.7142857142857162E-2</v>
      </c>
      <c r="BY985" s="70">
        <v>1.8518518518518601E-2</v>
      </c>
      <c r="BZ985" s="59">
        <v>0.86419753086419748</v>
      </c>
      <c r="CA985" s="59">
        <v>0.8</v>
      </c>
      <c r="CB985" s="59">
        <f>IFERROR((paper3[[#This Row],[meanadd]]*(paper3[[#This Row],[leglength]]/100))/paper3[[#This Row],[bodymass]],"")</f>
        <v>2.0762199312714777</v>
      </c>
      <c r="CC985" s="59">
        <f>IFERROR((paper3[[#This Row],[meanabd]]*(paper3[[#This Row],[leglength]]/100))/paper3[[#This Row],[bodymass]],"")</f>
        <v>2.4960438144329897</v>
      </c>
      <c r="CD985" s="60">
        <v>109</v>
      </c>
      <c r="CE985" s="60">
        <v>130</v>
      </c>
      <c r="CF985" s="61">
        <v>1.872852233676976</v>
      </c>
      <c r="CG985" s="61">
        <v>2.2336769759450172</v>
      </c>
      <c r="CH985" s="61">
        <v>1.1926605504587156</v>
      </c>
      <c r="CI985" s="41">
        <v>16.399999999999999</v>
      </c>
      <c r="CJ985" s="40">
        <f>VLOOKUP(paper3[[#This Row],[YYIR nivå]],$DB:$DC,2)</f>
        <v>1240</v>
      </c>
      <c r="CK985" s="3" t="s">
        <v>193</v>
      </c>
      <c r="CL985" s="62"/>
      <c r="CM985" s="63">
        <v>0</v>
      </c>
      <c r="CN985" s="3">
        <v>140</v>
      </c>
      <c r="CO985" s="3">
        <v>165</v>
      </c>
      <c r="CP985" s="41">
        <f>_xlfn.MAXIFS([1]!phvny[age],[1]!phvny[id],paper3[[#This Row],[id]],[1]!phvny[time],paper3[[#This Row],[time]])</f>
        <v>14.777777777777779</v>
      </c>
      <c r="CQ985" s="3"/>
      <c r="CR985" s="40">
        <f>AVERAGE(paper3[[#This Row],[Adduksjon ikke-dominant]:[Adduksjon dominant]])</f>
        <v>136</v>
      </c>
      <c r="CS985" s="40">
        <f>AVERAGE(paper3[[#This Row],[Abduksjon ikke-dominant]:[Abduksjon dominant]])</f>
        <v>163.5</v>
      </c>
      <c r="CT985" s="40">
        <v>295.5</v>
      </c>
      <c r="CU985" s="40"/>
      <c r="CV985" s="40"/>
      <c r="CW985" s="40"/>
      <c r="CX985" s="40"/>
      <c r="CY985" s="40">
        <v>0</v>
      </c>
    </row>
    <row r="986" spans="1:103" ht="18.75">
      <c r="A986" s="3">
        <v>513</v>
      </c>
      <c r="B986" s="92" t="s">
        <v>103</v>
      </c>
      <c r="C986" s="3" t="s">
        <v>115</v>
      </c>
      <c r="D986" s="3" t="s">
        <v>269</v>
      </c>
      <c r="E986" s="39">
        <v>45349</v>
      </c>
      <c r="F986" s="3" t="s">
        <v>186</v>
      </c>
      <c r="G986" s="3" t="s">
        <v>122</v>
      </c>
      <c r="H986" s="3">
        <v>2009</v>
      </c>
      <c r="I986" s="40" t="s">
        <v>108</v>
      </c>
      <c r="J986" s="39" t="s">
        <v>123</v>
      </c>
      <c r="K986" s="3">
        <v>185.5</v>
      </c>
      <c r="L986" s="3">
        <v>185.4</v>
      </c>
      <c r="M986" s="3"/>
      <c r="N986" s="3">
        <v>145</v>
      </c>
      <c r="O986" s="3">
        <v>145</v>
      </c>
      <c r="P986" s="3"/>
      <c r="Q986" s="3">
        <v>66.5</v>
      </c>
      <c r="R986" s="3" t="s">
        <v>235</v>
      </c>
      <c r="S986" s="3" t="s">
        <v>287</v>
      </c>
      <c r="T986" s="42">
        <v>185.45</v>
      </c>
      <c r="U986" s="42">
        <f>AVERAGE(paper3[[#This Row],[Sittende høyde 1]:[Sittende høyde 3]])-56.2</f>
        <v>88.8</v>
      </c>
      <c r="V986" s="12">
        <f>paper3[[#This Row],[height]]-paper3[[#This Row],[sittingheight]]</f>
        <v>96.649999999999991</v>
      </c>
      <c r="W986" s="73">
        <v>66.5</v>
      </c>
      <c r="X986" s="43" cm="1">
        <f t="array" ref="X986">INDEX([1]!phvny[yphv], MATCH(1, (paper3[[#This Row],[id]]=[1]!phvny[id])*(paper3[[#This Row],[time]]=[1]!phvny[time]), 0))</f>
        <v>0.99879397653698032</v>
      </c>
      <c r="Y986" s="60">
        <v>1.9</v>
      </c>
      <c r="Z986" s="3">
        <v>3.28</v>
      </c>
      <c r="AA986" s="3">
        <v>4.59</v>
      </c>
      <c r="AB986" s="3">
        <v>1.93</v>
      </c>
      <c r="AC986" s="3">
        <v>3.35</v>
      </c>
      <c r="AD986" s="3">
        <v>4.67</v>
      </c>
      <c r="AE986" s="3">
        <v>1.91</v>
      </c>
      <c r="AF986" s="3">
        <v>3.33</v>
      </c>
      <c r="AG986" s="3">
        <v>4.6500000000000004</v>
      </c>
      <c r="AH986" s="44">
        <v>1.9</v>
      </c>
      <c r="AI986" s="44">
        <v>3.28</v>
      </c>
      <c r="AJ986" s="44">
        <v>4.59</v>
      </c>
      <c r="AK986" s="45">
        <v>7.6335877862595414</v>
      </c>
      <c r="AL986" s="128" t="s">
        <v>288</v>
      </c>
      <c r="AM986" s="3">
        <v>10.07</v>
      </c>
      <c r="AN986" s="3">
        <v>10.39</v>
      </c>
      <c r="AO986" s="3">
        <v>10.28</v>
      </c>
      <c r="AP986" s="3">
        <v>10.07</v>
      </c>
      <c r="AQ986" s="47">
        <v>10.07</v>
      </c>
      <c r="AR986" s="47">
        <v>10.28</v>
      </c>
      <c r="AS986" s="3">
        <v>28.23</v>
      </c>
      <c r="AT986" s="3">
        <v>30.62</v>
      </c>
      <c r="AU986" s="3">
        <v>29.73</v>
      </c>
      <c r="AV986" s="3"/>
      <c r="AW986" s="3"/>
      <c r="AX986" s="48">
        <v>30.62</v>
      </c>
      <c r="AY986" s="71"/>
      <c r="AZ986" s="3"/>
      <c r="BA986" s="3"/>
      <c r="BB986" s="3"/>
      <c r="BC986" s="3"/>
      <c r="BD986" s="40">
        <v>832.60022363802852</v>
      </c>
      <c r="BE986" s="40">
        <v>860.42618951298994</v>
      </c>
      <c r="BF986" s="40"/>
      <c r="BG986" s="40">
        <v>402.42703735677867</v>
      </c>
      <c r="BH986" s="40">
        <v>388.53888605642885</v>
      </c>
      <c r="BI986" s="49">
        <v>1693.0264131510185</v>
      </c>
      <c r="BJ986" s="49">
        <v>790.96592341320752</v>
      </c>
      <c r="BK986" s="66">
        <v>-3.2339747690282694E-2</v>
      </c>
      <c r="BL986" s="66">
        <v>3.5744559421866384E-2</v>
      </c>
      <c r="BM986" s="51">
        <v>25.459043806782233</v>
      </c>
      <c r="BN986" s="51">
        <v>11.894224412228684</v>
      </c>
      <c r="BO986" s="52"/>
      <c r="BP986" s="40">
        <v>353</v>
      </c>
      <c r="BQ986" s="40">
        <v>319</v>
      </c>
      <c r="BR986" s="67">
        <v>0.10658307210031337</v>
      </c>
      <c r="BS986" s="54">
        <v>5.0526315789473681</v>
      </c>
      <c r="BT986" s="3">
        <v>178</v>
      </c>
      <c r="BU986" s="3">
        <v>175</v>
      </c>
      <c r="BV986" s="3">
        <v>155</v>
      </c>
      <c r="BW986" s="3">
        <v>154</v>
      </c>
      <c r="BX986" s="70">
        <v>1.7142857142857126E-2</v>
      </c>
      <c r="BY986" s="70">
        <v>6.4935064935065512E-3</v>
      </c>
      <c r="BZ986" s="59">
        <v>1.1363636363636365</v>
      </c>
      <c r="CA986" s="59">
        <v>1.1483870967741936</v>
      </c>
      <c r="CB986" s="59">
        <f>IFERROR((paper3[[#This Row],[meanadd]]*(paper3[[#This Row],[leglength]]/100))/paper3[[#This Row],[bodymass]],"")</f>
        <v>2.5652218045112778</v>
      </c>
      <c r="CC986" s="59">
        <f>IFERROR((paper3[[#This Row],[meanabd]]*(paper3[[#This Row],[leglength]]/100))/paper3[[#This Row],[bodymass]],"")</f>
        <v>2.2454774436090221</v>
      </c>
      <c r="CD986" s="60">
        <v>105</v>
      </c>
      <c r="CE986" s="60">
        <v>93</v>
      </c>
      <c r="CF986" s="61">
        <v>1.5789473684210527</v>
      </c>
      <c r="CG986" s="61">
        <v>1.3984962406015038</v>
      </c>
      <c r="CH986" s="61">
        <v>0.88571428571428568</v>
      </c>
      <c r="CI986" s="41">
        <v>15.1</v>
      </c>
      <c r="CJ986" s="40">
        <f>VLOOKUP(paper3[[#This Row],[YYIR nivå]],$DB:$DC,2)</f>
        <v>800</v>
      </c>
      <c r="CK986" s="3"/>
      <c r="CL986" s="62"/>
      <c r="CM986" s="63">
        <v>0</v>
      </c>
      <c r="CN986" s="3">
        <v>178</v>
      </c>
      <c r="CO986" s="3">
        <v>155</v>
      </c>
      <c r="CP986" s="41">
        <f>_xlfn.MAXIFS([1]!phvny[age],[1]!phvny[id],paper3[[#This Row],[id]],[1]!phvny[time],paper3[[#This Row],[time]])</f>
        <v>14.766666666666667</v>
      </c>
      <c r="CQ986" s="3"/>
      <c r="CR986" s="40">
        <f>AVERAGE(paper3[[#This Row],[Adduksjon ikke-dominant]:[Adduksjon dominant]])</f>
        <v>176.5</v>
      </c>
      <c r="CS986" s="40">
        <f>AVERAGE(paper3[[#This Row],[Abduksjon ikke-dominant]:[Abduksjon dominant]])</f>
        <v>154.5</v>
      </c>
      <c r="CT986" s="40">
        <v>336</v>
      </c>
      <c r="CU986" s="40"/>
      <c r="CV986" s="40"/>
      <c r="CW986" s="40"/>
      <c r="CX986" s="40"/>
      <c r="CY986" s="40">
        <v>0</v>
      </c>
    </row>
    <row r="987" spans="1:103" ht="18.95" customHeight="1">
      <c r="A987" s="3">
        <v>515</v>
      </c>
      <c r="B987" s="92" t="s">
        <v>103</v>
      </c>
      <c r="C987" s="3" t="s">
        <v>115</v>
      </c>
      <c r="D987" s="3" t="s">
        <v>269</v>
      </c>
      <c r="E987" s="39">
        <v>45349</v>
      </c>
      <c r="F987" s="3" t="s">
        <v>186</v>
      </c>
      <c r="G987" s="3" t="s">
        <v>122</v>
      </c>
      <c r="H987" s="3">
        <v>2009</v>
      </c>
      <c r="I987" s="40" t="s">
        <v>108</v>
      </c>
      <c r="J987" s="39" t="s">
        <v>123</v>
      </c>
      <c r="K987" s="3">
        <v>173.5</v>
      </c>
      <c r="L987" s="3">
        <v>173.5</v>
      </c>
      <c r="M987" s="3"/>
      <c r="N987" s="3">
        <v>142</v>
      </c>
      <c r="O987" s="3">
        <v>142</v>
      </c>
      <c r="P987" s="3"/>
      <c r="Q987" s="3">
        <v>53.8</v>
      </c>
      <c r="R987" s="3"/>
      <c r="S987" s="3"/>
      <c r="T987" s="42">
        <v>173.5</v>
      </c>
      <c r="U987" s="42">
        <f>AVERAGE(paper3[[#This Row],[Sittende høyde 1]:[Sittende høyde 3]])-56.2</f>
        <v>85.8</v>
      </c>
      <c r="V987" s="12">
        <f>paper3[[#This Row],[height]]-paper3[[#This Row],[sittingheight]]</f>
        <v>87.7</v>
      </c>
      <c r="W987" s="73">
        <v>53.8</v>
      </c>
      <c r="X987" s="43" cm="1">
        <f t="array" ref="X987">INDEX([1]!phvny[yphv], MATCH(1, (paper3[[#This Row],[id]]=[1]!phvny[id])*(paper3[[#This Row],[time]]=[1]!phvny[time]), 0))</f>
        <v>0.55123593306403973</v>
      </c>
      <c r="Y987" s="60"/>
      <c r="Z987" s="3"/>
      <c r="AA987" s="3"/>
      <c r="AB987" s="3"/>
      <c r="AC987" s="3"/>
      <c r="AD987" s="3"/>
      <c r="AE987" s="3"/>
      <c r="AF987" s="3"/>
      <c r="AG987" s="3"/>
      <c r="AH987" s="44"/>
      <c r="AI987" s="44"/>
      <c r="AJ987" s="44"/>
      <c r="AK987" s="45"/>
      <c r="AL987" s="3"/>
      <c r="AM987" s="3"/>
      <c r="AN987" s="3"/>
      <c r="AO987" s="3"/>
      <c r="AP987" s="3"/>
      <c r="AQ987" s="47"/>
      <c r="AR987" s="47"/>
      <c r="AS987" s="3" t="s">
        <v>284</v>
      </c>
      <c r="AT987" s="3"/>
      <c r="AU987" s="3"/>
      <c r="AV987" s="3"/>
      <c r="AW987" s="3"/>
      <c r="AX987" s="48"/>
      <c r="AY987" s="71"/>
      <c r="AZ987" s="3"/>
      <c r="BA987" s="3"/>
      <c r="BB987" s="3"/>
      <c r="BC987" s="3"/>
      <c r="BD987" s="40">
        <v>1023.4010478810087</v>
      </c>
      <c r="BE987" s="40">
        <v>974.18594728445555</v>
      </c>
      <c r="BF987" s="40"/>
      <c r="BG987" s="40">
        <v>347.41128844460218</v>
      </c>
      <c r="BH987" s="40">
        <v>275.25277076872283</v>
      </c>
      <c r="BI987" s="49">
        <v>1997.5869951654643</v>
      </c>
      <c r="BJ987" s="49">
        <v>622.664059213325</v>
      </c>
      <c r="BK987" s="66">
        <v>5.0519206044534304E-2</v>
      </c>
      <c r="BL987" s="66">
        <v>0.26215364689828857</v>
      </c>
      <c r="BM987" s="51">
        <v>37.129869798614578</v>
      </c>
      <c r="BN987" s="51">
        <v>11.573681398017195</v>
      </c>
      <c r="BO987" s="52"/>
      <c r="BP987" s="40">
        <v>279</v>
      </c>
      <c r="BQ987" s="40">
        <v>257</v>
      </c>
      <c r="BR987" s="67">
        <v>8.5603112840466844E-2</v>
      </c>
      <c r="BS987" s="54">
        <v>4.981412639405205</v>
      </c>
      <c r="BT987" s="3">
        <v>197</v>
      </c>
      <c r="BU987" s="3">
        <v>189</v>
      </c>
      <c r="BV987" s="3">
        <v>133</v>
      </c>
      <c r="BW987" s="3">
        <v>121</v>
      </c>
      <c r="BX987" s="70">
        <v>4.2328042328042326E-2</v>
      </c>
      <c r="BY987" s="70">
        <v>9.9173553719008156E-2</v>
      </c>
      <c r="BZ987" s="59">
        <v>1.5619834710743801</v>
      </c>
      <c r="CA987" s="59">
        <v>1.481203007518797</v>
      </c>
      <c r="CB987" s="59">
        <f>IFERROR((paper3[[#This Row],[meanadd]]*(paper3[[#This Row],[leglength]]/100))/paper3[[#This Row],[bodymass]],"")</f>
        <v>3.1461152416356879</v>
      </c>
      <c r="CC987" s="59">
        <f>IFERROR((paper3[[#This Row],[meanabd]]*(paper3[[#This Row],[leglength]]/100))/paper3[[#This Row],[bodymass]],"")</f>
        <v>2.0702416356877325</v>
      </c>
      <c r="CD987" s="60">
        <v>87</v>
      </c>
      <c r="CE987" s="60">
        <v>90</v>
      </c>
      <c r="CF987" s="61">
        <v>1.6171003717472119</v>
      </c>
      <c r="CG987" s="61">
        <v>1.6728624535315986</v>
      </c>
      <c r="CH987" s="61">
        <v>1.0344827586206897</v>
      </c>
      <c r="CI987" s="41"/>
      <c r="CJ987" s="40"/>
      <c r="CK987" s="3"/>
      <c r="CL987" s="62"/>
      <c r="CM987" s="63">
        <v>0</v>
      </c>
      <c r="CN987" s="3">
        <v>197</v>
      </c>
      <c r="CO987" s="3">
        <v>133</v>
      </c>
      <c r="CP987" s="41">
        <f>_xlfn.MAXIFS([1]!phvny[age],[1]!phvny[id],paper3[[#This Row],[id]],[1]!phvny[time],paper3[[#This Row],[time]])</f>
        <v>14.872222222222222</v>
      </c>
      <c r="CQ987" s="3"/>
      <c r="CR987" s="40">
        <f>AVERAGE(paper3[[#This Row],[Adduksjon ikke-dominant]:[Adduksjon dominant]])</f>
        <v>193</v>
      </c>
      <c r="CS987" s="40">
        <f>AVERAGE(paper3[[#This Row],[Abduksjon ikke-dominant]:[Abduksjon dominant]])</f>
        <v>127</v>
      </c>
      <c r="CT987" s="40">
        <v>268</v>
      </c>
      <c r="CU987" s="40"/>
      <c r="CV987" s="40"/>
      <c r="CW987" s="40"/>
      <c r="CX987" s="40"/>
      <c r="CY987" s="40" t="s">
        <v>125</v>
      </c>
    </row>
    <row r="988" spans="1:103" ht="18.75">
      <c r="A988" s="3">
        <v>517</v>
      </c>
      <c r="B988" s="92" t="s">
        <v>103</v>
      </c>
      <c r="C988" s="3" t="s">
        <v>158</v>
      </c>
      <c r="D988" s="3" t="s">
        <v>269</v>
      </c>
      <c r="E988" s="39">
        <v>45349</v>
      </c>
      <c r="F988" s="3" t="s">
        <v>186</v>
      </c>
      <c r="G988" s="3" t="s">
        <v>122</v>
      </c>
      <c r="H988" s="3">
        <v>2009</v>
      </c>
      <c r="I988" s="40" t="s">
        <v>108</v>
      </c>
      <c r="J988" s="39" t="s">
        <v>123</v>
      </c>
      <c r="K988" s="3">
        <v>189.3</v>
      </c>
      <c r="L988" s="3">
        <v>189.1</v>
      </c>
      <c r="M988" s="3"/>
      <c r="N988" s="3">
        <v>151.5</v>
      </c>
      <c r="O988" s="3">
        <v>151.5</v>
      </c>
      <c r="P988" s="3"/>
      <c r="Q988" s="3">
        <v>86.8</v>
      </c>
      <c r="R988" s="3"/>
      <c r="S988" s="3"/>
      <c r="T988" s="42">
        <v>189.2</v>
      </c>
      <c r="U988" s="42">
        <f>AVERAGE(paper3[[#This Row],[Sittende høyde 1]:[Sittende høyde 3]])-56.2</f>
        <v>95.3</v>
      </c>
      <c r="V988" s="12">
        <f>paper3[[#This Row],[height]]-paper3[[#This Row],[sittingheight]]</f>
        <v>93.899999999999991</v>
      </c>
      <c r="W988" s="73">
        <v>86.8</v>
      </c>
      <c r="X988" s="43" cm="1">
        <f t="array" ref="X988">INDEX([1]!phvny[yphv], MATCH(1, (paper3[[#This Row],[id]]=[1]!phvny[id])*(paper3[[#This Row],[time]]=[1]!phvny[time]), 0))</f>
        <v>1.792428448630959</v>
      </c>
      <c r="Y988" s="60">
        <v>2.0099999999999998</v>
      </c>
      <c r="Z988" s="3">
        <v>3.41</v>
      </c>
      <c r="AA988" s="3">
        <v>4.76</v>
      </c>
      <c r="AB988" s="3"/>
      <c r="AC988" s="3"/>
      <c r="AD988" s="3"/>
      <c r="AE988" s="3"/>
      <c r="AF988" s="3"/>
      <c r="AG988" s="3"/>
      <c r="AH988" s="44">
        <v>2.0099999999999998</v>
      </c>
      <c r="AI988" s="44">
        <v>3.41</v>
      </c>
      <c r="AJ988" s="44">
        <v>4.76</v>
      </c>
      <c r="AK988" s="45">
        <v>7.4074074074074092</v>
      </c>
      <c r="AL988" s="3"/>
      <c r="AM988" s="3"/>
      <c r="AN988" s="3"/>
      <c r="AO988" s="3"/>
      <c r="AP988" s="3"/>
      <c r="AQ988" s="47"/>
      <c r="AR988" s="47"/>
      <c r="AS988" s="3">
        <v>30.28</v>
      </c>
      <c r="AT988" s="3">
        <v>31.61</v>
      </c>
      <c r="AU988" s="3"/>
      <c r="AV988" s="3"/>
      <c r="AW988" s="3"/>
      <c r="AX988" s="48">
        <v>31.61</v>
      </c>
      <c r="AY988" s="71"/>
      <c r="AZ988" s="3"/>
      <c r="BA988" s="3">
        <v>250</v>
      </c>
      <c r="BB988" s="3"/>
      <c r="BC988" s="3">
        <v>319</v>
      </c>
      <c r="BD988" s="40">
        <v>1082.4864808470161</v>
      </c>
      <c r="BE988" s="40">
        <v>1096.3712349346629</v>
      </c>
      <c r="BF988" s="40"/>
      <c r="BG988" s="40">
        <v>301.87289283066286</v>
      </c>
      <c r="BH988" s="40">
        <v>291.33523685023806</v>
      </c>
      <c r="BI988" s="49">
        <v>2178.857715781679</v>
      </c>
      <c r="BJ988" s="49">
        <v>593.20812968090092</v>
      </c>
      <c r="BK988" s="66">
        <v>1.2826722858268358E-2</v>
      </c>
      <c r="BL988" s="66">
        <v>-3.4907592667937748E-2</v>
      </c>
      <c r="BM988" s="51">
        <v>25.102047416839621</v>
      </c>
      <c r="BN988" s="51">
        <v>6.8341950424066926</v>
      </c>
      <c r="BO988" s="52"/>
      <c r="BP988" s="40">
        <v>274</v>
      </c>
      <c r="BQ988" s="40">
        <v>254</v>
      </c>
      <c r="BR988" s="67">
        <v>-7.2992700729927029E-2</v>
      </c>
      <c r="BS988" s="54">
        <v>3.0414746543778803</v>
      </c>
      <c r="BT988" s="3">
        <v>111</v>
      </c>
      <c r="BU988" s="3">
        <v>126</v>
      </c>
      <c r="BV988" s="3">
        <v>107</v>
      </c>
      <c r="BW988" s="3">
        <v>96</v>
      </c>
      <c r="BX988" s="70">
        <v>0.11458333333333326</v>
      </c>
      <c r="BY988" s="70">
        <v>-0.11904761904761907</v>
      </c>
      <c r="BZ988" s="59">
        <v>0.76190476190476186</v>
      </c>
      <c r="CA988" s="59">
        <v>0.963963963963964</v>
      </c>
      <c r="CB988" s="59">
        <f>IFERROR((paper3[[#This Row],[meanadd]]*(paper3[[#This Row],[leglength]]/100))/paper3[[#This Row],[bodymass]],"")</f>
        <v>1.2819297235023042</v>
      </c>
      <c r="CC988" s="59">
        <f>IFERROR((paper3[[#This Row],[meanabd]]*(paper3[[#This Row],[leglength]]/100))/paper3[[#This Row],[bodymass]],"")</f>
        <v>1.098024193548387</v>
      </c>
      <c r="CD988" s="60">
        <v>92</v>
      </c>
      <c r="CE988" s="60">
        <v>92</v>
      </c>
      <c r="CF988" s="61">
        <v>1.0599078341013826</v>
      </c>
      <c r="CG988" s="61">
        <v>1.0599078341013826</v>
      </c>
      <c r="CH988" s="61">
        <v>1</v>
      </c>
      <c r="CI988" s="41"/>
      <c r="CJ988" s="40"/>
      <c r="CK988" s="3"/>
      <c r="CL988" s="62"/>
      <c r="CM988" s="63">
        <v>0</v>
      </c>
      <c r="CN988" s="3">
        <v>107</v>
      </c>
      <c r="CO988" s="3">
        <v>126</v>
      </c>
      <c r="CP988" s="41">
        <f>_xlfn.MAXIFS([1]!phvny[age],[1]!phvny[id],paper3[[#This Row],[id]],[1]!phvny[time],paper3[[#This Row],[time]])</f>
        <v>14.21111111111111</v>
      </c>
      <c r="CQ988" s="3"/>
      <c r="CR988" s="40">
        <f>AVERAGE(paper3[[#This Row],[Adduksjon ikke-dominant]:[Adduksjon dominant]])</f>
        <v>118.5</v>
      </c>
      <c r="CS988" s="40">
        <f>AVERAGE(paper3[[#This Row],[Abduksjon ikke-dominant]:[Abduksjon dominant]])</f>
        <v>101.5</v>
      </c>
      <c r="CT988" s="40">
        <v>264</v>
      </c>
      <c r="CU988" s="40"/>
      <c r="CV988" s="40"/>
      <c r="CW988" s="40"/>
      <c r="CX988" s="40"/>
      <c r="CY988" s="40">
        <v>0</v>
      </c>
    </row>
    <row r="989" spans="1:103" ht="18.95" customHeight="1">
      <c r="A989" s="3">
        <v>518</v>
      </c>
      <c r="B989" s="92" t="s">
        <v>103</v>
      </c>
      <c r="C989" s="3" t="s">
        <v>115</v>
      </c>
      <c r="D989" s="3" t="s">
        <v>269</v>
      </c>
      <c r="E989" s="39">
        <v>45349</v>
      </c>
      <c r="F989" s="3" t="s">
        <v>186</v>
      </c>
      <c r="G989" s="3" t="s">
        <v>122</v>
      </c>
      <c r="H989" s="3">
        <v>2009</v>
      </c>
      <c r="I989" s="40" t="s">
        <v>108</v>
      </c>
      <c r="J989" s="39" t="s">
        <v>123</v>
      </c>
      <c r="K989" s="3">
        <v>171.5</v>
      </c>
      <c r="L989" s="3">
        <v>171.3</v>
      </c>
      <c r="M989" s="3"/>
      <c r="N989" s="3">
        <v>143.9</v>
      </c>
      <c r="O989" s="3">
        <v>143.6</v>
      </c>
      <c r="P989" s="3">
        <v>143.6</v>
      </c>
      <c r="Q989" s="3">
        <v>64.5</v>
      </c>
      <c r="R989" s="3"/>
      <c r="S989" s="3"/>
      <c r="T989" s="42">
        <v>171.4</v>
      </c>
      <c r="U989" s="42">
        <f>AVERAGE(paper3[[#This Row],[Sittende høyde 1]:[Sittende høyde 3]])-56.2</f>
        <v>87.500000000000014</v>
      </c>
      <c r="V989" s="12">
        <f>paper3[[#This Row],[height]]-paper3[[#This Row],[sittingheight]]</f>
        <v>83.899999999999991</v>
      </c>
      <c r="W989" s="73">
        <v>64.5</v>
      </c>
      <c r="X989" s="43" cm="1">
        <f t="array" ref="X989">INDEX([1]!phvny[yphv], MATCH(1, (paper3[[#This Row],[id]]=[1]!phvny[id])*(paper3[[#This Row],[time]]=[1]!phvny[time]), 0))</f>
        <v>0.67291545645857642</v>
      </c>
      <c r="Y989" s="60">
        <v>1.88</v>
      </c>
      <c r="Z989" s="3">
        <v>3.28</v>
      </c>
      <c r="AA989" s="3">
        <v>4.6500000000000004</v>
      </c>
      <c r="AB989" s="60">
        <v>1.9</v>
      </c>
      <c r="AC989" s="3">
        <v>3.34</v>
      </c>
      <c r="AD989" s="3">
        <v>4.74</v>
      </c>
      <c r="AE989" s="3">
        <v>1.95</v>
      </c>
      <c r="AF989" s="3">
        <v>3.41</v>
      </c>
      <c r="AG989" s="3">
        <v>4.84</v>
      </c>
      <c r="AH989" s="44">
        <v>1.88</v>
      </c>
      <c r="AI989" s="44">
        <v>3.28</v>
      </c>
      <c r="AJ989" s="44">
        <v>4.6500000000000004</v>
      </c>
      <c r="AK989" s="45">
        <v>7.299270072992698</v>
      </c>
      <c r="AL989" s="3">
        <v>10.24</v>
      </c>
      <c r="AM989" s="3">
        <v>9.99</v>
      </c>
      <c r="AN989" s="3">
        <v>10.44</v>
      </c>
      <c r="AO989" s="3">
        <v>10.24</v>
      </c>
      <c r="AP989" s="3">
        <v>9.99</v>
      </c>
      <c r="AQ989" s="47">
        <v>9.99</v>
      </c>
      <c r="AR989" s="47">
        <v>10.24</v>
      </c>
      <c r="AS989" s="3">
        <v>34.11</v>
      </c>
      <c r="AT989" s="3">
        <v>32.46</v>
      </c>
      <c r="AU989" s="3">
        <v>32.28</v>
      </c>
      <c r="AV989" s="3"/>
      <c r="AW989" s="3"/>
      <c r="AX989" s="48">
        <v>34.11</v>
      </c>
      <c r="AY989" s="71"/>
      <c r="AZ989" s="3"/>
      <c r="BA989" s="3">
        <v>350</v>
      </c>
      <c r="BB989" s="3"/>
      <c r="BC989" s="3"/>
      <c r="BD989" s="40">
        <v>1572.2636270255725</v>
      </c>
      <c r="BE989" s="40">
        <v>1611.8332355767297</v>
      </c>
      <c r="BF989" s="40"/>
      <c r="BG989" s="40">
        <v>392.84505166195254</v>
      </c>
      <c r="BH989" s="40">
        <v>400.39356279948981</v>
      </c>
      <c r="BI989" s="49">
        <v>3184.0968626023023</v>
      </c>
      <c r="BJ989" s="49">
        <v>793.23861446144235</v>
      </c>
      <c r="BK989" s="66">
        <v>-2.4549443253661929E-2</v>
      </c>
      <c r="BL989" s="66">
        <v>-1.8852728512314898E-2</v>
      </c>
      <c r="BM989" s="51">
        <v>49.365842831043445</v>
      </c>
      <c r="BN989" s="51">
        <v>12.298273092425463</v>
      </c>
      <c r="BO989" s="52"/>
      <c r="BP989" s="40">
        <v>269</v>
      </c>
      <c r="BQ989" s="40">
        <v>308</v>
      </c>
      <c r="BR989" s="67">
        <v>-0.12662337662337664</v>
      </c>
      <c r="BS989" s="54">
        <v>4.4728682170542635</v>
      </c>
      <c r="BT989" s="3">
        <v>143</v>
      </c>
      <c r="BU989" s="3">
        <v>133</v>
      </c>
      <c r="BV989" s="3">
        <v>132</v>
      </c>
      <c r="BW989" s="3">
        <v>121</v>
      </c>
      <c r="BX989" s="70">
        <v>7.5187969924812137E-2</v>
      </c>
      <c r="BY989" s="70">
        <v>9.0909090909090828E-2</v>
      </c>
      <c r="BZ989" s="59">
        <v>1.0991735537190082</v>
      </c>
      <c r="CA989" s="59">
        <v>1.0833333333333333</v>
      </c>
      <c r="CB989" s="59">
        <f>IFERROR((paper3[[#This Row],[meanadd]]*(paper3[[#This Row],[leglength]]/100))/paper3[[#This Row],[bodymass]],"")</f>
        <v>1.7950697674418603</v>
      </c>
      <c r="CC989" s="59">
        <f>IFERROR((paper3[[#This Row],[meanabd]]*(paper3[[#This Row],[leglength]]/100))/paper3[[#This Row],[bodymass]],"")</f>
        <v>1.6454806201550387</v>
      </c>
      <c r="CD989" s="60">
        <v>110</v>
      </c>
      <c r="CE989" s="60">
        <v>120</v>
      </c>
      <c r="CF989" s="61">
        <v>1.7054263565891472</v>
      </c>
      <c r="CG989" s="61">
        <v>1.8604651162790697</v>
      </c>
      <c r="CH989" s="61">
        <v>1.0909090909090911</v>
      </c>
      <c r="CI989" s="41"/>
      <c r="CJ989" s="40"/>
      <c r="CK989" s="3"/>
      <c r="CL989" s="62"/>
      <c r="CM989" s="63">
        <v>0</v>
      </c>
      <c r="CN989" s="3">
        <v>143</v>
      </c>
      <c r="CO989" s="3">
        <v>132</v>
      </c>
      <c r="CP989" s="41">
        <f>_xlfn.MAXIFS([1]!phvny[age],[1]!phvny[id],paper3[[#This Row],[id]],[1]!phvny[time],paper3[[#This Row],[time]])</f>
        <v>14.35</v>
      </c>
      <c r="CQ989" s="3"/>
      <c r="CR989" s="40">
        <f>AVERAGE(paper3[[#This Row],[Adduksjon ikke-dominant]:[Adduksjon dominant]])</f>
        <v>138</v>
      </c>
      <c r="CS989" s="40">
        <f>AVERAGE(paper3[[#This Row],[Abduksjon ikke-dominant]:[Abduksjon dominant]])</f>
        <v>126.5</v>
      </c>
      <c r="CT989" s="40">
        <v>288.5</v>
      </c>
      <c r="CU989" s="40"/>
      <c r="CV989" s="40"/>
      <c r="CW989" s="40"/>
      <c r="CX989" s="40"/>
      <c r="CY989" s="40">
        <v>0</v>
      </c>
    </row>
    <row r="990" spans="1:103" ht="18.95" customHeight="1">
      <c r="A990" s="3">
        <v>520</v>
      </c>
      <c r="B990" s="92" t="s">
        <v>103</v>
      </c>
      <c r="C990" s="3" t="s">
        <v>104</v>
      </c>
      <c r="D990" s="3" t="s">
        <v>269</v>
      </c>
      <c r="E990" s="39">
        <v>45336</v>
      </c>
      <c r="F990" s="3" t="s">
        <v>186</v>
      </c>
      <c r="G990" s="3" t="s">
        <v>122</v>
      </c>
      <c r="H990" s="3">
        <v>2005</v>
      </c>
      <c r="I990" s="40" t="s">
        <v>121</v>
      </c>
      <c r="J990" s="39" t="s">
        <v>160</v>
      </c>
      <c r="K990" s="3">
        <v>179.4</v>
      </c>
      <c r="L990" s="3">
        <v>179.4</v>
      </c>
      <c r="M990" s="3"/>
      <c r="N990" s="3">
        <v>147.4</v>
      </c>
      <c r="O990" s="3">
        <v>147.5</v>
      </c>
      <c r="P990" s="3"/>
      <c r="Q990" s="3">
        <v>78.900000000000006</v>
      </c>
      <c r="R990" s="3"/>
      <c r="S990" s="3"/>
      <c r="T990" s="42">
        <v>179.4</v>
      </c>
      <c r="U990" s="42">
        <f>AVERAGE(paper3[[#This Row],[Sittende høyde 1]:[Sittende høyde 3]])-56.2</f>
        <v>91.249999999999986</v>
      </c>
      <c r="V990" s="12">
        <f>paper3[[#This Row],[height]]-paper3[[#This Row],[sittingheight]]</f>
        <v>88.15000000000002</v>
      </c>
      <c r="W990" s="73">
        <v>78.900000000000006</v>
      </c>
      <c r="X990" s="43" cm="1">
        <f t="array" ref="X990">INDEX([1]!phvny[yphv], MATCH(1, (paper3[[#This Row],[id]]=[1]!phvny[id])*(paper3[[#This Row],[time]]=[1]!phvny[time]), 0))</f>
        <v>3.3742825680007411</v>
      </c>
      <c r="Y990" s="3"/>
      <c r="Z990" s="3"/>
      <c r="AA990" s="3"/>
      <c r="AB990" s="3"/>
      <c r="AC990" s="3"/>
      <c r="AD990" s="3"/>
      <c r="AE990" s="3"/>
      <c r="AF990" s="3"/>
      <c r="AG990" s="3"/>
      <c r="AH990" s="44"/>
      <c r="AI990" s="194"/>
      <c r="AJ990" s="44"/>
      <c r="AK990" s="45"/>
      <c r="AL990" s="3"/>
      <c r="AM990" s="3"/>
      <c r="AN990" s="3"/>
      <c r="AO990" s="3"/>
      <c r="AP990" s="3"/>
      <c r="AQ990" s="47"/>
      <c r="AR990" s="47"/>
      <c r="AS990" s="3"/>
      <c r="AT990" s="3"/>
      <c r="AU990" s="3"/>
      <c r="AV990" s="3"/>
      <c r="AW990" s="3"/>
      <c r="AX990" s="48"/>
      <c r="AY990" s="71"/>
      <c r="AZ990" s="3">
        <v>10</v>
      </c>
      <c r="BA990" s="3">
        <v>430</v>
      </c>
      <c r="BB990" s="3">
        <v>9</v>
      </c>
      <c r="BC990" s="3">
        <v>430</v>
      </c>
      <c r="BD990" s="40">
        <v>1880.7940706850841</v>
      </c>
      <c r="BE990" s="40">
        <v>1863.2842005930693</v>
      </c>
      <c r="BF990" s="40"/>
      <c r="BG990" s="40">
        <v>956.73467154480329</v>
      </c>
      <c r="BH990" s="40">
        <v>906.78234335860179</v>
      </c>
      <c r="BI990" s="49">
        <v>3744.0782712781534</v>
      </c>
      <c r="BJ990" s="49">
        <v>1863.5170149034052</v>
      </c>
      <c r="BK990" s="66">
        <v>9.3973158181890337E-3</v>
      </c>
      <c r="BL990" s="66">
        <v>5.5087451307426871E-2</v>
      </c>
      <c r="BM990" s="51">
        <v>47.453463514298519</v>
      </c>
      <c r="BN990" s="51">
        <v>23.618720087495628</v>
      </c>
      <c r="BO990" s="52">
        <v>361</v>
      </c>
      <c r="BP990" s="40">
        <v>361</v>
      </c>
      <c r="BQ990" s="40">
        <v>353</v>
      </c>
      <c r="BR990" s="67">
        <v>2.2662889518413554E-2</v>
      </c>
      <c r="BS990" s="54">
        <v>4.5247148288973378</v>
      </c>
      <c r="BT990" s="3">
        <v>204</v>
      </c>
      <c r="BU990" s="40">
        <v>205</v>
      </c>
      <c r="BV990" s="3">
        <v>215</v>
      </c>
      <c r="BW990" s="3">
        <v>223</v>
      </c>
      <c r="BX990" s="70">
        <v>-4.8780487804878092E-3</v>
      </c>
      <c r="BY990" s="70">
        <v>-3.5874439461883401E-2</v>
      </c>
      <c r="BZ990" s="59">
        <v>0.91928251121076232</v>
      </c>
      <c r="CA990" s="59">
        <v>0.94883720930232562</v>
      </c>
      <c r="CB990" s="59">
        <f>IFERROR((paper3[[#This Row],[meanadd]]*(paper3[[#This Row],[leglength]]/100))/paper3[[#This Row],[bodymass]],"")</f>
        <v>2.2847496831432195</v>
      </c>
      <c r="CC990" s="59">
        <f>IFERROR((paper3[[#This Row],[meanabd]]*(paper3[[#This Row],[leglength]]/100))/paper3[[#This Row],[bodymass]],"")</f>
        <v>2.4467490494296582</v>
      </c>
      <c r="CD990" s="60">
        <v>180</v>
      </c>
      <c r="CE990" s="60">
        <v>159</v>
      </c>
      <c r="CF990" s="61">
        <v>2.2813688212927756</v>
      </c>
      <c r="CG990" s="61">
        <v>2.0152091254752849</v>
      </c>
      <c r="CH990" s="61">
        <v>0.88333333333333319</v>
      </c>
      <c r="CI990" s="41"/>
      <c r="CJ990" s="40"/>
      <c r="CK990" s="3"/>
      <c r="CL990" s="62"/>
      <c r="CM990" s="63">
        <v>0</v>
      </c>
      <c r="CN990" s="3">
        <v>205</v>
      </c>
      <c r="CO990" s="3">
        <v>223</v>
      </c>
      <c r="CP990" s="41">
        <f>_xlfn.MAXIFS([1]!phvny[age],[1]!phvny[id],paper3[[#This Row],[id]],[1]!phvny[time],paper3[[#This Row],[time]])</f>
        <v>18.411111111111111</v>
      </c>
      <c r="CQ990" s="3"/>
      <c r="CR990" s="40">
        <f>AVERAGE(paper3[[#This Row],[Adduksjon ikke-dominant]:[Adduksjon dominant]])</f>
        <v>204.5</v>
      </c>
      <c r="CS990" s="40">
        <f>AVERAGE(paper3[[#This Row],[Abduksjon ikke-dominant]:[Abduksjon dominant]])</f>
        <v>219</v>
      </c>
      <c r="CT990" s="40">
        <v>357</v>
      </c>
      <c r="CU990" s="40"/>
      <c r="CV990" s="40"/>
      <c r="CW990" s="40"/>
      <c r="CX990" s="40"/>
      <c r="CY990" s="40">
        <v>0</v>
      </c>
    </row>
    <row r="991" spans="1:103" ht="18.95" customHeight="1">
      <c r="A991" s="3">
        <v>525</v>
      </c>
      <c r="B991" s="92" t="s">
        <v>103</v>
      </c>
      <c r="C991" s="3" t="s">
        <v>104</v>
      </c>
      <c r="D991" s="3" t="s">
        <v>269</v>
      </c>
      <c r="E991" s="39">
        <v>45336</v>
      </c>
      <c r="F991" s="3" t="s">
        <v>186</v>
      </c>
      <c r="G991" s="3" t="s">
        <v>122</v>
      </c>
      <c r="H991" s="3">
        <v>2005</v>
      </c>
      <c r="I991" s="40" t="s">
        <v>121</v>
      </c>
      <c r="J991" s="39" t="s">
        <v>160</v>
      </c>
      <c r="K991" s="3">
        <v>176.5</v>
      </c>
      <c r="L991" s="3">
        <v>176.5</v>
      </c>
      <c r="M991" s="3"/>
      <c r="N991" s="3">
        <v>148</v>
      </c>
      <c r="O991" s="3">
        <v>148</v>
      </c>
      <c r="P991" s="3"/>
      <c r="Q991" s="3">
        <v>66.5</v>
      </c>
      <c r="R991" s="3"/>
      <c r="S991" s="3"/>
      <c r="T991" s="42">
        <v>176.5</v>
      </c>
      <c r="U991" s="42">
        <f>AVERAGE(paper3[[#This Row],[Sittende høyde 1]:[Sittende høyde 3]])-56.2</f>
        <v>91.8</v>
      </c>
      <c r="V991" s="12">
        <f>paper3[[#This Row],[height]]-paper3[[#This Row],[sittingheight]]</f>
        <v>84.7</v>
      </c>
      <c r="W991" s="73">
        <v>66.5</v>
      </c>
      <c r="X991" s="43" cm="1">
        <f t="array" ref="X991">INDEX([1]!phvny[yphv], MATCH(1, (paper3[[#This Row],[id]]=[1]!phvny[id])*(paper3[[#This Row],[time]]=[1]!phvny[time]), 0))</f>
        <v>3.6908447724877225</v>
      </c>
      <c r="Y991" s="60">
        <v>1.9</v>
      </c>
      <c r="Z991" s="3">
        <v>3.19</v>
      </c>
      <c r="AA991" s="3">
        <v>4.4400000000000004</v>
      </c>
      <c r="AB991" s="3">
        <v>1.93</v>
      </c>
      <c r="AC991" s="3">
        <v>3.22</v>
      </c>
      <c r="AD991" s="3">
        <v>4.4400000000000004</v>
      </c>
      <c r="AE991" s="3">
        <v>1.84</v>
      </c>
      <c r="AF991" s="3">
        <v>3.13</v>
      </c>
      <c r="AG991" s="3">
        <v>4.3499999999999996</v>
      </c>
      <c r="AH991" s="44">
        <v>1.84</v>
      </c>
      <c r="AI991" s="194">
        <v>3.13</v>
      </c>
      <c r="AJ991" s="44">
        <v>4.3499999999999996</v>
      </c>
      <c r="AK991" s="45">
        <v>8.1967213114754109</v>
      </c>
      <c r="AL991" s="3">
        <v>8.9499999999999993</v>
      </c>
      <c r="AM991" s="3">
        <v>8.9600000000000009</v>
      </c>
      <c r="AN991" s="3">
        <v>8.83</v>
      </c>
      <c r="AO991" s="3">
        <v>8.98</v>
      </c>
      <c r="AP991" s="3">
        <v>8.83</v>
      </c>
      <c r="AQ991" s="47">
        <v>8.9499999999999993</v>
      </c>
      <c r="AR991" s="47">
        <v>8.83</v>
      </c>
      <c r="AS991" s="3">
        <v>35.450000000000003</v>
      </c>
      <c r="AT991" s="3">
        <v>37.04</v>
      </c>
      <c r="AU991" s="3">
        <v>38.04</v>
      </c>
      <c r="AV991" s="3">
        <v>39.03</v>
      </c>
      <c r="AW991" s="3">
        <v>41.75</v>
      </c>
      <c r="AX991" s="48">
        <v>41.75</v>
      </c>
      <c r="AY991" s="71"/>
      <c r="AZ991" s="3">
        <v>9</v>
      </c>
      <c r="BA991" s="3">
        <v>372</v>
      </c>
      <c r="BB991" s="3">
        <v>10</v>
      </c>
      <c r="BC991" s="3">
        <v>406</v>
      </c>
      <c r="BD991" s="40">
        <v>1661.2272373264454</v>
      </c>
      <c r="BE991" s="40">
        <v>1603.6567750675265</v>
      </c>
      <c r="BF991" s="40"/>
      <c r="BG991" s="40">
        <v>698.91065977443691</v>
      </c>
      <c r="BH991" s="40">
        <v>702.29070197817941</v>
      </c>
      <c r="BI991" s="49">
        <v>3264.8840123939717</v>
      </c>
      <c r="BJ991" s="49">
        <v>1401.2013617526163</v>
      </c>
      <c r="BK991" s="66">
        <v>3.5899491184137489E-2</v>
      </c>
      <c r="BL991" s="66">
        <v>-4.8128818938109053E-3</v>
      </c>
      <c r="BM991" s="51">
        <v>49.096000186375512</v>
      </c>
      <c r="BN991" s="51">
        <v>21.070697169212277</v>
      </c>
      <c r="BO991" s="52">
        <v>412</v>
      </c>
      <c r="BP991" s="40">
        <v>412</v>
      </c>
      <c r="BQ991" s="40">
        <v>331</v>
      </c>
      <c r="BR991" s="67">
        <v>0.24471299093655596</v>
      </c>
      <c r="BS991" s="54">
        <v>5.5864661654135341</v>
      </c>
      <c r="BT991" s="3">
        <v>193</v>
      </c>
      <c r="BU991" s="40">
        <v>189</v>
      </c>
      <c r="BV991" s="3">
        <v>193</v>
      </c>
      <c r="BW991" s="3">
        <v>177</v>
      </c>
      <c r="BX991" s="70">
        <v>2.1164021164021163E-2</v>
      </c>
      <c r="BY991" s="70">
        <v>9.0395480225988756E-2</v>
      </c>
      <c r="BZ991" s="59">
        <v>1.0677966101694916</v>
      </c>
      <c r="CA991" s="59">
        <v>1</v>
      </c>
      <c r="CB991" s="59">
        <f>IFERROR((paper3[[#This Row],[meanadd]]*(paper3[[#This Row],[leglength]]/100))/paper3[[#This Row],[bodymass]],"")</f>
        <v>2.4327368421052631</v>
      </c>
      <c r="CC991" s="59">
        <f>IFERROR((paper3[[#This Row],[meanabd]]*(paper3[[#This Row],[leglength]]/100))/paper3[[#This Row],[bodymass]],"")</f>
        <v>2.3563157894736841</v>
      </c>
      <c r="CD991" s="60">
        <v>179</v>
      </c>
      <c r="CE991" s="60">
        <v>134</v>
      </c>
      <c r="CF991" s="61">
        <v>2.6917293233082709</v>
      </c>
      <c r="CG991" s="61">
        <v>2.0150375939849625</v>
      </c>
      <c r="CH991" s="61">
        <v>0.74860335195530725</v>
      </c>
      <c r="CI991" s="41"/>
      <c r="CJ991" s="40"/>
      <c r="CK991" s="3"/>
      <c r="CL991" s="62"/>
      <c r="CM991" s="63">
        <v>0</v>
      </c>
      <c r="CN991" s="3">
        <v>193</v>
      </c>
      <c r="CO991" s="3">
        <v>193</v>
      </c>
      <c r="CP991" s="41">
        <f>_xlfn.MAXIFS([1]!phvny[age],[1]!phvny[id],paper3[[#This Row],[id]],[1]!phvny[time],paper3[[#This Row],[time]])</f>
        <v>19.091666666666665</v>
      </c>
      <c r="CQ991" s="3"/>
      <c r="CR991" s="40">
        <f>AVERAGE(paper3[[#This Row],[Adduksjon ikke-dominant]:[Adduksjon dominant]])</f>
        <v>191</v>
      </c>
      <c r="CS991" s="40">
        <f>AVERAGE(paper3[[#This Row],[Abduksjon ikke-dominant]:[Abduksjon dominant]])</f>
        <v>185</v>
      </c>
      <c r="CT991" s="40">
        <v>371.5</v>
      </c>
      <c r="CU991" s="40"/>
      <c r="CV991" s="40"/>
      <c r="CW991" s="40"/>
      <c r="CX991" s="40"/>
      <c r="CY991" s="40">
        <v>0</v>
      </c>
    </row>
    <row r="992" spans="1:103" ht="18.75">
      <c r="A992" s="3">
        <v>526</v>
      </c>
      <c r="B992" s="92" t="s">
        <v>103</v>
      </c>
      <c r="C992" s="3" t="s">
        <v>104</v>
      </c>
      <c r="D992" s="3" t="s">
        <v>269</v>
      </c>
      <c r="E992" s="39">
        <v>45336</v>
      </c>
      <c r="F992" s="3" t="s">
        <v>186</v>
      </c>
      <c r="G992" s="3" t="s">
        <v>122</v>
      </c>
      <c r="H992" s="3">
        <v>2005</v>
      </c>
      <c r="I992" s="40" t="s">
        <v>121</v>
      </c>
      <c r="J992" s="39" t="s">
        <v>160</v>
      </c>
      <c r="K992" s="3">
        <v>185.5</v>
      </c>
      <c r="L992" s="3">
        <v>185.5</v>
      </c>
      <c r="M992" s="3"/>
      <c r="N992" s="3">
        <v>149.4</v>
      </c>
      <c r="O992" s="3">
        <v>149.4</v>
      </c>
      <c r="P992" s="3"/>
      <c r="Q992" s="3">
        <v>76.7</v>
      </c>
      <c r="R992" s="3"/>
      <c r="S992" s="3"/>
      <c r="T992" s="42">
        <v>185.5</v>
      </c>
      <c r="U992" s="42">
        <f>AVERAGE(paper3[[#This Row],[Sittende høyde 1]:[Sittende høyde 3]])-56.2</f>
        <v>93.2</v>
      </c>
      <c r="V992" s="12">
        <f>paper3[[#This Row],[height]]-paper3[[#This Row],[sittingheight]]</f>
        <v>92.3</v>
      </c>
      <c r="W992" s="73">
        <v>76.7</v>
      </c>
      <c r="X992" s="43" cm="1">
        <f t="array" ref="X992">INDEX([1]!phvny[yphv], MATCH(1, (paper3[[#This Row],[id]]=[1]!phvny[id])*(paper3[[#This Row],[time]]=[1]!phvny[time]), 0))</f>
        <v>3.5020869108706192</v>
      </c>
      <c r="Y992" s="3">
        <v>1.95</v>
      </c>
      <c r="Z992" s="3">
        <v>3.22</v>
      </c>
      <c r="AA992" s="3">
        <v>4.43</v>
      </c>
      <c r="AB992" s="60">
        <v>1.8</v>
      </c>
      <c r="AC992" s="3">
        <v>3.07</v>
      </c>
      <c r="AD992" s="3">
        <v>4.28</v>
      </c>
      <c r="AE992" s="3">
        <v>1.86</v>
      </c>
      <c r="AF992" s="3">
        <v>3.14</v>
      </c>
      <c r="AG992" s="3">
        <v>4.34</v>
      </c>
      <c r="AH992" s="44">
        <v>1.8</v>
      </c>
      <c r="AI992" s="194">
        <v>3.07</v>
      </c>
      <c r="AJ992" s="44">
        <v>4.28</v>
      </c>
      <c r="AK992" s="45">
        <v>8.2644628099173527</v>
      </c>
      <c r="AL992" s="60">
        <v>9</v>
      </c>
      <c r="AM992" s="3">
        <v>9.07</v>
      </c>
      <c r="AN992" s="3">
        <v>9.32</v>
      </c>
      <c r="AO992" s="3">
        <v>9.58</v>
      </c>
      <c r="AP992" s="3">
        <v>9</v>
      </c>
      <c r="AQ992" s="47">
        <v>9</v>
      </c>
      <c r="AR992" s="47">
        <v>9.32</v>
      </c>
      <c r="AS992" s="3">
        <v>36.39</v>
      </c>
      <c r="AT992" s="3">
        <v>36.83</v>
      </c>
      <c r="AU992" s="3">
        <v>36.909999999999997</v>
      </c>
      <c r="AV992" s="3"/>
      <c r="AW992" s="3"/>
      <c r="AX992" s="48">
        <v>36.909999999999997</v>
      </c>
      <c r="AY992" s="71"/>
      <c r="AZ992" s="3">
        <v>11</v>
      </c>
      <c r="BA992" s="3">
        <v>430</v>
      </c>
      <c r="BB992" s="3">
        <v>8</v>
      </c>
      <c r="BC992" s="3">
        <v>388</v>
      </c>
      <c r="BD992" s="40">
        <v>1595.2753996239089</v>
      </c>
      <c r="BE992" s="40">
        <v>1523.0571213534836</v>
      </c>
      <c r="BF992" s="40"/>
      <c r="BG992" s="40">
        <v>711.36832835587973</v>
      </c>
      <c r="BH992" s="40">
        <v>641.26349311105719</v>
      </c>
      <c r="BI992" s="49">
        <v>3118.3325209773925</v>
      </c>
      <c r="BJ992" s="49">
        <v>1352.6318214669368</v>
      </c>
      <c r="BK992" s="66">
        <v>4.7416657758868386E-2</v>
      </c>
      <c r="BL992" s="66">
        <v>0.10932297877228669</v>
      </c>
      <c r="BM992" s="51">
        <v>40.656225827606157</v>
      </c>
      <c r="BN992" s="51">
        <v>17.635356212085224</v>
      </c>
      <c r="BO992" s="52">
        <v>435</v>
      </c>
      <c r="BP992" s="40">
        <v>434</v>
      </c>
      <c r="BQ992" s="40">
        <v>435</v>
      </c>
      <c r="BR992" s="67">
        <v>-2.2988505747126853E-3</v>
      </c>
      <c r="BS992" s="54">
        <v>5.6649282920469357</v>
      </c>
      <c r="BT992" s="3">
        <v>203</v>
      </c>
      <c r="BU992" s="40">
        <v>202</v>
      </c>
      <c r="BV992" s="3">
        <v>194</v>
      </c>
      <c r="BW992" s="3">
        <v>204</v>
      </c>
      <c r="BX992" s="70">
        <v>4.9504950495049549E-3</v>
      </c>
      <c r="BY992" s="70">
        <v>-4.9019607843137303E-2</v>
      </c>
      <c r="BZ992" s="59">
        <v>0.99019607843137258</v>
      </c>
      <c r="CA992" s="59">
        <v>1.0463917525773196</v>
      </c>
      <c r="CB992" s="59">
        <f>IFERROR((paper3[[#This Row],[meanadd]]*(paper3[[#This Row],[leglength]]/100))/paper3[[#This Row],[bodymass]],"")</f>
        <v>2.436864406779661</v>
      </c>
      <c r="CC992" s="59">
        <f>IFERROR((paper3[[#This Row],[meanabd]]*(paper3[[#This Row],[leglength]]/100))/paper3[[#This Row],[bodymass]],"")</f>
        <v>2.3947457627118642</v>
      </c>
      <c r="CD992" s="60">
        <v>145</v>
      </c>
      <c r="CE992" s="60">
        <v>175</v>
      </c>
      <c r="CF992" s="61">
        <v>1.8904823989569752</v>
      </c>
      <c r="CG992" s="61">
        <v>2.2816166883963493</v>
      </c>
      <c r="CH992" s="61">
        <v>1.2068965517241379</v>
      </c>
      <c r="CI992" s="41"/>
      <c r="CJ992" s="40"/>
      <c r="CK992" s="3"/>
      <c r="CL992" s="62"/>
      <c r="CM992" s="63">
        <v>0</v>
      </c>
      <c r="CN992" s="3">
        <v>203</v>
      </c>
      <c r="CO992" s="3">
        <v>204</v>
      </c>
      <c r="CP992" s="41">
        <f>_xlfn.MAXIFS([1]!phvny[age],[1]!phvny[id],paper3[[#This Row],[id]],[1]!phvny[time],paper3[[#This Row],[time]])</f>
        <v>18.227777777777778</v>
      </c>
      <c r="CQ992" s="3"/>
      <c r="CR992" s="40">
        <f>AVERAGE(paper3[[#This Row],[Adduksjon ikke-dominant]:[Adduksjon dominant]])</f>
        <v>202.5</v>
      </c>
      <c r="CS992" s="40">
        <f>AVERAGE(paper3[[#This Row],[Abduksjon ikke-dominant]:[Abduksjon dominant]])</f>
        <v>199</v>
      </c>
      <c r="CT992" s="40">
        <v>434.5</v>
      </c>
      <c r="CU992" s="40"/>
      <c r="CV992" s="40"/>
      <c r="CW992" s="40"/>
      <c r="CX992" s="40"/>
      <c r="CY992" s="40" t="s">
        <v>125</v>
      </c>
    </row>
    <row r="993" spans="1:103" ht="18.95" customHeight="1">
      <c r="A993" s="3">
        <v>527</v>
      </c>
      <c r="B993" s="92" t="s">
        <v>103</v>
      </c>
      <c r="C993" s="3" t="s">
        <v>115</v>
      </c>
      <c r="D993" s="3" t="s">
        <v>269</v>
      </c>
      <c r="E993" s="39">
        <v>45349</v>
      </c>
      <c r="F993" s="3" t="s">
        <v>186</v>
      </c>
      <c r="G993" s="3" t="s">
        <v>122</v>
      </c>
      <c r="H993" s="3">
        <v>2009</v>
      </c>
      <c r="I993" s="40" t="s">
        <v>108</v>
      </c>
      <c r="J993" s="39" t="s">
        <v>123</v>
      </c>
      <c r="K993" s="3">
        <v>190.9</v>
      </c>
      <c r="L993" s="3">
        <v>190.7</v>
      </c>
      <c r="M993" s="3"/>
      <c r="N993" s="3">
        <v>150.1</v>
      </c>
      <c r="O993" s="3">
        <v>149.9</v>
      </c>
      <c r="P993" s="3"/>
      <c r="Q993" s="3">
        <v>66.900000000000006</v>
      </c>
      <c r="R993" s="3"/>
      <c r="S993" s="3"/>
      <c r="T993" s="42">
        <v>190.8</v>
      </c>
      <c r="U993" s="42">
        <f>AVERAGE(paper3[[#This Row],[Sittende høyde 1]:[Sittende høyde 3]])-56.2</f>
        <v>93.8</v>
      </c>
      <c r="V993" s="12">
        <f>paper3[[#This Row],[height]]-paper3[[#This Row],[sittingheight]]</f>
        <v>97.000000000000014</v>
      </c>
      <c r="W993" s="73">
        <v>66.900000000000006</v>
      </c>
      <c r="X993" s="43" cm="1">
        <f t="array" ref="X993">INDEX([1]!phvny[yphv], MATCH(1, (paper3[[#This Row],[id]]=[1]!phvny[id])*(paper3[[#This Row],[time]]=[1]!phvny[time]), 0))</f>
        <v>1.7132344094339622</v>
      </c>
      <c r="Y993" s="60">
        <v>2</v>
      </c>
      <c r="Z993" s="3">
        <v>3.49</v>
      </c>
      <c r="AA993" s="3">
        <v>4.95</v>
      </c>
      <c r="AB993" s="60">
        <v>2</v>
      </c>
      <c r="AC993" s="3">
        <v>3.47</v>
      </c>
      <c r="AD993" s="3">
        <v>4.92</v>
      </c>
      <c r="AE993" s="3">
        <v>1.98</v>
      </c>
      <c r="AF993" s="3">
        <v>3.45</v>
      </c>
      <c r="AG993" s="3">
        <v>4.8899999999999997</v>
      </c>
      <c r="AH993" s="44">
        <v>1.98</v>
      </c>
      <c r="AI993" s="194">
        <v>3.45</v>
      </c>
      <c r="AJ993" s="44">
        <v>4.8899999999999997</v>
      </c>
      <c r="AK993" s="45">
        <v>6.9444444444444464</v>
      </c>
      <c r="AL993" s="128" t="s">
        <v>289</v>
      </c>
      <c r="AM993" s="3">
        <v>11.02</v>
      </c>
      <c r="AN993" s="3">
        <v>10.86</v>
      </c>
      <c r="AO993" s="3">
        <v>10.72</v>
      </c>
      <c r="AP993" s="3">
        <v>10.72</v>
      </c>
      <c r="AQ993" s="47">
        <v>11.02</v>
      </c>
      <c r="AR993" s="47">
        <v>10.72</v>
      </c>
      <c r="AS993" s="3">
        <v>25.56</v>
      </c>
      <c r="AT993" s="3">
        <v>28.27</v>
      </c>
      <c r="AU993" s="3">
        <v>27.66</v>
      </c>
      <c r="AV993" s="3"/>
      <c r="AW993" s="3"/>
      <c r="AX993" s="48">
        <v>28.27</v>
      </c>
      <c r="AY993" s="71"/>
      <c r="AZ993" s="3"/>
      <c r="BA993" s="3">
        <v>220</v>
      </c>
      <c r="BB993" s="3"/>
      <c r="BC993" s="3"/>
      <c r="BD993" s="40">
        <v>940.38236905021006</v>
      </c>
      <c r="BE993" s="40">
        <v>1130.4933036591788</v>
      </c>
      <c r="BF993" s="40"/>
      <c r="BG993" s="40">
        <v>346.94294523505505</v>
      </c>
      <c r="BH993" s="40">
        <v>333.37061325695936</v>
      </c>
      <c r="BI993" s="49">
        <v>2070.8756727093887</v>
      </c>
      <c r="BJ993" s="49">
        <v>680.31355849201441</v>
      </c>
      <c r="BK993" s="66">
        <v>-0.16816635179847417</v>
      </c>
      <c r="BL993" s="66">
        <v>4.0712442664027737E-2</v>
      </c>
      <c r="BM993" s="51">
        <v>30.954793314041684</v>
      </c>
      <c r="BN993" s="51">
        <v>10.169111487175103</v>
      </c>
      <c r="BO993" s="52"/>
      <c r="BP993" s="40">
        <v>251</v>
      </c>
      <c r="BQ993" s="40">
        <v>270</v>
      </c>
      <c r="BR993" s="67">
        <v>-7.0370370370370416E-2</v>
      </c>
      <c r="BS993" s="54">
        <v>3.8938714499252614</v>
      </c>
      <c r="BT993" s="3">
        <v>137</v>
      </c>
      <c r="BU993" s="3">
        <v>132</v>
      </c>
      <c r="BV993" s="3">
        <v>135</v>
      </c>
      <c r="BW993" s="3">
        <v>129</v>
      </c>
      <c r="BX993" s="70">
        <v>3.7878787878787845E-2</v>
      </c>
      <c r="BY993" s="70">
        <v>4.6511627906976827E-2</v>
      </c>
      <c r="BZ993" s="59">
        <v>1.0232558139534884</v>
      </c>
      <c r="CA993" s="59">
        <v>1.0148148148148148</v>
      </c>
      <c r="CB993" s="59">
        <f>IFERROR((paper3[[#This Row],[meanadd]]*(paper3[[#This Row],[leglength]]/100))/paper3[[#This Row],[bodymass]],"")</f>
        <v>1.9501494768310914</v>
      </c>
      <c r="CC993" s="59">
        <f>IFERROR((paper3[[#This Row],[meanabd]]*(paper3[[#This Row],[leglength]]/100))/paper3[[#This Row],[bodymass]],"")</f>
        <v>1.9139013452914799</v>
      </c>
      <c r="CD993" s="60">
        <v>99</v>
      </c>
      <c r="CE993" s="60">
        <v>79</v>
      </c>
      <c r="CF993" s="61">
        <v>1.4798206278026904</v>
      </c>
      <c r="CG993" s="61">
        <v>1.1808669656203288</v>
      </c>
      <c r="CH993" s="61">
        <v>0.79797979797979801</v>
      </c>
      <c r="CI993" s="41">
        <v>15.4</v>
      </c>
      <c r="CJ993" s="40">
        <f>VLOOKUP(paper3[[#This Row],[YYIR nivå]],$DB:$DC,2)</f>
        <v>920</v>
      </c>
      <c r="CK993" s="3"/>
      <c r="CL993" s="62"/>
      <c r="CM993" s="63">
        <v>0</v>
      </c>
      <c r="CN993" s="3">
        <v>137</v>
      </c>
      <c r="CO993" s="3">
        <v>135</v>
      </c>
      <c r="CP993" s="41">
        <f>_xlfn.MAXIFS([1]!phvny[age],[1]!phvny[id],paper3[[#This Row],[id]],[1]!phvny[time],paper3[[#This Row],[time]])</f>
        <v>14.9</v>
      </c>
      <c r="CQ993" s="3"/>
      <c r="CR993" s="40">
        <f>AVERAGE(paper3[[#This Row],[Adduksjon ikke-dominant]:[Adduksjon dominant]])</f>
        <v>134.5</v>
      </c>
      <c r="CS993" s="40">
        <f>AVERAGE(paper3[[#This Row],[Abduksjon ikke-dominant]:[Abduksjon dominant]])</f>
        <v>132</v>
      </c>
      <c r="CT993" s="40">
        <v>260.5</v>
      </c>
      <c r="CU993" s="40"/>
      <c r="CV993" s="40"/>
      <c r="CW993" s="40"/>
      <c r="CX993" s="40"/>
      <c r="CY993" s="40">
        <v>0</v>
      </c>
    </row>
    <row r="994" spans="1:103" ht="18.95" customHeight="1">
      <c r="A994" s="3">
        <v>600</v>
      </c>
      <c r="B994" s="92" t="s">
        <v>199</v>
      </c>
      <c r="C994" s="3"/>
      <c r="D994" s="46" t="s">
        <v>269</v>
      </c>
      <c r="E994" s="39">
        <v>45609</v>
      </c>
      <c r="F994" s="3" t="s">
        <v>106</v>
      </c>
      <c r="G994" s="3" t="s">
        <v>107</v>
      </c>
      <c r="H994" s="3">
        <v>2009</v>
      </c>
      <c r="I994" s="40" t="s">
        <v>108</v>
      </c>
      <c r="J994" s="40" t="s">
        <v>109</v>
      </c>
      <c r="K994" s="3">
        <v>158.6</v>
      </c>
      <c r="L994" s="3">
        <v>158.6</v>
      </c>
      <c r="M994" s="3"/>
      <c r="N994" s="3">
        <v>82.8</v>
      </c>
      <c r="O994" s="3"/>
      <c r="P994" s="3" t="s">
        <v>290</v>
      </c>
      <c r="Q994" s="3">
        <v>53</v>
      </c>
      <c r="R994" s="3">
        <v>53</v>
      </c>
      <c r="S994" s="3"/>
      <c r="T994" s="42">
        <v>158.6</v>
      </c>
      <c r="U994" s="188">
        <v>82.8</v>
      </c>
      <c r="V994" s="12">
        <f>paper3[[#This Row],[height]]-paper3[[#This Row],[sittingheight]]</f>
        <v>75.8</v>
      </c>
      <c r="W994" s="73">
        <v>53</v>
      </c>
      <c r="X994" s="43" cm="1">
        <f t="array" ref="X994">INDEX([1]!phvny[yphv], MATCH(1, (paper3[[#This Row],[id]]=[1]!phvny[id])*(paper3[[#This Row],[time]]=[1]!phvny[time]), 0))</f>
        <v>2.2141174312870953</v>
      </c>
      <c r="Y994" s="192">
        <v>1.754</v>
      </c>
      <c r="Z994" s="3">
        <v>3.19</v>
      </c>
      <c r="AA994" s="192">
        <v>4.5430000000000001</v>
      </c>
      <c r="AB994" s="3">
        <v>1.752</v>
      </c>
      <c r="AC994" s="3">
        <v>3.1789999999999998</v>
      </c>
      <c r="AD994" s="3">
        <v>4.532</v>
      </c>
      <c r="AE994" s="3">
        <v>1.6759999999999999</v>
      </c>
      <c r="AF994" s="3">
        <v>3.0670000000000002</v>
      </c>
      <c r="AG994" s="3">
        <v>4.4130000000000003</v>
      </c>
      <c r="AH994" s="194">
        <f>MIN(Y994,AB994,AE994)</f>
        <v>1.6759999999999999</v>
      </c>
      <c r="AI994" s="194">
        <f>MIN(Z994,AC994,AF994)</f>
        <v>3.0670000000000002</v>
      </c>
      <c r="AJ994" s="194">
        <f>MIN(AA994,AD994,AG994)</f>
        <v>4.4130000000000003</v>
      </c>
      <c r="AK994" s="130"/>
      <c r="AL994" s="203">
        <v>10.48</v>
      </c>
      <c r="AM994" s="203">
        <v>10.51</v>
      </c>
      <c r="AN994" s="3">
        <v>10.72</v>
      </c>
      <c r="AO994" s="3">
        <v>10.47</v>
      </c>
      <c r="AP994" s="137">
        <v>10.47</v>
      </c>
      <c r="AQ994" s="132"/>
      <c r="AR994" s="132"/>
      <c r="AS994" s="3">
        <v>21.7</v>
      </c>
      <c r="AT994" s="3">
        <v>21.6</v>
      </c>
      <c r="AU994" s="3">
        <v>22.2</v>
      </c>
      <c r="AV994" s="3"/>
      <c r="AW994" s="192"/>
      <c r="AX994" s="133">
        <v>22.2</v>
      </c>
      <c r="AY994" s="195" t="s">
        <v>265</v>
      </c>
      <c r="AZ994" s="40">
        <v>8</v>
      </c>
      <c r="BA994" s="40"/>
      <c r="BB994" s="40"/>
      <c r="BC994" s="40"/>
      <c r="BD994" s="135">
        <v>1254.991797008199</v>
      </c>
      <c r="BE994" s="135">
        <v>1278.444282998365</v>
      </c>
      <c r="BF994" s="40"/>
      <c r="BG994" s="135">
        <v>458.12080454541342</v>
      </c>
      <c r="BH994" s="135">
        <v>472.36188555895376</v>
      </c>
      <c r="BI994" s="49">
        <v>2533.4360800065642</v>
      </c>
      <c r="BJ994" s="49">
        <v>930.48269010436718</v>
      </c>
      <c r="BK994" s="66">
        <v>-1.834455071844221E-2</v>
      </c>
      <c r="BL994" s="66">
        <v>-3.0148666623871723E-2</v>
      </c>
      <c r="BM994" s="51">
        <v>47.800680754840833</v>
      </c>
      <c r="BN994" s="51">
        <v>17.556277171780511</v>
      </c>
      <c r="BO994" s="136"/>
      <c r="BP994" s="40"/>
      <c r="BQ994" s="40"/>
      <c r="BR994" s="67"/>
      <c r="BS994" s="54"/>
      <c r="BT994" s="3"/>
      <c r="BU994" s="3"/>
      <c r="BV994" s="3"/>
      <c r="BW994" s="3"/>
      <c r="BX994" s="70"/>
      <c r="BY994" s="70"/>
      <c r="BZ994" s="59"/>
      <c r="CA994" s="59"/>
      <c r="CB994" s="59"/>
      <c r="CC994" s="59"/>
      <c r="CD994" s="60"/>
      <c r="CE994" s="60"/>
      <c r="CF994" s="61"/>
      <c r="CG994" s="61"/>
      <c r="CH994" s="61"/>
      <c r="CI994" s="41">
        <v>14.6</v>
      </c>
      <c r="CJ994" s="40">
        <v>680</v>
      </c>
      <c r="CK994" s="3"/>
      <c r="CL994" s="62"/>
      <c r="CM994" s="63"/>
      <c r="CN994" s="3"/>
      <c r="CO994" s="3"/>
      <c r="CP994" s="41">
        <f>_xlfn.MAXIFS([1]!phvny[age],[1]!phvny[id],paper3[[#This Row],[id]],[1]!phvny[time],paper3[[#This Row],[time]])</f>
        <v>15.383333333333333</v>
      </c>
      <c r="CQ994" s="3"/>
      <c r="CR994" s="40"/>
      <c r="CS994" s="40"/>
      <c r="CT994" s="40"/>
      <c r="CU994" s="40"/>
      <c r="CV994" s="40"/>
      <c r="CW994" s="40"/>
      <c r="CX994" s="40"/>
      <c r="CY994" s="40"/>
    </row>
    <row r="995" spans="1:103" ht="18.75">
      <c r="A995" s="3">
        <v>601</v>
      </c>
      <c r="B995" s="92" t="s">
        <v>199</v>
      </c>
      <c r="C995" s="3"/>
      <c r="D995" s="46" t="s">
        <v>269</v>
      </c>
      <c r="E995" s="39">
        <v>45609</v>
      </c>
      <c r="F995" s="3" t="s">
        <v>106</v>
      </c>
      <c r="G995" s="3" t="s">
        <v>107</v>
      </c>
      <c r="H995" s="3">
        <v>2009</v>
      </c>
      <c r="I995" s="40" t="s">
        <v>108</v>
      </c>
      <c r="J995" s="40" t="s">
        <v>109</v>
      </c>
      <c r="K995" s="3">
        <v>172.8</v>
      </c>
      <c r="L995" s="3">
        <v>172.8</v>
      </c>
      <c r="M995" s="3"/>
      <c r="N995" s="3">
        <v>93.8</v>
      </c>
      <c r="O995" s="3"/>
      <c r="P995" s="3" t="s">
        <v>291</v>
      </c>
      <c r="Q995" s="3">
        <v>70.900000000000006</v>
      </c>
      <c r="R995" s="3">
        <v>70.900000000000006</v>
      </c>
      <c r="S995" s="3"/>
      <c r="T995" s="42">
        <v>172.8</v>
      </c>
      <c r="U995" s="188">
        <v>93.8</v>
      </c>
      <c r="V995" s="12">
        <f>paper3[[#This Row],[height]]-paper3[[#This Row],[sittingheight]]</f>
        <v>79.000000000000014</v>
      </c>
      <c r="W995" s="73">
        <v>70.900000000000006</v>
      </c>
      <c r="X995" s="43" cm="1">
        <f t="array" ref="X995">INDEX([1]!phvny[yphv], MATCH(1, (paper3[[#This Row],[id]]=[1]!phvny[id])*(paper3[[#This Row],[time]]=[1]!phvny[time]), 0))</f>
        <v>3.2387216587037049</v>
      </c>
      <c r="Y995" s="192">
        <v>1.762</v>
      </c>
      <c r="Z995" s="3">
        <v>3.2589999999999999</v>
      </c>
      <c r="AA995" s="192">
        <v>4.6950000000000003</v>
      </c>
      <c r="AB995" s="3">
        <v>1.782</v>
      </c>
      <c r="AC995" s="3">
        <v>3.3330000000000002</v>
      </c>
      <c r="AD995" s="3">
        <v>4.7969999999999997</v>
      </c>
      <c r="AE995" s="3">
        <v>1.7729999999999999</v>
      </c>
      <c r="AF995" s="3">
        <v>3.2749999999999999</v>
      </c>
      <c r="AG995" s="3">
        <v>4.7009999999999996</v>
      </c>
      <c r="AH995" s="194">
        <f>MIN(Y995,AB995,AE995)</f>
        <v>1.762</v>
      </c>
      <c r="AI995" s="194"/>
      <c r="AJ995" s="194"/>
      <c r="AK995" s="130"/>
      <c r="AL995" s="203">
        <v>10.54</v>
      </c>
      <c r="AM995" s="203">
        <v>10.09</v>
      </c>
      <c r="AN995" s="3">
        <v>10.68</v>
      </c>
      <c r="AO995" s="3">
        <v>10.56</v>
      </c>
      <c r="AP995" s="137">
        <v>10.09</v>
      </c>
      <c r="AQ995" s="132"/>
      <c r="AR995" s="132"/>
      <c r="AS995" s="3">
        <v>19.2</v>
      </c>
      <c r="AT995" s="3">
        <v>21.6</v>
      </c>
      <c r="AU995" s="3">
        <v>20.8</v>
      </c>
      <c r="AV995" s="3"/>
      <c r="AW995" s="192"/>
      <c r="AX995" s="133">
        <v>21.6</v>
      </c>
      <c r="AY995" s="195" t="s">
        <v>292</v>
      </c>
      <c r="AZ995" s="40">
        <v>11</v>
      </c>
      <c r="BA995" s="40"/>
      <c r="BB995" s="40"/>
      <c r="BC995" s="40"/>
      <c r="BD995" s="135"/>
      <c r="BE995" s="135"/>
      <c r="BF995" s="40"/>
      <c r="BG995" s="135">
        <v>539.59142588151371</v>
      </c>
      <c r="BH995" s="135">
        <v>601.78525091404026</v>
      </c>
      <c r="BI995" s="49"/>
      <c r="BJ995" s="49">
        <v>1141.376676795554</v>
      </c>
      <c r="BK995" s="66"/>
      <c r="BL995" s="66">
        <v>-0.10334886894961537</v>
      </c>
      <c r="BM995" s="51"/>
      <c r="BN995" s="51">
        <v>16.098401647327982</v>
      </c>
      <c r="BO995" s="136"/>
      <c r="BP995" s="40"/>
      <c r="BQ995" s="40"/>
      <c r="BR995" s="67"/>
      <c r="BS995" s="54"/>
      <c r="BT995" s="3"/>
      <c r="BU995" s="3"/>
      <c r="BV995" s="3"/>
      <c r="BW995" s="3"/>
      <c r="BX995" s="70"/>
      <c r="BY995" s="70"/>
      <c r="BZ995" s="59"/>
      <c r="CA995" s="59"/>
      <c r="CB995" s="59"/>
      <c r="CC995" s="59"/>
      <c r="CD995" s="60"/>
      <c r="CE995" s="60"/>
      <c r="CF995" s="61"/>
      <c r="CG995" s="61"/>
      <c r="CH995" s="61"/>
      <c r="CI995" s="41">
        <v>15.2</v>
      </c>
      <c r="CJ995" s="40">
        <v>840</v>
      </c>
      <c r="CK995" s="3"/>
      <c r="CL995" s="62"/>
      <c r="CM995" s="63"/>
      <c r="CN995" s="3"/>
      <c r="CO995" s="3"/>
      <c r="CP995" s="41">
        <f>_xlfn.MAXIFS([1]!phvny[age],[1]!phvny[id],paper3[[#This Row],[id]],[1]!phvny[time],paper3[[#This Row],[time]])</f>
        <v>15.122222222222222</v>
      </c>
      <c r="CQ995" s="3"/>
      <c r="CR995" s="40"/>
      <c r="CS995" s="40"/>
      <c r="CT995" s="40"/>
      <c r="CU995" s="40"/>
      <c r="CV995" s="40"/>
      <c r="CW995" s="40"/>
      <c r="CX995" s="40"/>
      <c r="CY995" s="40"/>
    </row>
    <row r="996" spans="1:103" ht="18.95" customHeight="1">
      <c r="A996" s="3">
        <v>603</v>
      </c>
      <c r="B996" s="92" t="s">
        <v>199</v>
      </c>
      <c r="C996" s="3"/>
      <c r="D996" s="46" t="s">
        <v>269</v>
      </c>
      <c r="E996" s="39">
        <v>45609</v>
      </c>
      <c r="F996" s="3" t="s">
        <v>106</v>
      </c>
      <c r="G996" s="3" t="s">
        <v>107</v>
      </c>
      <c r="H996" s="3">
        <v>2009</v>
      </c>
      <c r="I996" s="40" t="s">
        <v>108</v>
      </c>
      <c r="J996" s="40" t="s">
        <v>109</v>
      </c>
      <c r="K996" s="3">
        <v>167.2</v>
      </c>
      <c r="L996" s="3">
        <v>167.2</v>
      </c>
      <c r="M996" s="3"/>
      <c r="N996" s="3">
        <v>88.8</v>
      </c>
      <c r="O996" s="3"/>
      <c r="P996" s="3" t="s">
        <v>293</v>
      </c>
      <c r="Q996" s="3">
        <v>62.8</v>
      </c>
      <c r="R996" s="3">
        <v>62.8</v>
      </c>
      <c r="S996" s="3"/>
      <c r="T996" s="42">
        <v>167.2</v>
      </c>
      <c r="U996" s="188">
        <v>88.8</v>
      </c>
      <c r="V996" s="12">
        <f>paper3[[#This Row],[height]]-paper3[[#This Row],[sittingheight]]</f>
        <v>78.399999999999991</v>
      </c>
      <c r="W996" s="73">
        <v>62.8</v>
      </c>
      <c r="X996" s="43" cm="1">
        <f t="array" ref="X996">INDEX([1]!phvny[yphv], MATCH(1, (paper3[[#This Row],[id]]=[1]!phvny[id])*(paper3[[#This Row],[time]]=[1]!phvny[time]), 0))</f>
        <v>2.6785481138883576</v>
      </c>
      <c r="Y996" s="192">
        <v>1.5509999999999999</v>
      </c>
      <c r="Z996" s="3">
        <v>3.0710000000000002</v>
      </c>
      <c r="AA996" s="192">
        <v>4.4429999999999996</v>
      </c>
      <c r="AB996" s="46">
        <v>1.4450000000000001</v>
      </c>
      <c r="AC996" s="46">
        <v>2.964</v>
      </c>
      <c r="AD996" s="46">
        <v>4.3140000000000001</v>
      </c>
      <c r="AE996" s="3">
        <v>1.6559999999999999</v>
      </c>
      <c r="AF996" s="3">
        <v>3.073</v>
      </c>
      <c r="AG996" s="3">
        <v>4.4160000000000004</v>
      </c>
      <c r="AH996" s="194">
        <f>MIN(Y996,AB996,AE996)</f>
        <v>1.4450000000000001</v>
      </c>
      <c r="AI996" s="194">
        <f>MIN(Z996,AC996,AF996)</f>
        <v>2.964</v>
      </c>
      <c r="AJ996" s="194">
        <f>MIN(AA996,AD996,AG996)</f>
        <v>4.3140000000000001</v>
      </c>
      <c r="AK996" s="130"/>
      <c r="AL996" s="203">
        <v>10.119999999999999</v>
      </c>
      <c r="AM996" s="203">
        <v>9.93</v>
      </c>
      <c r="AN996" s="3">
        <v>10.02</v>
      </c>
      <c r="AO996" s="3">
        <v>10</v>
      </c>
      <c r="AP996" s="137">
        <v>9.93</v>
      </c>
      <c r="AQ996" s="132"/>
      <c r="AR996" s="132"/>
      <c r="AS996" s="3">
        <v>23.6</v>
      </c>
      <c r="AT996" s="3">
        <v>25.1</v>
      </c>
      <c r="AU996" s="3">
        <v>24.2</v>
      </c>
      <c r="AV996" s="3"/>
      <c r="AW996" s="192"/>
      <c r="AX996" s="133">
        <v>25.1</v>
      </c>
      <c r="AY996" s="195" t="s">
        <v>294</v>
      </c>
      <c r="AZ996" s="40">
        <v>9</v>
      </c>
      <c r="BA996" s="40"/>
      <c r="BB996" s="40"/>
      <c r="BC996" s="40"/>
      <c r="BD996" s="135">
        <v>1126.7172820267513</v>
      </c>
      <c r="BE996" s="135">
        <v>1152.7308095136887</v>
      </c>
      <c r="BF996" s="40"/>
      <c r="BG996" s="135">
        <v>347.9239623054022</v>
      </c>
      <c r="BH996" s="135">
        <v>398.69000163527301</v>
      </c>
      <c r="BI996" s="49">
        <v>2279.4480915404401</v>
      </c>
      <c r="BJ996" s="49">
        <v>746.61396394067515</v>
      </c>
      <c r="BK996" s="66">
        <v>-2.256687100947008E-2</v>
      </c>
      <c r="BL996" s="66">
        <v>-0.12733211046589588</v>
      </c>
      <c r="BM996" s="51">
        <v>36.296944132809557</v>
      </c>
      <c r="BN996" s="51">
        <v>11.888757387590369</v>
      </c>
      <c r="BO996" s="136"/>
      <c r="BP996" s="40"/>
      <c r="BQ996" s="40"/>
      <c r="BR996" s="67"/>
      <c r="BS996" s="54"/>
      <c r="BT996" s="3"/>
      <c r="BU996" s="3"/>
      <c r="BV996" s="3"/>
      <c r="BW996" s="3"/>
      <c r="BX996" s="70"/>
      <c r="BY996" s="70"/>
      <c r="BZ996" s="59"/>
      <c r="CA996" s="59"/>
      <c r="CB996" s="59"/>
      <c r="CC996" s="59"/>
      <c r="CD996" s="60"/>
      <c r="CE996" s="60"/>
      <c r="CF996" s="61"/>
      <c r="CG996" s="61"/>
      <c r="CH996" s="61"/>
      <c r="CI996" s="41">
        <v>16.100000000000001</v>
      </c>
      <c r="CJ996" s="40">
        <v>1120</v>
      </c>
      <c r="CK996" s="3"/>
      <c r="CL996" s="62"/>
      <c r="CM996" s="63"/>
      <c r="CN996" s="3"/>
      <c r="CO996" s="3"/>
      <c r="CP996" s="41">
        <f>_xlfn.MAXIFS([1]!phvny[age],[1]!phvny[id],paper3[[#This Row],[id]],[1]!phvny[time],paper3[[#This Row],[time]])</f>
        <v>14.983333333333333</v>
      </c>
      <c r="CQ996" s="3"/>
      <c r="CR996" s="40"/>
      <c r="CS996" s="40"/>
      <c r="CT996" s="40"/>
      <c r="CU996" s="40"/>
      <c r="CV996" s="40"/>
      <c r="CW996" s="40"/>
      <c r="CX996" s="40"/>
      <c r="CY996" s="40"/>
    </row>
    <row r="997" spans="1:103" ht="18.95" customHeight="1">
      <c r="A997" s="3">
        <v>604</v>
      </c>
      <c r="B997" s="92" t="s">
        <v>199</v>
      </c>
      <c r="C997" s="3"/>
      <c r="D997" s="46" t="s">
        <v>269</v>
      </c>
      <c r="E997" s="39">
        <v>45609</v>
      </c>
      <c r="F997" s="3" t="s">
        <v>106</v>
      </c>
      <c r="G997" s="3" t="s">
        <v>107</v>
      </c>
      <c r="H997" s="3">
        <v>2009</v>
      </c>
      <c r="I997" s="40" t="s">
        <v>108</v>
      </c>
      <c r="J997" s="40" t="s">
        <v>109</v>
      </c>
      <c r="K997" s="3">
        <v>166</v>
      </c>
      <c r="L997" s="3">
        <v>166</v>
      </c>
      <c r="M997" s="3"/>
      <c r="N997" s="3">
        <v>87.1</v>
      </c>
      <c r="O997" s="3"/>
      <c r="P997" s="3" t="s">
        <v>295</v>
      </c>
      <c r="Q997" s="3">
        <v>69.2</v>
      </c>
      <c r="R997" s="3">
        <v>69.2</v>
      </c>
      <c r="S997" s="3"/>
      <c r="T997" s="42">
        <v>166</v>
      </c>
      <c r="U997" s="188">
        <v>87.1</v>
      </c>
      <c r="V997" s="12">
        <f>paper3[[#This Row],[height]]-paper3[[#This Row],[sittingheight]]</f>
        <v>78.900000000000006</v>
      </c>
      <c r="W997" s="73">
        <v>69.2</v>
      </c>
      <c r="X997" s="43" cm="1">
        <f t="array" ref="X997">INDEX([1]!phvny[yphv], MATCH(1, (paper3[[#This Row],[id]]=[1]!phvny[id])*(paper3[[#This Row],[time]]=[1]!phvny[time]), 0))</f>
        <v>2.9754526662831324</v>
      </c>
      <c r="Y997" s="192"/>
      <c r="Z997" s="3"/>
      <c r="AA997" s="192"/>
      <c r="AB997" s="3">
        <v>1.9570000000000001</v>
      </c>
      <c r="AC997" s="3">
        <v>3.5550000000000002</v>
      </c>
      <c r="AD997" s="3">
        <v>5.0949999999999998</v>
      </c>
      <c r="AE997" s="3">
        <v>1.901</v>
      </c>
      <c r="AF997" s="3">
        <v>3.4820000000000002</v>
      </c>
      <c r="AG997" s="3">
        <v>5.0090000000000003</v>
      </c>
      <c r="AH997" s="194">
        <f>MIN(Y997,AB997,AE997)</f>
        <v>1.901</v>
      </c>
      <c r="AI997" s="194">
        <f>MIN(Z997,AC997,AF997)</f>
        <v>3.4820000000000002</v>
      </c>
      <c r="AJ997" s="194">
        <f>MIN(AA997,AD997,AG997)</f>
        <v>5.0090000000000003</v>
      </c>
      <c r="AK997" s="130"/>
      <c r="AL997" s="203">
        <v>11.03</v>
      </c>
      <c r="AM997" s="203">
        <v>10.96</v>
      </c>
      <c r="AN997" s="3">
        <v>11.09</v>
      </c>
      <c r="AO997" s="3">
        <v>11.02</v>
      </c>
      <c r="AP997" s="137">
        <v>10.96</v>
      </c>
      <c r="AQ997" s="132"/>
      <c r="AR997" s="132"/>
      <c r="AS997" s="3">
        <v>21.6</v>
      </c>
      <c r="AT997" s="3">
        <v>21.9</v>
      </c>
      <c r="AU997" s="3">
        <v>23.6</v>
      </c>
      <c r="AV997" s="3"/>
      <c r="AW997" s="192"/>
      <c r="AX997" s="133">
        <v>23.6</v>
      </c>
      <c r="AY997" s="195" t="s">
        <v>265</v>
      </c>
      <c r="AZ997" s="40">
        <v>9</v>
      </c>
      <c r="BA997" s="40"/>
      <c r="BB997" s="40"/>
      <c r="BC997" s="40"/>
      <c r="BD997" s="135">
        <v>1268.1663625617878</v>
      </c>
      <c r="BE997" s="135">
        <v>1434.8479023642026</v>
      </c>
      <c r="BF997" s="40"/>
      <c r="BG997" s="135">
        <v>541.72079907719672</v>
      </c>
      <c r="BH997" s="135">
        <v>661.9039367236993</v>
      </c>
      <c r="BI997" s="49">
        <v>2703.0142649259906</v>
      </c>
      <c r="BJ997" s="49">
        <v>1203.6247358008959</v>
      </c>
      <c r="BK997" s="66">
        <v>-0.11616669580641492</v>
      </c>
      <c r="BL997" s="66">
        <v>-0.18157187316544243</v>
      </c>
      <c r="BM997" s="51">
        <v>39.060899782167489</v>
      </c>
      <c r="BN997" s="51">
        <v>17.393421037585199</v>
      </c>
      <c r="BO997" s="136"/>
      <c r="BP997" s="40"/>
      <c r="BQ997" s="40"/>
      <c r="BR997" s="67"/>
      <c r="BS997" s="54"/>
      <c r="BT997" s="3"/>
      <c r="BU997" s="3"/>
      <c r="BV997" s="3"/>
      <c r="BW997" s="3"/>
      <c r="BX997" s="70"/>
      <c r="BY997" s="70"/>
      <c r="BZ997" s="59"/>
      <c r="CA997" s="59"/>
      <c r="CB997" s="59"/>
      <c r="CC997" s="59"/>
      <c r="CD997" s="60"/>
      <c r="CE997" s="60"/>
      <c r="CF997" s="61"/>
      <c r="CG997" s="61"/>
      <c r="CH997" s="61"/>
      <c r="CI997" s="41">
        <v>14.1</v>
      </c>
      <c r="CJ997" s="40">
        <v>480</v>
      </c>
      <c r="CK997" s="3"/>
      <c r="CL997" s="62"/>
      <c r="CM997" s="63"/>
      <c r="CN997" s="3"/>
      <c r="CO997" s="3"/>
      <c r="CP997" s="41">
        <f>_xlfn.MAXIFS([1]!phvny[age],[1]!phvny[id],paper3[[#This Row],[id]],[1]!phvny[time],paper3[[#This Row],[time]])</f>
        <v>15.752777777777778</v>
      </c>
      <c r="CQ997" s="3"/>
      <c r="CR997" s="40"/>
      <c r="CS997" s="40"/>
      <c r="CT997" s="40"/>
      <c r="CU997" s="40"/>
      <c r="CV997" s="40"/>
      <c r="CW997" s="40"/>
      <c r="CX997" s="40"/>
      <c r="CY997" s="40"/>
    </row>
    <row r="998" spans="1:103" ht="18.75">
      <c r="A998" s="3">
        <v>605</v>
      </c>
      <c r="B998" s="92" t="s">
        <v>199</v>
      </c>
      <c r="C998" s="3" t="s">
        <v>104</v>
      </c>
      <c r="D998" s="3" t="s">
        <v>269</v>
      </c>
      <c r="E998" s="39">
        <v>45635</v>
      </c>
      <c r="F998" s="3" t="s">
        <v>106</v>
      </c>
      <c r="G998" s="3" t="s">
        <v>122</v>
      </c>
      <c r="H998" s="3">
        <v>2009</v>
      </c>
      <c r="I998" s="40" t="s">
        <v>108</v>
      </c>
      <c r="J998" s="40" t="s">
        <v>123</v>
      </c>
      <c r="K998" s="3">
        <v>180</v>
      </c>
      <c r="L998" s="3">
        <v>180</v>
      </c>
      <c r="M998" s="3"/>
      <c r="N998" s="3">
        <v>94.3</v>
      </c>
      <c r="O998" s="3"/>
      <c r="P998" s="3" t="s">
        <v>296</v>
      </c>
      <c r="Q998" s="3">
        <v>59.8</v>
      </c>
      <c r="R998" s="3">
        <v>59.8</v>
      </c>
      <c r="S998" s="3"/>
      <c r="T998" s="42">
        <v>180</v>
      </c>
      <c r="U998" s="188">
        <v>94.3</v>
      </c>
      <c r="V998" s="12">
        <f>paper3[[#This Row],[height]]-paper3[[#This Row],[sittingheight]]</f>
        <v>85.7</v>
      </c>
      <c r="W998" s="73">
        <v>59.8</v>
      </c>
      <c r="X998" s="43" cm="1">
        <f t="array" ref="X998">INDEX([1]!phvny[yphv], MATCH(1, (paper3[[#This Row],[id]]=[1]!phvny[id])*(paper3[[#This Row],[time]]=[1]!phvny[time]), 0))</f>
        <v>2.1866340163333322</v>
      </c>
      <c r="Y998" s="192">
        <v>1.5940000000000001</v>
      </c>
      <c r="Z998" s="3">
        <v>2.931</v>
      </c>
      <c r="AA998" s="192">
        <v>4.2080000000000002</v>
      </c>
      <c r="AB998" s="3">
        <v>1.6080000000000001</v>
      </c>
      <c r="AC998" s="3">
        <v>2.9830000000000001</v>
      </c>
      <c r="AD998" s="3">
        <v>4.2590000000000003</v>
      </c>
      <c r="AE998" s="3">
        <v>1.673</v>
      </c>
      <c r="AF998" s="3">
        <v>3.0459999999999998</v>
      </c>
      <c r="AG998" s="3">
        <v>4.3479999999999999</v>
      </c>
      <c r="AH998" s="194">
        <v>1.5940000000000001</v>
      </c>
      <c r="AI998" s="194">
        <v>2.931</v>
      </c>
      <c r="AJ998" s="194">
        <v>4.2080000000000002</v>
      </c>
      <c r="AK998" s="130"/>
      <c r="AL998" s="203"/>
      <c r="AM998" s="203"/>
      <c r="AN998" s="3"/>
      <c r="AO998" s="3"/>
      <c r="AP998" s="137"/>
      <c r="AQ998" s="132"/>
      <c r="AR998" s="132"/>
      <c r="AS998" s="3">
        <v>27.4</v>
      </c>
      <c r="AT998" s="3">
        <v>26.9</v>
      </c>
      <c r="AU998" s="3">
        <v>29.8</v>
      </c>
      <c r="AV998" s="3"/>
      <c r="AW998" s="192"/>
      <c r="AX998" s="133">
        <v>29.8</v>
      </c>
      <c r="AY998" s="195">
        <v>270</v>
      </c>
      <c r="AZ998" s="40">
        <v>9</v>
      </c>
      <c r="BA998" s="40"/>
      <c r="BB998" s="40"/>
      <c r="BC998" s="40"/>
      <c r="BD998" s="135">
        <v>854.17355368286951</v>
      </c>
      <c r="BE998" s="135">
        <v>871.60160710172227</v>
      </c>
      <c r="BF998" s="40"/>
      <c r="BG998" s="135">
        <v>421.36676163821824</v>
      </c>
      <c r="BH998" s="135">
        <v>412.07252355595205</v>
      </c>
      <c r="BI998" s="49">
        <v>1725.7751607845917</v>
      </c>
      <c r="BJ998" s="49">
        <v>833.43928519417022</v>
      </c>
      <c r="BK998" s="66">
        <v>-1.9995435158506769E-2</v>
      </c>
      <c r="BL998" s="66">
        <v>2.2554860008772604E-2</v>
      </c>
      <c r="BM998" s="51">
        <v>28.859116401080129</v>
      </c>
      <c r="BN998" s="51">
        <v>13.937111792544654</v>
      </c>
      <c r="BO998" s="136"/>
      <c r="BP998" s="40"/>
      <c r="BQ998" s="40"/>
      <c r="BR998" s="67"/>
      <c r="BS998" s="54"/>
      <c r="BT998" s="3"/>
      <c r="BU998" s="3"/>
      <c r="BV998" s="3"/>
      <c r="BW998" s="3"/>
      <c r="BX998" s="70"/>
      <c r="BY998" s="70"/>
      <c r="BZ998" s="59"/>
      <c r="CA998" s="59"/>
      <c r="CB998" s="59"/>
      <c r="CC998" s="59"/>
      <c r="CD998" s="60"/>
      <c r="CE998" s="60"/>
      <c r="CF998" s="61"/>
      <c r="CG998" s="61"/>
      <c r="CH998" s="61"/>
      <c r="CI998" s="41"/>
      <c r="CJ998" s="40"/>
      <c r="CK998" s="3"/>
      <c r="CL998" s="62"/>
      <c r="CM998" s="63"/>
      <c r="CN998" s="3"/>
      <c r="CO998" s="3"/>
      <c r="CP998" s="41">
        <f>_xlfn.MAXIFS([1]!phvny[age],[1]!phvny[id],paper3[[#This Row],[id]],[1]!phvny[time],paper3[[#This Row],[time]])</f>
        <v>15.75</v>
      </c>
      <c r="CQ998" s="3"/>
      <c r="CR998" s="40"/>
      <c r="CS998" s="40"/>
      <c r="CT998" s="40"/>
      <c r="CU998" s="40"/>
      <c r="CV998" s="40"/>
      <c r="CW998" s="40"/>
      <c r="CX998" s="40"/>
      <c r="CY998" s="40"/>
    </row>
    <row r="999" spans="1:103" ht="18.95" customHeight="1">
      <c r="A999" s="3">
        <v>606</v>
      </c>
      <c r="B999" s="92" t="s">
        <v>199</v>
      </c>
      <c r="C999" s="3" t="s">
        <v>171</v>
      </c>
      <c r="D999" s="3" t="s">
        <v>269</v>
      </c>
      <c r="E999" s="39">
        <v>45635</v>
      </c>
      <c r="F999" s="3" t="s">
        <v>106</v>
      </c>
      <c r="G999" s="3" t="s">
        <v>122</v>
      </c>
      <c r="H999" s="3">
        <v>2009</v>
      </c>
      <c r="I999" s="40" t="s">
        <v>108</v>
      </c>
      <c r="J999" s="40" t="s">
        <v>123</v>
      </c>
      <c r="K999" s="3">
        <v>176.8</v>
      </c>
      <c r="L999" s="3">
        <v>176.8</v>
      </c>
      <c r="M999" s="3"/>
      <c r="N999" s="3">
        <v>93.3</v>
      </c>
      <c r="O999" s="3"/>
      <c r="P999" s="3" t="s">
        <v>297</v>
      </c>
      <c r="Q999" s="3">
        <v>60.9</v>
      </c>
      <c r="R999" s="3">
        <v>60.9</v>
      </c>
      <c r="S999" s="3"/>
      <c r="T999" s="42">
        <v>176.8</v>
      </c>
      <c r="U999" s="188">
        <v>93.3</v>
      </c>
      <c r="V999" s="12">
        <f>paper3[[#This Row],[height]]-paper3[[#This Row],[sittingheight]]</f>
        <v>83.500000000000014</v>
      </c>
      <c r="W999" s="73">
        <v>60.9</v>
      </c>
      <c r="X999" s="43" cm="1">
        <f t="array" ref="X999">INDEX([1]!phvny[yphv], MATCH(1, (paper3[[#This Row],[id]]=[1]!phvny[id])*(paper3[[#This Row],[time]]=[1]!phvny[time]), 0))</f>
        <v>1.8750047584464542</v>
      </c>
      <c r="Y999" s="192">
        <v>1.6479999999999999</v>
      </c>
      <c r="Z999" s="3">
        <v>2.948</v>
      </c>
      <c r="AA999" s="192">
        <v>4.1840000000000002</v>
      </c>
      <c r="AB999" s="3">
        <v>1.6140000000000001</v>
      </c>
      <c r="AC999" s="3">
        <v>2.9569999999999999</v>
      </c>
      <c r="AD999" s="3">
        <v>4.2110000000000003</v>
      </c>
      <c r="AE999" s="3">
        <v>1.6180000000000001</v>
      </c>
      <c r="AF999" s="3">
        <v>2.952</v>
      </c>
      <c r="AG999" s="3">
        <v>4.1920000000000002</v>
      </c>
      <c r="AH999" s="194">
        <v>1.6140000000000001</v>
      </c>
      <c r="AI999" s="194">
        <v>2.948</v>
      </c>
      <c r="AJ999" s="194">
        <v>4.1840000000000002</v>
      </c>
      <c r="AK999" s="130"/>
      <c r="AL999" s="203"/>
      <c r="AM999" s="203"/>
      <c r="AN999" s="3"/>
      <c r="AO999" s="3"/>
      <c r="AP999" s="137"/>
      <c r="AQ999" s="132"/>
      <c r="AR999" s="132"/>
      <c r="AS999" s="3">
        <v>35.4</v>
      </c>
      <c r="AT999" s="3">
        <v>35.299999999999997</v>
      </c>
      <c r="AU999" s="3">
        <v>33</v>
      </c>
      <c r="AV999" s="3"/>
      <c r="AW999" s="192"/>
      <c r="AX999" s="133">
        <v>35.4</v>
      </c>
      <c r="AY999" s="195">
        <v>260</v>
      </c>
      <c r="AZ999" s="40">
        <v>8</v>
      </c>
      <c r="BA999" s="40"/>
      <c r="BB999" s="40"/>
      <c r="BC999" s="40"/>
      <c r="BD999" s="135">
        <v>927.05109105539043</v>
      </c>
      <c r="BE999" s="135">
        <v>946.10551275473676</v>
      </c>
      <c r="BF999" s="40"/>
      <c r="BG999" s="135">
        <v>526.22987715121701</v>
      </c>
      <c r="BH999" s="135">
        <v>523.22616247696635</v>
      </c>
      <c r="BI999" s="49">
        <v>1873.1566038101273</v>
      </c>
      <c r="BJ999" s="49">
        <v>1049.4560396281834</v>
      </c>
      <c r="BK999" s="66">
        <v>-2.0139848507875535E-2</v>
      </c>
      <c r="BL999" s="66">
        <v>5.7407578016186456E-3</v>
      </c>
      <c r="BM999" s="51">
        <v>30.757908108540679</v>
      </c>
      <c r="BN999" s="51">
        <v>17.232447284535031</v>
      </c>
      <c r="BO999" s="136"/>
      <c r="BP999" s="40"/>
      <c r="BQ999" s="40"/>
      <c r="BR999" s="67"/>
      <c r="BS999" s="54"/>
      <c r="BT999" s="3"/>
      <c r="BU999" s="3"/>
      <c r="BV999" s="3"/>
      <c r="BW999" s="3"/>
      <c r="BX999" s="70"/>
      <c r="BY999" s="70"/>
      <c r="BZ999" s="59"/>
      <c r="CA999" s="59"/>
      <c r="CB999" s="59"/>
      <c r="CC999" s="59"/>
      <c r="CD999" s="60"/>
      <c r="CE999" s="60"/>
      <c r="CF999" s="61"/>
      <c r="CG999" s="61"/>
      <c r="CH999" s="61"/>
      <c r="CI999" s="41"/>
      <c r="CJ999" s="40"/>
      <c r="CK999" s="3"/>
      <c r="CL999" s="62"/>
      <c r="CM999" s="63"/>
      <c r="CN999" s="3"/>
      <c r="CO999" s="3"/>
      <c r="CP999" s="41">
        <f>_xlfn.MAXIFS([1]!phvny[age],[1]!phvny[id],paper3[[#This Row],[id]],[1]!phvny[time],paper3[[#This Row],[time]])</f>
        <v>15.366666666666667</v>
      </c>
      <c r="CQ999" s="3"/>
      <c r="CR999" s="40"/>
      <c r="CS999" s="40"/>
      <c r="CT999" s="40"/>
      <c r="CU999" s="40"/>
      <c r="CV999" s="40"/>
      <c r="CW999" s="40"/>
      <c r="CX999" s="40"/>
      <c r="CY999" s="40"/>
    </row>
    <row r="1000" spans="1:103" ht="18.95" customHeight="1">
      <c r="A1000" s="3">
        <v>610</v>
      </c>
      <c r="B1000" s="92" t="s">
        <v>199</v>
      </c>
      <c r="C1000" s="3" t="s">
        <v>104</v>
      </c>
      <c r="D1000" s="3" t="s">
        <v>269</v>
      </c>
      <c r="E1000" s="39">
        <v>45635</v>
      </c>
      <c r="F1000" s="3" t="s">
        <v>106</v>
      </c>
      <c r="G1000" s="3" t="s">
        <v>122</v>
      </c>
      <c r="H1000" s="3">
        <v>2009</v>
      </c>
      <c r="I1000" s="40" t="s">
        <v>108</v>
      </c>
      <c r="J1000" s="40" t="s">
        <v>123</v>
      </c>
      <c r="K1000" s="3">
        <v>175.6</v>
      </c>
      <c r="L1000" s="3">
        <v>175.6</v>
      </c>
      <c r="M1000" s="3"/>
      <c r="N1000" s="3">
        <v>89.7</v>
      </c>
      <c r="O1000" s="3"/>
      <c r="P1000" s="3" t="s">
        <v>298</v>
      </c>
      <c r="Q1000" s="3">
        <v>55.5</v>
      </c>
      <c r="R1000" s="3">
        <v>55.5</v>
      </c>
      <c r="S1000" s="3"/>
      <c r="T1000" s="42">
        <v>175.6</v>
      </c>
      <c r="U1000" s="188">
        <v>89.7</v>
      </c>
      <c r="V1000" s="12">
        <f>paper3[[#This Row],[height]]-paper3[[#This Row],[sittingheight]]</f>
        <v>85.899999999999991</v>
      </c>
      <c r="W1000" s="73">
        <v>55.5</v>
      </c>
      <c r="X1000" s="43" cm="1">
        <f t="array" ref="X1000">INDEX([1]!phvny[yphv], MATCH(1, (paper3[[#This Row],[id]]=[1]!phvny[id])*(paper3[[#This Row],[time]]=[1]!phvny[time]), 0))</f>
        <v>1.5728988566524924</v>
      </c>
      <c r="Y1000" s="192">
        <v>1.734</v>
      </c>
      <c r="Z1000" s="3">
        <v>3.1720000000000002</v>
      </c>
      <c r="AA1000" s="192">
        <v>4.5529999999999999</v>
      </c>
      <c r="AB1000" s="3">
        <v>1.7529999999999999</v>
      </c>
      <c r="AC1000" s="3">
        <v>3.202</v>
      </c>
      <c r="AD1000" s="3">
        <v>4.5949999999999998</v>
      </c>
      <c r="AE1000" s="3">
        <v>1.7410000000000001</v>
      </c>
      <c r="AF1000" s="3">
        <v>3.2029999999999998</v>
      </c>
      <c r="AG1000" s="3">
        <v>4.6050000000000004</v>
      </c>
      <c r="AH1000" s="194">
        <v>1.734</v>
      </c>
      <c r="AI1000" s="194">
        <v>3.1720000000000002</v>
      </c>
      <c r="AJ1000" s="194">
        <v>4.5529999999999999</v>
      </c>
      <c r="AK1000" s="130"/>
      <c r="AL1000" s="203"/>
      <c r="AM1000" s="203"/>
      <c r="AN1000" s="3"/>
      <c r="AO1000" s="3"/>
      <c r="AP1000" s="137"/>
      <c r="AQ1000" s="132"/>
      <c r="AR1000" s="132"/>
      <c r="AS1000" s="3">
        <v>21.4</v>
      </c>
      <c r="AT1000" s="3"/>
      <c r="AU1000" s="3">
        <v>31.9</v>
      </c>
      <c r="AV1000" s="3"/>
      <c r="AW1000" s="192"/>
      <c r="AX1000" s="133">
        <v>31.9</v>
      </c>
      <c r="AY1000" s="195">
        <v>260</v>
      </c>
      <c r="AZ1000" s="40">
        <v>8</v>
      </c>
      <c r="BA1000" s="40"/>
      <c r="BB1000" s="40"/>
      <c r="BC1000" s="40"/>
      <c r="BD1000" s="135">
        <v>763.96481456915308</v>
      </c>
      <c r="BE1000" s="135">
        <v>771.92906918203153</v>
      </c>
      <c r="BF1000" s="40"/>
      <c r="BG1000" s="135">
        <v>385.8187159476567</v>
      </c>
      <c r="BH1000" s="135">
        <v>401.37295508317993</v>
      </c>
      <c r="BI1000" s="49">
        <v>1535.8938837511846</v>
      </c>
      <c r="BJ1000" s="49">
        <v>787.19167103083669</v>
      </c>
      <c r="BK1000" s="66">
        <v>-1.0317339935543179E-2</v>
      </c>
      <c r="BL1000" s="66">
        <v>-3.8752583946020436E-2</v>
      </c>
      <c r="BM1000" s="51">
        <v>27.673763671192514</v>
      </c>
      <c r="BN1000" s="51">
        <v>14.183633712267328</v>
      </c>
      <c r="BO1000" s="136"/>
      <c r="BP1000" s="40"/>
      <c r="BQ1000" s="40"/>
      <c r="BR1000" s="67"/>
      <c r="BS1000" s="54"/>
      <c r="BT1000" s="3"/>
      <c r="BU1000" s="3"/>
      <c r="BV1000" s="3"/>
      <c r="BW1000" s="3"/>
      <c r="BX1000" s="70"/>
      <c r="BY1000" s="70"/>
      <c r="BZ1000" s="59"/>
      <c r="CA1000" s="59"/>
      <c r="CB1000" s="59"/>
      <c r="CC1000" s="59"/>
      <c r="CD1000" s="60"/>
      <c r="CE1000" s="60"/>
      <c r="CF1000" s="61"/>
      <c r="CG1000" s="61"/>
      <c r="CH1000" s="61"/>
      <c r="CI1000" s="41"/>
      <c r="CJ1000" s="40"/>
      <c r="CK1000" s="3"/>
      <c r="CL1000" s="62"/>
      <c r="CM1000" s="63"/>
      <c r="CN1000" s="3"/>
      <c r="CO1000" s="3"/>
      <c r="CP1000" s="41">
        <f>_xlfn.MAXIFS([1]!phvny[age],[1]!phvny[id],paper3[[#This Row],[id]],[1]!phvny[time],paper3[[#This Row],[time]])</f>
        <v>15.855555555555556</v>
      </c>
      <c r="CQ1000" s="3"/>
      <c r="CR1000" s="40"/>
      <c r="CS1000" s="40"/>
      <c r="CT1000" s="40"/>
      <c r="CU1000" s="40"/>
      <c r="CV1000" s="40"/>
      <c r="CW1000" s="40"/>
      <c r="CX1000" s="40"/>
      <c r="CY1000" s="40"/>
    </row>
    <row r="1001" spans="1:103" ht="18.95" customHeight="1">
      <c r="A1001" s="3">
        <v>621</v>
      </c>
      <c r="B1001" s="92" t="s">
        <v>199</v>
      </c>
      <c r="C1001" s="3" t="s">
        <v>104</v>
      </c>
      <c r="D1001" s="3" t="s">
        <v>269</v>
      </c>
      <c r="E1001" s="39">
        <v>45635</v>
      </c>
      <c r="F1001" s="3" t="s">
        <v>106</v>
      </c>
      <c r="G1001" s="3" t="s">
        <v>122</v>
      </c>
      <c r="H1001" s="3">
        <v>2009</v>
      </c>
      <c r="I1001" s="40" t="s">
        <v>108</v>
      </c>
      <c r="J1001" s="40" t="s">
        <v>123</v>
      </c>
      <c r="K1001" s="3">
        <v>188.5</v>
      </c>
      <c r="L1001" s="3">
        <v>188.4</v>
      </c>
      <c r="M1001" s="3"/>
      <c r="N1001" s="3">
        <v>100.3</v>
      </c>
      <c r="O1001" s="3"/>
      <c r="P1001" s="3" t="s">
        <v>299</v>
      </c>
      <c r="Q1001" s="3">
        <v>94.2</v>
      </c>
      <c r="R1001" s="3">
        <v>94.2</v>
      </c>
      <c r="S1001" s="3"/>
      <c r="T1001" s="42">
        <v>188.45</v>
      </c>
      <c r="U1001" s="188">
        <v>100.3</v>
      </c>
      <c r="V1001" s="12">
        <f>paper3[[#This Row],[height]]-paper3[[#This Row],[sittingheight]]</f>
        <v>88.149999999999991</v>
      </c>
      <c r="W1001" s="73">
        <v>94.2</v>
      </c>
      <c r="X1001" s="100"/>
      <c r="Y1001" s="192">
        <v>1.74</v>
      </c>
      <c r="Z1001" s="3">
        <v>3.1949999999999998</v>
      </c>
      <c r="AA1001" s="192">
        <v>4.641</v>
      </c>
      <c r="AB1001" s="3"/>
      <c r="AC1001" s="3"/>
      <c r="AD1001" s="3"/>
      <c r="AE1001" s="3">
        <v>1.774</v>
      </c>
      <c r="AF1001" s="3">
        <v>3.286</v>
      </c>
      <c r="AG1001" s="3">
        <v>4.7949999999999999</v>
      </c>
      <c r="AH1001" s="194">
        <v>1.74</v>
      </c>
      <c r="AI1001" s="194">
        <v>3.1949999999999998</v>
      </c>
      <c r="AJ1001" s="194">
        <v>4.641</v>
      </c>
      <c r="AK1001" s="130"/>
      <c r="AL1001" s="203"/>
      <c r="AM1001" s="203"/>
      <c r="AN1001" s="3"/>
      <c r="AO1001" s="3"/>
      <c r="AP1001" s="137"/>
      <c r="AQ1001" s="132"/>
      <c r="AR1001" s="132"/>
      <c r="AS1001" s="3">
        <v>16.5</v>
      </c>
      <c r="AT1001" s="3">
        <v>21.8</v>
      </c>
      <c r="AU1001" s="3">
        <v>16</v>
      </c>
      <c r="AV1001" s="3"/>
      <c r="AW1001" s="192"/>
      <c r="AX1001" s="133">
        <v>21.8</v>
      </c>
      <c r="AY1001" s="195">
        <v>260</v>
      </c>
      <c r="AZ1001" s="40">
        <v>9</v>
      </c>
      <c r="BA1001" s="40"/>
      <c r="BB1001" s="40"/>
      <c r="BC1001" s="40"/>
      <c r="BD1001" s="135">
        <v>1117.7553857261134</v>
      </c>
      <c r="BE1001" s="135">
        <v>1174.5426399919902</v>
      </c>
      <c r="BF1001" s="40"/>
      <c r="BG1001" s="135">
        <v>505.91784963299813</v>
      </c>
      <c r="BH1001" s="135">
        <v>530.65918809761695</v>
      </c>
      <c r="BI1001" s="49">
        <v>2292.2980257181034</v>
      </c>
      <c r="BJ1001" s="49">
        <v>1036.5770377306151</v>
      </c>
      <c r="BK1001" s="66">
        <v>-4.8348397352576344E-2</v>
      </c>
      <c r="BL1001" s="66">
        <v>-4.6623782306144723E-2</v>
      </c>
      <c r="BM1001" s="51">
        <v>24.334373946052054</v>
      </c>
      <c r="BN1001" s="51">
        <v>11.004002523679565</v>
      </c>
      <c r="BO1001" s="136"/>
      <c r="BP1001" s="40"/>
      <c r="BQ1001" s="40"/>
      <c r="BR1001" s="67"/>
      <c r="BS1001" s="54"/>
      <c r="BT1001" s="3"/>
      <c r="BU1001" s="3"/>
      <c r="BV1001" s="3"/>
      <c r="BW1001" s="3"/>
      <c r="BX1001" s="70"/>
      <c r="BY1001" s="70"/>
      <c r="BZ1001" s="59"/>
      <c r="CA1001" s="59"/>
      <c r="CB1001" s="59"/>
      <c r="CC1001" s="59"/>
      <c r="CD1001" s="60"/>
      <c r="CE1001" s="60"/>
      <c r="CF1001" s="61"/>
      <c r="CG1001" s="61"/>
      <c r="CH1001" s="61"/>
      <c r="CI1001" s="41"/>
      <c r="CJ1001" s="40"/>
      <c r="CK1001" s="3"/>
      <c r="CL1001" s="62"/>
      <c r="CM1001" s="63"/>
      <c r="CN1001" s="3"/>
      <c r="CO1001" s="3"/>
      <c r="CP1001" s="41"/>
      <c r="CQ1001" s="3"/>
      <c r="CR1001" s="40"/>
      <c r="CS1001" s="40"/>
      <c r="CT1001" s="40"/>
      <c r="CU1001" s="40"/>
      <c r="CV1001" s="40"/>
      <c r="CW1001" s="40"/>
      <c r="CX1001" s="40"/>
      <c r="CY1001" s="40"/>
    </row>
    <row r="1002" spans="1:103" ht="18.75">
      <c r="A1002" s="3">
        <v>630</v>
      </c>
      <c r="B1002" s="92" t="s">
        <v>199</v>
      </c>
      <c r="C1002" s="3" t="s">
        <v>104</v>
      </c>
      <c r="D1002" s="3" t="s">
        <v>269</v>
      </c>
      <c r="E1002" s="39">
        <v>45635</v>
      </c>
      <c r="F1002" s="3" t="s">
        <v>106</v>
      </c>
      <c r="G1002" s="3" t="s">
        <v>122</v>
      </c>
      <c r="H1002" s="3">
        <v>2009</v>
      </c>
      <c r="I1002" s="40" t="s">
        <v>108</v>
      </c>
      <c r="J1002" s="40" t="s">
        <v>123</v>
      </c>
      <c r="K1002" s="3">
        <v>171.1</v>
      </c>
      <c r="L1002" s="3">
        <v>171.1</v>
      </c>
      <c r="M1002" s="3"/>
      <c r="N1002" s="3">
        <v>87.8</v>
      </c>
      <c r="O1002" s="3"/>
      <c r="P1002" s="3" t="s">
        <v>300</v>
      </c>
      <c r="Q1002" s="3">
        <v>51.8</v>
      </c>
      <c r="R1002" s="3">
        <v>51.8</v>
      </c>
      <c r="S1002" s="3"/>
      <c r="T1002" s="42">
        <v>171.1</v>
      </c>
      <c r="U1002" s="188">
        <v>87.8</v>
      </c>
      <c r="V1002" s="12">
        <f>paper3[[#This Row],[height]]-paper3[[#This Row],[sittingheight]]</f>
        <v>83.3</v>
      </c>
      <c r="W1002" s="73">
        <v>51.8</v>
      </c>
      <c r="X1002" s="43" cm="1">
        <f t="array" ref="X1002">INDEX([1]!phvny[yphv], MATCH(1, (paper3[[#This Row],[id]]=[1]!phvny[id])*(paper3[[#This Row],[time]]=[1]!phvny[time]), 0))</f>
        <v>1.1541568867706016</v>
      </c>
      <c r="Y1002" s="192">
        <v>1.655</v>
      </c>
      <c r="Z1002" s="3">
        <v>3.0379999999999998</v>
      </c>
      <c r="AA1002" s="192">
        <v>4.3570000000000002</v>
      </c>
      <c r="AB1002" s="3">
        <v>1.72</v>
      </c>
      <c r="AC1002" s="3">
        <v>3.1429999999999998</v>
      </c>
      <c r="AD1002" s="3">
        <v>4.5140000000000002</v>
      </c>
      <c r="AE1002" s="3">
        <v>1.649</v>
      </c>
      <c r="AF1002" s="3">
        <v>3.032</v>
      </c>
      <c r="AG1002" s="3">
        <v>4.3849999999999998</v>
      </c>
      <c r="AH1002" s="194">
        <v>1.649</v>
      </c>
      <c r="AI1002" s="194">
        <v>3.032</v>
      </c>
      <c r="AJ1002" s="194">
        <v>4.3570000000000002</v>
      </c>
      <c r="AK1002" s="130"/>
      <c r="AL1002" s="203"/>
      <c r="AM1002" s="203"/>
      <c r="AN1002" s="3"/>
      <c r="AO1002" s="3"/>
      <c r="AP1002" s="137"/>
      <c r="AQ1002" s="132"/>
      <c r="AR1002" s="132"/>
      <c r="AS1002" s="3">
        <v>29.8</v>
      </c>
      <c r="AT1002" s="3">
        <v>48.7</v>
      </c>
      <c r="AU1002" s="3"/>
      <c r="AV1002" s="3"/>
      <c r="AW1002" s="192"/>
      <c r="AX1002" s="133">
        <v>48.7</v>
      </c>
      <c r="AY1002" s="195">
        <v>260</v>
      </c>
      <c r="AZ1002" s="40">
        <v>8</v>
      </c>
      <c r="BA1002" s="40"/>
      <c r="BB1002" s="40"/>
      <c r="BC1002" s="40"/>
      <c r="BD1002" s="135"/>
      <c r="BE1002" s="135"/>
      <c r="BF1002" s="40"/>
      <c r="BG1002" s="135">
        <v>316.41020869191044</v>
      </c>
      <c r="BH1002" s="135">
        <v>300.003824660634</v>
      </c>
      <c r="BI1002" s="49"/>
      <c r="BJ1002" s="49">
        <v>616.41403335254449</v>
      </c>
      <c r="BK1002" s="66"/>
      <c r="BL1002" s="66">
        <v>5.4687249570352758E-2</v>
      </c>
      <c r="BM1002" s="51"/>
      <c r="BN1002" s="51">
        <v>11.899884813755685</v>
      </c>
      <c r="BO1002" s="136"/>
      <c r="BP1002" s="40"/>
      <c r="BQ1002" s="40"/>
      <c r="BR1002" s="67"/>
      <c r="BS1002" s="54"/>
      <c r="BT1002" s="3"/>
      <c r="BU1002" s="3"/>
      <c r="BV1002" s="3"/>
      <c r="BW1002" s="3"/>
      <c r="BX1002" s="70"/>
      <c r="BY1002" s="70"/>
      <c r="BZ1002" s="59"/>
      <c r="CA1002" s="59"/>
      <c r="CB1002" s="59"/>
      <c r="CC1002" s="59"/>
      <c r="CD1002" s="60"/>
      <c r="CE1002" s="60"/>
      <c r="CF1002" s="61"/>
      <c r="CG1002" s="61"/>
      <c r="CH1002" s="61"/>
      <c r="CI1002" s="41"/>
      <c r="CJ1002" s="40"/>
      <c r="CK1002" s="3"/>
      <c r="CL1002" s="62"/>
      <c r="CM1002" s="63"/>
      <c r="CN1002" s="3"/>
      <c r="CO1002" s="3"/>
      <c r="CP1002" s="41">
        <f>_xlfn.MAXIFS([1]!phvny[age],[1]!phvny[id],paper3[[#This Row],[id]],[1]!phvny[time],paper3[[#This Row],[time]])</f>
        <v>15.58611111111111</v>
      </c>
      <c r="CQ1002" s="3"/>
      <c r="CR1002" s="40"/>
      <c r="CS1002" s="40"/>
      <c r="CT1002" s="40"/>
      <c r="CU1002" s="40"/>
      <c r="CV1002" s="40"/>
      <c r="CW1002" s="40"/>
      <c r="CX1002" s="40"/>
      <c r="CY1002" s="40"/>
    </row>
    <row r="1003" spans="1:103" ht="18.95" customHeight="1">
      <c r="A1003" s="3">
        <v>631</v>
      </c>
      <c r="B1003" s="92" t="s">
        <v>199</v>
      </c>
      <c r="C1003" s="3" t="s">
        <v>171</v>
      </c>
      <c r="D1003" s="3" t="s">
        <v>269</v>
      </c>
      <c r="E1003" s="39">
        <v>45635</v>
      </c>
      <c r="F1003" s="3" t="s">
        <v>106</v>
      </c>
      <c r="G1003" s="3" t="s">
        <v>122</v>
      </c>
      <c r="H1003" s="3">
        <v>2009</v>
      </c>
      <c r="I1003" s="40" t="s">
        <v>108</v>
      </c>
      <c r="J1003" s="40" t="s">
        <v>123</v>
      </c>
      <c r="K1003" s="3">
        <v>172.2</v>
      </c>
      <c r="L1003" s="3">
        <v>172.2</v>
      </c>
      <c r="M1003" s="3"/>
      <c r="N1003" s="3">
        <v>86.7</v>
      </c>
      <c r="O1003" s="3"/>
      <c r="P1003" s="3" t="s">
        <v>301</v>
      </c>
      <c r="Q1003" s="3">
        <v>57.3</v>
      </c>
      <c r="R1003" s="3">
        <v>57.3</v>
      </c>
      <c r="S1003" s="3"/>
      <c r="T1003" s="42">
        <v>172.2</v>
      </c>
      <c r="U1003" s="188">
        <v>86.7</v>
      </c>
      <c r="V1003" s="12">
        <f>paper3[[#This Row],[height]]-paper3[[#This Row],[sittingheight]]</f>
        <v>85.499999999999986</v>
      </c>
      <c r="W1003" s="73">
        <v>57.3</v>
      </c>
      <c r="X1003" s="43" cm="1">
        <f t="array" ref="X1003">INDEX([1]!phvny[yphv], MATCH(1, (paper3[[#This Row],[id]]=[1]!phvny[id])*(paper3[[#This Row],[time]]=[1]!phvny[time]), 0))</f>
        <v>0.87162428288037264</v>
      </c>
      <c r="Y1003" s="192">
        <v>1.585</v>
      </c>
      <c r="Z1003" s="3">
        <v>2.9119999999999999</v>
      </c>
      <c r="AA1003" s="192">
        <v>4.1589999999999998</v>
      </c>
      <c r="AB1003" s="3">
        <v>1.587</v>
      </c>
      <c r="AC1003" s="3">
        <v>2.919</v>
      </c>
      <c r="AD1003" s="3">
        <v>4.1719999999999997</v>
      </c>
      <c r="AE1003" s="3">
        <v>1.6319999999999999</v>
      </c>
      <c r="AF1003" s="3">
        <v>2.98</v>
      </c>
      <c r="AG1003" s="3">
        <v>4.2519999999999998</v>
      </c>
      <c r="AH1003" s="194">
        <v>1.585</v>
      </c>
      <c r="AI1003" s="194">
        <v>2.9119999999999999</v>
      </c>
      <c r="AJ1003" s="194">
        <v>4.1589999999999998</v>
      </c>
      <c r="AK1003" s="130"/>
      <c r="AL1003" s="203"/>
      <c r="AM1003" s="203"/>
      <c r="AN1003" s="3"/>
      <c r="AO1003" s="3"/>
      <c r="AP1003" s="137"/>
      <c r="AQ1003" s="132"/>
      <c r="AR1003" s="132"/>
      <c r="AS1003" s="3">
        <v>27.6</v>
      </c>
      <c r="AT1003" s="3">
        <v>28.7</v>
      </c>
      <c r="AU1003" s="3"/>
      <c r="AV1003" s="3"/>
      <c r="AW1003" s="192"/>
      <c r="AX1003" s="133">
        <v>28.7</v>
      </c>
      <c r="AY1003" s="195">
        <v>260</v>
      </c>
      <c r="AZ1003" s="40">
        <v>8</v>
      </c>
      <c r="BA1003" s="40"/>
      <c r="BB1003" s="40"/>
      <c r="BC1003" s="40"/>
      <c r="BD1003" s="135">
        <v>1001.6021549828822</v>
      </c>
      <c r="BE1003" s="135">
        <v>1029.2093532488941</v>
      </c>
      <c r="BF1003" s="40"/>
      <c r="BG1003" s="135">
        <v>540.21333837896373</v>
      </c>
      <c r="BH1003" s="135">
        <v>538.33740281333519</v>
      </c>
      <c r="BI1003" s="49">
        <v>2030.8115082317763</v>
      </c>
      <c r="BJ1003" s="49">
        <v>1078.550741192299</v>
      </c>
      <c r="BK1003" s="66">
        <v>-2.6823695469599618E-2</v>
      </c>
      <c r="BL1003" s="66">
        <v>3.4846836868940301E-3</v>
      </c>
      <c r="BM1003" s="51">
        <v>35.441736618355613</v>
      </c>
      <c r="BN1003" s="51">
        <v>18.82287506443803</v>
      </c>
      <c r="BO1003" s="136"/>
      <c r="BP1003" s="40"/>
      <c r="BQ1003" s="40"/>
      <c r="BR1003" s="67"/>
      <c r="BS1003" s="54"/>
      <c r="BT1003" s="3"/>
      <c r="BU1003" s="3"/>
      <c r="BV1003" s="3"/>
      <c r="BW1003" s="3"/>
      <c r="BX1003" s="70"/>
      <c r="BY1003" s="70"/>
      <c r="BZ1003" s="59"/>
      <c r="CA1003" s="59"/>
      <c r="CB1003" s="59"/>
      <c r="CC1003" s="59"/>
      <c r="CD1003" s="60"/>
      <c r="CE1003" s="60"/>
      <c r="CF1003" s="61"/>
      <c r="CG1003" s="61"/>
      <c r="CH1003" s="61"/>
      <c r="CI1003" s="41"/>
      <c r="CJ1003" s="40"/>
      <c r="CK1003" s="3"/>
      <c r="CL1003" s="62"/>
      <c r="CM1003" s="63"/>
      <c r="CN1003" s="3"/>
      <c r="CO1003" s="3"/>
      <c r="CP1003" s="41">
        <f>_xlfn.MAXIFS([1]!phvny[age],[1]!phvny[id],paper3[[#This Row],[id]],[1]!phvny[time],paper3[[#This Row],[time]])</f>
        <v>15.177777777777777</v>
      </c>
      <c r="CQ1003" s="3"/>
      <c r="CR1003" s="40"/>
      <c r="CS1003" s="40"/>
      <c r="CT1003" s="40"/>
      <c r="CU1003" s="40"/>
      <c r="CV1003" s="40"/>
      <c r="CW1003" s="40"/>
      <c r="CX1003" s="40"/>
      <c r="CY1003" s="40"/>
    </row>
    <row r="1004" spans="1:103" ht="18.95" customHeight="1">
      <c r="A1004" s="3">
        <v>632</v>
      </c>
      <c r="B1004" s="92" t="s">
        <v>199</v>
      </c>
      <c r="C1004" s="3" t="s">
        <v>104</v>
      </c>
      <c r="D1004" s="3" t="s">
        <v>269</v>
      </c>
      <c r="E1004" s="39">
        <v>45635</v>
      </c>
      <c r="F1004" s="3" t="s">
        <v>106</v>
      </c>
      <c r="G1004" s="3" t="s">
        <v>122</v>
      </c>
      <c r="H1004" s="3">
        <v>2009</v>
      </c>
      <c r="I1004" s="40" t="s">
        <v>108</v>
      </c>
      <c r="J1004" s="40" t="s">
        <v>123</v>
      </c>
      <c r="K1004" s="3">
        <v>173</v>
      </c>
      <c r="L1004" s="3">
        <v>173</v>
      </c>
      <c r="M1004" s="3"/>
      <c r="N1004" s="3">
        <v>88.3</v>
      </c>
      <c r="O1004" s="3"/>
      <c r="P1004" s="3" t="s">
        <v>302</v>
      </c>
      <c r="Q1004" s="3">
        <v>53.7</v>
      </c>
      <c r="R1004" s="3">
        <v>53.7</v>
      </c>
      <c r="S1004" s="3"/>
      <c r="T1004" s="42">
        <v>173</v>
      </c>
      <c r="U1004" s="188">
        <v>88.3</v>
      </c>
      <c r="V1004" s="12">
        <f>paper3[[#This Row],[height]]-paper3[[#This Row],[sittingheight]]</f>
        <v>84.7</v>
      </c>
      <c r="W1004" s="73">
        <v>53.7</v>
      </c>
      <c r="X1004" s="43" cm="1">
        <f t="array" ref="X1004">INDEX([1]!phvny[yphv], MATCH(1, (paper3[[#This Row],[id]]=[1]!phvny[id])*(paper3[[#This Row],[time]]=[1]!phvny[time]), 0))</f>
        <v>1.2364105393439295</v>
      </c>
      <c r="Y1004" s="192">
        <v>1.8480000000000001</v>
      </c>
      <c r="Z1004" s="3">
        <v>3.2360000000000002</v>
      </c>
      <c r="AA1004" s="192">
        <v>4.5579999999999998</v>
      </c>
      <c r="AB1004" s="3"/>
      <c r="AC1004" s="3"/>
      <c r="AD1004" s="3"/>
      <c r="AE1004" s="3">
        <v>1.665</v>
      </c>
      <c r="AF1004" s="3">
        <v>3.0230000000000001</v>
      </c>
      <c r="AG1004" s="3">
        <v>4.2960000000000003</v>
      </c>
      <c r="AH1004" s="130">
        <f>MIN(AE1004,AB1004,Y1004)</f>
        <v>1.665</v>
      </c>
      <c r="AI1004" s="194">
        <f>MIN(AF1004,AC1004,Z1004)</f>
        <v>3.0230000000000001</v>
      </c>
      <c r="AJ1004" s="194">
        <f>MIN(AG1004,AD1004,AA1004)</f>
        <v>4.2960000000000003</v>
      </c>
      <c r="AK1004" s="130"/>
      <c r="AL1004" s="203"/>
      <c r="AM1004" s="203"/>
      <c r="AN1004" s="3"/>
      <c r="AO1004" s="3"/>
      <c r="AP1004" s="137"/>
      <c r="AQ1004" s="132"/>
      <c r="AR1004" s="132"/>
      <c r="AS1004" s="3">
        <v>37.6</v>
      </c>
      <c r="AT1004" s="3">
        <v>27.4</v>
      </c>
      <c r="AU1004" s="3">
        <v>24.2</v>
      </c>
      <c r="AV1004" s="3"/>
      <c r="AW1004" s="192"/>
      <c r="AX1004" s="133">
        <v>37.6</v>
      </c>
      <c r="AY1004" s="195">
        <v>260</v>
      </c>
      <c r="AZ1004" s="40">
        <v>8</v>
      </c>
      <c r="BA1004" s="40"/>
      <c r="BB1004" s="40"/>
      <c r="BC1004" s="40"/>
      <c r="BD1004" s="135">
        <v>851.2792203084532</v>
      </c>
      <c r="BE1004" s="135">
        <v>807.41572314776863</v>
      </c>
      <c r="BF1004" s="40"/>
      <c r="BG1004" s="135">
        <v>364.06201677760475</v>
      </c>
      <c r="BH1004" s="135">
        <v>361.89941004575064</v>
      </c>
      <c r="BI1004" s="49">
        <v>1658.6949434562218</v>
      </c>
      <c r="BJ1004" s="49">
        <v>725.9614268233554</v>
      </c>
      <c r="BK1004" s="66">
        <v>5.4325790176192656E-2</v>
      </c>
      <c r="BL1004" s="66">
        <v>5.9757122333543577E-3</v>
      </c>
      <c r="BM1004" s="51">
        <v>30.888173993598169</v>
      </c>
      <c r="BN1004" s="51">
        <v>13.518834763935853</v>
      </c>
      <c r="BO1004" s="136"/>
      <c r="BP1004" s="40"/>
      <c r="BQ1004" s="40"/>
      <c r="BR1004" s="67"/>
      <c r="BS1004" s="54"/>
      <c r="BT1004" s="3"/>
      <c r="BU1004" s="3"/>
      <c r="BV1004" s="3"/>
      <c r="BW1004" s="3"/>
      <c r="BX1004" s="70"/>
      <c r="BY1004" s="70"/>
      <c r="BZ1004" s="59"/>
      <c r="CA1004" s="59"/>
      <c r="CB1004" s="59"/>
      <c r="CC1004" s="59"/>
      <c r="CD1004" s="60"/>
      <c r="CE1004" s="60"/>
      <c r="CF1004" s="61"/>
      <c r="CG1004" s="61"/>
      <c r="CH1004" s="61"/>
      <c r="CI1004" s="41"/>
      <c r="CJ1004" s="40"/>
      <c r="CK1004" s="3"/>
      <c r="CL1004" s="62"/>
      <c r="CM1004" s="63"/>
      <c r="CN1004" s="3"/>
      <c r="CO1004" s="3"/>
      <c r="CP1004" s="41">
        <f>_xlfn.MAXIFS([1]!phvny[age],[1]!phvny[id],paper3[[#This Row],[id]],[1]!phvny[time],paper3[[#This Row],[time]])</f>
        <v>15.58611111111111</v>
      </c>
      <c r="CQ1004" s="3"/>
      <c r="CR1004" s="40"/>
      <c r="CS1004" s="40"/>
      <c r="CT1004" s="40"/>
      <c r="CU1004" s="40"/>
      <c r="CV1004" s="40"/>
      <c r="CW1004" s="40"/>
      <c r="CX1004" s="40"/>
      <c r="CY1004" s="40"/>
    </row>
    <row r="1005" spans="1:103" ht="18.95" customHeight="1">
      <c r="A1005" s="3">
        <v>633</v>
      </c>
      <c r="B1005" s="92" t="s">
        <v>199</v>
      </c>
      <c r="C1005" s="3" t="s">
        <v>104</v>
      </c>
      <c r="D1005" s="3" t="s">
        <v>269</v>
      </c>
      <c r="E1005" s="39">
        <v>45635</v>
      </c>
      <c r="F1005" s="3" t="s">
        <v>106</v>
      </c>
      <c r="G1005" s="3" t="s">
        <v>122</v>
      </c>
      <c r="H1005" s="3">
        <v>2009</v>
      </c>
      <c r="I1005" s="40" t="s">
        <v>108</v>
      </c>
      <c r="J1005" s="40" t="s">
        <v>123</v>
      </c>
      <c r="K1005" s="3">
        <v>172.9</v>
      </c>
      <c r="L1005" s="3">
        <v>172.9</v>
      </c>
      <c r="M1005" s="3"/>
      <c r="N1005" s="3">
        <v>88.4</v>
      </c>
      <c r="O1005" s="3"/>
      <c r="P1005" s="3" t="s">
        <v>303</v>
      </c>
      <c r="Q1005" s="3">
        <v>60</v>
      </c>
      <c r="R1005" s="3">
        <v>60</v>
      </c>
      <c r="S1005" s="3"/>
      <c r="T1005" s="42">
        <v>172.9</v>
      </c>
      <c r="U1005" s="188">
        <v>88.4</v>
      </c>
      <c r="V1005" s="12">
        <f>paper3[[#This Row],[height]]-paper3[[#This Row],[sittingheight]]</f>
        <v>84.5</v>
      </c>
      <c r="W1005" s="73">
        <v>60</v>
      </c>
      <c r="X1005" s="43" cm="1">
        <f t="array" ref="X1005">INDEX([1]!phvny[yphv], MATCH(1, (paper3[[#This Row],[id]]=[1]!phvny[id])*(paper3[[#This Row],[time]]=[1]!phvny[time]), 0))</f>
        <v>1.4917737838379614</v>
      </c>
      <c r="Y1005" s="192">
        <v>1.7130000000000001</v>
      </c>
      <c r="Z1005" s="3">
        <v>3.0659999999999998</v>
      </c>
      <c r="AA1005" s="192">
        <v>4.33</v>
      </c>
      <c r="AB1005" s="3">
        <v>1.639</v>
      </c>
      <c r="AC1005" s="3">
        <v>3.0049999999999999</v>
      </c>
      <c r="AD1005" s="3">
        <v>4.3029999999999999</v>
      </c>
      <c r="AE1005" s="3">
        <v>1.706</v>
      </c>
      <c r="AF1005" s="3">
        <v>3.0830000000000002</v>
      </c>
      <c r="AG1005" s="3">
        <v>4.3780000000000001</v>
      </c>
      <c r="AH1005" s="194">
        <v>1.639</v>
      </c>
      <c r="AI1005" s="194">
        <v>3.0049999999999999</v>
      </c>
      <c r="AJ1005" s="194">
        <v>4.3029999999999999</v>
      </c>
      <c r="AK1005" s="130"/>
      <c r="AL1005" s="203"/>
      <c r="AM1005" s="203"/>
      <c r="AN1005" s="3"/>
      <c r="AO1005" s="3"/>
      <c r="AP1005" s="137"/>
      <c r="AQ1005" s="132"/>
      <c r="AR1005" s="132"/>
      <c r="AS1005" s="3">
        <v>31.4</v>
      </c>
      <c r="AT1005" s="3">
        <v>30</v>
      </c>
      <c r="AU1005" s="3">
        <v>31.8</v>
      </c>
      <c r="AV1005" s="3"/>
      <c r="AW1005" s="192"/>
      <c r="AX1005" s="133">
        <v>31.8</v>
      </c>
      <c r="AY1005" s="195">
        <v>270</v>
      </c>
      <c r="AZ1005" s="40">
        <v>8</v>
      </c>
      <c r="BA1005" s="40"/>
      <c r="BB1005" s="40"/>
      <c r="BC1005" s="40"/>
      <c r="BD1005" s="135">
        <v>1034.0864653935864</v>
      </c>
      <c r="BE1005" s="135">
        <v>1017.6551622179863</v>
      </c>
      <c r="BF1005" s="40"/>
      <c r="BG1005" s="135">
        <v>524.43104906260942</v>
      </c>
      <c r="BH1005" s="135">
        <v>518.91722368541082</v>
      </c>
      <c r="BI1005" s="49">
        <v>2051.7416276115728</v>
      </c>
      <c r="BJ1005" s="49">
        <v>1043.3482727480202</v>
      </c>
      <c r="BK1005" s="66">
        <v>1.6146238711930661E-2</v>
      </c>
      <c r="BL1005" s="66">
        <v>1.0625635699734071E-2</v>
      </c>
      <c r="BM1005" s="51">
        <v>34.19569379352621</v>
      </c>
      <c r="BN1005" s="51">
        <v>17.389137879133671</v>
      </c>
      <c r="BO1005" s="136"/>
      <c r="BP1005" s="40"/>
      <c r="BQ1005" s="40"/>
      <c r="BR1005" s="67"/>
      <c r="BS1005" s="54"/>
      <c r="BT1005" s="3"/>
      <c r="BU1005" s="3"/>
      <c r="BV1005" s="3"/>
      <c r="BW1005" s="3"/>
      <c r="BX1005" s="70"/>
      <c r="BY1005" s="70"/>
      <c r="BZ1005" s="59"/>
      <c r="CA1005" s="59"/>
      <c r="CB1005" s="59"/>
      <c r="CC1005" s="59"/>
      <c r="CD1005" s="60"/>
      <c r="CE1005" s="60"/>
      <c r="CF1005" s="61"/>
      <c r="CG1005" s="61"/>
      <c r="CH1005" s="61"/>
      <c r="CI1005" s="41"/>
      <c r="CJ1005" s="40"/>
      <c r="CK1005" s="3"/>
      <c r="CL1005" s="62"/>
      <c r="CM1005" s="63"/>
      <c r="CN1005" s="3"/>
      <c r="CO1005" s="3"/>
      <c r="CP1005" s="41">
        <f>_xlfn.MAXIFS([1]!phvny[age],[1]!phvny[id],paper3[[#This Row],[id]],[1]!phvny[time],paper3[[#This Row],[time]])</f>
        <v>15.902777777777779</v>
      </c>
      <c r="CQ1005" s="3"/>
      <c r="CR1005" s="40"/>
      <c r="CS1005" s="40"/>
      <c r="CT1005" s="40"/>
      <c r="CU1005" s="40"/>
      <c r="CV1005" s="40"/>
      <c r="CW1005" s="40"/>
      <c r="CX1005" s="40"/>
      <c r="CY1005" s="40"/>
    </row>
    <row r="1006" spans="1:103" ht="18.75">
      <c r="A1006" s="3">
        <v>639</v>
      </c>
      <c r="B1006" s="92" t="s">
        <v>199</v>
      </c>
      <c r="C1006" s="3" t="s">
        <v>104</v>
      </c>
      <c r="D1006" s="3" t="s">
        <v>269</v>
      </c>
      <c r="E1006" s="39">
        <v>45635</v>
      </c>
      <c r="F1006" s="3" t="s">
        <v>106</v>
      </c>
      <c r="G1006" s="3" t="s">
        <v>122</v>
      </c>
      <c r="H1006" s="3">
        <v>2009</v>
      </c>
      <c r="I1006" s="40" t="s">
        <v>108</v>
      </c>
      <c r="J1006" s="40" t="s">
        <v>123</v>
      </c>
      <c r="K1006" s="3">
        <v>181.1</v>
      </c>
      <c r="L1006" s="3">
        <v>181.1</v>
      </c>
      <c r="M1006" s="3"/>
      <c r="N1006" s="3">
        <v>96.3</v>
      </c>
      <c r="O1006" s="3"/>
      <c r="P1006" s="3" t="s">
        <v>304</v>
      </c>
      <c r="Q1006" s="3">
        <v>63.7</v>
      </c>
      <c r="R1006" s="3">
        <v>63.7</v>
      </c>
      <c r="S1006" s="3"/>
      <c r="T1006" s="42">
        <v>181.1</v>
      </c>
      <c r="U1006" s="188">
        <v>96.3</v>
      </c>
      <c r="V1006" s="12">
        <f>paper3[[#This Row],[height]]-paper3[[#This Row],[sittingheight]]</f>
        <v>84.8</v>
      </c>
      <c r="W1006" s="73">
        <v>63.7</v>
      </c>
      <c r="X1006" s="43" cm="1">
        <f t="array" ref="X1006">INDEX([1]!phvny[yphv], MATCH(1, (paper3[[#This Row],[id]]=[1]!phvny[id])*(paper3[[#This Row],[time]]=[1]!phvny[time]), 0))</f>
        <v>2.1928633536614517</v>
      </c>
      <c r="Y1006" s="192">
        <v>1.587</v>
      </c>
      <c r="Z1006" s="3">
        <v>2.9350000000000001</v>
      </c>
      <c r="AA1006" s="192">
        <v>4.1929999999999996</v>
      </c>
      <c r="AB1006" s="3">
        <v>1.5960000000000001</v>
      </c>
      <c r="AC1006" s="3">
        <v>2.9329999999999998</v>
      </c>
      <c r="AD1006" s="3">
        <v>4.234</v>
      </c>
      <c r="AE1006" s="3">
        <v>1.64</v>
      </c>
      <c r="AF1006" s="3">
        <v>2.996</v>
      </c>
      <c r="AG1006" s="3">
        <v>4.2939999999999996</v>
      </c>
      <c r="AH1006" s="194">
        <v>1.587</v>
      </c>
      <c r="AI1006" s="194">
        <v>2.9329999999999998</v>
      </c>
      <c r="AJ1006" s="194">
        <v>4.1929999999999996</v>
      </c>
      <c r="AK1006" s="130"/>
      <c r="AL1006" s="203"/>
      <c r="AM1006" s="203"/>
      <c r="AN1006" s="3"/>
      <c r="AO1006" s="3"/>
      <c r="AP1006" s="137"/>
      <c r="AQ1006" s="132"/>
      <c r="AR1006" s="132"/>
      <c r="AS1006" s="3">
        <v>24.9</v>
      </c>
      <c r="AT1006" s="3">
        <v>29.9</v>
      </c>
      <c r="AU1006" s="3">
        <v>23.9</v>
      </c>
      <c r="AV1006" s="3"/>
      <c r="AW1006" s="192"/>
      <c r="AX1006" s="133">
        <v>29.9</v>
      </c>
      <c r="AY1006" s="195">
        <v>260</v>
      </c>
      <c r="AZ1006" s="40">
        <v>8</v>
      </c>
      <c r="BA1006" s="40"/>
      <c r="BB1006" s="40"/>
      <c r="BC1006" s="40"/>
      <c r="BD1006" s="135">
        <v>865.55301514506436</v>
      </c>
      <c r="BE1006" s="135">
        <v>878.8536430031761</v>
      </c>
      <c r="BF1006" s="40"/>
      <c r="BG1006" s="135">
        <v>573.6312528628182</v>
      </c>
      <c r="BH1006" s="135">
        <v>582.75289259127294</v>
      </c>
      <c r="BI1006" s="49">
        <v>1744.4066581482405</v>
      </c>
      <c r="BJ1006" s="49">
        <v>1156.3841454540911</v>
      </c>
      <c r="BK1006" s="66">
        <v>-1.5134064657980506E-2</v>
      </c>
      <c r="BL1006" s="66">
        <v>-1.5652671731742784E-2</v>
      </c>
      <c r="BM1006" s="51">
        <v>27.384719908135644</v>
      </c>
      <c r="BN1006" s="51">
        <v>18.153597259875841</v>
      </c>
      <c r="BO1006" s="136"/>
      <c r="BP1006" s="40"/>
      <c r="BQ1006" s="40"/>
      <c r="BR1006" s="67"/>
      <c r="BS1006" s="54"/>
      <c r="BT1006" s="3"/>
      <c r="BU1006" s="3"/>
      <c r="BV1006" s="3"/>
      <c r="BW1006" s="3"/>
      <c r="BX1006" s="70"/>
      <c r="BY1006" s="70"/>
      <c r="BZ1006" s="59"/>
      <c r="CA1006" s="59"/>
      <c r="CB1006" s="59"/>
      <c r="CC1006" s="59"/>
      <c r="CD1006" s="60"/>
      <c r="CE1006" s="60"/>
      <c r="CF1006" s="61"/>
      <c r="CG1006" s="61"/>
      <c r="CH1006" s="61"/>
      <c r="CI1006" s="41"/>
      <c r="CJ1006" s="40"/>
      <c r="CK1006" s="3"/>
      <c r="CL1006" s="62"/>
      <c r="CM1006" s="63"/>
      <c r="CN1006" s="3"/>
      <c r="CO1006" s="3"/>
      <c r="CP1006" s="41">
        <f>_xlfn.MAXIFS([1]!phvny[age],[1]!phvny[id],paper3[[#This Row],[id]],[1]!phvny[time],paper3[[#This Row],[time]])</f>
        <v>15.186111111111112</v>
      </c>
      <c r="CQ1006" s="3"/>
      <c r="CR1006" s="40"/>
      <c r="CS1006" s="40"/>
      <c r="CT1006" s="40"/>
      <c r="CU1006" s="40"/>
      <c r="CV1006" s="40"/>
      <c r="CW1006" s="40"/>
      <c r="CX1006" s="40"/>
      <c r="CY1006" s="40"/>
    </row>
    <row r="1007" spans="1:103" ht="18.95" customHeight="1">
      <c r="A1007" s="3">
        <v>642</v>
      </c>
      <c r="B1007" s="92" t="s">
        <v>199</v>
      </c>
      <c r="C1007" s="3" t="s">
        <v>104</v>
      </c>
      <c r="D1007" s="3" t="s">
        <v>269</v>
      </c>
      <c r="E1007" s="39">
        <v>45635</v>
      </c>
      <c r="F1007" s="3" t="s">
        <v>106</v>
      </c>
      <c r="G1007" s="3" t="s">
        <v>122</v>
      </c>
      <c r="H1007" s="3">
        <v>2009</v>
      </c>
      <c r="I1007" s="40" t="s">
        <v>108</v>
      </c>
      <c r="J1007" s="40" t="s">
        <v>123</v>
      </c>
      <c r="K1007" s="3">
        <v>191.4</v>
      </c>
      <c r="L1007" s="3">
        <v>191.4</v>
      </c>
      <c r="M1007" s="3"/>
      <c r="N1007" s="3">
        <v>98.8</v>
      </c>
      <c r="O1007" s="3"/>
      <c r="P1007" s="3" t="s">
        <v>305</v>
      </c>
      <c r="Q1007" s="3">
        <v>75</v>
      </c>
      <c r="R1007" s="3">
        <v>75</v>
      </c>
      <c r="S1007" s="3"/>
      <c r="T1007" s="42">
        <v>191.4</v>
      </c>
      <c r="U1007" s="188">
        <v>98.8</v>
      </c>
      <c r="V1007" s="12">
        <f>paper3[[#This Row],[height]]-paper3[[#This Row],[sittingheight]]</f>
        <v>92.600000000000009</v>
      </c>
      <c r="W1007" s="73">
        <v>75</v>
      </c>
      <c r="X1007" s="100"/>
      <c r="Y1007" s="200">
        <v>1.4319999999999999</v>
      </c>
      <c r="Z1007" s="3">
        <v>2.923</v>
      </c>
      <c r="AA1007" s="192">
        <v>4.2</v>
      </c>
      <c r="AB1007" s="3">
        <v>1.615</v>
      </c>
      <c r="AC1007" s="3">
        <v>2.9849999999999999</v>
      </c>
      <c r="AD1007" s="3">
        <v>4.274</v>
      </c>
      <c r="AE1007" s="3">
        <v>1.5940000000000001</v>
      </c>
      <c r="AF1007" s="3">
        <v>2.927</v>
      </c>
      <c r="AG1007" s="3">
        <v>4.2359999999999998</v>
      </c>
      <c r="AH1007" s="194">
        <v>1.4319999999999999</v>
      </c>
      <c r="AI1007" s="194">
        <v>2.923</v>
      </c>
      <c r="AJ1007" s="194">
        <v>4.2</v>
      </c>
      <c r="AK1007" s="130"/>
      <c r="AL1007" s="203"/>
      <c r="AM1007" s="203"/>
      <c r="AN1007" s="3"/>
      <c r="AO1007" s="3"/>
      <c r="AP1007" s="137"/>
      <c r="AQ1007" s="132"/>
      <c r="AR1007" s="132"/>
      <c r="AS1007" s="3">
        <v>30.6</v>
      </c>
      <c r="AT1007" s="3">
        <v>29.4</v>
      </c>
      <c r="AU1007" s="3">
        <v>31</v>
      </c>
      <c r="AV1007" s="3"/>
      <c r="AW1007" s="192"/>
      <c r="AX1007" s="133">
        <v>31</v>
      </c>
      <c r="AY1007" s="195">
        <v>260</v>
      </c>
      <c r="AZ1007" s="40">
        <v>8</v>
      </c>
      <c r="BA1007" s="40"/>
      <c r="BB1007" s="40"/>
      <c r="BC1007" s="40"/>
      <c r="BD1007" s="135"/>
      <c r="BE1007" s="135"/>
      <c r="BF1007" s="40"/>
      <c r="BG1007" s="135">
        <v>505.20800033222645</v>
      </c>
      <c r="BH1007" s="135">
        <v>491.10787246049688</v>
      </c>
      <c r="BI1007" s="49"/>
      <c r="BJ1007" s="49">
        <v>996.31587279272333</v>
      </c>
      <c r="BK1007" s="66"/>
      <c r="BL1007" s="66">
        <v>2.8710856946940311E-2</v>
      </c>
      <c r="BM1007" s="51"/>
      <c r="BN1007" s="51">
        <v>13.284211637236311</v>
      </c>
      <c r="BO1007" s="136"/>
      <c r="BP1007" s="40"/>
      <c r="BQ1007" s="40"/>
      <c r="BR1007" s="67"/>
      <c r="BS1007" s="54"/>
      <c r="BT1007" s="3"/>
      <c r="BU1007" s="3"/>
      <c r="BV1007" s="3"/>
      <c r="BW1007" s="3"/>
      <c r="BX1007" s="70"/>
      <c r="BY1007" s="70"/>
      <c r="BZ1007" s="59"/>
      <c r="CA1007" s="59"/>
      <c r="CB1007" s="59"/>
      <c r="CC1007" s="59"/>
      <c r="CD1007" s="60"/>
      <c r="CE1007" s="60"/>
      <c r="CF1007" s="61"/>
      <c r="CG1007" s="61"/>
      <c r="CH1007" s="61"/>
      <c r="CI1007" s="41"/>
      <c r="CJ1007" s="40"/>
      <c r="CK1007" s="3"/>
      <c r="CL1007" s="62"/>
      <c r="CM1007" s="63"/>
      <c r="CN1007" s="3"/>
      <c r="CO1007" s="3"/>
      <c r="CP1007" s="41"/>
      <c r="CQ1007" s="3"/>
      <c r="CR1007" s="40"/>
      <c r="CS1007" s="40"/>
      <c r="CT1007" s="40"/>
      <c r="CU1007" s="40"/>
      <c r="CV1007" s="40"/>
      <c r="CW1007" s="40"/>
      <c r="CX1007" s="40"/>
      <c r="CY1007" s="40"/>
    </row>
    <row r="1008" spans="1:103" ht="18.95" customHeight="1">
      <c r="A1008" s="3">
        <v>643</v>
      </c>
      <c r="B1008" s="92" t="s">
        <v>199</v>
      </c>
      <c r="C1008" s="3" t="s">
        <v>104</v>
      </c>
      <c r="D1008" s="3" t="s">
        <v>269</v>
      </c>
      <c r="E1008" s="39">
        <v>45635</v>
      </c>
      <c r="F1008" s="3" t="s">
        <v>106</v>
      </c>
      <c r="G1008" s="3" t="s">
        <v>122</v>
      </c>
      <c r="H1008" s="3">
        <v>2009</v>
      </c>
      <c r="I1008" s="40" t="s">
        <v>108</v>
      </c>
      <c r="J1008" s="40" t="s">
        <v>123</v>
      </c>
      <c r="K1008" s="3">
        <v>163.9</v>
      </c>
      <c r="L1008" s="3">
        <v>163.80000000000001</v>
      </c>
      <c r="M1008" s="3"/>
      <c r="N1008" s="3">
        <v>83.8</v>
      </c>
      <c r="O1008" s="3"/>
      <c r="P1008" s="3" t="s">
        <v>306</v>
      </c>
      <c r="Q1008" s="3">
        <v>45.5</v>
      </c>
      <c r="R1008" s="3">
        <v>45.5</v>
      </c>
      <c r="S1008" s="3"/>
      <c r="T1008" s="42">
        <v>163.85000000000002</v>
      </c>
      <c r="U1008" s="188">
        <v>83.8</v>
      </c>
      <c r="V1008" s="12">
        <f>paper3[[#This Row],[height]]-paper3[[#This Row],[sittingheight]]</f>
        <v>80.050000000000026</v>
      </c>
      <c r="W1008" s="73">
        <v>45.5</v>
      </c>
      <c r="X1008" s="43" cm="1">
        <f t="array" ref="X1008">INDEX([1]!phvny[yphv], MATCH(1, (paper3[[#This Row],[id]]=[1]!phvny[id])*(paper3[[#This Row],[time]]=[1]!phvny[time]), 0))</f>
        <v>0.55401250652738709</v>
      </c>
      <c r="Y1008" s="192">
        <v>1.9470000000000001</v>
      </c>
      <c r="Z1008" s="3">
        <v>3.569</v>
      </c>
      <c r="AA1008" s="192">
        <v>5.1589999999999998</v>
      </c>
      <c r="AB1008" s="3">
        <v>2.0179999999999998</v>
      </c>
      <c r="AC1008" s="3">
        <v>3.6459999999999999</v>
      </c>
      <c r="AD1008" s="3">
        <v>5.23</v>
      </c>
      <c r="AE1008" s="3">
        <v>1.984</v>
      </c>
      <c r="AF1008" s="3">
        <v>3.6419999999999999</v>
      </c>
      <c r="AG1008" s="3">
        <v>5.2850000000000001</v>
      </c>
      <c r="AH1008" s="194">
        <v>1.9470000000000001</v>
      </c>
      <c r="AI1008" s="194">
        <v>3.569</v>
      </c>
      <c r="AJ1008" s="194">
        <v>5.1589999999999998</v>
      </c>
      <c r="AK1008" s="130"/>
      <c r="AL1008" s="203"/>
      <c r="AM1008" s="203"/>
      <c r="AN1008" s="3"/>
      <c r="AO1008" s="3"/>
      <c r="AP1008" s="137"/>
      <c r="AQ1008" s="132"/>
      <c r="AR1008" s="132"/>
      <c r="AS1008" s="3">
        <v>18.7</v>
      </c>
      <c r="AT1008" s="3">
        <v>18.100000000000001</v>
      </c>
      <c r="AU1008" s="3">
        <v>16.2</v>
      </c>
      <c r="AV1008" s="3"/>
      <c r="AW1008" s="192"/>
      <c r="AX1008" s="133">
        <v>18.7</v>
      </c>
      <c r="AY1008" s="195">
        <v>245</v>
      </c>
      <c r="AZ1008" s="40">
        <v>7</v>
      </c>
      <c r="BA1008" s="40"/>
      <c r="BB1008" s="40"/>
      <c r="BC1008" s="40"/>
      <c r="BD1008" s="135">
        <v>639.45734901220771</v>
      </c>
      <c r="BE1008" s="135">
        <v>627.83806233784026</v>
      </c>
      <c r="BF1008" s="40"/>
      <c r="BG1008" s="135">
        <v>217.96374401817275</v>
      </c>
      <c r="BH1008" s="135">
        <v>209.3540717086837</v>
      </c>
      <c r="BI1008" s="49">
        <v>1267.295411350048</v>
      </c>
      <c r="BJ1008" s="49">
        <v>427.31781572685645</v>
      </c>
      <c r="BK1008" s="66">
        <v>1.8506821060038092E-2</v>
      </c>
      <c r="BL1008" s="66">
        <v>4.112493365531189E-2</v>
      </c>
      <c r="BM1008" s="51">
        <v>27.852646403297758</v>
      </c>
      <c r="BN1008" s="51">
        <v>9.3916003456451964</v>
      </c>
      <c r="BO1008" s="136"/>
      <c r="BP1008" s="40"/>
      <c r="BQ1008" s="40"/>
      <c r="BR1008" s="67"/>
      <c r="BS1008" s="54"/>
      <c r="BT1008" s="3"/>
      <c r="BU1008" s="3"/>
      <c r="BV1008" s="3"/>
      <c r="BW1008" s="3"/>
      <c r="BX1008" s="70"/>
      <c r="BY1008" s="70"/>
      <c r="BZ1008" s="59"/>
      <c r="CA1008" s="59"/>
      <c r="CB1008" s="59"/>
      <c r="CC1008" s="59"/>
      <c r="CD1008" s="60"/>
      <c r="CE1008" s="60"/>
      <c r="CF1008" s="61"/>
      <c r="CG1008" s="61"/>
      <c r="CH1008" s="61"/>
      <c r="CI1008" s="41"/>
      <c r="CJ1008" s="40"/>
      <c r="CK1008" s="3"/>
      <c r="CL1008" s="62"/>
      <c r="CM1008" s="63"/>
      <c r="CN1008" s="3"/>
      <c r="CO1008" s="3"/>
      <c r="CP1008" s="41">
        <f>_xlfn.MAXIFS([1]!phvny[age],[1]!phvny[id],paper3[[#This Row],[id]],[1]!phvny[time],paper3[[#This Row],[time]])</f>
        <v>15.558333333333334</v>
      </c>
      <c r="CQ1008" s="3"/>
      <c r="CR1008" s="40"/>
      <c r="CS1008" s="40"/>
      <c r="CT1008" s="40"/>
      <c r="CU1008" s="40"/>
      <c r="CV1008" s="40"/>
      <c r="CW1008" s="40"/>
      <c r="CX1008" s="40"/>
      <c r="CY1008" s="40"/>
    </row>
    <row r="1009" spans="1:103" ht="18.95" customHeight="1">
      <c r="A1009" s="3">
        <v>651</v>
      </c>
      <c r="B1009" s="92" t="s">
        <v>199</v>
      </c>
      <c r="C1009" s="3"/>
      <c r="D1009" s="3" t="s">
        <v>269</v>
      </c>
      <c r="E1009" s="39">
        <v>45610</v>
      </c>
      <c r="F1009" s="3" t="s">
        <v>106</v>
      </c>
      <c r="G1009" s="3" t="s">
        <v>122</v>
      </c>
      <c r="H1009" s="3">
        <v>2009</v>
      </c>
      <c r="I1009" s="40" t="s">
        <v>108</v>
      </c>
      <c r="J1009" s="40" t="s">
        <v>123</v>
      </c>
      <c r="K1009" s="3">
        <v>176</v>
      </c>
      <c r="L1009" s="3">
        <v>176</v>
      </c>
      <c r="M1009" s="3"/>
      <c r="N1009" s="3">
        <v>88.8</v>
      </c>
      <c r="O1009" s="3"/>
      <c r="P1009" s="3" t="s">
        <v>293</v>
      </c>
      <c r="Q1009" s="3">
        <v>62.6</v>
      </c>
      <c r="R1009" s="3">
        <v>62.6</v>
      </c>
      <c r="S1009" s="3"/>
      <c r="T1009" s="42">
        <v>176</v>
      </c>
      <c r="U1009" s="188">
        <v>88.8</v>
      </c>
      <c r="V1009" s="12">
        <f>paper3[[#This Row],[height]]-paper3[[#This Row],[sittingheight]]</f>
        <v>87.2</v>
      </c>
      <c r="W1009" s="73">
        <v>62.6</v>
      </c>
      <c r="X1009" s="43" cm="1">
        <f t="array" ref="X1009">INDEX([1]!phvny[yphv], MATCH(1, (paper3[[#This Row],[id]]=[1]!phvny[id])*(paper3[[#This Row],[time]]=[1]!phvny[time]), 0))</f>
        <v>1.2076546619393933</v>
      </c>
      <c r="Y1009" s="192">
        <v>1.726</v>
      </c>
      <c r="Z1009" s="3">
        <v>3.085</v>
      </c>
      <c r="AA1009" s="192">
        <v>4.3449999999999998</v>
      </c>
      <c r="AB1009" s="3">
        <v>1.696</v>
      </c>
      <c r="AC1009" s="3">
        <v>3.0489999999999999</v>
      </c>
      <c r="AD1009" s="3">
        <v>4.2889999999999997</v>
      </c>
      <c r="AE1009" s="3">
        <v>1.714</v>
      </c>
      <c r="AF1009" s="3">
        <v>3.0779999999999998</v>
      </c>
      <c r="AG1009" s="3">
        <v>4.3570000000000002</v>
      </c>
      <c r="AH1009" s="194">
        <v>1.696</v>
      </c>
      <c r="AI1009" s="194">
        <v>3.0489999999999999</v>
      </c>
      <c r="AJ1009" s="194">
        <v>4.2889999999999997</v>
      </c>
      <c r="AK1009" s="130"/>
      <c r="AL1009" s="203">
        <v>9.5500000000000007</v>
      </c>
      <c r="AM1009" s="203">
        <v>9.5299999999999994</v>
      </c>
      <c r="AN1009" s="3">
        <v>9.85</v>
      </c>
      <c r="AO1009" s="3">
        <v>9.7200000000000006</v>
      </c>
      <c r="AP1009" s="137">
        <v>9.5299999999999994</v>
      </c>
      <c r="AQ1009" s="132"/>
      <c r="AR1009" s="132"/>
      <c r="AS1009" s="3">
        <v>25.7</v>
      </c>
      <c r="AT1009" s="3">
        <v>26.9</v>
      </c>
      <c r="AU1009" s="3">
        <v>27.7</v>
      </c>
      <c r="AV1009" s="3"/>
      <c r="AW1009" s="192"/>
      <c r="AX1009" s="133">
        <v>27.7</v>
      </c>
      <c r="AY1009" s="195" t="s">
        <v>307</v>
      </c>
      <c r="AZ1009" s="40">
        <v>8</v>
      </c>
      <c r="BA1009" s="40"/>
      <c r="BB1009" s="40"/>
      <c r="BC1009" s="40"/>
      <c r="BD1009" s="135">
        <v>1141.9639092036564</v>
      </c>
      <c r="BE1009" s="135">
        <v>1122.1467308012543</v>
      </c>
      <c r="BF1009" s="40"/>
      <c r="BG1009" s="135">
        <v>496.56946156962488</v>
      </c>
      <c r="BH1009" s="135">
        <v>548.58799229478871</v>
      </c>
      <c r="BI1009" s="49">
        <v>2264.1106400049107</v>
      </c>
      <c r="BJ1009" s="49">
        <v>1045.1574538644136</v>
      </c>
      <c r="BK1009" s="66">
        <v>1.7660059828585872E-2</v>
      </c>
      <c r="BL1009" s="66">
        <v>-9.4822583534076355E-2</v>
      </c>
      <c r="BM1009" s="51">
        <v>36.167901597522537</v>
      </c>
      <c r="BN1009" s="51">
        <v>16.695805972274979</v>
      </c>
      <c r="BO1009" s="136"/>
      <c r="BP1009" s="40"/>
      <c r="BQ1009" s="40"/>
      <c r="BR1009" s="67"/>
      <c r="BS1009" s="54"/>
      <c r="BT1009" s="3"/>
      <c r="BU1009" s="3"/>
      <c r="BV1009" s="3"/>
      <c r="BW1009" s="3"/>
      <c r="BX1009" s="70"/>
      <c r="BY1009" s="70"/>
      <c r="BZ1009" s="59"/>
      <c r="CA1009" s="59"/>
      <c r="CB1009" s="59"/>
      <c r="CC1009" s="59"/>
      <c r="CD1009" s="60"/>
      <c r="CE1009" s="60"/>
      <c r="CF1009" s="61"/>
      <c r="CG1009" s="61"/>
      <c r="CH1009" s="61"/>
      <c r="CI1009" s="41">
        <v>16.100000000000001</v>
      </c>
      <c r="CJ1009" s="40">
        <v>1120</v>
      </c>
      <c r="CK1009" s="3"/>
      <c r="CL1009" s="62"/>
      <c r="CM1009" s="63"/>
      <c r="CN1009" s="3"/>
      <c r="CO1009" s="3"/>
      <c r="CP1009" s="41">
        <f>_xlfn.MAXIFS([1]!phvny[age],[1]!phvny[id],paper3[[#This Row],[id]],[1]!phvny[time],paper3[[#This Row],[time]])</f>
        <v>15.191666666666666</v>
      </c>
      <c r="CQ1009" s="3"/>
      <c r="CR1009" s="40"/>
      <c r="CS1009" s="40"/>
      <c r="CT1009" s="40"/>
      <c r="CU1009" s="40"/>
      <c r="CV1009" s="40"/>
      <c r="CW1009" s="40"/>
      <c r="CX1009" s="40"/>
      <c r="CY1009" s="40"/>
    </row>
    <row r="1010" spans="1:103" ht="18.75">
      <c r="A1010" s="3">
        <v>655</v>
      </c>
      <c r="B1010" s="92" t="s">
        <v>199</v>
      </c>
      <c r="C1010" s="3" t="s">
        <v>104</v>
      </c>
      <c r="D1010" s="3" t="s">
        <v>269</v>
      </c>
      <c r="E1010" s="39">
        <v>45610</v>
      </c>
      <c r="F1010" s="3" t="s">
        <v>106</v>
      </c>
      <c r="G1010" s="3" t="s">
        <v>122</v>
      </c>
      <c r="H1010" s="3">
        <v>2009</v>
      </c>
      <c r="I1010" s="40" t="s">
        <v>108</v>
      </c>
      <c r="J1010" s="40" t="s">
        <v>123</v>
      </c>
      <c r="K1010" s="3">
        <v>180.9</v>
      </c>
      <c r="L1010" s="3">
        <v>180.8</v>
      </c>
      <c r="M1010" s="3"/>
      <c r="N1010" s="3">
        <v>93.2</v>
      </c>
      <c r="O1010" s="3"/>
      <c r="P1010" s="3" t="s">
        <v>308</v>
      </c>
      <c r="Q1010" s="3">
        <v>70.3</v>
      </c>
      <c r="R1010" s="3">
        <v>70.3</v>
      </c>
      <c r="S1010" s="3"/>
      <c r="T1010" s="42">
        <v>180.85000000000002</v>
      </c>
      <c r="U1010" s="188">
        <v>93.2</v>
      </c>
      <c r="V1010" s="12">
        <f>paper3[[#This Row],[height]]-paper3[[#This Row],[sittingheight]]</f>
        <v>87.65000000000002</v>
      </c>
      <c r="W1010" s="73">
        <v>70.3</v>
      </c>
      <c r="X1010" s="43" cm="1">
        <f t="array" ref="X1010">INDEX([1]!phvny[yphv], MATCH(1, (paper3[[#This Row],[id]]=[1]!phvny[id])*(paper3[[#This Row],[time]]=[1]!phvny[time]), 0))</f>
        <v>2.1256771135848296</v>
      </c>
      <c r="Y1010" s="192">
        <v>1.635</v>
      </c>
      <c r="Z1010" s="3">
        <v>3.0150000000000001</v>
      </c>
      <c r="AA1010" s="192">
        <v>4.3129999999999997</v>
      </c>
      <c r="AB1010" s="3">
        <v>1.639</v>
      </c>
      <c r="AC1010" s="3">
        <v>3.0019999999999998</v>
      </c>
      <c r="AD1010" s="3">
        <v>4.2610000000000001</v>
      </c>
      <c r="AE1010" s="3">
        <v>1.6120000000000001</v>
      </c>
      <c r="AF1010" s="3">
        <v>3.9889999999999999</v>
      </c>
      <c r="AG1010" s="3">
        <v>4.2729999999999997</v>
      </c>
      <c r="AH1010" s="194">
        <v>1.6120000000000001</v>
      </c>
      <c r="AI1010" s="194">
        <v>3.0019999999999998</v>
      </c>
      <c r="AJ1010" s="194">
        <v>4.2610000000000001</v>
      </c>
      <c r="AK1010" s="130"/>
      <c r="AL1010" s="203"/>
      <c r="AM1010" s="203"/>
      <c r="AN1010" s="3"/>
      <c r="AO1010" s="3"/>
      <c r="AP1010" s="137"/>
      <c r="AQ1010" s="132"/>
      <c r="AR1010" s="132"/>
      <c r="AS1010" s="3">
        <v>34.4</v>
      </c>
      <c r="AT1010" s="3">
        <v>30.4</v>
      </c>
      <c r="AU1010" s="3">
        <v>32.1</v>
      </c>
      <c r="AV1010" s="3"/>
      <c r="AW1010" s="192"/>
      <c r="AX1010" s="133">
        <v>34.4</v>
      </c>
      <c r="AY1010" s="195" t="s">
        <v>307</v>
      </c>
      <c r="AZ1010" s="40">
        <v>9</v>
      </c>
      <c r="BA1010" s="40"/>
      <c r="BB1010" s="40"/>
      <c r="BC1010" s="40"/>
      <c r="BD1010" s="135">
        <v>1423.0877726739802</v>
      </c>
      <c r="BE1010" s="135">
        <v>1460.9874503304216</v>
      </c>
      <c r="BF1010" s="40"/>
      <c r="BG1010" s="135">
        <v>686.96912885035078</v>
      </c>
      <c r="BH1010" s="135">
        <v>695.17350582018958</v>
      </c>
      <c r="BI1010" s="49">
        <v>2884.0752230044018</v>
      </c>
      <c r="BJ1010" s="49">
        <v>1382.1426346705402</v>
      </c>
      <c r="BK1010" s="66">
        <v>-2.5941138404624753E-2</v>
      </c>
      <c r="BL1010" s="66">
        <v>-1.1801912617712573E-2</v>
      </c>
      <c r="BM1010" s="51">
        <v>41.025252105325777</v>
      </c>
      <c r="BN1010" s="51">
        <v>19.660634917077388</v>
      </c>
      <c r="BO1010" s="136"/>
      <c r="BP1010" s="40"/>
      <c r="BQ1010" s="40"/>
      <c r="BR1010" s="67"/>
      <c r="BS1010" s="54"/>
      <c r="BT1010" s="3"/>
      <c r="BU1010" s="3"/>
      <c r="BV1010" s="3"/>
      <c r="BW1010" s="3"/>
      <c r="BX1010" s="70"/>
      <c r="BY1010" s="70"/>
      <c r="BZ1010" s="59"/>
      <c r="CA1010" s="59"/>
      <c r="CB1010" s="59"/>
      <c r="CC1010" s="59"/>
      <c r="CD1010" s="60"/>
      <c r="CE1010" s="60"/>
      <c r="CF1010" s="61"/>
      <c r="CG1010" s="61"/>
      <c r="CH1010" s="61"/>
      <c r="CI1010" s="41"/>
      <c r="CJ1010" s="40"/>
      <c r="CK1010" s="3"/>
      <c r="CL1010" s="62"/>
      <c r="CM1010" s="63"/>
      <c r="CN1010" s="3"/>
      <c r="CO1010" s="3"/>
      <c r="CP1010" s="41">
        <f>_xlfn.MAXIFS([1]!phvny[age],[1]!phvny[id],paper3[[#This Row],[id]],[1]!phvny[time],paper3[[#This Row],[time]])</f>
        <v>15.677777777777777</v>
      </c>
      <c r="CQ1010" s="3"/>
      <c r="CR1010" s="40"/>
      <c r="CS1010" s="40"/>
      <c r="CT1010" s="40"/>
      <c r="CU1010" s="40"/>
      <c r="CV1010" s="40"/>
      <c r="CW1010" s="40"/>
      <c r="CX1010" s="40"/>
      <c r="CY1010" s="40"/>
    </row>
    <row r="1011" spans="1:103" ht="18.95" customHeight="1">
      <c r="A1011" s="3">
        <v>656</v>
      </c>
      <c r="B1011" s="92" t="s">
        <v>199</v>
      </c>
      <c r="C1011" s="3" t="s">
        <v>104</v>
      </c>
      <c r="D1011" s="3" t="s">
        <v>269</v>
      </c>
      <c r="E1011" s="39">
        <v>45610</v>
      </c>
      <c r="F1011" s="3" t="s">
        <v>106</v>
      </c>
      <c r="G1011" s="3" t="s">
        <v>122</v>
      </c>
      <c r="H1011" s="3">
        <v>2009</v>
      </c>
      <c r="I1011" s="40" t="s">
        <v>108</v>
      </c>
      <c r="J1011" s="40" t="s">
        <v>123</v>
      </c>
      <c r="K1011" s="3">
        <v>182.1</v>
      </c>
      <c r="L1011" s="3">
        <v>182.1</v>
      </c>
      <c r="M1011" s="3"/>
      <c r="N1011" s="3">
        <v>93</v>
      </c>
      <c r="O1011" s="3"/>
      <c r="P1011" s="3" t="s">
        <v>309</v>
      </c>
      <c r="Q1011" s="3">
        <v>59.8</v>
      </c>
      <c r="R1011" s="3">
        <v>59.8</v>
      </c>
      <c r="S1011" s="3"/>
      <c r="T1011" s="42">
        <v>182.1</v>
      </c>
      <c r="U1011" s="188">
        <v>93</v>
      </c>
      <c r="V1011" s="12">
        <f>paper3[[#This Row],[height]]-paper3[[#This Row],[sittingheight]]</f>
        <v>89.1</v>
      </c>
      <c r="W1011" s="73">
        <v>59.8</v>
      </c>
      <c r="X1011" s="43" cm="1">
        <f t="array" ref="X1011">INDEX([1]!phvny[yphv], MATCH(1, (paper3[[#This Row],[id]]=[1]!phvny[id])*(paper3[[#This Row],[time]]=[1]!phvny[time]), 0))</f>
        <v>1.7510293223215263</v>
      </c>
      <c r="Y1011" s="192">
        <v>1.7</v>
      </c>
      <c r="Z1011" s="3">
        <v>3.1629999999999998</v>
      </c>
      <c r="AA1011" s="192">
        <v>4.5789999999999997</v>
      </c>
      <c r="AB1011" s="3">
        <v>1.7010000000000001</v>
      </c>
      <c r="AC1011" s="3">
        <v>3.1989999999999998</v>
      </c>
      <c r="AD1011" s="3">
        <v>4.6360000000000001</v>
      </c>
      <c r="AE1011" s="3">
        <v>1.675</v>
      </c>
      <c r="AF1011" s="3">
        <v>3.177</v>
      </c>
      <c r="AG1011" s="3">
        <v>4.6520000000000001</v>
      </c>
      <c r="AH1011" s="194">
        <v>1.675</v>
      </c>
      <c r="AI1011" s="194">
        <v>3.1629999999999998</v>
      </c>
      <c r="AJ1011" s="194">
        <v>4.5789999999999997</v>
      </c>
      <c r="AK1011" s="130"/>
      <c r="AL1011" s="203">
        <v>9.7899999999999991</v>
      </c>
      <c r="AM1011" s="203">
        <v>10.01</v>
      </c>
      <c r="AN1011" s="3">
        <v>10.29</v>
      </c>
      <c r="AO1011" s="3">
        <v>10.56</v>
      </c>
      <c r="AP1011" s="137">
        <v>9.7899999999999991</v>
      </c>
      <c r="AQ1011" s="132"/>
      <c r="AR1011" s="132"/>
      <c r="AS1011" s="3">
        <v>24.4</v>
      </c>
      <c r="AT1011" s="3">
        <v>22</v>
      </c>
      <c r="AU1011" s="3">
        <v>24.1</v>
      </c>
      <c r="AV1011" s="3"/>
      <c r="AW1011" s="192"/>
      <c r="AX1011" s="133">
        <v>24.4</v>
      </c>
      <c r="AY1011" s="195" t="s">
        <v>307</v>
      </c>
      <c r="AZ1011" s="40">
        <v>8</v>
      </c>
      <c r="BA1011" s="40"/>
      <c r="BB1011" s="40"/>
      <c r="BC1011" s="40"/>
      <c r="BD1011" s="135">
        <v>916.88599762959166</v>
      </c>
      <c r="BE1011" s="135">
        <v>917.72779562633514</v>
      </c>
      <c r="BF1011" s="40"/>
      <c r="BG1011" s="135">
        <v>458.66910977784988</v>
      </c>
      <c r="BH1011" s="135">
        <v>476.13601505341308</v>
      </c>
      <c r="BI1011" s="49">
        <v>1834.6137932559268</v>
      </c>
      <c r="BJ1011" s="49">
        <v>934.8051248312629</v>
      </c>
      <c r="BK1011" s="66">
        <v>-9.1726326777430423E-4</v>
      </c>
      <c r="BL1011" s="66">
        <v>-3.6684696648296544E-2</v>
      </c>
      <c r="BM1011" s="51">
        <v>30.679160422339915</v>
      </c>
      <c r="BN1011" s="51">
        <v>15.632192722930819</v>
      </c>
      <c r="BO1011" s="136"/>
      <c r="BP1011" s="40"/>
      <c r="BQ1011" s="40"/>
      <c r="BR1011" s="67"/>
      <c r="BS1011" s="54"/>
      <c r="BT1011" s="3"/>
      <c r="BU1011" s="3"/>
      <c r="BV1011" s="3"/>
      <c r="BW1011" s="3"/>
      <c r="BX1011" s="70"/>
      <c r="BY1011" s="70"/>
      <c r="BZ1011" s="59"/>
      <c r="CA1011" s="59"/>
      <c r="CB1011" s="59"/>
      <c r="CC1011" s="59"/>
      <c r="CD1011" s="60"/>
      <c r="CE1011" s="60"/>
      <c r="CF1011" s="61"/>
      <c r="CG1011" s="61"/>
      <c r="CH1011" s="61"/>
      <c r="CI1011" s="41">
        <v>15.8</v>
      </c>
      <c r="CJ1011" s="40">
        <v>1080</v>
      </c>
      <c r="CK1011" s="3"/>
      <c r="CL1011" s="62"/>
      <c r="CM1011" s="63"/>
      <c r="CN1011" s="3"/>
      <c r="CO1011" s="3"/>
      <c r="CP1011" s="41">
        <f>_xlfn.MAXIFS([1]!phvny[age],[1]!phvny[id],paper3[[#This Row],[id]],[1]!phvny[time],paper3[[#This Row],[time]])</f>
        <v>15.280555555555555</v>
      </c>
      <c r="CQ1011" s="3"/>
      <c r="CR1011" s="40"/>
      <c r="CS1011" s="40"/>
      <c r="CT1011" s="40"/>
      <c r="CU1011" s="40"/>
      <c r="CV1011" s="40"/>
      <c r="CW1011" s="40"/>
      <c r="CX1011" s="40"/>
      <c r="CY1011" s="40"/>
    </row>
    <row r="1012" spans="1:103" ht="18.95" customHeight="1">
      <c r="A1012" s="3">
        <v>657</v>
      </c>
      <c r="B1012" s="92" t="s">
        <v>199</v>
      </c>
      <c r="C1012" s="3" t="s">
        <v>171</v>
      </c>
      <c r="D1012" s="3" t="s">
        <v>269</v>
      </c>
      <c r="E1012" s="39">
        <v>45610</v>
      </c>
      <c r="F1012" s="3" t="s">
        <v>106</v>
      </c>
      <c r="G1012" s="3" t="s">
        <v>122</v>
      </c>
      <c r="H1012" s="3">
        <v>2009</v>
      </c>
      <c r="I1012" s="40" t="s">
        <v>108</v>
      </c>
      <c r="J1012" s="40" t="s">
        <v>123</v>
      </c>
      <c r="K1012" s="3">
        <v>175.6</v>
      </c>
      <c r="L1012" s="3">
        <v>175.6</v>
      </c>
      <c r="M1012" s="3"/>
      <c r="N1012" s="3">
        <v>90.7</v>
      </c>
      <c r="O1012" s="3"/>
      <c r="P1012" s="3" t="s">
        <v>310</v>
      </c>
      <c r="Q1012" s="3">
        <v>70.8</v>
      </c>
      <c r="R1012" s="3">
        <v>70.8</v>
      </c>
      <c r="S1012" s="3"/>
      <c r="T1012" s="42">
        <v>175.6</v>
      </c>
      <c r="U1012" s="188">
        <v>90.7</v>
      </c>
      <c r="V1012" s="12">
        <f>paper3[[#This Row],[height]]-paper3[[#This Row],[sittingheight]]</f>
        <v>84.899999999999991</v>
      </c>
      <c r="W1012" s="73">
        <v>70.8</v>
      </c>
      <c r="X1012" s="43" cm="1">
        <f t="array" ref="X1012">INDEX([1]!phvny[yphv], MATCH(1, (paper3[[#This Row],[id]]=[1]!phvny[id])*(paper3[[#This Row],[time]]=[1]!phvny[time]), 0))</f>
        <v>1.5812871445188559</v>
      </c>
      <c r="Y1012" s="192">
        <v>1.6539999999999999</v>
      </c>
      <c r="Z1012" s="3">
        <v>3.0419999999999998</v>
      </c>
      <c r="AA1012" s="192">
        <v>4.3380000000000001</v>
      </c>
      <c r="AB1012" s="3">
        <v>1.639</v>
      </c>
      <c r="AC1012" s="3">
        <v>3.0230000000000001</v>
      </c>
      <c r="AD1012" s="3">
        <v>4.3369999999999997</v>
      </c>
      <c r="AE1012" s="3">
        <v>1.6639999999999999</v>
      </c>
      <c r="AF1012" s="3">
        <v>3.0710000000000002</v>
      </c>
      <c r="AG1012" s="3">
        <v>4.4039999999999999</v>
      </c>
      <c r="AH1012" s="194">
        <v>1.639</v>
      </c>
      <c r="AI1012" s="194">
        <v>3.0230000000000001</v>
      </c>
      <c r="AJ1012" s="194">
        <v>4.3369999999999997</v>
      </c>
      <c r="AK1012" s="130"/>
      <c r="AL1012" s="203">
        <v>10.14</v>
      </c>
      <c r="AM1012" s="203">
        <v>10.23</v>
      </c>
      <c r="AN1012" s="3">
        <v>9.98</v>
      </c>
      <c r="AO1012" s="3">
        <v>9.99</v>
      </c>
      <c r="AP1012" s="137">
        <v>9.98</v>
      </c>
      <c r="AQ1012" s="132"/>
      <c r="AR1012" s="132"/>
      <c r="AS1012" s="3">
        <v>28.5</v>
      </c>
      <c r="AT1012" s="3">
        <v>28.1</v>
      </c>
      <c r="AU1012" s="3">
        <v>28.6</v>
      </c>
      <c r="AV1012" s="3"/>
      <c r="AW1012" s="192"/>
      <c r="AX1012" s="133">
        <v>28.6</v>
      </c>
      <c r="AY1012" s="195" t="s">
        <v>307</v>
      </c>
      <c r="AZ1012" s="40">
        <v>8</v>
      </c>
      <c r="BA1012" s="40"/>
      <c r="BB1012" s="40"/>
      <c r="BC1012" s="40"/>
      <c r="BD1012" s="135">
        <v>999.35752492617075</v>
      </c>
      <c r="BE1012" s="135">
        <v>1087.2186439285015</v>
      </c>
      <c r="BF1012" s="40"/>
      <c r="BG1012" s="135">
        <v>451.12654379650678</v>
      </c>
      <c r="BH1012" s="135">
        <v>498.1208213312575</v>
      </c>
      <c r="BI1012" s="49">
        <v>2086.5761688546722</v>
      </c>
      <c r="BJ1012" s="49">
        <v>949.24736512776428</v>
      </c>
      <c r="BK1012" s="66">
        <v>-8.0812741294481238E-2</v>
      </c>
      <c r="BL1012" s="66">
        <v>-9.4343130265375663E-2</v>
      </c>
      <c r="BM1012" s="51">
        <v>29.471414814331531</v>
      </c>
      <c r="BN1012" s="51">
        <v>13.407448659996671</v>
      </c>
      <c r="BO1012" s="136"/>
      <c r="BP1012" s="40"/>
      <c r="BQ1012" s="40"/>
      <c r="BR1012" s="67"/>
      <c r="BS1012" s="54"/>
      <c r="BT1012" s="3"/>
      <c r="BU1012" s="3"/>
      <c r="BV1012" s="3"/>
      <c r="BW1012" s="3"/>
      <c r="BX1012" s="70"/>
      <c r="BY1012" s="70"/>
      <c r="BZ1012" s="59"/>
      <c r="CA1012" s="59"/>
      <c r="CB1012" s="59"/>
      <c r="CC1012" s="59"/>
      <c r="CD1012" s="60"/>
      <c r="CE1012" s="60"/>
      <c r="CF1012" s="61"/>
      <c r="CG1012" s="61"/>
      <c r="CH1012" s="61"/>
      <c r="CI1012" s="41">
        <v>17.2</v>
      </c>
      <c r="CJ1012" s="40">
        <v>1480</v>
      </c>
      <c r="CK1012" s="3"/>
      <c r="CL1012" s="62"/>
      <c r="CM1012" s="63"/>
      <c r="CN1012" s="3"/>
      <c r="CO1012" s="3"/>
      <c r="CP1012" s="41">
        <f>_xlfn.MAXIFS([1]!phvny[age],[1]!phvny[id],paper3[[#This Row],[id]],[1]!phvny[time],paper3[[#This Row],[time]])</f>
        <v>15.21111111111111</v>
      </c>
      <c r="CQ1012" s="3"/>
      <c r="CR1012" s="40"/>
      <c r="CS1012" s="40"/>
      <c r="CT1012" s="40"/>
      <c r="CU1012" s="40"/>
      <c r="CV1012" s="40"/>
      <c r="CW1012" s="40"/>
      <c r="CX1012" s="40"/>
      <c r="CY1012" s="40"/>
    </row>
    <row r="1013" spans="1:103" ht="18.95" customHeight="1">
      <c r="A1013" s="3">
        <v>658</v>
      </c>
      <c r="B1013" s="92" t="s">
        <v>199</v>
      </c>
      <c r="C1013" s="3" t="s">
        <v>104</v>
      </c>
      <c r="D1013" s="3" t="s">
        <v>269</v>
      </c>
      <c r="E1013" s="39">
        <v>45610</v>
      </c>
      <c r="F1013" s="3" t="s">
        <v>106</v>
      </c>
      <c r="G1013" s="3" t="s">
        <v>122</v>
      </c>
      <c r="H1013" s="3">
        <v>2009</v>
      </c>
      <c r="I1013" s="40" t="s">
        <v>108</v>
      </c>
      <c r="J1013" s="40" t="s">
        <v>123</v>
      </c>
      <c r="K1013" s="3">
        <v>168.5</v>
      </c>
      <c r="L1013" s="3">
        <v>168.5</v>
      </c>
      <c r="M1013" s="3"/>
      <c r="N1013" s="3">
        <v>86.4</v>
      </c>
      <c r="O1013" s="3"/>
      <c r="P1013" s="3" t="s">
        <v>311</v>
      </c>
      <c r="Q1013" s="3">
        <v>59.3</v>
      </c>
      <c r="R1013" s="3">
        <v>59.3</v>
      </c>
      <c r="S1013" s="3"/>
      <c r="T1013" s="42">
        <v>168.5</v>
      </c>
      <c r="U1013" s="188">
        <v>86.4</v>
      </c>
      <c r="V1013" s="12">
        <f>paper3[[#This Row],[height]]-paper3[[#This Row],[sittingheight]]</f>
        <v>82.1</v>
      </c>
      <c r="W1013" s="73">
        <v>59.3</v>
      </c>
      <c r="X1013" s="43" cm="1">
        <f t="array" ref="X1013">INDEX([1]!phvny[yphv], MATCH(1, (paper3[[#This Row],[id]]=[1]!phvny[id])*(paper3[[#This Row],[time]]=[1]!phvny[time]), 0))</f>
        <v>1.022709870180021</v>
      </c>
      <c r="Y1013" s="192">
        <v>1.6990000000000001</v>
      </c>
      <c r="Z1013" s="3">
        <v>3.089</v>
      </c>
      <c r="AA1013" s="192">
        <v>4.3929999999999998</v>
      </c>
      <c r="AB1013" s="3">
        <v>1.679</v>
      </c>
      <c r="AC1013" s="3">
        <v>3.052</v>
      </c>
      <c r="AD1013" s="3">
        <v>4.3259999999999996</v>
      </c>
      <c r="AE1013" s="3">
        <v>1.716</v>
      </c>
      <c r="AF1013" s="3">
        <v>3.1259999999999999</v>
      </c>
      <c r="AG1013" s="3">
        <v>4.468</v>
      </c>
      <c r="AH1013" s="194">
        <v>1.679</v>
      </c>
      <c r="AI1013" s="194">
        <v>3.052</v>
      </c>
      <c r="AJ1013" s="194">
        <v>4.3259999999999996</v>
      </c>
      <c r="AK1013" s="130"/>
      <c r="AL1013" s="203">
        <v>9.9700000000000006</v>
      </c>
      <c r="AM1013" s="203">
        <v>10.25</v>
      </c>
      <c r="AN1013" s="3">
        <v>10.61</v>
      </c>
      <c r="AO1013" s="3">
        <v>10.6</v>
      </c>
      <c r="AP1013" s="137">
        <v>9.9700000000000006</v>
      </c>
      <c r="AQ1013" s="132"/>
      <c r="AR1013" s="132"/>
      <c r="AS1013" s="3">
        <v>23.2</v>
      </c>
      <c r="AT1013" s="3">
        <v>23.6</v>
      </c>
      <c r="AU1013" s="3"/>
      <c r="AV1013" s="3"/>
      <c r="AW1013" s="192"/>
      <c r="AX1013" s="133">
        <v>23.6</v>
      </c>
      <c r="AY1013" s="195" t="s">
        <v>307</v>
      </c>
      <c r="AZ1013" s="40">
        <v>8</v>
      </c>
      <c r="BA1013" s="40"/>
      <c r="BB1013" s="40"/>
      <c r="BC1013" s="40"/>
      <c r="BD1013" s="135">
        <v>1129.3467239643574</v>
      </c>
      <c r="BE1013" s="135">
        <v>1151.1498810244557</v>
      </c>
      <c r="BF1013" s="40"/>
      <c r="BG1013" s="135">
        <v>468.9411646660717</v>
      </c>
      <c r="BH1013" s="135">
        <v>465.19029623664352</v>
      </c>
      <c r="BI1013" s="49">
        <v>2280.496604988813</v>
      </c>
      <c r="BJ1013" s="49">
        <v>934.13146090271516</v>
      </c>
      <c r="BK1013" s="66">
        <v>-1.8940328639651005E-2</v>
      </c>
      <c r="BL1013" s="66">
        <v>8.0630839890092343E-3</v>
      </c>
      <c r="BM1013" s="51">
        <v>38.456941062205956</v>
      </c>
      <c r="BN1013" s="51">
        <v>15.752638463789463</v>
      </c>
      <c r="BO1013" s="136"/>
      <c r="BP1013" s="40"/>
      <c r="BQ1013" s="40"/>
      <c r="BR1013" s="67"/>
      <c r="BS1013" s="54"/>
      <c r="BT1013" s="3"/>
      <c r="BU1013" s="3"/>
      <c r="BV1013" s="3"/>
      <c r="BW1013" s="3"/>
      <c r="BX1013" s="70"/>
      <c r="BY1013" s="70"/>
      <c r="BZ1013" s="59"/>
      <c r="CA1013" s="59"/>
      <c r="CB1013" s="59"/>
      <c r="CC1013" s="59"/>
      <c r="CD1013" s="60"/>
      <c r="CE1013" s="60"/>
      <c r="CF1013" s="61"/>
      <c r="CG1013" s="61"/>
      <c r="CH1013" s="61"/>
      <c r="CI1013" s="41">
        <v>17.100000000000001</v>
      </c>
      <c r="CJ1013" s="40">
        <v>1440</v>
      </c>
      <c r="CK1013" s="3"/>
      <c r="CL1013" s="62"/>
      <c r="CM1013" s="63"/>
      <c r="CN1013" s="3"/>
      <c r="CO1013" s="3"/>
      <c r="CP1013" s="41">
        <f>_xlfn.MAXIFS([1]!phvny[age],[1]!phvny[id],paper3[[#This Row],[id]],[1]!phvny[time],paper3[[#This Row],[time]])</f>
        <v>15.466666666666667</v>
      </c>
      <c r="CQ1013" s="3"/>
      <c r="CR1013" s="40"/>
      <c r="CS1013" s="40"/>
      <c r="CT1013" s="40"/>
      <c r="CU1013" s="40"/>
      <c r="CV1013" s="40"/>
      <c r="CW1013" s="40"/>
      <c r="CX1013" s="40"/>
      <c r="CY1013" s="40"/>
    </row>
    <row r="1014" spans="1:103" ht="18.95" customHeight="1">
      <c r="A1014" s="3">
        <v>661</v>
      </c>
      <c r="B1014" s="92" t="s">
        <v>199</v>
      </c>
      <c r="C1014" s="3" t="s">
        <v>104</v>
      </c>
      <c r="D1014" s="3" t="s">
        <v>269</v>
      </c>
      <c r="E1014" s="39">
        <v>45610</v>
      </c>
      <c r="F1014" s="3" t="s">
        <v>106</v>
      </c>
      <c r="G1014" s="3" t="s">
        <v>122</v>
      </c>
      <c r="H1014" s="3">
        <v>2009</v>
      </c>
      <c r="I1014" s="40" t="s">
        <v>108</v>
      </c>
      <c r="J1014" s="40" t="s">
        <v>123</v>
      </c>
      <c r="K1014" s="3">
        <v>169.6</v>
      </c>
      <c r="L1014" s="3">
        <v>169.4</v>
      </c>
      <c r="M1014" s="3"/>
      <c r="N1014" s="3">
        <v>86.8</v>
      </c>
      <c r="O1014" s="3"/>
      <c r="P1014" s="3" t="s">
        <v>312</v>
      </c>
      <c r="Q1014" s="3">
        <v>61.8</v>
      </c>
      <c r="R1014" s="3">
        <v>61.8</v>
      </c>
      <c r="S1014" s="3"/>
      <c r="T1014" s="42">
        <v>169.5</v>
      </c>
      <c r="U1014" s="188">
        <v>86.8</v>
      </c>
      <c r="V1014" s="12">
        <f>paper3[[#This Row],[height]]-paper3[[#This Row],[sittingheight]]</f>
        <v>82.7</v>
      </c>
      <c r="W1014" s="73">
        <v>61.8</v>
      </c>
      <c r="X1014" s="43" cm="1">
        <f t="array" ref="X1014">INDEX([1]!phvny[yphv], MATCH(1, (paper3[[#This Row],[id]]=[1]!phvny[id])*(paper3[[#This Row],[time]]=[1]!phvny[time]), 0))</f>
        <v>0.98040053324827769</v>
      </c>
      <c r="Y1014" s="192">
        <v>1.645</v>
      </c>
      <c r="Z1014" s="3">
        <v>2.9750000000000001</v>
      </c>
      <c r="AA1014" s="192">
        <v>4.24</v>
      </c>
      <c r="AB1014" s="3">
        <v>1.621</v>
      </c>
      <c r="AC1014" s="3">
        <v>2.9710000000000001</v>
      </c>
      <c r="AD1014" s="3">
        <v>4.2270000000000003</v>
      </c>
      <c r="AE1014" s="3">
        <v>1.6459999999999999</v>
      </c>
      <c r="AF1014" s="3">
        <v>3.0110000000000001</v>
      </c>
      <c r="AG1014" s="3">
        <v>4.2859999999999996</v>
      </c>
      <c r="AH1014" s="194">
        <v>1.621</v>
      </c>
      <c r="AI1014" s="194">
        <v>2.9710000000000001</v>
      </c>
      <c r="AJ1014" s="194">
        <v>4.2270000000000003</v>
      </c>
      <c r="AK1014" s="130"/>
      <c r="AL1014" s="203">
        <v>11.94</v>
      </c>
      <c r="AM1014" s="203">
        <v>9.83</v>
      </c>
      <c r="AN1014" s="3"/>
      <c r="AO1014" s="3">
        <v>9.92</v>
      </c>
      <c r="AP1014" s="137">
        <v>9.83</v>
      </c>
      <c r="AQ1014" s="132"/>
      <c r="AR1014" s="132"/>
      <c r="AS1014" s="3">
        <v>30.4</v>
      </c>
      <c r="AT1014" s="3">
        <v>25.5</v>
      </c>
      <c r="AU1014" s="3">
        <v>27.6</v>
      </c>
      <c r="AV1014" s="3"/>
      <c r="AW1014" s="192"/>
      <c r="AX1014" s="133">
        <v>30.4</v>
      </c>
      <c r="AY1014" s="195" t="s">
        <v>307</v>
      </c>
      <c r="AZ1014" s="40">
        <v>8</v>
      </c>
      <c r="BA1014" s="40"/>
      <c r="BB1014" s="40"/>
      <c r="BC1014" s="40"/>
      <c r="BD1014" s="135">
        <v>1237.8503203713051</v>
      </c>
      <c r="BE1014" s="135">
        <v>1107.568747669123</v>
      </c>
      <c r="BF1014" s="40"/>
      <c r="BG1014" s="135">
        <v>537.83553470686297</v>
      </c>
      <c r="BH1014" s="135">
        <v>468.26907505877557</v>
      </c>
      <c r="BI1014" s="49">
        <v>2345.4190680404281</v>
      </c>
      <c r="BJ1014" s="49">
        <v>1006.1046097656385</v>
      </c>
      <c r="BK1014" s="66">
        <v>0.11762842981653243</v>
      </c>
      <c r="BL1014" s="66">
        <v>0.14856086671825519</v>
      </c>
      <c r="BM1014" s="51">
        <v>37.951764855023107</v>
      </c>
      <c r="BN1014" s="51">
        <v>16.280009866757904</v>
      </c>
      <c r="BO1014" s="136"/>
      <c r="BP1014" s="40"/>
      <c r="BQ1014" s="40"/>
      <c r="BR1014" s="67"/>
      <c r="BS1014" s="54"/>
      <c r="BT1014" s="3"/>
      <c r="BU1014" s="3"/>
      <c r="BV1014" s="3"/>
      <c r="BW1014" s="3"/>
      <c r="BX1014" s="70"/>
      <c r="BY1014" s="70"/>
      <c r="BZ1014" s="59"/>
      <c r="CA1014" s="59"/>
      <c r="CB1014" s="59"/>
      <c r="CC1014" s="59"/>
      <c r="CD1014" s="60"/>
      <c r="CE1014" s="60"/>
      <c r="CF1014" s="61"/>
      <c r="CG1014" s="61"/>
      <c r="CH1014" s="61"/>
      <c r="CI1014" s="41">
        <v>16.7</v>
      </c>
      <c r="CJ1014" s="40">
        <v>1360</v>
      </c>
      <c r="CK1014" s="3"/>
      <c r="CL1014" s="62"/>
      <c r="CM1014" s="63"/>
      <c r="CN1014" s="3"/>
      <c r="CO1014" s="3"/>
      <c r="CP1014" s="41">
        <f>_xlfn.MAXIFS([1]!phvny[age],[1]!phvny[id],paper3[[#This Row],[id]],[1]!phvny[time],paper3[[#This Row],[time]])</f>
        <v>15.213888888888889</v>
      </c>
      <c r="CQ1014" s="3"/>
      <c r="CR1014" s="40"/>
      <c r="CS1014" s="40"/>
      <c r="CT1014" s="40"/>
      <c r="CU1014" s="40"/>
      <c r="CV1014" s="40"/>
      <c r="CW1014" s="40"/>
      <c r="CX1014" s="40"/>
      <c r="CY1014" s="40"/>
    </row>
    <row r="1015" spans="1:103" ht="18.75">
      <c r="A1015" s="3">
        <v>662</v>
      </c>
      <c r="B1015" s="92" t="s">
        <v>199</v>
      </c>
      <c r="C1015" s="3"/>
      <c r="D1015" s="3" t="s">
        <v>269</v>
      </c>
      <c r="E1015" s="39">
        <v>45610</v>
      </c>
      <c r="F1015" s="3" t="s">
        <v>106</v>
      </c>
      <c r="G1015" s="3" t="s">
        <v>122</v>
      </c>
      <c r="H1015" s="3">
        <v>2009</v>
      </c>
      <c r="I1015" s="40" t="s">
        <v>108</v>
      </c>
      <c r="J1015" s="40" t="s">
        <v>123</v>
      </c>
      <c r="K1015" s="3">
        <v>165</v>
      </c>
      <c r="L1015" s="3">
        <v>165</v>
      </c>
      <c r="M1015" s="3"/>
      <c r="N1015" s="3">
        <v>89.8</v>
      </c>
      <c r="O1015" s="3"/>
      <c r="P1015" s="3" t="s">
        <v>313</v>
      </c>
      <c r="Q1015" s="3">
        <v>56.8</v>
      </c>
      <c r="R1015" s="3">
        <v>56.8</v>
      </c>
      <c r="S1015" s="3"/>
      <c r="T1015" s="42">
        <v>165</v>
      </c>
      <c r="U1015" s="188">
        <v>89.8</v>
      </c>
      <c r="V1015" s="12">
        <f>paper3[[#This Row],[height]]-paper3[[#This Row],[sittingheight]]</f>
        <v>75.2</v>
      </c>
      <c r="W1015" s="73">
        <v>56.8</v>
      </c>
      <c r="X1015" s="43" cm="1">
        <f t="array" ref="X1015">INDEX([1]!phvny[yphv], MATCH(1, (paper3[[#This Row],[id]]=[1]!phvny[id])*(paper3[[#This Row],[time]]=[1]!phvny[time]), 0))</f>
        <v>1.4465897554747449</v>
      </c>
      <c r="Y1015" s="192">
        <v>1.5760000000000001</v>
      </c>
      <c r="Z1015" s="3">
        <v>2.9079999999999999</v>
      </c>
      <c r="AA1015" s="192">
        <v>4.1550000000000002</v>
      </c>
      <c r="AB1015" s="3">
        <v>1.792</v>
      </c>
      <c r="AC1015" s="3">
        <v>3.1379999999999999</v>
      </c>
      <c r="AD1015" s="3">
        <v>4.492</v>
      </c>
      <c r="AE1015" s="3">
        <v>1.6579999999999999</v>
      </c>
      <c r="AF1015" s="3">
        <v>3.0110000000000001</v>
      </c>
      <c r="AG1015" s="3">
        <v>4.3040000000000003</v>
      </c>
      <c r="AH1015" s="194">
        <v>1.5760000000000001</v>
      </c>
      <c r="AI1015" s="194">
        <v>2.9079999999999999</v>
      </c>
      <c r="AJ1015" s="194">
        <v>4.1550000000000002</v>
      </c>
      <c r="AK1015" s="130"/>
      <c r="AL1015" s="203">
        <v>9.2200000000000006</v>
      </c>
      <c r="AM1015" s="203">
        <v>9.5299999999999994</v>
      </c>
      <c r="AN1015" s="3">
        <v>9.5</v>
      </c>
      <c r="AO1015" s="3">
        <v>9.57</v>
      </c>
      <c r="AP1015" s="137">
        <v>9.2200000000000006</v>
      </c>
      <c r="AQ1015" s="132"/>
      <c r="AR1015" s="132"/>
      <c r="AS1015" s="3">
        <v>26.3</v>
      </c>
      <c r="AT1015" s="3">
        <v>27.2</v>
      </c>
      <c r="AU1015" s="3">
        <v>27.1</v>
      </c>
      <c r="AV1015" s="3"/>
      <c r="AW1015" s="192"/>
      <c r="AX1015" s="133">
        <v>27.2</v>
      </c>
      <c r="AY1015" s="195" t="s">
        <v>307</v>
      </c>
      <c r="AZ1015" s="40">
        <v>8</v>
      </c>
      <c r="BA1015" s="40"/>
      <c r="BB1015" s="40"/>
      <c r="BC1015" s="40"/>
      <c r="BD1015" s="135">
        <v>1374.9240584889394</v>
      </c>
      <c r="BE1015" s="135">
        <v>1310.5250610966123</v>
      </c>
      <c r="BF1015" s="40"/>
      <c r="BG1015" s="135">
        <v>490.71794885946588</v>
      </c>
      <c r="BH1015" s="135">
        <v>406.7610853388822</v>
      </c>
      <c r="BI1015" s="49">
        <v>2685.4491195855517</v>
      </c>
      <c r="BJ1015" s="49">
        <v>897.47903419834802</v>
      </c>
      <c r="BK1015" s="66">
        <v>4.9139844253294873E-2</v>
      </c>
      <c r="BL1015" s="66">
        <v>0.20640338160824134</v>
      </c>
      <c r="BM1015" s="51">
        <v>47.279033795520277</v>
      </c>
      <c r="BN1015" s="51">
        <v>15.800687221801903</v>
      </c>
      <c r="BO1015" s="136"/>
      <c r="BP1015" s="40"/>
      <c r="BQ1015" s="40"/>
      <c r="BR1015" s="67"/>
      <c r="BS1015" s="54"/>
      <c r="BT1015" s="3"/>
      <c r="BU1015" s="3"/>
      <c r="BV1015" s="3"/>
      <c r="BW1015" s="3"/>
      <c r="BX1015" s="70"/>
      <c r="BY1015" s="70"/>
      <c r="BZ1015" s="59"/>
      <c r="CA1015" s="59"/>
      <c r="CB1015" s="59"/>
      <c r="CC1015" s="59"/>
      <c r="CD1015" s="60"/>
      <c r="CE1015" s="60"/>
      <c r="CF1015" s="61"/>
      <c r="CG1015" s="61"/>
      <c r="CH1015" s="61"/>
      <c r="CI1015" s="41">
        <v>17.399999999999999</v>
      </c>
      <c r="CJ1015" s="40">
        <v>1560</v>
      </c>
      <c r="CK1015" s="3"/>
      <c r="CL1015" s="62"/>
      <c r="CM1015" s="63"/>
      <c r="CN1015" s="3"/>
      <c r="CO1015" s="3"/>
      <c r="CP1015" s="41">
        <f>_xlfn.MAXIFS([1]!phvny[age],[1]!phvny[id],paper3[[#This Row],[id]],[1]!phvny[time],paper3[[#This Row],[time]])</f>
        <v>15.422222222222222</v>
      </c>
      <c r="CQ1015" s="3"/>
      <c r="CR1015" s="40"/>
      <c r="CS1015" s="40"/>
      <c r="CT1015" s="40"/>
      <c r="CU1015" s="40"/>
      <c r="CV1015" s="40"/>
      <c r="CW1015" s="40"/>
      <c r="CX1015" s="40"/>
      <c r="CY1015" s="40"/>
    </row>
    <row r="1016" spans="1:103" ht="18.95" customHeight="1">
      <c r="A1016" s="3">
        <v>663</v>
      </c>
      <c r="B1016" s="92" t="s">
        <v>199</v>
      </c>
      <c r="C1016" s="3"/>
      <c r="D1016" s="3" t="s">
        <v>269</v>
      </c>
      <c r="E1016" s="39">
        <v>45610</v>
      </c>
      <c r="F1016" s="3" t="s">
        <v>106</v>
      </c>
      <c r="G1016" s="3" t="s">
        <v>122</v>
      </c>
      <c r="H1016" s="3">
        <v>2009</v>
      </c>
      <c r="I1016" s="40" t="s">
        <v>108</v>
      </c>
      <c r="J1016" s="40" t="s">
        <v>123</v>
      </c>
      <c r="K1016" s="3">
        <v>165</v>
      </c>
      <c r="L1016" s="3">
        <v>178</v>
      </c>
      <c r="M1016" s="3"/>
      <c r="N1016" s="3">
        <v>93.3</v>
      </c>
      <c r="O1016" s="3"/>
      <c r="P1016" s="3" t="s">
        <v>297</v>
      </c>
      <c r="Q1016" s="3">
        <v>63.2</v>
      </c>
      <c r="R1016" s="3">
        <v>63.2</v>
      </c>
      <c r="S1016" s="3"/>
      <c r="T1016" s="42">
        <v>178</v>
      </c>
      <c r="U1016" s="188">
        <v>93.3</v>
      </c>
      <c r="V1016" s="12">
        <f>paper3[[#This Row],[height]]-paper3[[#This Row],[sittingheight]]</f>
        <v>84.7</v>
      </c>
      <c r="W1016" s="73">
        <v>63.2</v>
      </c>
      <c r="X1016" s="43" cm="1">
        <f t="array" ref="X1016">INDEX([1]!phvny[yphv], MATCH(1, (paper3[[#This Row],[id]]=[1]!phvny[id])*(paper3[[#This Row],[time]]=[1]!phvny[time]), 0))</f>
        <v>1.8885989373227212</v>
      </c>
      <c r="Y1016" s="192">
        <v>1.5609999999999999</v>
      </c>
      <c r="Z1016" s="3">
        <v>2.8250000000000002</v>
      </c>
      <c r="AA1016" s="192">
        <v>4.0869999999999997</v>
      </c>
      <c r="AB1016" s="3">
        <v>1.536</v>
      </c>
      <c r="AC1016" s="3">
        <v>2.851</v>
      </c>
      <c r="AD1016" s="3">
        <v>4.0750000000000002</v>
      </c>
      <c r="AE1016" s="3">
        <v>1.5469999999999999</v>
      </c>
      <c r="AF1016" s="3">
        <v>2.875</v>
      </c>
      <c r="AG1016" s="3">
        <v>4.1130000000000004</v>
      </c>
      <c r="AH1016" s="194">
        <v>1.536</v>
      </c>
      <c r="AI1016" s="194">
        <v>2.8250000000000002</v>
      </c>
      <c r="AJ1016" s="194">
        <v>4.0750000000000002</v>
      </c>
      <c r="AK1016" s="130"/>
      <c r="AL1016" s="203">
        <v>9.84</v>
      </c>
      <c r="AM1016" s="203">
        <v>9.7200000000000006</v>
      </c>
      <c r="AN1016" s="3">
        <v>9.82</v>
      </c>
      <c r="AO1016" s="3">
        <v>9.6999999999999993</v>
      </c>
      <c r="AP1016" s="137">
        <v>9.6999999999999993</v>
      </c>
      <c r="AQ1016" s="132"/>
      <c r="AR1016" s="132"/>
      <c r="AS1016" s="3">
        <v>27.8</v>
      </c>
      <c r="AT1016" s="3">
        <v>27.4</v>
      </c>
      <c r="AU1016" s="3">
        <v>27.7</v>
      </c>
      <c r="AV1016" s="3"/>
      <c r="AW1016" s="192"/>
      <c r="AX1016" s="133">
        <v>27.8</v>
      </c>
      <c r="AY1016" s="195" t="s">
        <v>307</v>
      </c>
      <c r="AZ1016" s="40">
        <v>8</v>
      </c>
      <c r="BA1016" s="40"/>
      <c r="BB1016" s="40"/>
      <c r="BC1016" s="40"/>
      <c r="BD1016" s="135">
        <v>883.81944353869369</v>
      </c>
      <c r="BE1016" s="135">
        <v>923.64342179535856</v>
      </c>
      <c r="BF1016" s="40"/>
      <c r="BG1016" s="135">
        <v>467.78063579847719</v>
      </c>
      <c r="BH1016" s="135">
        <v>483.97678602111114</v>
      </c>
      <c r="BI1016" s="49">
        <v>1807.4628653340524</v>
      </c>
      <c r="BJ1016" s="49">
        <v>951.75742181958833</v>
      </c>
      <c r="BK1016" s="66">
        <v>-4.311618241080073E-2</v>
      </c>
      <c r="BL1016" s="66">
        <v>-3.3464725355499714E-2</v>
      </c>
      <c r="BM1016" s="51">
        <v>28.59909597047551</v>
      </c>
      <c r="BN1016" s="51">
        <v>15.05945287689222</v>
      </c>
      <c r="BO1016" s="136"/>
      <c r="BP1016" s="40"/>
      <c r="BQ1016" s="40"/>
      <c r="BR1016" s="67"/>
      <c r="BS1016" s="54"/>
      <c r="BT1016" s="3"/>
      <c r="BU1016" s="3"/>
      <c r="BV1016" s="3"/>
      <c r="BW1016" s="3"/>
      <c r="BX1016" s="70"/>
      <c r="BY1016" s="70"/>
      <c r="BZ1016" s="59"/>
      <c r="CA1016" s="59"/>
      <c r="CB1016" s="59"/>
      <c r="CC1016" s="59"/>
      <c r="CD1016" s="60"/>
      <c r="CE1016" s="60"/>
      <c r="CF1016" s="61"/>
      <c r="CG1016" s="61"/>
      <c r="CH1016" s="61"/>
      <c r="CI1016" s="41">
        <v>17.2</v>
      </c>
      <c r="CJ1016" s="40">
        <v>1480</v>
      </c>
      <c r="CK1016" s="3"/>
      <c r="CL1016" s="62"/>
      <c r="CM1016" s="63"/>
      <c r="CN1016" s="3"/>
      <c r="CO1016" s="3"/>
      <c r="CP1016" s="41">
        <f>_xlfn.MAXIFS([1]!phvny[age],[1]!phvny[id],paper3[[#This Row],[id]],[1]!phvny[time],paper3[[#This Row],[time]])</f>
        <v>15.347222222222221</v>
      </c>
      <c r="CQ1016" s="3"/>
      <c r="CR1016" s="40"/>
      <c r="CS1016" s="40"/>
      <c r="CT1016" s="40"/>
      <c r="CU1016" s="40"/>
      <c r="CV1016" s="40"/>
      <c r="CW1016" s="40"/>
      <c r="CX1016" s="40"/>
      <c r="CY1016" s="40"/>
    </row>
    <row r="1017" spans="1:103" ht="18.95" customHeight="1">
      <c r="A1017" s="3">
        <v>664</v>
      </c>
      <c r="B1017" s="92" t="s">
        <v>199</v>
      </c>
      <c r="C1017" s="3"/>
      <c r="D1017" s="3" t="s">
        <v>269</v>
      </c>
      <c r="E1017" s="39">
        <v>45610</v>
      </c>
      <c r="F1017" s="3" t="s">
        <v>106</v>
      </c>
      <c r="G1017" s="3" t="s">
        <v>122</v>
      </c>
      <c r="H1017" s="3">
        <v>2009</v>
      </c>
      <c r="I1017" s="40" t="s">
        <v>108</v>
      </c>
      <c r="J1017" s="40" t="s">
        <v>123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42" t="s">
        <v>110</v>
      </c>
      <c r="U1017" s="188" t="s">
        <v>110</v>
      </c>
      <c r="V1017" s="199" t="s">
        <v>110</v>
      </c>
      <c r="W1017" s="73" t="s">
        <v>110</v>
      </c>
      <c r="X1017" s="43"/>
      <c r="Y1017" s="192"/>
      <c r="Z1017" s="3"/>
      <c r="AA1017" s="192"/>
      <c r="AB1017" s="3"/>
      <c r="AC1017" s="3"/>
      <c r="AD1017" s="3"/>
      <c r="AE1017" s="3"/>
      <c r="AF1017" s="3"/>
      <c r="AG1017" s="3"/>
      <c r="AH1017" s="194"/>
      <c r="AI1017" s="194"/>
      <c r="AJ1017" s="194"/>
      <c r="AK1017" s="130"/>
      <c r="AL1017" s="203">
        <v>9.76</v>
      </c>
      <c r="AM1017" s="203">
        <v>9.9499999999999993</v>
      </c>
      <c r="AN1017" s="3">
        <v>10.220000000000001</v>
      </c>
      <c r="AO1017" s="3">
        <v>10.06</v>
      </c>
      <c r="AP1017" s="137">
        <v>9.76</v>
      </c>
      <c r="AQ1017" s="132"/>
      <c r="AR1017" s="132"/>
      <c r="AS1017" s="3"/>
      <c r="AT1017" s="3"/>
      <c r="AU1017" s="3"/>
      <c r="AV1017" s="3"/>
      <c r="AW1017" s="192"/>
      <c r="AX1017" s="133"/>
      <c r="AY1017" s="195"/>
      <c r="AZ1017" s="40"/>
      <c r="BA1017" s="40"/>
      <c r="BB1017" s="40"/>
      <c r="BC1017" s="40"/>
      <c r="BD1017" s="135" t="s">
        <v>110</v>
      </c>
      <c r="BE1017" s="135" t="s">
        <v>110</v>
      </c>
      <c r="BF1017" s="40"/>
      <c r="BG1017" s="135" t="s">
        <v>110</v>
      </c>
      <c r="BH1017" s="135" t="s">
        <v>110</v>
      </c>
      <c r="BI1017" s="49"/>
      <c r="BJ1017" s="49"/>
      <c r="BK1017" s="66"/>
      <c r="BL1017" s="66"/>
      <c r="BM1017" s="51" t="s">
        <v>110</v>
      </c>
      <c r="BN1017" s="51" t="s">
        <v>110</v>
      </c>
      <c r="BO1017" s="136"/>
      <c r="BP1017" s="40"/>
      <c r="BQ1017" s="40"/>
      <c r="BR1017" s="67"/>
      <c r="BS1017" s="54"/>
      <c r="BT1017" s="3"/>
      <c r="BU1017" s="3"/>
      <c r="BV1017" s="3"/>
      <c r="BW1017" s="3"/>
      <c r="BX1017" s="70"/>
      <c r="BY1017" s="70"/>
      <c r="BZ1017" s="59"/>
      <c r="CA1017" s="59"/>
      <c r="CB1017" s="59"/>
      <c r="CC1017" s="59"/>
      <c r="CD1017" s="60"/>
      <c r="CE1017" s="60"/>
      <c r="CF1017" s="61"/>
      <c r="CG1017" s="61"/>
      <c r="CH1017" s="61"/>
      <c r="CI1017" s="41">
        <v>17.100000000000001</v>
      </c>
      <c r="CJ1017" s="40">
        <v>1440</v>
      </c>
      <c r="CK1017" s="3"/>
      <c r="CL1017" s="62"/>
      <c r="CM1017" s="63"/>
      <c r="CN1017" s="3"/>
      <c r="CO1017" s="3"/>
      <c r="CP1017" s="41">
        <f>_xlfn.MAXIFS([1]!phvny[age],[1]!phvny[id],paper3[[#This Row],[id]],[1]!phvny[time],paper3[[#This Row],[time]])</f>
        <v>15.111111111111111</v>
      </c>
      <c r="CQ1017" s="3"/>
      <c r="CR1017" s="40"/>
      <c r="CS1017" s="40"/>
      <c r="CT1017" s="40"/>
      <c r="CU1017" s="40"/>
      <c r="CV1017" s="40"/>
      <c r="CW1017" s="40"/>
      <c r="CX1017" s="40"/>
      <c r="CY1017" s="40"/>
    </row>
    <row r="1018" spans="1:103" ht="18.95" customHeight="1">
      <c r="A1018" s="3">
        <v>665</v>
      </c>
      <c r="B1018" s="92" t="s">
        <v>199</v>
      </c>
      <c r="C1018" s="3"/>
      <c r="D1018" s="3" t="s">
        <v>269</v>
      </c>
      <c r="E1018" s="39">
        <v>45610</v>
      </c>
      <c r="F1018" s="3" t="s">
        <v>106</v>
      </c>
      <c r="G1018" s="3" t="s">
        <v>122</v>
      </c>
      <c r="H1018" s="3">
        <v>2009</v>
      </c>
      <c r="I1018" s="40" t="s">
        <v>108</v>
      </c>
      <c r="J1018" s="40" t="s">
        <v>123</v>
      </c>
      <c r="K1018" s="3">
        <v>186.5</v>
      </c>
      <c r="L1018" s="3">
        <v>186.5</v>
      </c>
      <c r="M1018" s="3"/>
      <c r="N1018" s="3">
        <v>96.7</v>
      </c>
      <c r="O1018" s="3"/>
      <c r="P1018" s="3" t="s">
        <v>314</v>
      </c>
      <c r="Q1018" s="3">
        <v>76.900000000000006</v>
      </c>
      <c r="R1018" s="3">
        <v>76.900000000000006</v>
      </c>
      <c r="S1018" s="3"/>
      <c r="T1018" s="42">
        <v>186.5</v>
      </c>
      <c r="U1018" s="188">
        <v>96.7</v>
      </c>
      <c r="V1018" s="12">
        <f>paper3[[#This Row],[height]]-paper3[[#This Row],[sittingheight]]</f>
        <v>89.8</v>
      </c>
      <c r="W1018" s="73">
        <v>76.900000000000006</v>
      </c>
      <c r="X1018" s="43" cm="1">
        <f t="array" ref="X1018">INDEX([1]!phvny[yphv], MATCH(1, (paper3[[#This Row],[id]]=[1]!phvny[id])*(paper3[[#This Row],[time]]=[1]!phvny[time]), 0))</f>
        <v>2.6529812797426278</v>
      </c>
      <c r="Y1018" s="192">
        <v>1.5680000000000001</v>
      </c>
      <c r="Z1018" s="3">
        <v>2.9060000000000001</v>
      </c>
      <c r="AA1018" s="192">
        <v>4.1630000000000003</v>
      </c>
      <c r="AB1018" s="3">
        <v>1.522</v>
      </c>
      <c r="AC1018" s="3">
        <v>2.92</v>
      </c>
      <c r="AD1018" s="3">
        <v>4.1849999999999996</v>
      </c>
      <c r="AE1018" s="3">
        <v>1.5720000000000001</v>
      </c>
      <c r="AF1018" s="3">
        <v>2.911</v>
      </c>
      <c r="AG1018" s="3">
        <v>4.1950000000000003</v>
      </c>
      <c r="AH1018" s="194">
        <v>1.522</v>
      </c>
      <c r="AI1018" s="194">
        <v>2.9060000000000001</v>
      </c>
      <c r="AJ1018" s="194">
        <v>4.1630000000000003</v>
      </c>
      <c r="AK1018" s="130"/>
      <c r="AL1018" s="203"/>
      <c r="AM1018" s="203"/>
      <c r="AN1018" s="3"/>
      <c r="AO1018" s="3"/>
      <c r="AP1018" s="137"/>
      <c r="AQ1018" s="132"/>
      <c r="AR1018" s="132"/>
      <c r="AS1018" s="3">
        <v>27.4</v>
      </c>
      <c r="AT1018" s="3">
        <v>27.2</v>
      </c>
      <c r="AU1018" s="3">
        <v>25.6</v>
      </c>
      <c r="AV1018" s="3"/>
      <c r="AW1018" s="192"/>
      <c r="AX1018" s="133">
        <v>27.4</v>
      </c>
      <c r="AY1018" s="195" t="s">
        <v>307</v>
      </c>
      <c r="AZ1018" s="40">
        <v>9</v>
      </c>
      <c r="BA1018" s="40"/>
      <c r="BB1018" s="40"/>
      <c r="BC1018" s="40"/>
      <c r="BD1018" s="135">
        <v>1245.9511840871473</v>
      </c>
      <c r="BE1018" s="135">
        <v>1212.5259215223643</v>
      </c>
      <c r="BF1018" s="40"/>
      <c r="BG1018" s="135">
        <v>623.04872123247901</v>
      </c>
      <c r="BH1018" s="135">
        <v>601.658487780001</v>
      </c>
      <c r="BI1018" s="49">
        <v>2458.4771056095115</v>
      </c>
      <c r="BJ1018" s="49">
        <v>1224.70720901248</v>
      </c>
      <c r="BK1018" s="66">
        <v>2.7566637522121296E-2</v>
      </c>
      <c r="BL1018" s="66">
        <v>3.5552117832499341E-2</v>
      </c>
      <c r="BM1018" s="51">
        <v>31.96979331091692</v>
      </c>
      <c r="BN1018" s="51">
        <v>15.925971508614824</v>
      </c>
      <c r="BO1018" s="136"/>
      <c r="BP1018" s="40"/>
      <c r="BQ1018" s="40"/>
      <c r="BR1018" s="67"/>
      <c r="BS1018" s="54"/>
      <c r="BT1018" s="3"/>
      <c r="BU1018" s="3"/>
      <c r="BV1018" s="3"/>
      <c r="BW1018" s="3"/>
      <c r="BX1018" s="70"/>
      <c r="BY1018" s="70"/>
      <c r="BZ1018" s="59"/>
      <c r="CA1018" s="59"/>
      <c r="CB1018" s="59"/>
      <c r="CC1018" s="59"/>
      <c r="CD1018" s="60"/>
      <c r="CE1018" s="60"/>
      <c r="CF1018" s="61"/>
      <c r="CG1018" s="61"/>
      <c r="CH1018" s="61"/>
      <c r="CI1018" s="41"/>
      <c r="CJ1018" s="40"/>
      <c r="CK1018" s="3"/>
      <c r="CL1018" s="62"/>
      <c r="CM1018" s="63"/>
      <c r="CN1018" s="3"/>
      <c r="CO1018" s="3"/>
      <c r="CP1018" s="41">
        <f>_xlfn.MAXIFS([1]!phvny[age],[1]!phvny[id],paper3[[#This Row],[id]],[1]!phvny[time],paper3[[#This Row],[time]])</f>
        <v>15.666666666666666</v>
      </c>
      <c r="CQ1018" s="3"/>
      <c r="CR1018" s="40"/>
      <c r="CS1018" s="40"/>
      <c r="CT1018" s="40"/>
      <c r="CU1018" s="40"/>
      <c r="CV1018" s="40"/>
      <c r="CW1018" s="40"/>
      <c r="CX1018" s="40"/>
      <c r="CY1018" s="40"/>
    </row>
    <row r="1019" spans="1:103" ht="18.95" customHeight="1">
      <c r="A1019" s="3">
        <v>668</v>
      </c>
      <c r="B1019" s="92" t="s">
        <v>199</v>
      </c>
      <c r="C1019" s="3" t="s">
        <v>104</v>
      </c>
      <c r="D1019" s="46" t="s">
        <v>269</v>
      </c>
      <c r="E1019" s="39">
        <v>45631</v>
      </c>
      <c r="F1019" s="3" t="s">
        <v>106</v>
      </c>
      <c r="G1019" s="3" t="s">
        <v>122</v>
      </c>
      <c r="H1019" s="3">
        <v>2007</v>
      </c>
      <c r="I1019" s="40" t="s">
        <v>116</v>
      </c>
      <c r="J1019" s="40" t="s">
        <v>157</v>
      </c>
      <c r="K1019" s="3">
        <v>185</v>
      </c>
      <c r="L1019" s="3">
        <v>185</v>
      </c>
      <c r="M1019" s="3"/>
      <c r="N1019" s="3">
        <v>94.2</v>
      </c>
      <c r="O1019" s="3"/>
      <c r="P1019" s="3" t="s">
        <v>315</v>
      </c>
      <c r="Q1019" s="3">
        <v>69.7</v>
      </c>
      <c r="R1019" s="3">
        <v>69.7</v>
      </c>
      <c r="S1019" s="3"/>
      <c r="T1019" s="42">
        <v>185</v>
      </c>
      <c r="U1019" s="188">
        <v>94.2</v>
      </c>
      <c r="V1019" s="12">
        <f>paper3[[#This Row],[height]]-paper3[[#This Row],[sittingheight]]</f>
        <v>90.8</v>
      </c>
      <c r="W1019" s="73">
        <v>69.7</v>
      </c>
      <c r="X1019" s="43" cm="1">
        <f t="array" ref="X1019">INDEX([1]!phvny[yphv], MATCH(1, (paper3[[#This Row],[id]]=[1]!phvny[id])*(paper3[[#This Row],[time]]=[1]!phvny[time]), 0))</f>
        <v>3.0940334967087089</v>
      </c>
      <c r="Y1019" s="192">
        <v>1.724</v>
      </c>
      <c r="Z1019" s="3">
        <v>3.11</v>
      </c>
      <c r="AA1019" s="192">
        <v>4.4260000000000002</v>
      </c>
      <c r="AB1019" s="3">
        <v>1.657</v>
      </c>
      <c r="AC1019" s="3">
        <v>3.032</v>
      </c>
      <c r="AD1019" s="3">
        <v>4.3390000000000004</v>
      </c>
      <c r="AE1019" s="3"/>
      <c r="AF1019" s="3"/>
      <c r="AG1019" s="3"/>
      <c r="AH1019" s="194">
        <v>1.657</v>
      </c>
      <c r="AI1019" s="194">
        <v>3.032</v>
      </c>
      <c r="AJ1019" s="194">
        <v>4.3390000000000004</v>
      </c>
      <c r="AK1019" s="130"/>
      <c r="AL1019" s="203"/>
      <c r="AM1019" s="203"/>
      <c r="AN1019" s="3"/>
      <c r="AO1019" s="3"/>
      <c r="AP1019" s="137"/>
      <c r="AQ1019" s="132"/>
      <c r="AR1019" s="132"/>
      <c r="AS1019" s="3">
        <v>27.5</v>
      </c>
      <c r="AT1019" s="3">
        <v>29.3</v>
      </c>
      <c r="AU1019" s="3">
        <v>27.8</v>
      </c>
      <c r="AV1019" s="3"/>
      <c r="AW1019" s="192"/>
      <c r="AX1019" s="133">
        <v>29.3</v>
      </c>
      <c r="AY1019" s="195" t="s">
        <v>316</v>
      </c>
      <c r="AZ1019" s="40">
        <v>9</v>
      </c>
      <c r="BA1019" s="40"/>
      <c r="BB1019" s="40"/>
      <c r="BC1019" s="40"/>
      <c r="BD1019" s="135">
        <v>1020.3663714106697</v>
      </c>
      <c r="BE1019" s="135">
        <v>1010.9233009267175</v>
      </c>
      <c r="BF1019" s="40"/>
      <c r="BG1019" s="135">
        <v>562.86734420182597</v>
      </c>
      <c r="BH1019" s="135">
        <v>494.06722270443117</v>
      </c>
      <c r="BI1019" s="49">
        <v>2031.2896723373872</v>
      </c>
      <c r="BJ1019" s="49">
        <v>1056.9345669062573</v>
      </c>
      <c r="BK1019" s="66">
        <v>9.3410355417622437E-3</v>
      </c>
      <c r="BL1019" s="66">
        <v>0.13925255174952889</v>
      </c>
      <c r="BM1019" s="51">
        <v>29.143323849890777</v>
      </c>
      <c r="BN1019" s="51">
        <v>15.1640540445661</v>
      </c>
      <c r="BO1019" s="136"/>
      <c r="BP1019" s="40"/>
      <c r="BQ1019" s="40"/>
      <c r="BR1019" s="67"/>
      <c r="BS1019" s="54"/>
      <c r="BT1019" s="3"/>
      <c r="BU1019" s="3"/>
      <c r="BV1019" s="3"/>
      <c r="BW1019" s="3"/>
      <c r="BX1019" s="70"/>
      <c r="BY1019" s="70"/>
      <c r="BZ1019" s="59"/>
      <c r="CA1019" s="59"/>
      <c r="CB1019" s="59"/>
      <c r="CC1019" s="59"/>
      <c r="CD1019" s="60"/>
      <c r="CE1019" s="60"/>
      <c r="CF1019" s="61"/>
      <c r="CG1019" s="61"/>
      <c r="CH1019" s="61"/>
      <c r="CI1019" s="41"/>
      <c r="CJ1019" s="40"/>
      <c r="CK1019" s="3"/>
      <c r="CL1019" s="62"/>
      <c r="CM1019" s="63"/>
      <c r="CN1019" s="3"/>
      <c r="CO1019" s="3"/>
      <c r="CP1019" s="41">
        <f>_xlfn.MAXIFS([1]!phvny[age],[1]!phvny[id],paper3[[#This Row],[id]],[1]!phvny[time],paper3[[#This Row],[time]])</f>
        <v>17.305555555555557</v>
      </c>
      <c r="CQ1019" s="3"/>
      <c r="CR1019" s="40"/>
      <c r="CS1019" s="40"/>
      <c r="CT1019" s="40"/>
      <c r="CU1019" s="40"/>
      <c r="CV1019" s="40"/>
      <c r="CW1019" s="40"/>
      <c r="CX1019" s="40"/>
      <c r="CY1019" s="40"/>
    </row>
    <row r="1020" spans="1:103" ht="18.95" customHeight="1">
      <c r="A1020" s="3">
        <v>669</v>
      </c>
      <c r="B1020" s="92" t="s">
        <v>199</v>
      </c>
      <c r="C1020" s="3" t="s">
        <v>104</v>
      </c>
      <c r="D1020" s="46" t="s">
        <v>269</v>
      </c>
      <c r="E1020" s="39">
        <v>45631</v>
      </c>
      <c r="F1020" s="3" t="s">
        <v>106</v>
      </c>
      <c r="G1020" s="3" t="s">
        <v>122</v>
      </c>
      <c r="H1020" s="3">
        <v>2007</v>
      </c>
      <c r="I1020" s="40" t="s">
        <v>116</v>
      </c>
      <c r="J1020" s="40" t="s">
        <v>157</v>
      </c>
      <c r="K1020" s="3">
        <v>193.6</v>
      </c>
      <c r="L1020" s="3">
        <v>193.6</v>
      </c>
      <c r="M1020" s="3"/>
      <c r="N1020" s="3">
        <v>100.7</v>
      </c>
      <c r="O1020" s="3"/>
      <c r="P1020" s="3" t="s">
        <v>317</v>
      </c>
      <c r="Q1020" s="3">
        <v>72.900000000000006</v>
      </c>
      <c r="R1020" s="3">
        <v>72.900000000000006</v>
      </c>
      <c r="S1020" s="3"/>
      <c r="T1020" s="42">
        <v>193.6</v>
      </c>
      <c r="U1020" s="188">
        <v>100.7</v>
      </c>
      <c r="V1020" s="12">
        <f>paper3[[#This Row],[height]]-paper3[[#This Row],[sittingheight]]</f>
        <v>92.899999999999991</v>
      </c>
      <c r="W1020" s="73">
        <v>72.900000000000006</v>
      </c>
      <c r="X1020" s="43" cm="1">
        <f t="array" ref="X1020">INDEX([1]!phvny[yphv], MATCH(1, (paper3[[#This Row],[id]]=[1]!phvny[id])*(paper3[[#This Row],[time]]=[1]!phvny[time]), 0))</f>
        <v>3.9554294310592297</v>
      </c>
      <c r="Y1020" s="192">
        <v>1.742</v>
      </c>
      <c r="Z1020" s="3">
        <v>3.1040000000000001</v>
      </c>
      <c r="AA1020" s="192">
        <v>4.4059999999999997</v>
      </c>
      <c r="AB1020" s="3">
        <v>1.7390000000000001</v>
      </c>
      <c r="AC1020" s="3">
        <v>3.1269999999999998</v>
      </c>
      <c r="AD1020" s="3">
        <v>4.4320000000000004</v>
      </c>
      <c r="AE1020" s="3"/>
      <c r="AF1020" s="3"/>
      <c r="AG1020" s="3"/>
      <c r="AH1020" s="194">
        <v>1.7390000000000001</v>
      </c>
      <c r="AI1020" s="194">
        <v>3.1040000000000001</v>
      </c>
      <c r="AJ1020" s="194">
        <v>4.4059999999999997</v>
      </c>
      <c r="AK1020" s="130"/>
      <c r="AL1020" s="203"/>
      <c r="AM1020" s="203"/>
      <c r="AN1020" s="3"/>
      <c r="AO1020" s="3"/>
      <c r="AP1020" s="137"/>
      <c r="AQ1020" s="132"/>
      <c r="AR1020" s="132"/>
      <c r="AS1020" s="3">
        <v>35.700000000000003</v>
      </c>
      <c r="AT1020" s="3">
        <v>33.700000000000003</v>
      </c>
      <c r="AU1020" s="3"/>
      <c r="AV1020" s="3"/>
      <c r="AW1020" s="192"/>
      <c r="AX1020" s="133">
        <v>35.700000000000003</v>
      </c>
      <c r="AY1020" s="195" t="s">
        <v>316</v>
      </c>
      <c r="AZ1020" s="40">
        <v>10</v>
      </c>
      <c r="BA1020" s="40"/>
      <c r="BB1020" s="40"/>
      <c r="BC1020" s="40"/>
      <c r="BD1020" s="135">
        <v>1040.7451455251594</v>
      </c>
      <c r="BE1020" s="135">
        <v>1043.3551527574407</v>
      </c>
      <c r="BF1020" s="40"/>
      <c r="BG1020" s="135">
        <v>611.71946807479128</v>
      </c>
      <c r="BH1020" s="135">
        <v>590.53985767145753</v>
      </c>
      <c r="BI1020" s="49">
        <v>2084.1002982826003</v>
      </c>
      <c r="BJ1020" s="49">
        <v>1202.2593257462488</v>
      </c>
      <c r="BK1020" s="66">
        <v>-2.5015520605647934E-3</v>
      </c>
      <c r="BL1020" s="66">
        <v>3.5864827967491575E-2</v>
      </c>
      <c r="BM1020" s="51">
        <v>28.588481457923184</v>
      </c>
      <c r="BN1020" s="51">
        <v>16.491897472513699</v>
      </c>
      <c r="BO1020" s="136"/>
      <c r="BP1020" s="40"/>
      <c r="BQ1020" s="40"/>
      <c r="BR1020" s="67"/>
      <c r="BS1020" s="54"/>
      <c r="BT1020" s="3"/>
      <c r="BU1020" s="3"/>
      <c r="BV1020" s="3"/>
      <c r="BW1020" s="3"/>
      <c r="BX1020" s="70"/>
      <c r="BY1020" s="70"/>
      <c r="BZ1020" s="59"/>
      <c r="CA1020" s="59"/>
      <c r="CB1020" s="59"/>
      <c r="CC1020" s="59"/>
      <c r="CD1020" s="60"/>
      <c r="CE1020" s="60"/>
      <c r="CF1020" s="61"/>
      <c r="CG1020" s="61"/>
      <c r="CH1020" s="61"/>
      <c r="CI1020" s="41"/>
      <c r="CJ1020" s="40"/>
      <c r="CK1020" s="3"/>
      <c r="CL1020" s="62"/>
      <c r="CM1020" s="63"/>
      <c r="CN1020" s="3"/>
      <c r="CO1020" s="3"/>
      <c r="CP1020" s="41">
        <f>_xlfn.MAXIFS([1]!phvny[age],[1]!phvny[id],paper3[[#This Row],[id]],[1]!phvny[time],paper3[[#This Row],[time]])</f>
        <v>17.119444444444444</v>
      </c>
      <c r="CQ1020" s="3"/>
      <c r="CR1020" s="40"/>
      <c r="CS1020" s="40"/>
      <c r="CT1020" s="40"/>
      <c r="CU1020" s="40"/>
      <c r="CV1020" s="40"/>
      <c r="CW1020" s="40"/>
      <c r="CX1020" s="40"/>
      <c r="CY1020" s="40"/>
    </row>
    <row r="1021" spans="1:103" ht="18.95" customHeight="1">
      <c r="A1021" s="3">
        <v>670</v>
      </c>
      <c r="B1021" s="92" t="s">
        <v>199</v>
      </c>
      <c r="C1021" s="3" t="s">
        <v>104</v>
      </c>
      <c r="D1021" s="46" t="s">
        <v>269</v>
      </c>
      <c r="E1021" s="39">
        <v>45631</v>
      </c>
      <c r="F1021" s="3" t="s">
        <v>106</v>
      </c>
      <c r="G1021" s="3" t="s">
        <v>122</v>
      </c>
      <c r="H1021" s="3">
        <v>2007</v>
      </c>
      <c r="I1021" s="40" t="s">
        <v>116</v>
      </c>
      <c r="J1021" s="40" t="s">
        <v>157</v>
      </c>
      <c r="K1021" s="3">
        <v>181</v>
      </c>
      <c r="L1021" s="3">
        <v>181</v>
      </c>
      <c r="M1021" s="3"/>
      <c r="N1021" s="3">
        <v>91.9</v>
      </c>
      <c r="O1021" s="3"/>
      <c r="P1021" s="3" t="s">
        <v>318</v>
      </c>
      <c r="Q1021" s="3">
        <v>65</v>
      </c>
      <c r="R1021" s="3">
        <v>65</v>
      </c>
      <c r="S1021" s="3"/>
      <c r="T1021" s="42">
        <v>181</v>
      </c>
      <c r="U1021" s="188">
        <v>91.9</v>
      </c>
      <c r="V1021" s="12">
        <f>paper3[[#This Row],[height]]-paper3[[#This Row],[sittingheight]]</f>
        <v>89.1</v>
      </c>
      <c r="W1021" s="73">
        <v>65</v>
      </c>
      <c r="X1021" s="43" cm="1">
        <f t="array" ref="X1021">INDEX([1]!phvny[yphv], MATCH(1, (paper3[[#This Row],[id]]=[1]!phvny[id])*(paper3[[#This Row],[time]]=[1]!phvny[time]), 0))</f>
        <v>2.5733984740963791</v>
      </c>
      <c r="Y1021" s="192">
        <v>1.7669999999999999</v>
      </c>
      <c r="Z1021" s="3">
        <v>3.2639999999999998</v>
      </c>
      <c r="AA1021" s="192">
        <v>4.6879999999999997</v>
      </c>
      <c r="AB1021" s="3">
        <v>1.742</v>
      </c>
      <c r="AC1021" s="3">
        <v>3.2210000000000001</v>
      </c>
      <c r="AD1021" s="3">
        <v>4.6710000000000003</v>
      </c>
      <c r="AE1021" s="3"/>
      <c r="AF1021" s="3"/>
      <c r="AG1021" s="3"/>
      <c r="AH1021" s="194">
        <v>1.742</v>
      </c>
      <c r="AI1021" s="194">
        <v>3.2210000000000001</v>
      </c>
      <c r="AJ1021" s="194">
        <v>4.6710000000000003</v>
      </c>
      <c r="AK1021" s="130"/>
      <c r="AL1021" s="203"/>
      <c r="AM1021" s="203"/>
      <c r="AN1021" s="3"/>
      <c r="AO1021" s="3"/>
      <c r="AP1021" s="137"/>
      <c r="AQ1021" s="132"/>
      <c r="AR1021" s="132"/>
      <c r="AS1021" s="3">
        <v>26</v>
      </c>
      <c r="AT1021" s="3">
        <v>26.1</v>
      </c>
      <c r="AU1021" s="3">
        <v>28.4</v>
      </c>
      <c r="AV1021" s="3"/>
      <c r="AW1021" s="192"/>
      <c r="AX1021" s="133">
        <v>28.4</v>
      </c>
      <c r="AY1021" s="195" t="s">
        <v>316</v>
      </c>
      <c r="AZ1021" s="40">
        <v>10</v>
      </c>
      <c r="BA1021" s="40"/>
      <c r="BB1021" s="40"/>
      <c r="BC1021" s="40"/>
      <c r="BD1021" s="135"/>
      <c r="BE1021" s="135"/>
      <c r="BF1021" s="40"/>
      <c r="BG1021" s="135">
        <v>418.24657456003109</v>
      </c>
      <c r="BH1021" s="135">
        <v>415.66933242747109</v>
      </c>
      <c r="BI1021" s="49"/>
      <c r="BJ1021" s="49">
        <v>833.91590698750224</v>
      </c>
      <c r="BK1021" s="66"/>
      <c r="BL1021" s="66">
        <v>6.2002219829622174E-3</v>
      </c>
      <c r="BM1021" s="51"/>
      <c r="BN1021" s="51">
        <v>12.829475492115419</v>
      </c>
      <c r="BO1021" s="136"/>
      <c r="BP1021" s="40"/>
      <c r="BQ1021" s="40"/>
      <c r="BR1021" s="67"/>
      <c r="BS1021" s="54"/>
      <c r="BT1021" s="3"/>
      <c r="BU1021" s="3"/>
      <c r="BV1021" s="3"/>
      <c r="BW1021" s="3"/>
      <c r="BX1021" s="70"/>
      <c r="BY1021" s="70"/>
      <c r="BZ1021" s="59"/>
      <c r="CA1021" s="59"/>
      <c r="CB1021" s="59"/>
      <c r="CC1021" s="59"/>
      <c r="CD1021" s="60"/>
      <c r="CE1021" s="60"/>
      <c r="CF1021" s="61"/>
      <c r="CG1021" s="61"/>
      <c r="CH1021" s="61"/>
      <c r="CI1021" s="41"/>
      <c r="CJ1021" s="40"/>
      <c r="CK1021" s="3"/>
      <c r="CL1021" s="62"/>
      <c r="CM1021" s="63"/>
      <c r="CN1021" s="3"/>
      <c r="CO1021" s="3"/>
      <c r="CP1021" s="41">
        <f>_xlfn.MAXIFS([1]!phvny[age],[1]!phvny[id],paper3[[#This Row],[id]],[1]!phvny[time],paper3[[#This Row],[time]])</f>
        <v>17.027777777777779</v>
      </c>
      <c r="CQ1021" s="3"/>
      <c r="CR1021" s="40"/>
      <c r="CS1021" s="40"/>
      <c r="CT1021" s="40"/>
      <c r="CU1021" s="40"/>
      <c r="CV1021" s="40"/>
      <c r="CW1021" s="40"/>
      <c r="CX1021" s="40"/>
      <c r="CY1021" s="40"/>
    </row>
    <row r="1022" spans="1:103" ht="18.75">
      <c r="A1022" s="3">
        <v>813</v>
      </c>
      <c r="B1022" s="92" t="s">
        <v>199</v>
      </c>
      <c r="C1022" s="3" t="s">
        <v>104</v>
      </c>
      <c r="D1022" s="46" t="s">
        <v>269</v>
      </c>
      <c r="E1022" s="39">
        <v>45803</v>
      </c>
      <c r="F1022" s="3" t="s">
        <v>186</v>
      </c>
      <c r="G1022" s="3" t="s">
        <v>107</v>
      </c>
      <c r="H1022" s="3">
        <v>2008</v>
      </c>
      <c r="I1022" s="40" t="str">
        <f t="shared" ref="I1022:I1027" si="17">RIGHT(J1022,3)</f>
        <v>U16</v>
      </c>
      <c r="J1022" s="40" t="s">
        <v>117</v>
      </c>
      <c r="K1022" s="3">
        <v>165.2</v>
      </c>
      <c r="L1022" s="3">
        <v>165.2</v>
      </c>
      <c r="M1022" s="3"/>
      <c r="N1022" s="3">
        <v>86.8</v>
      </c>
      <c r="O1022" s="3"/>
      <c r="P1022" s="3" t="s">
        <v>312</v>
      </c>
      <c r="Q1022" s="3">
        <v>65.7</v>
      </c>
      <c r="R1022" s="3">
        <v>65.7</v>
      </c>
      <c r="S1022" s="3"/>
      <c r="T1022" s="42">
        <v>165.2</v>
      </c>
      <c r="U1022" s="42">
        <v>86.8</v>
      </c>
      <c r="V1022" s="199">
        <f>paper3[[#This Row],[height]]-paper3[[#This Row],[sittingheight]]</f>
        <v>78.399999999999991</v>
      </c>
      <c r="W1022" s="73">
        <v>65.7</v>
      </c>
      <c r="X1022" s="43" cm="1">
        <f t="array" ref="X1022">INDEX([1]!phvny[yphv], MATCH(1, (paper3[[#This Row],[id]]=[1]!phvny[id])*(paper3[[#This Row],[time]]=[1]!phvny[time]), 0))</f>
        <v>3.2493477257325809</v>
      </c>
      <c r="Y1022" s="192">
        <v>1.8560000000000001</v>
      </c>
      <c r="Z1022" s="3">
        <v>3.35</v>
      </c>
      <c r="AA1022" s="192">
        <v>4.7919999999999998</v>
      </c>
      <c r="AB1022" s="3">
        <v>1.905</v>
      </c>
      <c r="AC1022" s="3">
        <v>3.4209999999999998</v>
      </c>
      <c r="AD1022" s="3">
        <v>4.8540000000000001</v>
      </c>
      <c r="AE1022" s="3">
        <v>1.829</v>
      </c>
      <c r="AF1022" s="3">
        <v>3.3180000000000001</v>
      </c>
      <c r="AG1022" s="3">
        <v>4.7759999999999998</v>
      </c>
      <c r="AH1022" s="194">
        <v>1.829</v>
      </c>
      <c r="AI1022" s="194">
        <v>3.3180000000000001</v>
      </c>
      <c r="AJ1022" s="194">
        <v>4.7759999999999998</v>
      </c>
      <c r="AK1022" s="130"/>
      <c r="AL1022" s="203">
        <v>10.93</v>
      </c>
      <c r="AM1022" s="203">
        <v>10.62</v>
      </c>
      <c r="AN1022" s="3">
        <v>10.9</v>
      </c>
      <c r="AO1022" s="3">
        <v>10.52</v>
      </c>
      <c r="AP1022" s="137"/>
      <c r="AQ1022" s="132">
        <v>10.62</v>
      </c>
      <c r="AR1022" s="132">
        <v>10.52</v>
      </c>
      <c r="AS1022" s="3">
        <v>21.7</v>
      </c>
      <c r="AT1022" s="3">
        <v>20.2</v>
      </c>
      <c r="AU1022" s="3">
        <v>19.100000000000001</v>
      </c>
      <c r="AV1022" s="3"/>
      <c r="AW1022" s="192"/>
      <c r="AX1022" s="133">
        <v>21.7</v>
      </c>
      <c r="AY1022" s="195" t="s">
        <v>307</v>
      </c>
      <c r="AZ1022" s="40">
        <v>8</v>
      </c>
      <c r="BA1022" s="40"/>
      <c r="BB1022" s="40"/>
      <c r="BC1022" s="40"/>
      <c r="BD1022" s="135">
        <v>1083.0364809432781</v>
      </c>
      <c r="BE1022" s="135">
        <v>1132.8048516386916</v>
      </c>
      <c r="BF1022" s="40"/>
      <c r="BG1022" s="213">
        <v>497.64059994563195</v>
      </c>
      <c r="BH1022" s="135">
        <v>510.27992583416881</v>
      </c>
      <c r="BI1022" s="49">
        <f>IFERROR(SUM(paper3[[#This Row],[Kraft ikke-dominant]:[Kraft dominant]]),"")</f>
        <v>2215.8413325819697</v>
      </c>
      <c r="BJ1022" s="49">
        <f>IFERROR(SUM(paper3[[#This Row],[Pwr ikke-dominant]:[Pwr dominant]]),"")</f>
        <v>1007.9205257798008</v>
      </c>
      <c r="BK1022" s="66"/>
      <c r="BL1022" s="66"/>
      <c r="BM1022" s="51">
        <f>IFERROR(paper3[[#This Row],[totforce]]/paper3[[#This Row],[bodymass]],"")</f>
        <v>33.726656508096951</v>
      </c>
      <c r="BN1022" s="51">
        <f>IFERROR(paper3[[#This Row],[totpwr]]/paper3[[#This Row],[bodymass]],"")</f>
        <v>15.341256100149174</v>
      </c>
      <c r="BO1022" s="136"/>
      <c r="BP1022" s="40"/>
      <c r="BQ1022" s="40"/>
      <c r="BR1022" s="67"/>
      <c r="BS1022" s="54"/>
      <c r="BT1022" s="3"/>
      <c r="BU1022" s="3"/>
      <c r="BV1022" s="3"/>
      <c r="BW1022" s="3"/>
      <c r="BX1022" s="70"/>
      <c r="BY1022" s="70"/>
      <c r="BZ1022" s="59"/>
      <c r="CA1022" s="59"/>
      <c r="CB1022" s="59"/>
      <c r="CC1022" s="59"/>
      <c r="CD1022" s="60"/>
      <c r="CE1022" s="60"/>
      <c r="CF1022" s="61"/>
      <c r="CG1022" s="61"/>
      <c r="CH1022" s="61"/>
      <c r="CI1022" s="41">
        <v>14.2</v>
      </c>
      <c r="CJ1022" s="40">
        <f t="shared" ref="CJ1022:CJ1023" si="18">VLOOKUP(CI1022,$DB:$DC,2)</f>
        <v>520</v>
      </c>
      <c r="CK1022" s="3"/>
      <c r="CL1022" s="62"/>
      <c r="CM1022" s="63"/>
      <c r="CN1022" s="3"/>
      <c r="CO1022" s="3"/>
      <c r="CP1022" s="41">
        <f>_xlfn.MAXIFS([1]!phvny[age],[1]!phvny[id],paper3[[#This Row],[id]],[1]!phvny[time],paper3[[#This Row],[time]])</f>
        <v>16.411111111111111</v>
      </c>
      <c r="CQ1022" s="3"/>
      <c r="CR1022" s="40"/>
      <c r="CS1022" s="40"/>
      <c r="CT1022" s="40"/>
      <c r="CU1022" s="40"/>
      <c r="CV1022" s="40"/>
      <c r="CW1022" s="40"/>
      <c r="CX1022" s="40"/>
      <c r="CY1022" s="40"/>
    </row>
    <row r="1023" spans="1:103" ht="18.95" customHeight="1">
      <c r="A1023" s="3">
        <v>818</v>
      </c>
      <c r="B1023" s="92" t="s">
        <v>199</v>
      </c>
      <c r="C1023" s="3" t="s">
        <v>104</v>
      </c>
      <c r="D1023" s="46" t="s">
        <v>269</v>
      </c>
      <c r="E1023" s="39">
        <v>45803</v>
      </c>
      <c r="F1023" s="3" t="s">
        <v>186</v>
      </c>
      <c r="G1023" s="3" t="s">
        <v>107</v>
      </c>
      <c r="H1023" s="3">
        <v>2008</v>
      </c>
      <c r="I1023" s="40" t="str">
        <f t="shared" si="17"/>
        <v>U16</v>
      </c>
      <c r="J1023" s="40" t="s">
        <v>117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42"/>
      <c r="U1023" s="42"/>
      <c r="V1023" s="199"/>
      <c r="W1023" s="73"/>
      <c r="X1023" s="214"/>
      <c r="Y1023" s="192"/>
      <c r="Z1023" s="3"/>
      <c r="AA1023" s="192"/>
      <c r="AB1023" s="3"/>
      <c r="AC1023" s="3"/>
      <c r="AD1023" s="3"/>
      <c r="AE1023" s="3"/>
      <c r="AF1023" s="3"/>
      <c r="AG1023" s="3"/>
      <c r="AH1023" s="194"/>
      <c r="AI1023" s="194"/>
      <c r="AJ1023" s="194"/>
      <c r="AK1023" s="130"/>
      <c r="AL1023" s="203">
        <v>9.4600000000000009</v>
      </c>
      <c r="AM1023" s="203">
        <v>9.44</v>
      </c>
      <c r="AN1023" s="3">
        <v>9.98</v>
      </c>
      <c r="AO1023" s="3">
        <v>9.84</v>
      </c>
      <c r="AP1023" s="137"/>
      <c r="AQ1023" s="132">
        <v>9.44</v>
      </c>
      <c r="AR1023" s="132">
        <v>9.84</v>
      </c>
      <c r="AS1023" s="3"/>
      <c r="AT1023" s="3"/>
      <c r="AU1023" s="3"/>
      <c r="AV1023" s="3"/>
      <c r="AW1023" s="192"/>
      <c r="AX1023" s="133"/>
      <c r="AY1023" s="195"/>
      <c r="AZ1023" s="40"/>
      <c r="BA1023" s="40"/>
      <c r="BB1023" s="40"/>
      <c r="BC1023" s="40"/>
      <c r="BD1023" s="135"/>
      <c r="BE1023" s="135"/>
      <c r="BF1023" s="40"/>
      <c r="BG1023" s="213"/>
      <c r="BH1023" s="135"/>
      <c r="BI1023" s="49"/>
      <c r="BJ1023" s="49"/>
      <c r="BK1023" s="66"/>
      <c r="BL1023" s="66"/>
      <c r="BM1023" s="51"/>
      <c r="BN1023" s="51"/>
      <c r="BO1023" s="136"/>
      <c r="BP1023" s="40"/>
      <c r="BQ1023" s="40"/>
      <c r="BR1023" s="67"/>
      <c r="BS1023" s="54"/>
      <c r="BT1023" s="3"/>
      <c r="BU1023" s="3"/>
      <c r="BV1023" s="3"/>
      <c r="BW1023" s="3"/>
      <c r="BX1023" s="70"/>
      <c r="BY1023" s="70"/>
      <c r="BZ1023" s="59"/>
      <c r="CA1023" s="59"/>
      <c r="CB1023" s="59"/>
      <c r="CC1023" s="59"/>
      <c r="CD1023" s="60"/>
      <c r="CE1023" s="60"/>
      <c r="CF1023" s="61"/>
      <c r="CG1023" s="61"/>
      <c r="CH1023" s="61"/>
      <c r="CI1023" s="41">
        <v>14.2</v>
      </c>
      <c r="CJ1023" s="40">
        <f t="shared" si="18"/>
        <v>520</v>
      </c>
      <c r="CK1023" s="3"/>
      <c r="CL1023" s="62"/>
      <c r="CM1023" s="63"/>
      <c r="CN1023" s="3"/>
      <c r="CO1023" s="3"/>
      <c r="CP1023" s="41"/>
      <c r="CQ1023" s="3"/>
      <c r="CR1023" s="40"/>
      <c r="CS1023" s="40"/>
      <c r="CT1023" s="40"/>
      <c r="CU1023" s="40"/>
      <c r="CV1023" s="40"/>
      <c r="CW1023" s="40"/>
      <c r="CX1023" s="40"/>
      <c r="CY1023" s="40"/>
    </row>
    <row r="1024" spans="1:103" ht="18.95" customHeight="1">
      <c r="A1024" s="3">
        <v>819</v>
      </c>
      <c r="B1024" s="92" t="s">
        <v>199</v>
      </c>
      <c r="C1024" s="3" t="s">
        <v>104</v>
      </c>
      <c r="D1024" s="46" t="s">
        <v>269</v>
      </c>
      <c r="E1024" s="39">
        <v>45803</v>
      </c>
      <c r="F1024" s="3" t="s">
        <v>186</v>
      </c>
      <c r="G1024" s="3" t="s">
        <v>107</v>
      </c>
      <c r="H1024" s="3">
        <v>2008</v>
      </c>
      <c r="I1024" s="40" t="str">
        <f t="shared" si="17"/>
        <v>U16</v>
      </c>
      <c r="J1024" s="40" t="s">
        <v>117</v>
      </c>
      <c r="K1024" s="3">
        <v>164.3</v>
      </c>
      <c r="L1024" s="3">
        <v>164.5</v>
      </c>
      <c r="M1024" s="3"/>
      <c r="N1024" s="3">
        <v>87.3</v>
      </c>
      <c r="O1024" s="3"/>
      <c r="P1024" s="3" t="s">
        <v>319</v>
      </c>
      <c r="Q1024" s="3">
        <v>55.3</v>
      </c>
      <c r="R1024" s="3">
        <v>55.3</v>
      </c>
      <c r="S1024" s="3"/>
      <c r="T1024" s="42">
        <v>164.4</v>
      </c>
      <c r="U1024" s="42">
        <v>87.3</v>
      </c>
      <c r="V1024" s="199">
        <f>paper3[[#This Row],[height]]-paper3[[#This Row],[sittingheight]]</f>
        <v>77.100000000000009</v>
      </c>
      <c r="W1024" s="73">
        <v>55.3</v>
      </c>
      <c r="X1024" s="43" cm="1">
        <f t="array" ref="X1024">INDEX([1]!phvny[yphv], MATCH(1, (paper3[[#This Row],[id]]=[1]!phvny[id])*(paper3[[#This Row],[time]]=[1]!phvny[time]), 0))</f>
        <v>3.3780067146131394</v>
      </c>
      <c r="Y1024" s="192">
        <v>1.9450000000000001</v>
      </c>
      <c r="Z1024" s="3">
        <v>3.5390000000000001</v>
      </c>
      <c r="AA1024" s="192">
        <v>5.0940000000000003</v>
      </c>
      <c r="AB1024" s="3">
        <v>1.9550000000000001</v>
      </c>
      <c r="AC1024" s="3">
        <v>3.5710000000000002</v>
      </c>
      <c r="AD1024" s="3">
        <v>5.1379999999999999</v>
      </c>
      <c r="AE1024" s="3">
        <v>1.885</v>
      </c>
      <c r="AF1024" s="3">
        <v>3.4590000000000001</v>
      </c>
      <c r="AG1024" s="3">
        <v>5.008</v>
      </c>
      <c r="AH1024" s="194">
        <v>1.885</v>
      </c>
      <c r="AI1024" s="194">
        <v>3.4590000000000001</v>
      </c>
      <c r="AJ1024" s="194">
        <v>5.008</v>
      </c>
      <c r="AK1024" s="130"/>
      <c r="AL1024" s="203"/>
      <c r="AM1024" s="203"/>
      <c r="AN1024" s="3"/>
      <c r="AO1024" s="3"/>
      <c r="AP1024" s="137"/>
      <c r="AQ1024" s="132"/>
      <c r="AR1024" s="132"/>
      <c r="AS1024" s="3">
        <v>20.8</v>
      </c>
      <c r="AT1024" s="3">
        <v>19.3</v>
      </c>
      <c r="AU1024" s="3">
        <v>20.399999999999999</v>
      </c>
      <c r="AV1024" s="3"/>
      <c r="AW1024" s="192"/>
      <c r="AX1024" s="133">
        <v>20.8</v>
      </c>
      <c r="AY1024" s="195" t="s">
        <v>307</v>
      </c>
      <c r="AZ1024" s="40">
        <v>8</v>
      </c>
      <c r="BA1024" s="40"/>
      <c r="BB1024" s="40"/>
      <c r="BC1024" s="40"/>
      <c r="BD1024" s="135">
        <v>951.78590058746079</v>
      </c>
      <c r="BE1024" s="135">
        <v>955.59482574978233</v>
      </c>
      <c r="BF1024" s="40"/>
      <c r="BG1024" s="213">
        <v>389.42435731991895</v>
      </c>
      <c r="BH1024" s="135">
        <v>399.74149662297617</v>
      </c>
      <c r="BI1024" s="49">
        <f>IFERROR(SUM(paper3[[#This Row],[Kraft ikke-dominant]:[Kraft dominant]]),"")</f>
        <v>1907.3807263372432</v>
      </c>
      <c r="BJ1024" s="49">
        <f>IFERROR(SUM(paper3[[#This Row],[Pwr ikke-dominant]:[Pwr dominant]]),"")</f>
        <v>789.16585394289518</v>
      </c>
      <c r="BK1024" s="66"/>
      <c r="BL1024" s="66"/>
      <c r="BM1024" s="51">
        <f>IFERROR(paper3[[#This Row],[totforce]]/paper3[[#This Row],[bodymass]],"")</f>
        <v>34.491514038648162</v>
      </c>
      <c r="BN1024" s="51">
        <f>IFERROR(paper3[[#This Row],[totpwr]]/paper3[[#This Row],[bodymass]],"")</f>
        <v>14.270630270215104</v>
      </c>
      <c r="BO1024" s="136"/>
      <c r="BP1024" s="40"/>
      <c r="BQ1024" s="40"/>
      <c r="BR1024" s="67"/>
      <c r="BS1024" s="54"/>
      <c r="BT1024" s="3"/>
      <c r="BU1024" s="3"/>
      <c r="BV1024" s="3"/>
      <c r="BW1024" s="3"/>
      <c r="BX1024" s="70"/>
      <c r="BY1024" s="70"/>
      <c r="BZ1024" s="59"/>
      <c r="CA1024" s="59"/>
      <c r="CB1024" s="59"/>
      <c r="CC1024" s="59"/>
      <c r="CD1024" s="60"/>
      <c r="CE1024" s="60"/>
      <c r="CF1024" s="61"/>
      <c r="CG1024" s="61"/>
      <c r="CH1024" s="61"/>
      <c r="CI1024" s="41"/>
      <c r="CJ1024" s="40"/>
      <c r="CK1024" s="3"/>
      <c r="CL1024" s="62"/>
      <c r="CM1024" s="63"/>
      <c r="CN1024" s="3"/>
      <c r="CO1024" s="3"/>
      <c r="CP1024" s="41">
        <f>_xlfn.MAXIFS([1]!phvny[age],[1]!phvny[id],paper3[[#This Row],[id]],[1]!phvny[time],paper3[[#This Row],[time]])</f>
        <v>16.711111111111112</v>
      </c>
      <c r="CQ1024" s="3"/>
      <c r="CR1024" s="40"/>
      <c r="CS1024" s="40"/>
      <c r="CT1024" s="40"/>
      <c r="CU1024" s="40"/>
      <c r="CV1024" s="40"/>
      <c r="CW1024" s="40"/>
      <c r="CX1024" s="40"/>
      <c r="CY1024" s="40"/>
    </row>
    <row r="1025" spans="1:103" ht="18.95" customHeight="1">
      <c r="A1025" s="3">
        <v>823</v>
      </c>
      <c r="B1025" s="92" t="s">
        <v>199</v>
      </c>
      <c r="C1025" s="3" t="s">
        <v>104</v>
      </c>
      <c r="D1025" s="46" t="s">
        <v>269</v>
      </c>
      <c r="E1025" s="39">
        <v>45803</v>
      </c>
      <c r="F1025" s="3" t="s">
        <v>186</v>
      </c>
      <c r="G1025" s="3" t="s">
        <v>107</v>
      </c>
      <c r="H1025" s="3">
        <v>2008</v>
      </c>
      <c r="I1025" s="40" t="str">
        <f t="shared" si="17"/>
        <v>U16</v>
      </c>
      <c r="J1025" s="40" t="s">
        <v>117</v>
      </c>
      <c r="K1025" s="3">
        <v>174.1</v>
      </c>
      <c r="L1025" s="3">
        <v>174.1</v>
      </c>
      <c r="M1025" s="3"/>
      <c r="N1025" s="3">
        <v>91.3</v>
      </c>
      <c r="O1025" s="3"/>
      <c r="P1025" s="3" t="s">
        <v>320</v>
      </c>
      <c r="Q1025" s="3">
        <v>76</v>
      </c>
      <c r="R1025" s="3">
        <v>76</v>
      </c>
      <c r="S1025" s="3"/>
      <c r="T1025" s="42">
        <v>174.1</v>
      </c>
      <c r="U1025" s="42">
        <v>91.3</v>
      </c>
      <c r="V1025" s="199">
        <f>paper3[[#This Row],[height]]-paper3[[#This Row],[sittingheight]]</f>
        <v>82.8</v>
      </c>
      <c r="W1025" s="73">
        <v>76</v>
      </c>
      <c r="X1025" s="43" cm="1">
        <f t="array" ref="X1025">INDEX([1]!phvny[yphv], MATCH(1, (paper3[[#This Row],[id]]=[1]!phvny[id])*(paper3[[#This Row],[time]]=[1]!phvny[time]), 0))</f>
        <v>4.2859596306139185</v>
      </c>
      <c r="Y1025" s="192">
        <v>1.802</v>
      </c>
      <c r="Z1025" s="3">
        <v>3.411</v>
      </c>
      <c r="AA1025" s="192">
        <v>4.992</v>
      </c>
      <c r="AB1025" s="3">
        <v>1.8149999999999999</v>
      </c>
      <c r="AC1025" s="3">
        <v>3.4390000000000001</v>
      </c>
      <c r="AD1025" s="3">
        <v>5.032</v>
      </c>
      <c r="AE1025" s="3">
        <v>1.766</v>
      </c>
      <c r="AF1025" s="3">
        <v>3.3679999999999999</v>
      </c>
      <c r="AG1025" s="3">
        <v>4.9619999999999997</v>
      </c>
      <c r="AH1025" s="194">
        <v>1.766</v>
      </c>
      <c r="AI1025" s="194">
        <v>3.3679999999999999</v>
      </c>
      <c r="AJ1025" s="194">
        <v>4.9619999999999997</v>
      </c>
      <c r="AK1025" s="130"/>
      <c r="AL1025" s="203">
        <v>10.07</v>
      </c>
      <c r="AM1025" s="203">
        <v>10</v>
      </c>
      <c r="AN1025" s="3">
        <v>10.69</v>
      </c>
      <c r="AO1025" s="3">
        <v>10.5</v>
      </c>
      <c r="AP1025" s="137"/>
      <c r="AQ1025" s="132">
        <v>10</v>
      </c>
      <c r="AR1025" s="132">
        <v>10.5</v>
      </c>
      <c r="AS1025" s="3">
        <v>25.7</v>
      </c>
      <c r="AT1025" s="3">
        <v>18.899999999999999</v>
      </c>
      <c r="AU1025" s="3">
        <v>21.6</v>
      </c>
      <c r="AV1025" s="3"/>
      <c r="AW1025" s="192"/>
      <c r="AX1025" s="133">
        <v>25.7</v>
      </c>
      <c r="AY1025" s="195" t="s">
        <v>307</v>
      </c>
      <c r="AZ1025" s="40">
        <v>8</v>
      </c>
      <c r="BA1025" s="40"/>
      <c r="BB1025" s="40"/>
      <c r="BC1025" s="40"/>
      <c r="BD1025" s="135">
        <v>1043.7331749862442</v>
      </c>
      <c r="BE1025" s="135">
        <v>1020.8316031728795</v>
      </c>
      <c r="BF1025" s="40"/>
      <c r="BG1025" s="213">
        <v>543.18563333262352</v>
      </c>
      <c r="BH1025" s="135">
        <v>584.11490461582935</v>
      </c>
      <c r="BI1025" s="49">
        <f>IFERROR(SUM(paper3[[#This Row],[Kraft ikke-dominant]:[Kraft dominant]]),"")</f>
        <v>2064.5647781591238</v>
      </c>
      <c r="BJ1025" s="49">
        <f>IFERROR(SUM(paper3[[#This Row],[Pwr ikke-dominant]:[Pwr dominant]]),"")</f>
        <v>1127.300537948453</v>
      </c>
      <c r="BK1025" s="66"/>
      <c r="BL1025" s="66"/>
      <c r="BM1025" s="51">
        <f>IFERROR(paper3[[#This Row],[totforce]]/paper3[[#This Row],[bodymass]],"")</f>
        <v>27.165326028409524</v>
      </c>
      <c r="BN1025" s="51">
        <f>IFERROR(paper3[[#This Row],[totpwr]]/paper3[[#This Row],[bodymass]],"")</f>
        <v>14.832901815111223</v>
      </c>
      <c r="BO1025" s="136"/>
      <c r="BP1025" s="40"/>
      <c r="BQ1025" s="40"/>
      <c r="BR1025" s="67"/>
      <c r="BS1025" s="54"/>
      <c r="BT1025" s="3"/>
      <c r="BU1025" s="3"/>
      <c r="BV1025" s="3"/>
      <c r="BW1025" s="3"/>
      <c r="BX1025" s="70"/>
      <c r="BY1025" s="70"/>
      <c r="BZ1025" s="59"/>
      <c r="CA1025" s="59"/>
      <c r="CB1025" s="59"/>
      <c r="CC1025" s="59"/>
      <c r="CD1025" s="60"/>
      <c r="CE1025" s="60"/>
      <c r="CF1025" s="61"/>
      <c r="CG1025" s="61"/>
      <c r="CH1025" s="61"/>
      <c r="CI1025" s="41">
        <v>14.5</v>
      </c>
      <c r="CJ1025" s="40">
        <f>VLOOKUP(CI1025,$DB:$DC,2)</f>
        <v>640</v>
      </c>
      <c r="CK1025" s="3"/>
      <c r="CL1025" s="62"/>
      <c r="CM1025" s="63"/>
      <c r="CN1025" s="3"/>
      <c r="CO1025" s="3"/>
      <c r="CP1025" s="41">
        <f>_xlfn.MAXIFS([1]!phvny[age],[1]!phvny[id],paper3[[#This Row],[id]],[1]!phvny[time],paper3[[#This Row],[time]])</f>
        <v>17.297222222222221</v>
      </c>
      <c r="CQ1025" s="3"/>
      <c r="CR1025" s="40"/>
      <c r="CS1025" s="40"/>
      <c r="CT1025" s="40"/>
      <c r="CU1025" s="40"/>
      <c r="CV1025" s="40"/>
      <c r="CW1025" s="40"/>
      <c r="CX1025" s="40"/>
      <c r="CY1025" s="40"/>
    </row>
    <row r="1026" spans="1:103" ht="18.95" customHeight="1">
      <c r="A1026" s="3">
        <v>829</v>
      </c>
      <c r="B1026" s="92" t="s">
        <v>199</v>
      </c>
      <c r="C1026" s="3" t="s">
        <v>104</v>
      </c>
      <c r="D1026" s="46" t="s">
        <v>269</v>
      </c>
      <c r="E1026" s="39">
        <v>45803</v>
      </c>
      <c r="F1026" s="3" t="s">
        <v>186</v>
      </c>
      <c r="G1026" s="3" t="s">
        <v>107</v>
      </c>
      <c r="H1026" s="3">
        <v>2008</v>
      </c>
      <c r="I1026" s="40" t="str">
        <f t="shared" si="17"/>
        <v>U16</v>
      </c>
      <c r="J1026" s="40" t="s">
        <v>117</v>
      </c>
      <c r="K1026" s="3">
        <v>179.6</v>
      </c>
      <c r="L1026" s="3">
        <v>179.6</v>
      </c>
      <c r="M1026" s="3"/>
      <c r="N1026" s="3">
        <v>96.3</v>
      </c>
      <c r="O1026" s="3"/>
      <c r="P1026" s="3" t="s">
        <v>304</v>
      </c>
      <c r="Q1026" s="3">
        <v>78.5</v>
      </c>
      <c r="R1026" s="3">
        <v>78.5</v>
      </c>
      <c r="S1026" s="3"/>
      <c r="T1026" s="42">
        <v>179.6</v>
      </c>
      <c r="U1026" s="42">
        <v>96.3</v>
      </c>
      <c r="V1026" s="199">
        <f>paper3[[#This Row],[height]]-paper3[[#This Row],[sittingheight]]</f>
        <v>83.3</v>
      </c>
      <c r="W1026" s="73">
        <v>78.5</v>
      </c>
      <c r="X1026" s="43" cm="1">
        <f t="array" ref="X1026">INDEX([1]!phvny[yphv], MATCH(1, (paper3[[#This Row],[id]]=[1]!phvny[id])*(paper3[[#This Row],[time]]=[1]!phvny[time]), 0))</f>
        <v>4.420909390654046</v>
      </c>
      <c r="Y1026" s="192">
        <v>1.829</v>
      </c>
      <c r="Z1026" s="3">
        <v>3.38</v>
      </c>
      <c r="AA1026" s="192">
        <v>4.82</v>
      </c>
      <c r="AB1026" s="3">
        <v>1.87</v>
      </c>
      <c r="AC1026" s="3">
        <v>3.4220000000000002</v>
      </c>
      <c r="AD1026" s="3">
        <v>4.8970000000000002</v>
      </c>
      <c r="AE1026" s="3">
        <v>1.81</v>
      </c>
      <c r="AF1026" s="3">
        <v>3.3130000000000002</v>
      </c>
      <c r="AG1026" s="3">
        <v>4.7569999999999997</v>
      </c>
      <c r="AH1026" s="194">
        <v>1.81</v>
      </c>
      <c r="AI1026" s="194">
        <v>3.3130000000000002</v>
      </c>
      <c r="AJ1026" s="194">
        <v>4.7569999999999997</v>
      </c>
      <c r="AK1026" s="130"/>
      <c r="AL1026" s="203">
        <v>10.16</v>
      </c>
      <c r="AM1026" s="203">
        <v>10.19</v>
      </c>
      <c r="AN1026" s="3">
        <v>10.48</v>
      </c>
      <c r="AO1026" s="3">
        <v>10.44</v>
      </c>
      <c r="AP1026" s="137"/>
      <c r="AQ1026" s="132">
        <v>10.16</v>
      </c>
      <c r="AR1026" s="132">
        <v>10.44</v>
      </c>
      <c r="AS1026" s="3">
        <v>20.2</v>
      </c>
      <c r="AT1026" s="3">
        <v>20.100000000000001</v>
      </c>
      <c r="AU1026" s="3">
        <v>21.8</v>
      </c>
      <c r="AV1026" s="3"/>
      <c r="AW1026" s="192"/>
      <c r="AX1026" s="133">
        <v>21.8</v>
      </c>
      <c r="AY1026" s="195" t="s">
        <v>307</v>
      </c>
      <c r="AZ1026" s="40">
        <v>8</v>
      </c>
      <c r="BA1026" s="40"/>
      <c r="BB1026" s="40"/>
      <c r="BC1026" s="40"/>
      <c r="BD1026" s="135">
        <v>1129.8917506859859</v>
      </c>
      <c r="BE1026" s="135">
        <v>1061.5713246114319</v>
      </c>
      <c r="BF1026" s="40"/>
      <c r="BG1026" s="213">
        <v>529.98439053111542</v>
      </c>
      <c r="BH1026" s="135">
        <v>478.4098110456552</v>
      </c>
      <c r="BI1026" s="49">
        <f>IFERROR(SUM(paper3[[#This Row],[Kraft ikke-dominant]:[Kraft dominant]]),"")</f>
        <v>2191.4630752974181</v>
      </c>
      <c r="BJ1026" s="49">
        <f>IFERROR(SUM(paper3[[#This Row],[Pwr ikke-dominant]:[Pwr dominant]]),"")</f>
        <v>1008.3942015767707</v>
      </c>
      <c r="BK1026" s="66"/>
      <c r="BL1026" s="66"/>
      <c r="BM1026" s="51">
        <f>IFERROR(paper3[[#This Row],[totforce]]/paper3[[#This Row],[bodymass]],"")</f>
        <v>27.91672707385246</v>
      </c>
      <c r="BN1026" s="51">
        <f>IFERROR(paper3[[#This Row],[totpwr]]/paper3[[#This Row],[bodymass]],"")</f>
        <v>12.845786007347398</v>
      </c>
      <c r="BO1026" s="136"/>
      <c r="BP1026" s="40"/>
      <c r="BQ1026" s="40"/>
      <c r="BR1026" s="67"/>
      <c r="BS1026" s="54"/>
      <c r="BT1026" s="3"/>
      <c r="BU1026" s="3"/>
      <c r="BV1026" s="3"/>
      <c r="BW1026" s="3"/>
      <c r="BX1026" s="70"/>
      <c r="BY1026" s="70"/>
      <c r="BZ1026" s="59"/>
      <c r="CA1026" s="59"/>
      <c r="CB1026" s="59"/>
      <c r="CC1026" s="59"/>
      <c r="CD1026" s="60"/>
      <c r="CE1026" s="60"/>
      <c r="CF1026" s="61"/>
      <c r="CG1026" s="61"/>
      <c r="CH1026" s="61"/>
      <c r="CI1026" s="41">
        <v>14.5</v>
      </c>
      <c r="CJ1026" s="40">
        <f>VLOOKUP(CI1026,$DB:$DC,2)</f>
        <v>640</v>
      </c>
      <c r="CK1026" s="3"/>
      <c r="CL1026" s="62"/>
      <c r="CM1026" s="63"/>
      <c r="CN1026" s="3"/>
      <c r="CO1026" s="3"/>
      <c r="CP1026" s="41">
        <f>_xlfn.MAXIFS([1]!phvny[age],[1]!phvny[id],paper3[[#This Row],[id]],[1]!phvny[time],paper3[[#This Row],[time]])</f>
        <v>16.616666666666667</v>
      </c>
      <c r="CQ1026" s="3"/>
      <c r="CR1026" s="40"/>
      <c r="CS1026" s="40"/>
      <c r="CT1026" s="40"/>
      <c r="CU1026" s="40"/>
      <c r="CV1026" s="40"/>
      <c r="CW1026" s="40"/>
      <c r="CX1026" s="40"/>
      <c r="CY1026" s="40"/>
    </row>
    <row r="1027" spans="1:103" ht="18.95" customHeight="1">
      <c r="A1027" s="3">
        <v>830</v>
      </c>
      <c r="B1027" s="92" t="s">
        <v>199</v>
      </c>
      <c r="C1027" s="3" t="s">
        <v>104</v>
      </c>
      <c r="D1027" s="46" t="s">
        <v>269</v>
      </c>
      <c r="E1027" s="39">
        <v>45803</v>
      </c>
      <c r="F1027" s="3" t="s">
        <v>186</v>
      </c>
      <c r="G1027" s="3" t="s">
        <v>107</v>
      </c>
      <c r="H1027" s="3">
        <v>2008</v>
      </c>
      <c r="I1027" s="40" t="str">
        <f t="shared" si="17"/>
        <v>U16</v>
      </c>
      <c r="J1027" s="40" t="s">
        <v>117</v>
      </c>
      <c r="K1027" s="3">
        <v>165.2</v>
      </c>
      <c r="L1027" s="3">
        <v>165</v>
      </c>
      <c r="M1027" s="3"/>
      <c r="N1027" s="3">
        <v>86.5</v>
      </c>
      <c r="O1027" s="3"/>
      <c r="P1027" s="3" t="s">
        <v>321</v>
      </c>
      <c r="Q1027" s="3">
        <v>64.900000000000006</v>
      </c>
      <c r="R1027" s="3">
        <v>64.900000000000006</v>
      </c>
      <c r="S1027" s="3"/>
      <c r="T1027" s="42">
        <v>165.1</v>
      </c>
      <c r="U1027" s="42">
        <v>86.5</v>
      </c>
      <c r="V1027" s="199">
        <f>paper3[[#This Row],[height]]-paper3[[#This Row],[sittingheight]]</f>
        <v>78.599999999999994</v>
      </c>
      <c r="W1027" s="73">
        <v>64.900000000000006</v>
      </c>
      <c r="X1027" s="43" cm="1">
        <f t="array" ref="X1027">INDEX([1]!phvny[yphv], MATCH(1, (paper3[[#This Row],[id]]=[1]!phvny[id])*(paper3[[#This Row],[time]]=[1]!phvny[time]), 0))</f>
        <v>3.7177298522380373</v>
      </c>
      <c r="Y1027" s="192">
        <v>1.841</v>
      </c>
      <c r="Z1027" s="3">
        <v>3.3959999999999999</v>
      </c>
      <c r="AA1027" s="192">
        <v>4.8929999999999998</v>
      </c>
      <c r="AB1027" s="3">
        <v>1.8340000000000001</v>
      </c>
      <c r="AC1027" s="3">
        <v>3.3969999999999998</v>
      </c>
      <c r="AD1027" s="3">
        <v>4.9160000000000004</v>
      </c>
      <c r="AE1027" s="3">
        <v>1.833</v>
      </c>
      <c r="AF1027" s="3">
        <v>3.3820000000000001</v>
      </c>
      <c r="AG1027" s="3">
        <v>4.8710000000000004</v>
      </c>
      <c r="AH1027" s="194">
        <v>1.833</v>
      </c>
      <c r="AI1027" s="194">
        <v>3.3820000000000001</v>
      </c>
      <c r="AJ1027" s="194">
        <v>4.8710000000000004</v>
      </c>
      <c r="AK1027" s="130"/>
      <c r="AL1027" s="203"/>
      <c r="AM1027" s="203"/>
      <c r="AN1027" s="3"/>
      <c r="AO1027" s="3"/>
      <c r="AP1027" s="137"/>
      <c r="AQ1027" s="132"/>
      <c r="AR1027" s="132"/>
      <c r="AS1027" s="3">
        <v>19.7</v>
      </c>
      <c r="AT1027" s="3">
        <v>19.100000000000001</v>
      </c>
      <c r="AU1027" s="3">
        <v>16.7</v>
      </c>
      <c r="AV1027" s="3"/>
      <c r="AW1027" s="192"/>
      <c r="AX1027" s="133">
        <v>19.7</v>
      </c>
      <c r="AY1027" s="195" t="s">
        <v>307</v>
      </c>
      <c r="AZ1027" s="40">
        <v>8</v>
      </c>
      <c r="BA1027" s="40"/>
      <c r="BB1027" s="40"/>
      <c r="BC1027" s="40"/>
      <c r="BD1027" s="135">
        <v>950.28312478863631</v>
      </c>
      <c r="BE1027" s="135">
        <v>979.79387429360531</v>
      </c>
      <c r="BF1027" s="40"/>
      <c r="BG1027" s="213">
        <v>396.76612300845375</v>
      </c>
      <c r="BH1027" s="135">
        <v>389.20722015578065</v>
      </c>
      <c r="BI1027" s="49">
        <f>IFERROR(SUM(paper3[[#This Row],[Kraft ikke-dominant]:[Kraft dominant]]),"")</f>
        <v>1930.0769990822416</v>
      </c>
      <c r="BJ1027" s="49">
        <f>IFERROR(SUM(paper3[[#This Row],[Pwr ikke-dominant]:[Pwr dominant]]),"")</f>
        <v>785.97334316423439</v>
      </c>
      <c r="BK1027" s="66"/>
      <c r="BL1027" s="66"/>
      <c r="BM1027" s="51">
        <f>IFERROR(paper3[[#This Row],[totforce]]/paper3[[#This Row],[bodymass]],"")</f>
        <v>29.739244978154723</v>
      </c>
      <c r="BN1027" s="51">
        <f>IFERROR(paper3[[#This Row],[totpwr]]/paper3[[#This Row],[bodymass]],"")</f>
        <v>12.110529170481268</v>
      </c>
      <c r="BO1027" s="136"/>
      <c r="BP1027" s="40"/>
      <c r="BQ1027" s="40"/>
      <c r="BR1027" s="67"/>
      <c r="BS1027" s="54"/>
      <c r="BT1027" s="3"/>
      <c r="BU1027" s="3"/>
      <c r="BV1027" s="3"/>
      <c r="BW1027" s="3"/>
      <c r="BX1027" s="70"/>
      <c r="BY1027" s="70"/>
      <c r="BZ1027" s="59"/>
      <c r="CA1027" s="59"/>
      <c r="CB1027" s="59"/>
      <c r="CC1027" s="59"/>
      <c r="CD1027" s="60"/>
      <c r="CE1027" s="60"/>
      <c r="CF1027" s="61"/>
      <c r="CG1027" s="61"/>
      <c r="CH1027" s="61"/>
      <c r="CI1027" s="41"/>
      <c r="CJ1027" s="40"/>
      <c r="CK1027" s="3"/>
      <c r="CL1027" s="62"/>
      <c r="CM1027" s="63"/>
      <c r="CN1027" s="3"/>
      <c r="CO1027" s="3"/>
      <c r="CP1027" s="41">
        <f>_xlfn.MAXIFS([1]!phvny[age],[1]!phvny[id],paper3[[#This Row],[id]],[1]!phvny[time],paper3[[#This Row],[time]])</f>
        <v>17.383333333333333</v>
      </c>
      <c r="CQ1027" s="3"/>
      <c r="CR1027" s="40"/>
      <c r="CS1027" s="40"/>
      <c r="CT1027" s="40"/>
      <c r="CU1027" s="40"/>
      <c r="CV1027" s="40"/>
      <c r="CW1027" s="40"/>
      <c r="CX1027" s="40"/>
      <c r="CY1027" s="40"/>
    </row>
    <row r="1028" spans="1:103" ht="18.95" customHeight="1">
      <c r="A1028" s="3">
        <v>835</v>
      </c>
      <c r="B1028" s="92" t="s">
        <v>199</v>
      </c>
      <c r="C1028" s="3" t="s">
        <v>104</v>
      </c>
      <c r="D1028" s="46" t="s">
        <v>269</v>
      </c>
      <c r="E1028" s="39">
        <v>45797</v>
      </c>
      <c r="F1028" s="3" t="s">
        <v>186</v>
      </c>
      <c r="G1028" s="3" t="s">
        <v>107</v>
      </c>
      <c r="H1028" s="3">
        <v>2010</v>
      </c>
      <c r="I1028" s="89" t="s">
        <v>108</v>
      </c>
      <c r="J1028" s="215" t="s">
        <v>109</v>
      </c>
      <c r="K1028" s="3">
        <v>170.4</v>
      </c>
      <c r="L1028" s="3">
        <v>170.4</v>
      </c>
      <c r="M1028" s="3"/>
      <c r="N1028" s="3">
        <v>91.8</v>
      </c>
      <c r="O1028" s="3"/>
      <c r="P1028" s="3" t="s">
        <v>322</v>
      </c>
      <c r="Q1028" s="3">
        <v>68</v>
      </c>
      <c r="R1028" s="3">
        <v>68</v>
      </c>
      <c r="S1028" s="3"/>
      <c r="T1028" s="42">
        <v>170.4</v>
      </c>
      <c r="U1028" s="42">
        <v>91.8</v>
      </c>
      <c r="V1028" s="199">
        <f>paper3[[#This Row],[height]]-paper3[[#This Row],[sittingheight]]</f>
        <v>78.600000000000009</v>
      </c>
      <c r="W1028" s="73">
        <v>68</v>
      </c>
      <c r="X1028" s="43" cm="1">
        <f t="array" ref="X1028">INDEX([1]!phvny[yphv], MATCH(1, (paper3[[#This Row],[id]]=[1]!phvny[id])*(paper3[[#This Row],[time]]=[1]!phvny[time]), 0))</f>
        <v>2.9203857168215963</v>
      </c>
      <c r="Y1028" s="192">
        <v>1.9179999999999999</v>
      </c>
      <c r="Z1028" s="3">
        <v>3.5579999999999998</v>
      </c>
      <c r="AA1028" s="192">
        <v>5.2119999999999997</v>
      </c>
      <c r="AB1028" s="3">
        <v>1.9359999999999999</v>
      </c>
      <c r="AC1028" s="3">
        <v>3.5920000000000001</v>
      </c>
      <c r="AD1028" s="3">
        <v>5.226</v>
      </c>
      <c r="AE1028" s="3">
        <v>1.944</v>
      </c>
      <c r="AF1028" s="3">
        <v>3.6779999999999999</v>
      </c>
      <c r="AG1028" s="3">
        <v>5.3029999999999999</v>
      </c>
      <c r="AH1028" s="194">
        <v>1.9179999999999999</v>
      </c>
      <c r="AI1028" s="194">
        <v>3.5579999999999998</v>
      </c>
      <c r="AJ1028" s="194">
        <v>5.2119999999999997</v>
      </c>
      <c r="AK1028" s="130"/>
      <c r="AL1028" s="203">
        <v>11.11</v>
      </c>
      <c r="AM1028" s="203">
        <v>11.13</v>
      </c>
      <c r="AN1028" s="3">
        <v>11.17</v>
      </c>
      <c r="AO1028" s="3">
        <v>11.56</v>
      </c>
      <c r="AP1028" s="137"/>
      <c r="AQ1028" s="132">
        <v>11.11</v>
      </c>
      <c r="AR1028" s="132">
        <v>11.17</v>
      </c>
      <c r="AS1028" s="3">
        <v>16.8</v>
      </c>
      <c r="AT1028" s="3">
        <v>16.100000000000001</v>
      </c>
      <c r="AU1028" s="3">
        <v>15.9</v>
      </c>
      <c r="AV1028" s="3"/>
      <c r="AW1028" s="192"/>
      <c r="AX1028" s="133">
        <v>16.8</v>
      </c>
      <c r="AY1028" s="195">
        <v>250</v>
      </c>
      <c r="AZ1028" s="40">
        <v>9</v>
      </c>
      <c r="BA1028" s="40"/>
      <c r="BB1028" s="40"/>
      <c r="BC1028" s="40"/>
      <c r="BD1028" s="135">
        <v>1228.1713360144304</v>
      </c>
      <c r="BE1028" s="135">
        <v>1228.0123300739319</v>
      </c>
      <c r="BF1028" s="40"/>
      <c r="BG1028" s="213">
        <v>401.66988604205466</v>
      </c>
      <c r="BH1028" s="135">
        <v>399.50103811300073</v>
      </c>
      <c r="BI1028" s="49">
        <f>IFERROR(SUM(paper3[[#This Row],[Kraft ikke-dominant]:[Kraft dominant]]),"")</f>
        <v>2456.1836660883623</v>
      </c>
      <c r="BJ1028" s="49">
        <f>IFERROR(SUM(paper3[[#This Row],[Pwr ikke-dominant]:[Pwr dominant]]),"")</f>
        <v>801.17092415505545</v>
      </c>
      <c r="BK1028" s="66"/>
      <c r="BL1028" s="66"/>
      <c r="BM1028" s="51">
        <f>IFERROR(paper3[[#This Row],[totforce]]/paper3[[#This Row],[bodymass]],"")</f>
        <v>36.120348030711213</v>
      </c>
      <c r="BN1028" s="51">
        <f>IFERROR(paper3[[#This Row],[totpwr]]/paper3[[#This Row],[bodymass]],"")</f>
        <v>11.781925355221404</v>
      </c>
      <c r="BO1028" s="136"/>
      <c r="BP1028" s="40"/>
      <c r="BQ1028" s="40"/>
      <c r="BR1028" s="67"/>
      <c r="BS1028" s="54"/>
      <c r="BT1028" s="3"/>
      <c r="BU1028" s="3"/>
      <c r="BV1028" s="3"/>
      <c r="BW1028" s="3"/>
      <c r="BX1028" s="70"/>
      <c r="BY1028" s="70"/>
      <c r="BZ1028" s="59"/>
      <c r="CA1028" s="59"/>
      <c r="CB1028" s="59"/>
      <c r="CC1028" s="59"/>
      <c r="CD1028" s="60"/>
      <c r="CE1028" s="60"/>
      <c r="CF1028" s="61"/>
      <c r="CG1028" s="61"/>
      <c r="CH1028" s="61"/>
      <c r="CI1028" s="41">
        <v>13.1</v>
      </c>
      <c r="CJ1028" s="40">
        <f>VLOOKUP(CI1028,$DB:$DC,2)</f>
        <v>320</v>
      </c>
      <c r="CK1028" s="3"/>
      <c r="CL1028" s="62"/>
      <c r="CM1028" s="63"/>
      <c r="CN1028" s="3"/>
      <c r="CO1028" s="3"/>
      <c r="CP1028" s="41">
        <f>_xlfn.MAXIFS([1]!phvny[age],[1]!phvny[id],paper3[[#This Row],[id]],[1]!phvny[time],paper3[[#This Row],[time]])</f>
        <v>14.891666666666667</v>
      </c>
      <c r="CQ1028" s="3"/>
      <c r="CR1028" s="40"/>
      <c r="CS1028" s="40"/>
      <c r="CT1028" s="40"/>
      <c r="CU1028" s="40"/>
      <c r="CV1028" s="40"/>
      <c r="CW1028" s="40"/>
      <c r="CX1028" s="40"/>
      <c r="CY1028" s="40"/>
    </row>
    <row r="1029" spans="1:103" ht="18.95" customHeight="1">
      <c r="A1029" s="3">
        <v>836</v>
      </c>
      <c r="B1029" s="92" t="s">
        <v>199</v>
      </c>
      <c r="C1029" s="3" t="s">
        <v>104</v>
      </c>
      <c r="D1029" s="46" t="s">
        <v>269</v>
      </c>
      <c r="E1029" s="39">
        <v>45797</v>
      </c>
      <c r="F1029" s="3" t="s">
        <v>186</v>
      </c>
      <c r="G1029" s="3" t="s">
        <v>107</v>
      </c>
      <c r="H1029" s="3">
        <v>2010</v>
      </c>
      <c r="I1029" s="89" t="s">
        <v>108</v>
      </c>
      <c r="J1029" s="215" t="s">
        <v>109</v>
      </c>
      <c r="K1029" s="3">
        <v>159.30000000000001</v>
      </c>
      <c r="L1029" s="3">
        <v>159.30000000000001</v>
      </c>
      <c r="M1029" s="3"/>
      <c r="N1029" s="3">
        <v>82.3</v>
      </c>
      <c r="O1029" s="3"/>
      <c r="P1029" s="3" t="s">
        <v>323</v>
      </c>
      <c r="Q1029" s="3">
        <v>50.6</v>
      </c>
      <c r="R1029" s="3">
        <v>50.6</v>
      </c>
      <c r="S1029" s="3"/>
      <c r="T1029" s="42">
        <v>159.30000000000001</v>
      </c>
      <c r="U1029" s="42">
        <v>82.3</v>
      </c>
      <c r="V1029" s="199">
        <f>paper3[[#This Row],[height]]-paper3[[#This Row],[sittingheight]]</f>
        <v>77.000000000000014</v>
      </c>
      <c r="W1029" s="73">
        <v>50.6</v>
      </c>
      <c r="X1029" s="43" cm="1">
        <f t="array" ref="X1029">INDEX([1]!phvny[yphv], MATCH(1, (paper3[[#This Row],[id]]=[1]!phvny[id])*(paper3[[#This Row],[time]]=[1]!phvny[time]), 0))</f>
        <v>2.0819055885106721</v>
      </c>
      <c r="Y1029" s="192">
        <v>1.9059999999999999</v>
      </c>
      <c r="Z1029" s="3">
        <v>3.4369999999999998</v>
      </c>
      <c r="AA1029" s="192">
        <v>4.92</v>
      </c>
      <c r="AB1029" s="3">
        <v>1.8220000000000001</v>
      </c>
      <c r="AC1029" s="3">
        <v>3.415</v>
      </c>
      <c r="AD1029" s="3">
        <v>4.9080000000000004</v>
      </c>
      <c r="AE1029" s="3">
        <v>1.871</v>
      </c>
      <c r="AF1029" s="3">
        <v>3.4350000000000001</v>
      </c>
      <c r="AG1029" s="3">
        <v>4.976</v>
      </c>
      <c r="AH1029" s="194">
        <v>1.8220000000000001</v>
      </c>
      <c r="AI1029" s="194">
        <v>3.415</v>
      </c>
      <c r="AJ1029" s="194">
        <v>4.9080000000000004</v>
      </c>
      <c r="AK1029" s="130"/>
      <c r="AL1029" s="203"/>
      <c r="AM1029" s="203"/>
      <c r="AN1029" s="3"/>
      <c r="AO1029" s="3"/>
      <c r="AP1029" s="137"/>
      <c r="AQ1029" s="132"/>
      <c r="AR1029" s="132"/>
      <c r="AS1029" s="3">
        <v>23.3</v>
      </c>
      <c r="AT1029" s="3">
        <v>23</v>
      </c>
      <c r="AU1029" s="3">
        <v>23</v>
      </c>
      <c r="AV1029" s="3"/>
      <c r="AW1029" s="192"/>
      <c r="AX1029" s="133">
        <v>23.3</v>
      </c>
      <c r="AY1029" s="195">
        <v>250</v>
      </c>
      <c r="AZ1029" s="40">
        <v>9</v>
      </c>
      <c r="BA1029" s="40"/>
      <c r="BB1029" s="40"/>
      <c r="BC1029" s="40"/>
      <c r="BD1029" s="135"/>
      <c r="BE1029" s="135"/>
      <c r="BF1029" s="40"/>
      <c r="BG1029" s="213"/>
      <c r="BH1029" s="135"/>
      <c r="BI1029" s="49"/>
      <c r="BJ1029" s="49"/>
      <c r="BK1029" s="66"/>
      <c r="BL1029" s="66"/>
      <c r="BM1029" s="51"/>
      <c r="BN1029" s="51"/>
      <c r="BO1029" s="136"/>
      <c r="BP1029" s="40"/>
      <c r="BQ1029" s="40"/>
      <c r="BR1029" s="67"/>
      <c r="BS1029" s="54"/>
      <c r="BT1029" s="3"/>
      <c r="BU1029" s="3"/>
      <c r="BV1029" s="3"/>
      <c r="BW1029" s="3"/>
      <c r="BX1029" s="70"/>
      <c r="BY1029" s="70"/>
      <c r="BZ1029" s="59"/>
      <c r="CA1029" s="59"/>
      <c r="CB1029" s="59"/>
      <c r="CC1029" s="59"/>
      <c r="CD1029" s="60"/>
      <c r="CE1029" s="60"/>
      <c r="CF1029" s="61"/>
      <c r="CG1029" s="61"/>
      <c r="CH1029" s="61"/>
      <c r="CI1029" s="41"/>
      <c r="CJ1029" s="40"/>
      <c r="CK1029" s="3"/>
      <c r="CL1029" s="62"/>
      <c r="CM1029" s="63"/>
      <c r="CN1029" s="3"/>
      <c r="CO1029" s="3"/>
      <c r="CP1029" s="41">
        <f>_xlfn.MAXIFS([1]!phvny[age],[1]!phvny[id],paper3[[#This Row],[id]],[1]!phvny[time],paper3[[#This Row],[time]])</f>
        <v>15.169444444444444</v>
      </c>
      <c r="CQ1029" s="3"/>
      <c r="CR1029" s="40"/>
      <c r="CS1029" s="40"/>
      <c r="CT1029" s="40"/>
      <c r="CU1029" s="40"/>
      <c r="CV1029" s="40"/>
      <c r="CW1029" s="40"/>
      <c r="CX1029" s="40"/>
      <c r="CY1029" s="40"/>
    </row>
    <row r="1030" spans="1:103" ht="18.95" customHeight="1">
      <c r="A1030" s="3">
        <v>837</v>
      </c>
      <c r="B1030" s="92" t="s">
        <v>199</v>
      </c>
      <c r="C1030" s="3" t="s">
        <v>104</v>
      </c>
      <c r="D1030" s="46" t="s">
        <v>269</v>
      </c>
      <c r="E1030" s="39">
        <v>45797</v>
      </c>
      <c r="F1030" s="3" t="s">
        <v>186</v>
      </c>
      <c r="G1030" s="3" t="s">
        <v>107</v>
      </c>
      <c r="H1030" s="3">
        <v>2010</v>
      </c>
      <c r="I1030" s="89" t="s">
        <v>108</v>
      </c>
      <c r="J1030" s="215" t="s">
        <v>109</v>
      </c>
      <c r="K1030" s="3">
        <v>163.6</v>
      </c>
      <c r="L1030" s="3">
        <v>163.80000000000001</v>
      </c>
      <c r="M1030" s="3"/>
      <c r="N1030" s="3">
        <v>84.8</v>
      </c>
      <c r="O1030" s="3"/>
      <c r="P1030" s="3" t="s">
        <v>324</v>
      </c>
      <c r="Q1030" s="3">
        <v>47.3</v>
      </c>
      <c r="R1030" s="3">
        <v>47.3</v>
      </c>
      <c r="S1030" s="3"/>
      <c r="T1030" s="42">
        <v>163.69999999999999</v>
      </c>
      <c r="U1030" s="42">
        <v>84.8</v>
      </c>
      <c r="V1030" s="199">
        <f>paper3[[#This Row],[height]]-paper3[[#This Row],[sittingheight]]</f>
        <v>78.899999999999991</v>
      </c>
      <c r="W1030" s="73">
        <v>47.3</v>
      </c>
      <c r="X1030" s="43" cm="1">
        <f t="array" ref="X1030">INDEX([1]!phvny[yphv], MATCH(1, (paper3[[#This Row],[id]]=[1]!phvny[id])*(paper3[[#This Row],[time]]=[1]!phvny[time]), 0))</f>
        <v>2.0499444301301164</v>
      </c>
      <c r="Y1030" s="192">
        <v>1.788</v>
      </c>
      <c r="Z1030" s="3">
        <v>3.298</v>
      </c>
      <c r="AA1030" s="192">
        <v>4.7770000000000001</v>
      </c>
      <c r="AB1030" s="3">
        <v>1.8149999999999999</v>
      </c>
      <c r="AC1030" s="3">
        <v>3.35</v>
      </c>
      <c r="AD1030" s="3">
        <v>4.84</v>
      </c>
      <c r="AE1030" s="3">
        <v>1.8069999999999999</v>
      </c>
      <c r="AF1030" s="3">
        <v>3.31</v>
      </c>
      <c r="AG1030" s="3">
        <v>4.7610000000000001</v>
      </c>
      <c r="AH1030" s="194">
        <v>1.788</v>
      </c>
      <c r="AI1030" s="194">
        <v>3.298</v>
      </c>
      <c r="AJ1030" s="194">
        <v>4.7610000000000001</v>
      </c>
      <c r="AK1030" s="130"/>
      <c r="AL1030" s="203">
        <v>10.92</v>
      </c>
      <c r="AM1030" s="203">
        <v>10.67</v>
      </c>
      <c r="AN1030" s="3">
        <v>10.92</v>
      </c>
      <c r="AO1030" s="3">
        <v>10.77</v>
      </c>
      <c r="AP1030" s="137"/>
      <c r="AQ1030" s="132">
        <v>10.67</v>
      </c>
      <c r="AR1030" s="132">
        <v>10.77</v>
      </c>
      <c r="AS1030" s="3">
        <v>24.3</v>
      </c>
      <c r="AT1030" s="3">
        <v>23.6</v>
      </c>
      <c r="AU1030" s="3">
        <v>21.1</v>
      </c>
      <c r="AV1030" s="3"/>
      <c r="AW1030" s="192"/>
      <c r="AX1030" s="133">
        <v>24.3</v>
      </c>
      <c r="AY1030" s="195">
        <v>250</v>
      </c>
      <c r="AZ1030" s="40">
        <v>9</v>
      </c>
      <c r="BA1030" s="40"/>
      <c r="BB1030" s="40"/>
      <c r="BC1030" s="40"/>
      <c r="BD1030" s="135">
        <v>1077.7345098924736</v>
      </c>
      <c r="BE1030" s="135">
        <v>964.02116572660998</v>
      </c>
      <c r="BF1030" s="40"/>
      <c r="BG1030" s="213">
        <v>272.30690583578792</v>
      </c>
      <c r="BH1030" s="135">
        <v>272.05415268847247</v>
      </c>
      <c r="BI1030" s="49">
        <f>IFERROR(SUM(paper3[[#This Row],[Kraft ikke-dominant]:[Kraft dominant]]),"")</f>
        <v>2041.7556756190836</v>
      </c>
      <c r="BJ1030" s="49">
        <f>IFERROR(SUM(paper3[[#This Row],[Pwr ikke-dominant]:[Pwr dominant]]),"")</f>
        <v>544.36105852426044</v>
      </c>
      <c r="BK1030" s="66"/>
      <c r="BL1030" s="66"/>
      <c r="BM1030" s="51">
        <f>IFERROR(paper3[[#This Row],[totforce]]/paper3[[#This Row],[bodymass]],"")</f>
        <v>43.166081936978514</v>
      </c>
      <c r="BN1030" s="51">
        <f>IFERROR(paper3[[#This Row],[totpwr]]/paper3[[#This Row],[bodymass]],"")</f>
        <v>11.50869045505836</v>
      </c>
      <c r="BO1030" s="136"/>
      <c r="BP1030" s="40"/>
      <c r="BQ1030" s="40"/>
      <c r="BR1030" s="67"/>
      <c r="BS1030" s="54"/>
      <c r="BT1030" s="3"/>
      <c r="BU1030" s="3"/>
      <c r="BV1030" s="3"/>
      <c r="BW1030" s="3"/>
      <c r="BX1030" s="70"/>
      <c r="BY1030" s="70"/>
      <c r="BZ1030" s="59"/>
      <c r="CA1030" s="59"/>
      <c r="CB1030" s="59"/>
      <c r="CC1030" s="59"/>
      <c r="CD1030" s="60"/>
      <c r="CE1030" s="60"/>
      <c r="CF1030" s="61"/>
      <c r="CG1030" s="61"/>
      <c r="CH1030" s="61"/>
      <c r="CI1030" s="41">
        <v>15.3</v>
      </c>
      <c r="CJ1030" s="40">
        <f t="shared" ref="CJ1030:CJ1037" si="19">VLOOKUP(CI1030,$DB:$DC,2)</f>
        <v>880</v>
      </c>
      <c r="CK1030" s="3"/>
      <c r="CL1030" s="62"/>
      <c r="CM1030" s="63"/>
      <c r="CN1030" s="3"/>
      <c r="CO1030" s="3"/>
      <c r="CP1030" s="41">
        <f>_xlfn.MAXIFS([1]!phvny[age],[1]!phvny[id],paper3[[#This Row],[id]],[1]!phvny[time],paper3[[#This Row],[time]])</f>
        <v>14.625</v>
      </c>
      <c r="CQ1030" s="3"/>
      <c r="CR1030" s="40"/>
      <c r="CS1030" s="40"/>
      <c r="CT1030" s="40"/>
      <c r="CU1030" s="40"/>
      <c r="CV1030" s="40"/>
      <c r="CW1030" s="40"/>
      <c r="CX1030" s="40"/>
      <c r="CY1030" s="40"/>
    </row>
    <row r="1031" spans="1:103" ht="18.95" customHeight="1">
      <c r="A1031" s="3">
        <v>838</v>
      </c>
      <c r="B1031" s="92" t="s">
        <v>199</v>
      </c>
      <c r="C1031" s="3" t="s">
        <v>104</v>
      </c>
      <c r="D1031" s="46" t="s">
        <v>269</v>
      </c>
      <c r="E1031" s="39">
        <v>45797</v>
      </c>
      <c r="F1031" s="3" t="s">
        <v>186</v>
      </c>
      <c r="G1031" s="3" t="s">
        <v>107</v>
      </c>
      <c r="H1031" s="3">
        <v>2010</v>
      </c>
      <c r="I1031" s="89" t="s">
        <v>108</v>
      </c>
      <c r="J1031" s="215" t="s">
        <v>109</v>
      </c>
      <c r="K1031" s="3">
        <v>161.6</v>
      </c>
      <c r="L1031" s="3">
        <v>161.6</v>
      </c>
      <c r="M1031" s="3"/>
      <c r="N1031" s="3">
        <v>86.2</v>
      </c>
      <c r="O1031" s="3"/>
      <c r="P1031" s="3" t="s">
        <v>325</v>
      </c>
      <c r="Q1031" s="3">
        <v>54</v>
      </c>
      <c r="R1031" s="3">
        <v>54</v>
      </c>
      <c r="S1031" s="3"/>
      <c r="T1031" s="42">
        <v>161.6</v>
      </c>
      <c r="U1031" s="42">
        <v>86.2</v>
      </c>
      <c r="V1031" s="199">
        <f>paper3[[#This Row],[height]]-paper3[[#This Row],[sittingheight]]</f>
        <v>75.399999999999991</v>
      </c>
      <c r="W1031" s="73">
        <v>54</v>
      </c>
      <c r="X1031" s="43" cm="1">
        <f t="array" ref="X1031">INDEX([1]!phvny[yphv], MATCH(1, (paper3[[#This Row],[id]]=[1]!phvny[id])*(paper3[[#This Row],[time]]=[1]!phvny[time]), 0))</f>
        <v>2.108325004069306</v>
      </c>
      <c r="Y1031" s="192">
        <v>1.7889999999999999</v>
      </c>
      <c r="Z1031" s="3">
        <v>3.3039999999999998</v>
      </c>
      <c r="AA1031" s="192">
        <v>4.8040000000000003</v>
      </c>
      <c r="AB1031" s="3">
        <v>1.8340000000000001</v>
      </c>
      <c r="AC1031" s="3">
        <v>3.3479999999999999</v>
      </c>
      <c r="AD1031" s="3">
        <v>4.8179999999999996</v>
      </c>
      <c r="AE1031" s="3">
        <v>1.8220000000000001</v>
      </c>
      <c r="AF1031" s="3">
        <v>3.3660000000000001</v>
      </c>
      <c r="AG1031" s="3">
        <v>4.8390000000000004</v>
      </c>
      <c r="AH1031" s="194">
        <v>1.7889999999999999</v>
      </c>
      <c r="AI1031" s="194">
        <v>3.3039999999999998</v>
      </c>
      <c r="AJ1031" s="194">
        <v>4.8040000000000003</v>
      </c>
      <c r="AK1031" s="130"/>
      <c r="AL1031" s="203">
        <v>10.11</v>
      </c>
      <c r="AM1031" s="203">
        <v>10.34</v>
      </c>
      <c r="AN1031" s="3">
        <v>10.4</v>
      </c>
      <c r="AO1031" s="3">
        <v>10.88</v>
      </c>
      <c r="AP1031" s="137"/>
      <c r="AQ1031" s="132">
        <v>10.11</v>
      </c>
      <c r="AR1031" s="132">
        <v>10.4</v>
      </c>
      <c r="AS1031" s="3">
        <v>17</v>
      </c>
      <c r="AT1031" s="3">
        <v>18.899999999999999</v>
      </c>
      <c r="AU1031" s="3">
        <v>19.600000000000001</v>
      </c>
      <c r="AV1031" s="3"/>
      <c r="AW1031" s="192"/>
      <c r="AX1031" s="133">
        <v>19.600000000000001</v>
      </c>
      <c r="AY1031" s="195">
        <v>250</v>
      </c>
      <c r="AZ1031" s="40">
        <v>9</v>
      </c>
      <c r="BA1031" s="40"/>
      <c r="BB1031" s="40"/>
      <c r="BC1031" s="40"/>
      <c r="BD1031" s="135">
        <v>1549.3560631508178</v>
      </c>
      <c r="BE1031" s="135">
        <v>1578.7607804263948</v>
      </c>
      <c r="BF1031" s="40"/>
      <c r="BG1031" s="213">
        <v>410.38841522678882</v>
      </c>
      <c r="BH1031" s="135">
        <v>450.00762585503082</v>
      </c>
      <c r="BI1031" s="49">
        <f>IFERROR(SUM(paper3[[#This Row],[Kraft ikke-dominant]:[Kraft dominant]]),"")</f>
        <v>3128.1168435772124</v>
      </c>
      <c r="BJ1031" s="49">
        <f>IFERROR(SUM(paper3[[#This Row],[Pwr ikke-dominant]:[Pwr dominant]]),"")</f>
        <v>860.3960410818197</v>
      </c>
      <c r="BK1031" s="66"/>
      <c r="BL1031" s="66"/>
      <c r="BM1031" s="51">
        <f>IFERROR(paper3[[#This Row],[totforce]]/paper3[[#This Row],[bodymass]],"")</f>
        <v>57.928089695874306</v>
      </c>
      <c r="BN1031" s="51">
        <f>IFERROR(paper3[[#This Row],[totpwr]]/paper3[[#This Row],[bodymass]],"")</f>
        <v>15.933260020033698</v>
      </c>
      <c r="BO1031" s="136"/>
      <c r="BP1031" s="40"/>
      <c r="BQ1031" s="40"/>
      <c r="BR1031" s="67"/>
      <c r="BS1031" s="54"/>
      <c r="BT1031" s="3"/>
      <c r="BU1031" s="3"/>
      <c r="BV1031" s="3"/>
      <c r="BW1031" s="3"/>
      <c r="BX1031" s="70"/>
      <c r="BY1031" s="70"/>
      <c r="BZ1031" s="59"/>
      <c r="CA1031" s="59"/>
      <c r="CB1031" s="59"/>
      <c r="CC1031" s="59"/>
      <c r="CD1031" s="60"/>
      <c r="CE1031" s="60"/>
      <c r="CF1031" s="61"/>
      <c r="CG1031" s="61"/>
      <c r="CH1031" s="61"/>
      <c r="CI1031" s="41">
        <v>14.6</v>
      </c>
      <c r="CJ1031" s="40">
        <f t="shared" si="19"/>
        <v>680</v>
      </c>
      <c r="CK1031" s="3"/>
      <c r="CL1031" s="62"/>
      <c r="CM1031" s="63"/>
      <c r="CN1031" s="3"/>
      <c r="CO1031" s="3"/>
      <c r="CP1031" s="41">
        <f>_xlfn.MAXIFS([1]!phvny[age],[1]!phvny[id],paper3[[#This Row],[id]],[1]!phvny[time],paper3[[#This Row],[time]])</f>
        <v>14.625</v>
      </c>
      <c r="CQ1031" s="3"/>
      <c r="CR1031" s="40"/>
      <c r="CS1031" s="40"/>
      <c r="CT1031" s="40"/>
      <c r="CU1031" s="40"/>
      <c r="CV1031" s="40"/>
      <c r="CW1031" s="40"/>
      <c r="CX1031" s="40"/>
      <c r="CY1031" s="40"/>
    </row>
    <row r="1032" spans="1:103" ht="18.95" customHeight="1">
      <c r="A1032" s="3">
        <v>840</v>
      </c>
      <c r="B1032" s="92" t="s">
        <v>199</v>
      </c>
      <c r="C1032" s="3" t="s">
        <v>104</v>
      </c>
      <c r="D1032" s="46" t="s">
        <v>269</v>
      </c>
      <c r="E1032" s="39">
        <v>45797</v>
      </c>
      <c r="F1032" s="3" t="s">
        <v>186</v>
      </c>
      <c r="G1032" s="3" t="s">
        <v>107</v>
      </c>
      <c r="H1032" s="3">
        <v>2010</v>
      </c>
      <c r="I1032" s="40" t="str">
        <f t="shared" ref="I1032:I1066" si="20">RIGHT(J1032,3)</f>
        <v>U14</v>
      </c>
      <c r="J1032" s="40" t="s">
        <v>109</v>
      </c>
      <c r="K1032" s="3">
        <v>178.1</v>
      </c>
      <c r="L1032" s="3">
        <v>178.2</v>
      </c>
      <c r="M1032" s="3"/>
      <c r="N1032" s="3">
        <v>92.8</v>
      </c>
      <c r="O1032" s="3"/>
      <c r="P1032" s="3" t="s">
        <v>326</v>
      </c>
      <c r="Q1032" s="3">
        <v>60.2</v>
      </c>
      <c r="R1032" s="3">
        <v>60.2</v>
      </c>
      <c r="S1032" s="3"/>
      <c r="T1032" s="42">
        <v>178.14999999999998</v>
      </c>
      <c r="U1032" s="42">
        <v>92.8</v>
      </c>
      <c r="V1032" s="199">
        <f>paper3[[#This Row],[height]]-paper3[[#This Row],[sittingheight]]</f>
        <v>85.34999999999998</v>
      </c>
      <c r="W1032" s="73">
        <v>60.2</v>
      </c>
      <c r="X1032" s="43" cm="1">
        <f t="array" ref="X1032">INDEX([1]!phvny[yphv], MATCH(1, (paper3[[#This Row],[id]]=[1]!phvny[id])*(paper3[[#This Row],[time]]=[1]!phvny[time]), 0))</f>
        <v>3.008035683478715</v>
      </c>
      <c r="Y1032" s="192"/>
      <c r="Z1032" s="3"/>
      <c r="AA1032" s="192"/>
      <c r="AB1032" s="3">
        <v>1.9770000000000001</v>
      </c>
      <c r="AC1032" s="3">
        <v>3.589</v>
      </c>
      <c r="AD1032" s="3">
        <v>5.2169999999999996</v>
      </c>
      <c r="AE1032" s="3">
        <v>1.962</v>
      </c>
      <c r="AF1032" s="3">
        <v>3.6</v>
      </c>
      <c r="AG1032" s="3">
        <v>5.2409999999999997</v>
      </c>
      <c r="AH1032" s="194">
        <v>1.962</v>
      </c>
      <c r="AI1032" s="194">
        <v>3.589</v>
      </c>
      <c r="AJ1032" s="194">
        <v>5.2169999999999996</v>
      </c>
      <c r="AK1032" s="130"/>
      <c r="AL1032" s="203">
        <v>11.47</v>
      </c>
      <c r="AM1032" s="203">
        <v>11.12</v>
      </c>
      <c r="AN1032" s="3">
        <v>11.56</v>
      </c>
      <c r="AO1032" s="3">
        <v>11.54</v>
      </c>
      <c r="AP1032" s="137"/>
      <c r="AQ1032" s="132">
        <v>11.12</v>
      </c>
      <c r="AR1032" s="132">
        <v>11.54</v>
      </c>
      <c r="AS1032" s="3">
        <v>16.3</v>
      </c>
      <c r="AT1032" s="3">
        <v>16.3</v>
      </c>
      <c r="AU1032" s="3">
        <v>18.8</v>
      </c>
      <c r="AV1032" s="3"/>
      <c r="AW1032" s="192"/>
      <c r="AX1032" s="133">
        <v>18.8</v>
      </c>
      <c r="AY1032" s="195">
        <v>250</v>
      </c>
      <c r="AZ1032" s="40">
        <v>9</v>
      </c>
      <c r="BA1032" s="40"/>
      <c r="BB1032" s="40"/>
      <c r="BC1032" s="40"/>
      <c r="BD1032" s="135">
        <v>975.02670692892207</v>
      </c>
      <c r="BE1032" s="135">
        <v>826.37610102997451</v>
      </c>
      <c r="BF1032" s="40"/>
      <c r="BG1032" s="213">
        <v>217.18628788668752</v>
      </c>
      <c r="BH1032" s="135">
        <v>234.48983720355074</v>
      </c>
      <c r="BI1032" s="49">
        <f>IFERROR(SUM(paper3[[#This Row],[Kraft ikke-dominant]:[Kraft dominant]]),"")</f>
        <v>1801.4028079588966</v>
      </c>
      <c r="BJ1032" s="49">
        <f>IFERROR(SUM(paper3[[#This Row],[Pwr ikke-dominant]:[Pwr dominant]]),"")</f>
        <v>451.67612509023826</v>
      </c>
      <c r="BK1032" s="66"/>
      <c r="BL1032" s="66"/>
      <c r="BM1032" s="51">
        <f>IFERROR(paper3[[#This Row],[totforce]]/paper3[[#This Row],[bodymass]],"")</f>
        <v>29.923634683702598</v>
      </c>
      <c r="BN1032" s="51">
        <f>IFERROR(paper3[[#This Row],[totpwr]]/paper3[[#This Row],[bodymass]],"")</f>
        <v>7.5029256659508015</v>
      </c>
      <c r="BO1032" s="136"/>
      <c r="BP1032" s="40"/>
      <c r="BQ1032" s="40"/>
      <c r="BR1032" s="67"/>
      <c r="BS1032" s="54"/>
      <c r="BT1032" s="3"/>
      <c r="BU1032" s="3"/>
      <c r="BV1032" s="3"/>
      <c r="BW1032" s="3"/>
      <c r="BX1032" s="70"/>
      <c r="BY1032" s="70"/>
      <c r="BZ1032" s="59"/>
      <c r="CA1032" s="59"/>
      <c r="CB1032" s="59"/>
      <c r="CC1032" s="59"/>
      <c r="CD1032" s="60"/>
      <c r="CE1032" s="60"/>
      <c r="CF1032" s="61"/>
      <c r="CG1032" s="61"/>
      <c r="CH1032" s="61"/>
      <c r="CI1032" s="41">
        <v>13.4</v>
      </c>
      <c r="CJ1032" s="40">
        <f t="shared" si="19"/>
        <v>440</v>
      </c>
      <c r="CK1032" s="3"/>
      <c r="CL1032" s="62"/>
      <c r="CM1032" s="63"/>
      <c r="CN1032" s="3"/>
      <c r="CO1032" s="3"/>
      <c r="CP1032" s="41">
        <f>_xlfn.MAXIFS([1]!phvny[age],[1]!phvny[id],paper3[[#This Row],[id]],[1]!phvny[time],paper3[[#This Row],[time]])</f>
        <v>14.555555555555555</v>
      </c>
      <c r="CQ1032" s="3"/>
      <c r="CR1032" s="40"/>
      <c r="CS1032" s="40"/>
      <c r="CT1032" s="40"/>
      <c r="CU1032" s="40"/>
      <c r="CV1032" s="40"/>
      <c r="CW1032" s="40"/>
      <c r="CX1032" s="40"/>
      <c r="CY1032" s="40"/>
    </row>
    <row r="1033" spans="1:103" ht="18.95" customHeight="1">
      <c r="A1033" s="3">
        <v>844</v>
      </c>
      <c r="B1033" s="92" t="s">
        <v>199</v>
      </c>
      <c r="C1033" s="3" t="s">
        <v>104</v>
      </c>
      <c r="D1033" s="46" t="s">
        <v>269</v>
      </c>
      <c r="E1033" s="39">
        <v>45797</v>
      </c>
      <c r="F1033" s="3" t="s">
        <v>186</v>
      </c>
      <c r="G1033" s="3" t="s">
        <v>107</v>
      </c>
      <c r="H1033" s="3">
        <v>2010</v>
      </c>
      <c r="I1033" s="40" t="str">
        <f t="shared" si="20"/>
        <v>U14</v>
      </c>
      <c r="J1033" s="40" t="s">
        <v>109</v>
      </c>
      <c r="K1033" s="3">
        <v>173.5</v>
      </c>
      <c r="L1033" s="3">
        <v>173.5</v>
      </c>
      <c r="M1033" s="3"/>
      <c r="N1033" s="3">
        <v>90.3</v>
      </c>
      <c r="O1033" s="3"/>
      <c r="P1033" s="3" t="s">
        <v>327</v>
      </c>
      <c r="Q1033" s="3"/>
      <c r="R1033" s="3"/>
      <c r="S1033" s="3"/>
      <c r="T1033" s="42">
        <v>173.5</v>
      </c>
      <c r="U1033" s="42">
        <v>90.3</v>
      </c>
      <c r="V1033" s="199">
        <f>paper3[[#This Row],[height]]-paper3[[#This Row],[sittingheight]]</f>
        <v>83.2</v>
      </c>
      <c r="W1033" s="73"/>
      <c r="X1033" s="43" cm="1">
        <f t="array" ref="X1033">INDEX([1]!phvny[yphv], MATCH(1, (paper3[[#This Row],[id]]=[1]!phvny[id])*(paper3[[#This Row],[time]]=[1]!phvny[time]), 0))</f>
        <v>2.9596308725555556</v>
      </c>
      <c r="Y1033" s="192">
        <v>1.8540000000000001</v>
      </c>
      <c r="Z1033" s="3">
        <v>3.4239999999999999</v>
      </c>
      <c r="AA1033" s="192">
        <v>4.9420000000000002</v>
      </c>
      <c r="AB1033" s="3">
        <v>1.9019999999999999</v>
      </c>
      <c r="AC1033" s="3">
        <v>3.492</v>
      </c>
      <c r="AD1033" s="3">
        <v>5.04</v>
      </c>
      <c r="AE1033" s="3">
        <v>1.8979999999999999</v>
      </c>
      <c r="AF1033" s="3">
        <v>3.5139999999999998</v>
      </c>
      <c r="AG1033" s="3">
        <v>5.093</v>
      </c>
      <c r="AH1033" s="194">
        <v>1.8540000000000001</v>
      </c>
      <c r="AI1033" s="194">
        <v>3.4239999999999999</v>
      </c>
      <c r="AJ1033" s="194">
        <v>4.9420000000000002</v>
      </c>
      <c r="AK1033" s="130"/>
      <c r="AL1033" s="203">
        <v>11.16</v>
      </c>
      <c r="AM1033" s="203">
        <v>11.16</v>
      </c>
      <c r="AN1033" s="3">
        <v>11.99</v>
      </c>
      <c r="AO1033" s="3">
        <v>11.31</v>
      </c>
      <c r="AP1033" s="137"/>
      <c r="AQ1033" s="132">
        <v>11.16</v>
      </c>
      <c r="AR1033" s="132">
        <v>11.31</v>
      </c>
      <c r="AS1033" s="3">
        <v>18.3</v>
      </c>
      <c r="AT1033" s="3">
        <v>17.2</v>
      </c>
      <c r="AU1033" s="3">
        <v>18.100000000000001</v>
      </c>
      <c r="AV1033" s="3"/>
      <c r="AW1033" s="192"/>
      <c r="AX1033" s="133">
        <v>18.3</v>
      </c>
      <c r="AY1033" s="195">
        <v>250</v>
      </c>
      <c r="AZ1033" s="40">
        <v>10</v>
      </c>
      <c r="BA1033" s="40"/>
      <c r="BB1033" s="40"/>
      <c r="BC1033" s="40"/>
      <c r="BD1033" s="135">
        <v>1361.2049684110925</v>
      </c>
      <c r="BE1033" s="135">
        <v>1356.2543070916556</v>
      </c>
      <c r="BF1033" s="40"/>
      <c r="BG1033" s="213">
        <v>545.65979985768274</v>
      </c>
      <c r="BH1033" s="135">
        <v>589.29557119638889</v>
      </c>
      <c r="BI1033" s="49">
        <f>IFERROR(SUM(paper3[[#This Row],[Kraft ikke-dominant]:[Kraft dominant]]),"")</f>
        <v>2717.4592755027479</v>
      </c>
      <c r="BJ1033" s="49">
        <f>IFERROR(SUM(paper3[[#This Row],[Pwr ikke-dominant]:[Pwr dominant]]),"")</f>
        <v>1134.9553710540717</v>
      </c>
      <c r="BK1033" s="66"/>
      <c r="BL1033" s="66"/>
      <c r="BM1033" s="51" t="str">
        <f>IFERROR(paper3[[#This Row],[totforce]]/paper3[[#This Row],[bodymass]],"")</f>
        <v/>
      </c>
      <c r="BN1033" s="51" t="str">
        <f>IFERROR(paper3[[#This Row],[totpwr]]/paper3[[#This Row],[bodymass]],"")</f>
        <v/>
      </c>
      <c r="BO1033" s="136"/>
      <c r="BP1033" s="40"/>
      <c r="BQ1033" s="40"/>
      <c r="BR1033" s="67"/>
      <c r="BS1033" s="54"/>
      <c r="BT1033" s="3"/>
      <c r="BU1033" s="3"/>
      <c r="BV1033" s="3"/>
      <c r="BW1033" s="3"/>
      <c r="BX1033" s="70"/>
      <c r="BY1033" s="70"/>
      <c r="BZ1033" s="59"/>
      <c r="CA1033" s="59"/>
      <c r="CB1033" s="59"/>
      <c r="CC1033" s="59"/>
      <c r="CD1033" s="60"/>
      <c r="CE1033" s="60"/>
      <c r="CF1033" s="61"/>
      <c r="CG1033" s="61"/>
      <c r="CH1033" s="61"/>
      <c r="CI1033" s="41">
        <v>13.2</v>
      </c>
      <c r="CJ1033" s="40">
        <f t="shared" si="19"/>
        <v>360</v>
      </c>
      <c r="CK1033" s="3"/>
      <c r="CL1033" s="62"/>
      <c r="CM1033" s="63"/>
      <c r="CN1033" s="3"/>
      <c r="CO1033" s="3"/>
      <c r="CP1033" s="41">
        <f>_xlfn.MAXIFS([1]!phvny[age],[1]!phvny[id],paper3[[#This Row],[id]],[1]!phvny[time],paper3[[#This Row],[time]])</f>
        <v>15.372222222222222</v>
      </c>
      <c r="CQ1033" s="3"/>
      <c r="CR1033" s="40"/>
      <c r="CS1033" s="40"/>
      <c r="CT1033" s="40"/>
      <c r="CU1033" s="40"/>
      <c r="CV1033" s="40"/>
      <c r="CW1033" s="40"/>
      <c r="CX1033" s="40"/>
      <c r="CY1033" s="40"/>
    </row>
    <row r="1034" spans="1:103" ht="18.95" customHeight="1">
      <c r="A1034" s="3">
        <v>847</v>
      </c>
      <c r="B1034" s="92" t="s">
        <v>199</v>
      </c>
      <c r="C1034" s="3" t="s">
        <v>104</v>
      </c>
      <c r="D1034" s="46" t="s">
        <v>269</v>
      </c>
      <c r="E1034" s="39">
        <v>45797</v>
      </c>
      <c r="F1034" s="3" t="s">
        <v>186</v>
      </c>
      <c r="G1034" s="3" t="s">
        <v>107</v>
      </c>
      <c r="H1034" s="3">
        <v>2010</v>
      </c>
      <c r="I1034" s="40" t="str">
        <f t="shared" si="20"/>
        <v>U14</v>
      </c>
      <c r="J1034" s="40" t="s">
        <v>109</v>
      </c>
      <c r="K1034" s="3">
        <v>158.6</v>
      </c>
      <c r="L1034" s="3">
        <v>158.6</v>
      </c>
      <c r="M1034" s="3"/>
      <c r="N1034" s="3">
        <v>82.8</v>
      </c>
      <c r="O1034" s="3"/>
      <c r="P1034" s="3" t="s">
        <v>290</v>
      </c>
      <c r="Q1034" s="3">
        <v>54.4</v>
      </c>
      <c r="R1034" s="3">
        <v>54.4</v>
      </c>
      <c r="S1034" s="3"/>
      <c r="T1034" s="42">
        <v>158.6</v>
      </c>
      <c r="U1034" s="42">
        <v>82.8</v>
      </c>
      <c r="V1034" s="199">
        <f>paper3[[#This Row],[height]]-paper3[[#This Row],[sittingheight]]</f>
        <v>75.8</v>
      </c>
      <c r="W1034" s="73">
        <v>54.4</v>
      </c>
      <c r="X1034" s="43" cm="1">
        <f t="array" ref="X1034">INDEX([1]!phvny[yphv], MATCH(1, (paper3[[#This Row],[id]]=[1]!phvny[id])*(paper3[[#This Row],[time]]=[1]!phvny[time]), 0))</f>
        <v>2.1165960013571525</v>
      </c>
      <c r="Y1034" s="200" t="s">
        <v>328</v>
      </c>
      <c r="Z1034" s="3" t="s">
        <v>329</v>
      </c>
      <c r="AA1034" s="192" t="s">
        <v>330</v>
      </c>
      <c r="AB1034" s="3">
        <v>1.758</v>
      </c>
      <c r="AC1034" s="3">
        <v>3.258</v>
      </c>
      <c r="AD1034" s="3">
        <v>4.702</v>
      </c>
      <c r="AE1034" s="3">
        <v>1.7609999999999999</v>
      </c>
      <c r="AF1034" s="3">
        <v>3.2719999999999998</v>
      </c>
      <c r="AG1034" s="3">
        <v>4.7210000000000001</v>
      </c>
      <c r="AH1034" s="193">
        <f>MIN(Y1034,AB1034,AE1034)</f>
        <v>1.758</v>
      </c>
      <c r="AI1034" s="193">
        <f>MIN(Z1034,AC1034,AF1034)</f>
        <v>3.258</v>
      </c>
      <c r="AJ1034" s="193">
        <f>MIN(AA1034,AD1034,AG1034)</f>
        <v>4.702</v>
      </c>
      <c r="AK1034" s="130"/>
      <c r="AL1034" s="203">
        <v>10.61</v>
      </c>
      <c r="AM1034" s="203">
        <v>10.57</v>
      </c>
      <c r="AN1034" s="3">
        <v>10.86</v>
      </c>
      <c r="AO1034" s="3">
        <v>10.9</v>
      </c>
      <c r="AP1034" s="137"/>
      <c r="AQ1034" s="132">
        <v>10.57</v>
      </c>
      <c r="AR1034" s="132">
        <v>10.86</v>
      </c>
      <c r="AS1034" s="3">
        <v>25.5</v>
      </c>
      <c r="AT1034" s="3">
        <v>22.5</v>
      </c>
      <c r="AU1034" s="3">
        <v>23.1</v>
      </c>
      <c r="AV1034" s="3"/>
      <c r="AW1034" s="192"/>
      <c r="AX1034" s="133">
        <v>25.5</v>
      </c>
      <c r="AY1034" s="195">
        <v>250</v>
      </c>
      <c r="AZ1034" s="40">
        <v>9</v>
      </c>
      <c r="BA1034" s="40"/>
      <c r="BB1034" s="40"/>
      <c r="BC1034" s="40"/>
      <c r="BD1034" s="135">
        <v>1161.8125026268499</v>
      </c>
      <c r="BE1034" s="135">
        <v>1285.1249785383916</v>
      </c>
      <c r="BF1034" s="40"/>
      <c r="BG1034" s="213">
        <v>332.11896127931095</v>
      </c>
      <c r="BH1034" s="135">
        <v>361.22558435825039</v>
      </c>
      <c r="BI1034" s="49">
        <f>IFERROR(SUM(paper3[[#This Row],[Kraft ikke-dominant]:[Kraft dominant]]),"")</f>
        <v>2446.9374811652415</v>
      </c>
      <c r="BJ1034" s="49">
        <f>IFERROR(SUM(paper3[[#This Row],[Pwr ikke-dominant]:[Pwr dominant]]),"")</f>
        <v>693.3445456375614</v>
      </c>
      <c r="BK1034" s="66"/>
      <c r="BL1034" s="66"/>
      <c r="BM1034" s="51">
        <f>IFERROR(paper3[[#This Row],[totforce]]/paper3[[#This Row],[bodymass]],"")</f>
        <v>44.980468403772825</v>
      </c>
      <c r="BN1034" s="51">
        <f>IFERROR(paper3[[#This Row],[totpwr]]/paper3[[#This Row],[bodymass]],"")</f>
        <v>12.745304147749291</v>
      </c>
      <c r="BO1034" s="136"/>
      <c r="BP1034" s="40"/>
      <c r="BQ1034" s="40"/>
      <c r="BR1034" s="67"/>
      <c r="BS1034" s="54"/>
      <c r="BT1034" s="3"/>
      <c r="BU1034" s="3"/>
      <c r="BV1034" s="3"/>
      <c r="BW1034" s="3"/>
      <c r="BX1034" s="70"/>
      <c r="BY1034" s="70"/>
      <c r="BZ1034" s="59"/>
      <c r="CA1034" s="59"/>
      <c r="CB1034" s="59"/>
      <c r="CC1034" s="59"/>
      <c r="CD1034" s="60"/>
      <c r="CE1034" s="60"/>
      <c r="CF1034" s="61"/>
      <c r="CG1034" s="61"/>
      <c r="CH1034" s="61"/>
      <c r="CI1034" s="41">
        <v>14.6</v>
      </c>
      <c r="CJ1034" s="40">
        <f t="shared" si="19"/>
        <v>680</v>
      </c>
      <c r="CK1034" s="3"/>
      <c r="CL1034" s="62"/>
      <c r="CM1034" s="63"/>
      <c r="CN1034" s="3"/>
      <c r="CO1034" s="3"/>
      <c r="CP1034" s="41">
        <f>_xlfn.MAXIFS([1]!phvny[age],[1]!phvny[id],paper3[[#This Row],[id]],[1]!phvny[time],paper3[[#This Row],[time]])</f>
        <v>15.169444444444444</v>
      </c>
      <c r="CQ1034" s="3"/>
      <c r="CR1034" s="40"/>
      <c r="CS1034" s="40"/>
      <c r="CT1034" s="40"/>
      <c r="CU1034" s="40"/>
      <c r="CV1034" s="40"/>
      <c r="CW1034" s="40"/>
      <c r="CX1034" s="40"/>
      <c r="CY1034" s="40"/>
    </row>
    <row r="1035" spans="1:103" ht="18.95" customHeight="1">
      <c r="A1035" s="3">
        <v>848</v>
      </c>
      <c r="B1035" s="92" t="s">
        <v>199</v>
      </c>
      <c r="C1035" s="3" t="s">
        <v>171</v>
      </c>
      <c r="D1035" s="46" t="s">
        <v>269</v>
      </c>
      <c r="E1035" s="39">
        <v>45797</v>
      </c>
      <c r="F1035" s="3" t="s">
        <v>186</v>
      </c>
      <c r="G1035" s="3" t="s">
        <v>107</v>
      </c>
      <c r="H1035" s="3">
        <v>2010</v>
      </c>
      <c r="I1035" s="40" t="str">
        <f t="shared" si="20"/>
        <v>U14</v>
      </c>
      <c r="J1035" s="40" t="s">
        <v>109</v>
      </c>
      <c r="K1035" s="3">
        <v>168.3</v>
      </c>
      <c r="L1035" s="3">
        <v>168.3</v>
      </c>
      <c r="M1035" s="3"/>
      <c r="N1035" s="3">
        <v>88.2</v>
      </c>
      <c r="O1035" s="3"/>
      <c r="P1035" s="3" t="s">
        <v>331</v>
      </c>
      <c r="Q1035" s="3">
        <v>66.400000000000006</v>
      </c>
      <c r="R1035" s="3">
        <v>66.400000000000006</v>
      </c>
      <c r="S1035" s="3"/>
      <c r="T1035" s="42">
        <v>168.3</v>
      </c>
      <c r="U1035" s="42">
        <v>88.2</v>
      </c>
      <c r="V1035" s="199">
        <f>paper3[[#This Row],[height]]-paper3[[#This Row],[sittingheight]]</f>
        <v>80.100000000000009</v>
      </c>
      <c r="W1035" s="73">
        <v>66.400000000000006</v>
      </c>
      <c r="X1035" s="43" cm="1">
        <f t="array" ref="X1035">INDEX([1]!phvny[yphv], MATCH(1, (paper3[[#This Row],[id]]=[1]!phvny[id])*(paper3[[#This Row],[time]]=[1]!phvny[time]), 0))</f>
        <v>2.5692917190683309</v>
      </c>
      <c r="Y1035" s="192">
        <v>1.982</v>
      </c>
      <c r="Z1035" s="3">
        <v>3.52</v>
      </c>
      <c r="AA1035" s="192">
        <v>5.0880000000000001</v>
      </c>
      <c r="AB1035" s="3">
        <v>1.9590000000000001</v>
      </c>
      <c r="AC1035" s="3">
        <v>3.593</v>
      </c>
      <c r="AD1035" s="3">
        <v>5.1609999999999996</v>
      </c>
      <c r="AE1035" s="3">
        <v>1.9319999999999999</v>
      </c>
      <c r="AF1035" s="3">
        <v>3.5619999999999998</v>
      </c>
      <c r="AG1035" s="3">
        <v>5.1420000000000003</v>
      </c>
      <c r="AH1035" s="194">
        <v>1.9319999999999999</v>
      </c>
      <c r="AI1035" s="194">
        <v>3.52</v>
      </c>
      <c r="AJ1035" s="194">
        <v>5.0880000000000001</v>
      </c>
      <c r="AK1035" s="130"/>
      <c r="AL1035" s="203">
        <v>11.4</v>
      </c>
      <c r="AM1035" s="203">
        <v>11.33</v>
      </c>
      <c r="AN1035" s="3">
        <v>11.48</v>
      </c>
      <c r="AO1035" s="3">
        <v>11.42</v>
      </c>
      <c r="AP1035" s="137"/>
      <c r="AQ1035" s="132">
        <v>11.33</v>
      </c>
      <c r="AR1035" s="132">
        <v>11.42</v>
      </c>
      <c r="AS1035" s="3">
        <v>20.100000000000001</v>
      </c>
      <c r="AT1035" s="3">
        <v>17.8</v>
      </c>
      <c r="AU1035" s="3">
        <v>18.7</v>
      </c>
      <c r="AV1035" s="3"/>
      <c r="AW1035" s="192"/>
      <c r="AX1035" s="133">
        <v>20.100000000000001</v>
      </c>
      <c r="AY1035" s="195">
        <v>250</v>
      </c>
      <c r="AZ1035" s="40">
        <v>10</v>
      </c>
      <c r="BA1035" s="40"/>
      <c r="BB1035" s="40"/>
      <c r="BC1035" s="40"/>
      <c r="BD1035" s="135">
        <v>1305.4821489578876</v>
      </c>
      <c r="BE1035" s="135">
        <v>1392.7976998010922</v>
      </c>
      <c r="BF1035" s="40"/>
      <c r="BG1035" s="213">
        <v>446.05952801651307</v>
      </c>
      <c r="BH1035" s="135">
        <v>386.79652064292986</v>
      </c>
      <c r="BI1035" s="49">
        <f>IFERROR(SUM(paper3[[#This Row],[Kraft ikke-dominant]:[Kraft dominant]]),"")</f>
        <v>2698.2798487589798</v>
      </c>
      <c r="BJ1035" s="49">
        <f>IFERROR(SUM(paper3[[#This Row],[Pwr ikke-dominant]:[Pwr dominant]]),"")</f>
        <v>832.85604865944288</v>
      </c>
      <c r="BK1035" s="66"/>
      <c r="BL1035" s="66"/>
      <c r="BM1035" s="51">
        <f>IFERROR(paper3[[#This Row],[totforce]]/paper3[[#This Row],[bodymass]],"")</f>
        <v>40.636744710225599</v>
      </c>
      <c r="BN1035" s="51">
        <f>IFERROR(paper3[[#This Row],[totpwr]]/paper3[[#This Row],[bodymass]],"")</f>
        <v>12.543012781015705</v>
      </c>
      <c r="BO1035" s="136"/>
      <c r="BP1035" s="40"/>
      <c r="BQ1035" s="40"/>
      <c r="BR1035" s="67"/>
      <c r="BS1035" s="54"/>
      <c r="BT1035" s="3"/>
      <c r="BU1035" s="3"/>
      <c r="BV1035" s="3"/>
      <c r="BW1035" s="3"/>
      <c r="BX1035" s="70"/>
      <c r="BY1035" s="70"/>
      <c r="BZ1035" s="59"/>
      <c r="CA1035" s="59"/>
      <c r="CB1035" s="59"/>
      <c r="CC1035" s="59"/>
      <c r="CD1035" s="60"/>
      <c r="CE1035" s="60"/>
      <c r="CF1035" s="61"/>
      <c r="CG1035" s="61"/>
      <c r="CH1035" s="61"/>
      <c r="CI1035" s="41">
        <v>15.2</v>
      </c>
      <c r="CJ1035" s="40">
        <f t="shared" si="19"/>
        <v>840</v>
      </c>
      <c r="CK1035" s="3"/>
      <c r="CL1035" s="62"/>
      <c r="CM1035" s="63"/>
      <c r="CN1035" s="3"/>
      <c r="CO1035" s="3"/>
      <c r="CP1035" s="41">
        <f>_xlfn.MAXIFS([1]!phvny[age],[1]!phvny[id],paper3[[#This Row],[id]],[1]!phvny[time],paper3[[#This Row],[time]])</f>
        <v>14.722222222222221</v>
      </c>
      <c r="CQ1035" s="3"/>
      <c r="CR1035" s="40"/>
      <c r="CS1035" s="40"/>
      <c r="CT1035" s="40"/>
      <c r="CU1035" s="40"/>
      <c r="CV1035" s="40"/>
      <c r="CW1035" s="40"/>
      <c r="CX1035" s="40"/>
      <c r="CY1035" s="40"/>
    </row>
    <row r="1036" spans="1:103" ht="18.95" customHeight="1">
      <c r="A1036" s="3">
        <v>849</v>
      </c>
      <c r="B1036" s="92" t="s">
        <v>199</v>
      </c>
      <c r="C1036" s="3" t="s">
        <v>104</v>
      </c>
      <c r="D1036" s="46" t="s">
        <v>269</v>
      </c>
      <c r="E1036" s="39">
        <v>45797</v>
      </c>
      <c r="F1036" s="3" t="s">
        <v>186</v>
      </c>
      <c r="G1036" s="3" t="s">
        <v>107</v>
      </c>
      <c r="H1036" s="3">
        <v>2010</v>
      </c>
      <c r="I1036" s="40" t="str">
        <f t="shared" si="20"/>
        <v>U14</v>
      </c>
      <c r="J1036" s="40" t="s">
        <v>109</v>
      </c>
      <c r="K1036" s="3">
        <v>175</v>
      </c>
      <c r="L1036" s="3">
        <v>175</v>
      </c>
      <c r="M1036" s="3"/>
      <c r="N1036" s="3">
        <v>91.1</v>
      </c>
      <c r="O1036" s="3"/>
      <c r="P1036" s="3" t="s">
        <v>332</v>
      </c>
      <c r="Q1036" s="3">
        <v>49.3</v>
      </c>
      <c r="R1036" s="3">
        <v>49.3</v>
      </c>
      <c r="S1036" s="3"/>
      <c r="T1036" s="42">
        <v>175</v>
      </c>
      <c r="U1036" s="42">
        <v>91.1</v>
      </c>
      <c r="V1036" s="199">
        <f>paper3[[#This Row],[height]]-paper3[[#This Row],[sittingheight]]</f>
        <v>83.9</v>
      </c>
      <c r="W1036" s="73">
        <v>49.3</v>
      </c>
      <c r="X1036" s="43" cm="1">
        <f t="array" ref="X1036">INDEX([1]!phvny[yphv], MATCH(1, (paper3[[#This Row],[id]]=[1]!phvny[id])*(paper3[[#This Row],[time]]=[1]!phvny[time]), 0))</f>
        <v>3.0698426052222221</v>
      </c>
      <c r="Y1036" s="192">
        <v>2</v>
      </c>
      <c r="Z1036" s="3">
        <v>3.6970000000000001</v>
      </c>
      <c r="AA1036" s="192">
        <v>5.3410000000000002</v>
      </c>
      <c r="AB1036" s="3">
        <v>2.02</v>
      </c>
      <c r="AC1036" s="3">
        <v>3.7160000000000002</v>
      </c>
      <c r="AD1036" s="3">
        <v>5.3849999999999998</v>
      </c>
      <c r="AE1036" s="3">
        <v>2.008</v>
      </c>
      <c r="AF1036" s="3">
        <v>3.7690000000000001</v>
      </c>
      <c r="AG1036" s="3">
        <v>5.4480000000000004</v>
      </c>
      <c r="AH1036" s="194">
        <v>2</v>
      </c>
      <c r="AI1036" s="194">
        <v>3.6970000000000001</v>
      </c>
      <c r="AJ1036" s="194">
        <v>5.3410000000000002</v>
      </c>
      <c r="AK1036" s="130"/>
      <c r="AL1036" s="203"/>
      <c r="AM1036" s="203">
        <v>11.74</v>
      </c>
      <c r="AN1036" s="3">
        <v>11.38</v>
      </c>
      <c r="AO1036" s="3">
        <v>11.78</v>
      </c>
      <c r="AP1036" s="137"/>
      <c r="AQ1036" s="132">
        <v>11.74</v>
      </c>
      <c r="AR1036" s="132">
        <v>11.38</v>
      </c>
      <c r="AS1036" s="3">
        <v>18.8</v>
      </c>
      <c r="AT1036" s="3">
        <v>17.8</v>
      </c>
      <c r="AU1036" s="3">
        <v>17.399999999999999</v>
      </c>
      <c r="AV1036" s="3"/>
      <c r="AW1036" s="192"/>
      <c r="AX1036" s="133">
        <v>18.8</v>
      </c>
      <c r="AY1036" s="195">
        <v>250</v>
      </c>
      <c r="AZ1036" s="40">
        <v>10</v>
      </c>
      <c r="BA1036" s="40"/>
      <c r="BB1036" s="40"/>
      <c r="BC1036" s="40"/>
      <c r="BD1036" s="135">
        <v>653.01322147347389</v>
      </c>
      <c r="BE1036" s="135">
        <v>644.85297124744989</v>
      </c>
      <c r="BF1036" s="40"/>
      <c r="BG1036" s="213">
        <v>207.09627134959032</v>
      </c>
      <c r="BH1036" s="135">
        <v>206.91630773697869</v>
      </c>
      <c r="BI1036" s="49">
        <f>IFERROR(SUM(paper3[[#This Row],[Kraft ikke-dominant]:[Kraft dominant]]),"")</f>
        <v>1297.8661927209237</v>
      </c>
      <c r="BJ1036" s="49">
        <f>IFERROR(SUM(paper3[[#This Row],[Pwr ikke-dominant]:[Pwr dominant]]),"")</f>
        <v>414.01257908656902</v>
      </c>
      <c r="BK1036" s="66"/>
      <c r="BL1036" s="66"/>
      <c r="BM1036" s="51">
        <f>IFERROR(paper3[[#This Row],[totforce]]/paper3[[#This Row],[bodymass]],"")</f>
        <v>26.325886262087703</v>
      </c>
      <c r="BN1036" s="51">
        <f>IFERROR(paper3[[#This Row],[totpwr]]/paper3[[#This Row],[bodymass]],"")</f>
        <v>8.3978210768066734</v>
      </c>
      <c r="BO1036" s="136"/>
      <c r="BP1036" s="40"/>
      <c r="BQ1036" s="40"/>
      <c r="BR1036" s="67"/>
      <c r="BS1036" s="54"/>
      <c r="BT1036" s="3"/>
      <c r="BU1036" s="3"/>
      <c r="BV1036" s="3"/>
      <c r="BW1036" s="3"/>
      <c r="BX1036" s="70"/>
      <c r="BY1036" s="70"/>
      <c r="BZ1036" s="59"/>
      <c r="CA1036" s="59"/>
      <c r="CB1036" s="59"/>
      <c r="CC1036" s="59"/>
      <c r="CD1036" s="60"/>
      <c r="CE1036" s="60"/>
      <c r="CF1036" s="61"/>
      <c r="CG1036" s="61"/>
      <c r="CH1036" s="61"/>
      <c r="CI1036" s="41">
        <v>14.4</v>
      </c>
      <c r="CJ1036" s="40">
        <f t="shared" si="19"/>
        <v>600</v>
      </c>
      <c r="CK1036" s="3"/>
      <c r="CL1036" s="62"/>
      <c r="CM1036" s="63"/>
      <c r="CN1036" s="3"/>
      <c r="CO1036" s="3"/>
      <c r="CP1036" s="41">
        <f>_xlfn.MAXIFS([1]!phvny[age],[1]!phvny[id],paper3[[#This Row],[id]],[1]!phvny[time],paper3[[#This Row],[time]])</f>
        <v>15.094444444444445</v>
      </c>
      <c r="CQ1036" s="3"/>
      <c r="CR1036" s="40"/>
      <c r="CS1036" s="40"/>
      <c r="CT1036" s="40"/>
      <c r="CU1036" s="40"/>
      <c r="CV1036" s="40"/>
      <c r="CW1036" s="40"/>
      <c r="CX1036" s="40"/>
      <c r="CY1036" s="40"/>
    </row>
    <row r="1037" spans="1:103" ht="18.95" customHeight="1">
      <c r="A1037" s="3">
        <v>851</v>
      </c>
      <c r="B1037" s="92" t="s">
        <v>199</v>
      </c>
      <c r="C1037" s="3" t="s">
        <v>171</v>
      </c>
      <c r="D1037" s="46" t="s">
        <v>269</v>
      </c>
      <c r="E1037" s="39">
        <v>45797</v>
      </c>
      <c r="F1037" s="3" t="s">
        <v>186</v>
      </c>
      <c r="G1037" s="3" t="s">
        <v>107</v>
      </c>
      <c r="H1037" s="3">
        <v>2010</v>
      </c>
      <c r="I1037" s="40" t="str">
        <f t="shared" si="20"/>
        <v>U14</v>
      </c>
      <c r="J1037" s="40" t="s">
        <v>109</v>
      </c>
      <c r="K1037" s="3">
        <v>161</v>
      </c>
      <c r="L1037" s="3">
        <v>161</v>
      </c>
      <c r="M1037" s="3"/>
      <c r="N1037" s="3">
        <v>85</v>
      </c>
      <c r="O1037" s="3"/>
      <c r="P1037" s="3" t="s">
        <v>333</v>
      </c>
      <c r="Q1037" s="3">
        <v>49.7</v>
      </c>
      <c r="R1037" s="3">
        <v>49.7</v>
      </c>
      <c r="S1037" s="3"/>
      <c r="T1037" s="42">
        <v>161</v>
      </c>
      <c r="U1037" s="42">
        <v>85</v>
      </c>
      <c r="V1037" s="199">
        <f>paper3[[#This Row],[height]]-paper3[[#This Row],[sittingheight]]</f>
        <v>76</v>
      </c>
      <c r="W1037" s="73">
        <v>49.7</v>
      </c>
      <c r="X1037" s="43" cm="1">
        <f t="array" ref="X1037">INDEX([1]!phvny[yphv], MATCH(1, (paper3[[#This Row],[id]]=[1]!phvny[id])*(paper3[[#This Row],[time]]=[1]!phvny[time]), 0))</f>
        <v>2.0539314343961346</v>
      </c>
      <c r="Y1037" s="192">
        <v>1.909</v>
      </c>
      <c r="Z1037" s="3">
        <v>3.4220000000000002</v>
      </c>
      <c r="AA1037" s="192">
        <v>4.9720000000000004</v>
      </c>
      <c r="AB1037" s="3">
        <v>1.9430000000000001</v>
      </c>
      <c r="AC1037" s="3">
        <v>3.5310000000000001</v>
      </c>
      <c r="AD1037" s="3">
        <v>5.0759999999999996</v>
      </c>
      <c r="AE1037" s="3">
        <v>1.921</v>
      </c>
      <c r="AF1037" s="3">
        <v>3.5379999999999998</v>
      </c>
      <c r="AG1037" s="3">
        <v>5.1239999999999997</v>
      </c>
      <c r="AH1037" s="194">
        <v>1.909</v>
      </c>
      <c r="AI1037" s="194">
        <v>3.4220000000000002</v>
      </c>
      <c r="AJ1037" s="194">
        <v>4.9720000000000004</v>
      </c>
      <c r="AK1037" s="130"/>
      <c r="AL1037" s="203">
        <v>10.4</v>
      </c>
      <c r="AM1037" s="203">
        <v>10.75</v>
      </c>
      <c r="AN1037" s="3">
        <v>10.98</v>
      </c>
      <c r="AO1037" s="3">
        <v>10.96</v>
      </c>
      <c r="AP1037" s="137"/>
      <c r="AQ1037" s="132">
        <v>10.4</v>
      </c>
      <c r="AR1037" s="132">
        <v>10.96</v>
      </c>
      <c r="AS1037" s="3">
        <v>14.6</v>
      </c>
      <c r="AT1037" s="3">
        <v>16.8</v>
      </c>
      <c r="AU1037" s="3">
        <v>16.399999999999999</v>
      </c>
      <c r="AV1037" s="3"/>
      <c r="AW1037" s="192"/>
      <c r="AX1037" s="133">
        <v>16.8</v>
      </c>
      <c r="AY1037" s="195">
        <v>250</v>
      </c>
      <c r="AZ1037" s="40">
        <v>9</v>
      </c>
      <c r="BA1037" s="40"/>
      <c r="BB1037" s="40"/>
      <c r="BC1037" s="40"/>
      <c r="BD1037" s="135">
        <v>920.95639222351315</v>
      </c>
      <c r="BE1037" s="135">
        <v>1014.2970078440691</v>
      </c>
      <c r="BF1037" s="40"/>
      <c r="BG1037" s="213">
        <v>318.08101737428672</v>
      </c>
      <c r="BH1037" s="135">
        <v>344.83555942554312</v>
      </c>
      <c r="BI1037" s="49">
        <f>IFERROR(SUM(paper3[[#This Row],[Kraft ikke-dominant]:[Kraft dominant]]),"")</f>
        <v>1935.2534000675823</v>
      </c>
      <c r="BJ1037" s="49">
        <f>IFERROR(SUM(paper3[[#This Row],[Pwr ikke-dominant]:[Pwr dominant]]),"")</f>
        <v>662.91657679982984</v>
      </c>
      <c r="BK1037" s="66"/>
      <c r="BL1037" s="66"/>
      <c r="BM1037" s="51">
        <f>IFERROR(paper3[[#This Row],[totforce]]/paper3[[#This Row],[bodymass]],"")</f>
        <v>38.938700202567048</v>
      </c>
      <c r="BN1037" s="51">
        <f>IFERROR(paper3[[#This Row],[totpwr]]/paper3[[#This Row],[bodymass]],"")</f>
        <v>13.338361706234</v>
      </c>
      <c r="BO1037" s="136"/>
      <c r="BP1037" s="40"/>
      <c r="BQ1037" s="40"/>
      <c r="BR1037" s="67"/>
      <c r="BS1037" s="54"/>
      <c r="BT1037" s="3"/>
      <c r="BU1037" s="3"/>
      <c r="BV1037" s="3"/>
      <c r="BW1037" s="3"/>
      <c r="BX1037" s="70"/>
      <c r="BY1037" s="70"/>
      <c r="BZ1037" s="59"/>
      <c r="CA1037" s="59"/>
      <c r="CB1037" s="59"/>
      <c r="CC1037" s="59"/>
      <c r="CD1037" s="60"/>
      <c r="CE1037" s="60"/>
      <c r="CF1037" s="61"/>
      <c r="CG1037" s="61"/>
      <c r="CH1037" s="61"/>
      <c r="CI1037" s="41">
        <v>14.2</v>
      </c>
      <c r="CJ1037" s="40">
        <f t="shared" si="19"/>
        <v>520</v>
      </c>
      <c r="CK1037" s="3"/>
      <c r="CL1037" s="62"/>
      <c r="CM1037" s="63"/>
      <c r="CN1037" s="3"/>
      <c r="CO1037" s="3"/>
      <c r="CP1037" s="41">
        <f>_xlfn.MAXIFS([1]!phvny[age],[1]!phvny[id],paper3[[#This Row],[id]],[1]!phvny[time],paper3[[#This Row],[time]])</f>
        <v>14.747222222222222</v>
      </c>
      <c r="CQ1037" s="3"/>
      <c r="CR1037" s="40"/>
      <c r="CS1037" s="40"/>
      <c r="CT1037" s="40"/>
      <c r="CU1037" s="40"/>
      <c r="CV1037" s="40"/>
      <c r="CW1037" s="40"/>
      <c r="CX1037" s="40"/>
      <c r="CY1037" s="40"/>
    </row>
    <row r="1038" spans="1:103" ht="18.75">
      <c r="A1038" s="3">
        <v>852</v>
      </c>
      <c r="B1038" s="92" t="s">
        <v>199</v>
      </c>
      <c r="C1038" s="3" t="s">
        <v>171</v>
      </c>
      <c r="D1038" s="46" t="s">
        <v>269</v>
      </c>
      <c r="E1038" s="39">
        <v>45797</v>
      </c>
      <c r="F1038" s="3" t="s">
        <v>186</v>
      </c>
      <c r="G1038" s="3" t="s">
        <v>107</v>
      </c>
      <c r="H1038" s="3">
        <v>2010</v>
      </c>
      <c r="I1038" s="40" t="str">
        <f t="shared" si="20"/>
        <v>U14</v>
      </c>
      <c r="J1038" s="40" t="s">
        <v>109</v>
      </c>
      <c r="K1038" s="3">
        <v>162.5</v>
      </c>
      <c r="L1038" s="3">
        <v>162.6</v>
      </c>
      <c r="M1038" s="3"/>
      <c r="N1038" s="3">
        <v>86.1</v>
      </c>
      <c r="O1038" s="3"/>
      <c r="P1038" s="3" t="s">
        <v>325</v>
      </c>
      <c r="Q1038" s="3">
        <v>78.099999999999994</v>
      </c>
      <c r="R1038" s="3">
        <v>78.099999999999994</v>
      </c>
      <c r="S1038" s="3"/>
      <c r="T1038" s="42">
        <v>162.55000000000001</v>
      </c>
      <c r="U1038" s="42">
        <v>86.1</v>
      </c>
      <c r="V1038" s="199">
        <f>paper3[[#This Row],[height]]-paper3[[#This Row],[sittingheight]]</f>
        <v>76.450000000000017</v>
      </c>
      <c r="W1038" s="73">
        <v>78.099999999999994</v>
      </c>
      <c r="X1038" s="43" cm="1">
        <f t="array" ref="X1038">INDEX([1]!phvny[yphv], MATCH(1, (paper3[[#This Row],[id]]=[1]!phvny[id])*(paper3[[#This Row],[time]]=[1]!phvny[time]), 0))</f>
        <v>2.2619081286443827</v>
      </c>
      <c r="Y1038" s="192">
        <v>1.9570000000000001</v>
      </c>
      <c r="Z1038" s="3">
        <v>3.5990000000000002</v>
      </c>
      <c r="AA1038" s="192">
        <v>5.157</v>
      </c>
      <c r="AB1038" s="3">
        <v>2.0449999999999999</v>
      </c>
      <c r="AC1038" s="3">
        <v>3.698</v>
      </c>
      <c r="AD1038" s="3">
        <v>5.2969999999999997</v>
      </c>
      <c r="AE1038" s="3">
        <v>2.04</v>
      </c>
      <c r="AF1038" s="3">
        <v>3.7280000000000002</v>
      </c>
      <c r="AG1038" s="3">
        <v>5.3769999999999998</v>
      </c>
      <c r="AH1038" s="194">
        <v>1.9570000000000001</v>
      </c>
      <c r="AI1038" s="194">
        <v>3.5990000000000002</v>
      </c>
      <c r="AJ1038" s="194">
        <v>5.157</v>
      </c>
      <c r="AK1038" s="130"/>
      <c r="AL1038" s="203">
        <v>11.88</v>
      </c>
      <c r="AM1038" s="203">
        <v>11.6</v>
      </c>
      <c r="AN1038" s="3">
        <v>12.26</v>
      </c>
      <c r="AO1038" s="3">
        <v>12.21</v>
      </c>
      <c r="AP1038" s="137"/>
      <c r="AQ1038" s="132">
        <v>11.6</v>
      </c>
      <c r="AR1038" s="132">
        <v>12.21</v>
      </c>
      <c r="AS1038" s="3">
        <v>16.899999999999999</v>
      </c>
      <c r="AT1038" s="3">
        <v>18</v>
      </c>
      <c r="AU1038" s="3">
        <v>18.5</v>
      </c>
      <c r="AV1038" s="3"/>
      <c r="AW1038" s="192"/>
      <c r="AX1038" s="133">
        <v>18.5</v>
      </c>
      <c r="AY1038" s="195">
        <v>250</v>
      </c>
      <c r="AZ1038" s="40">
        <v>9</v>
      </c>
      <c r="BA1038" s="40"/>
      <c r="BB1038" s="40"/>
      <c r="BC1038" s="40"/>
      <c r="BD1038" s="135">
        <v>1123.6972764403306</v>
      </c>
      <c r="BE1038" s="135">
        <v>1109.0439968226633</v>
      </c>
      <c r="BF1038" s="40"/>
      <c r="BG1038" s="213">
        <v>341.80930021555639</v>
      </c>
      <c r="BH1038" s="135">
        <v>251.63423956930038</v>
      </c>
      <c r="BI1038" s="49">
        <f>IFERROR(SUM(paper3[[#This Row],[Kraft ikke-dominant]:[Kraft dominant]]),"")</f>
        <v>2232.7412732629937</v>
      </c>
      <c r="BJ1038" s="49">
        <f>IFERROR(SUM(paper3[[#This Row],[Pwr ikke-dominant]:[Pwr dominant]]),"")</f>
        <v>593.44353978485674</v>
      </c>
      <c r="BK1038" s="66"/>
      <c r="BL1038" s="66"/>
      <c r="BM1038" s="51">
        <f>IFERROR(paper3[[#This Row],[totforce]]/paper3[[#This Row],[bodymass]],"")</f>
        <v>28.588236533457028</v>
      </c>
      <c r="BN1038" s="51">
        <f>IFERROR(paper3[[#This Row],[totpwr]]/paper3[[#This Row],[bodymass]],"")</f>
        <v>7.5985088320724303</v>
      </c>
      <c r="BO1038" s="136"/>
      <c r="BP1038" s="40"/>
      <c r="BQ1038" s="40"/>
      <c r="BR1038" s="67"/>
      <c r="BS1038" s="54"/>
      <c r="BT1038" s="3"/>
      <c r="BU1038" s="3"/>
      <c r="BV1038" s="3"/>
      <c r="BW1038" s="3"/>
      <c r="BX1038" s="70"/>
      <c r="BY1038" s="70"/>
      <c r="BZ1038" s="59"/>
      <c r="CA1038" s="59"/>
      <c r="CB1038" s="59"/>
      <c r="CC1038" s="59"/>
      <c r="CD1038" s="60"/>
      <c r="CE1038" s="60"/>
      <c r="CF1038" s="61"/>
      <c r="CG1038" s="61"/>
      <c r="CH1038" s="61"/>
      <c r="CI1038" s="41"/>
      <c r="CJ1038" s="40"/>
      <c r="CK1038" s="3"/>
      <c r="CL1038" s="62"/>
      <c r="CM1038" s="63"/>
      <c r="CN1038" s="3"/>
      <c r="CO1038" s="3"/>
      <c r="CP1038" s="41">
        <f>_xlfn.MAXIFS([1]!phvny[age],[1]!phvny[id],paper3[[#This Row],[id]],[1]!phvny[time],paper3[[#This Row],[time]])</f>
        <v>14.46111111111111</v>
      </c>
      <c r="CQ1038" s="3"/>
      <c r="CR1038" s="40"/>
      <c r="CS1038" s="40"/>
      <c r="CT1038" s="40"/>
      <c r="CU1038" s="40"/>
      <c r="CV1038" s="40"/>
      <c r="CW1038" s="40"/>
      <c r="CX1038" s="40"/>
      <c r="CY1038" s="40"/>
    </row>
    <row r="1039" spans="1:103" ht="18.75">
      <c r="A1039" s="3">
        <v>856</v>
      </c>
      <c r="B1039" s="92" t="s">
        <v>199</v>
      </c>
      <c r="C1039" s="3" t="s">
        <v>171</v>
      </c>
      <c r="D1039" s="46" t="s">
        <v>269</v>
      </c>
      <c r="E1039" s="39">
        <v>45797</v>
      </c>
      <c r="F1039" s="3" t="s">
        <v>186</v>
      </c>
      <c r="G1039" s="3" t="s">
        <v>107</v>
      </c>
      <c r="H1039" s="3">
        <v>2010</v>
      </c>
      <c r="I1039" s="40" t="str">
        <f t="shared" si="20"/>
        <v>U14</v>
      </c>
      <c r="J1039" s="40" t="s">
        <v>109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42"/>
      <c r="U1039" s="42"/>
      <c r="V1039" s="199"/>
      <c r="W1039" s="73"/>
      <c r="X1039" s="214"/>
      <c r="Y1039" s="192"/>
      <c r="Z1039" s="3"/>
      <c r="AA1039" s="192"/>
      <c r="AB1039" s="3"/>
      <c r="AC1039" s="3"/>
      <c r="AD1039" s="3"/>
      <c r="AE1039" s="3"/>
      <c r="AF1039" s="3"/>
      <c r="AG1039" s="3"/>
      <c r="AH1039" s="194"/>
      <c r="AI1039" s="194"/>
      <c r="AJ1039" s="194"/>
      <c r="AK1039" s="130"/>
      <c r="AL1039" s="203">
        <v>10.75</v>
      </c>
      <c r="AM1039" s="203">
        <v>10.77</v>
      </c>
      <c r="AN1039" s="3">
        <v>10.87</v>
      </c>
      <c r="AO1039" s="3">
        <v>11.12</v>
      </c>
      <c r="AP1039" s="137"/>
      <c r="AQ1039" s="132">
        <v>10.75</v>
      </c>
      <c r="AR1039" s="132">
        <v>10.87</v>
      </c>
      <c r="AS1039" s="3"/>
      <c r="AT1039" s="3"/>
      <c r="AU1039" s="3"/>
      <c r="AV1039" s="3"/>
      <c r="AW1039" s="192"/>
      <c r="AX1039" s="133"/>
      <c r="AY1039" s="195"/>
      <c r="AZ1039" s="40"/>
      <c r="BA1039" s="40"/>
      <c r="BB1039" s="40"/>
      <c r="BC1039" s="40"/>
      <c r="BD1039" s="135"/>
      <c r="BE1039" s="135"/>
      <c r="BF1039" s="40"/>
      <c r="BG1039" s="213"/>
      <c r="BH1039" s="135"/>
      <c r="BI1039" s="49"/>
      <c r="BJ1039" s="49"/>
      <c r="BK1039" s="66"/>
      <c r="BL1039" s="66"/>
      <c r="BM1039" s="51"/>
      <c r="BN1039" s="51"/>
      <c r="BO1039" s="136"/>
      <c r="BP1039" s="40"/>
      <c r="BQ1039" s="40"/>
      <c r="BR1039" s="67"/>
      <c r="BS1039" s="54"/>
      <c r="BT1039" s="3"/>
      <c r="BU1039" s="3"/>
      <c r="BV1039" s="3"/>
      <c r="BW1039" s="3"/>
      <c r="BX1039" s="70"/>
      <c r="BY1039" s="70"/>
      <c r="BZ1039" s="59"/>
      <c r="CA1039" s="59"/>
      <c r="CB1039" s="59"/>
      <c r="CC1039" s="59"/>
      <c r="CD1039" s="60"/>
      <c r="CE1039" s="60"/>
      <c r="CF1039" s="61"/>
      <c r="CG1039" s="61"/>
      <c r="CH1039" s="61"/>
      <c r="CI1039" s="41">
        <v>15.1</v>
      </c>
      <c r="CJ1039" s="40">
        <f t="shared" ref="CJ1039:CJ1041" si="21">VLOOKUP(CI1039,$DB:$DC,2)</f>
        <v>800</v>
      </c>
      <c r="CK1039" s="3"/>
      <c r="CL1039" s="62"/>
      <c r="CM1039" s="63"/>
      <c r="CN1039" s="3"/>
      <c r="CO1039" s="3"/>
      <c r="CP1039" s="41"/>
      <c r="CQ1039" s="3"/>
      <c r="CR1039" s="40"/>
      <c r="CS1039" s="40"/>
      <c r="CT1039" s="40"/>
      <c r="CU1039" s="40"/>
      <c r="CV1039" s="40"/>
      <c r="CW1039" s="40"/>
      <c r="CX1039" s="40"/>
      <c r="CY1039" s="40"/>
    </row>
    <row r="1040" spans="1:103" ht="18.75">
      <c r="A1040" s="3">
        <v>859</v>
      </c>
      <c r="B1040" s="92" t="s">
        <v>199</v>
      </c>
      <c r="C1040" s="3" t="s">
        <v>104</v>
      </c>
      <c r="D1040" s="46" t="s">
        <v>269</v>
      </c>
      <c r="E1040" s="39">
        <v>45797</v>
      </c>
      <c r="F1040" s="3" t="s">
        <v>186</v>
      </c>
      <c r="G1040" s="3" t="s">
        <v>107</v>
      </c>
      <c r="H1040" s="3">
        <v>2010</v>
      </c>
      <c r="I1040" s="40" t="str">
        <f t="shared" si="20"/>
        <v>U14</v>
      </c>
      <c r="J1040" s="40" t="s">
        <v>109</v>
      </c>
      <c r="K1040" s="3">
        <v>169.6</v>
      </c>
      <c r="L1040" s="3">
        <v>169.6</v>
      </c>
      <c r="M1040" s="3"/>
      <c r="N1040" s="3">
        <v>87</v>
      </c>
      <c r="O1040" s="3"/>
      <c r="P1040" s="3" t="s">
        <v>334</v>
      </c>
      <c r="Q1040" s="3">
        <v>62</v>
      </c>
      <c r="R1040" s="3">
        <v>62</v>
      </c>
      <c r="S1040" s="3"/>
      <c r="T1040" s="42">
        <v>169.6</v>
      </c>
      <c r="U1040" s="42">
        <v>87</v>
      </c>
      <c r="V1040" s="199">
        <f>paper3[[#This Row],[height]]-paper3[[#This Row],[sittingheight]]</f>
        <v>82.6</v>
      </c>
      <c r="W1040" s="73">
        <v>62</v>
      </c>
      <c r="X1040" s="43" cm="1">
        <f t="array" ref="X1040">INDEX([1]!phvny[yphv], MATCH(1, (paper3[[#This Row],[id]]=[1]!phvny[id])*(paper3[[#This Row],[time]]=[1]!phvny[time]), 0))</f>
        <v>2.7686669821907759</v>
      </c>
      <c r="Y1040" s="192">
        <v>2.0299999999999998</v>
      </c>
      <c r="Z1040" s="3">
        <v>3.7949999999999999</v>
      </c>
      <c r="AA1040" s="192">
        <v>5.55</v>
      </c>
      <c r="AB1040" s="3">
        <v>2.105</v>
      </c>
      <c r="AC1040" s="3">
        <v>3.8239999999999998</v>
      </c>
      <c r="AD1040" s="3">
        <v>5.6319999999999997</v>
      </c>
      <c r="AE1040" s="3">
        <v>2.0659999999999998</v>
      </c>
      <c r="AF1040" s="3">
        <v>3.8180000000000001</v>
      </c>
      <c r="AG1040" s="3">
        <v>5.5679999999999996</v>
      </c>
      <c r="AH1040" s="194">
        <v>2.0299999999999998</v>
      </c>
      <c r="AI1040" s="194">
        <v>3.7949999999999999</v>
      </c>
      <c r="AJ1040" s="194">
        <v>5.55</v>
      </c>
      <c r="AK1040" s="130"/>
      <c r="AL1040" s="203">
        <v>11.16</v>
      </c>
      <c r="AM1040" s="203">
        <v>11.36</v>
      </c>
      <c r="AN1040" s="3">
        <v>11.57</v>
      </c>
      <c r="AO1040" s="3">
        <v>11.44</v>
      </c>
      <c r="AP1040" s="137"/>
      <c r="AQ1040" s="132">
        <v>11.16</v>
      </c>
      <c r="AR1040" s="132">
        <v>11.44</v>
      </c>
      <c r="AS1040" s="3">
        <v>14.9</v>
      </c>
      <c r="AT1040" s="3">
        <v>15.2</v>
      </c>
      <c r="AU1040" s="3">
        <v>17.899999999999999</v>
      </c>
      <c r="AV1040" s="3"/>
      <c r="AW1040" s="192"/>
      <c r="AX1040" s="133">
        <v>17.899999999999999</v>
      </c>
      <c r="AY1040" s="195">
        <v>250</v>
      </c>
      <c r="AZ1040" s="40">
        <v>10</v>
      </c>
      <c r="BA1040" s="40"/>
      <c r="BB1040" s="40"/>
      <c r="BC1040" s="40"/>
      <c r="BD1040" s="135">
        <v>923.57434861252648</v>
      </c>
      <c r="BE1040" s="135">
        <v>1148.1123550027858</v>
      </c>
      <c r="BF1040" s="40"/>
      <c r="BG1040" s="213">
        <v>345.90086746366978</v>
      </c>
      <c r="BH1040" s="135">
        <v>325.80736473653769</v>
      </c>
      <c r="BI1040" s="49">
        <f>IFERROR(SUM(paper3[[#This Row],[Kraft ikke-dominant]:[Kraft dominant]]),"")</f>
        <v>2071.6867036153121</v>
      </c>
      <c r="BJ1040" s="49">
        <f>IFERROR(SUM(paper3[[#This Row],[Pwr ikke-dominant]:[Pwr dominant]]),"")</f>
        <v>671.70823220020748</v>
      </c>
      <c r="BK1040" s="66"/>
      <c r="BL1040" s="66"/>
      <c r="BM1040" s="51">
        <f>IFERROR(paper3[[#This Row],[totforce]]/paper3[[#This Row],[bodymass]],"")</f>
        <v>33.414301671214709</v>
      </c>
      <c r="BN1040" s="51">
        <f>IFERROR(paper3[[#This Row],[totpwr]]/paper3[[#This Row],[bodymass]],"")</f>
        <v>10.834003745164637</v>
      </c>
      <c r="BO1040" s="136"/>
      <c r="BP1040" s="40"/>
      <c r="BQ1040" s="40"/>
      <c r="BR1040" s="67"/>
      <c r="BS1040" s="54"/>
      <c r="BT1040" s="3"/>
      <c r="BU1040" s="3"/>
      <c r="BV1040" s="3"/>
      <c r="BW1040" s="3"/>
      <c r="BX1040" s="70"/>
      <c r="BY1040" s="70"/>
      <c r="BZ1040" s="59"/>
      <c r="CA1040" s="59"/>
      <c r="CB1040" s="59"/>
      <c r="CC1040" s="59"/>
      <c r="CD1040" s="60"/>
      <c r="CE1040" s="60"/>
      <c r="CF1040" s="61"/>
      <c r="CG1040" s="61"/>
      <c r="CH1040" s="61"/>
      <c r="CI1040" s="41">
        <v>13.1</v>
      </c>
      <c r="CJ1040" s="40">
        <f t="shared" si="21"/>
        <v>320</v>
      </c>
      <c r="CK1040" s="3"/>
      <c r="CL1040" s="62"/>
      <c r="CM1040" s="63"/>
      <c r="CN1040" s="3"/>
      <c r="CO1040" s="3"/>
      <c r="CP1040" s="41">
        <f>_xlfn.MAXIFS([1]!phvny[age],[1]!phvny[id],paper3[[#This Row],[id]],[1]!phvny[time],paper3[[#This Row],[time]])</f>
        <v>15.197222222222223</v>
      </c>
      <c r="CQ1040" s="3"/>
      <c r="CR1040" s="40"/>
      <c r="CS1040" s="40"/>
      <c r="CT1040" s="40"/>
      <c r="CU1040" s="40"/>
      <c r="CV1040" s="40"/>
      <c r="CW1040" s="40"/>
      <c r="CX1040" s="40"/>
      <c r="CY1040" s="40"/>
    </row>
    <row r="1041" spans="1:103" ht="18.75">
      <c r="A1041" s="3">
        <v>862</v>
      </c>
      <c r="B1041" s="92" t="s">
        <v>199</v>
      </c>
      <c r="C1041" s="3" t="s">
        <v>104</v>
      </c>
      <c r="D1041" s="46" t="s">
        <v>269</v>
      </c>
      <c r="E1041" s="39">
        <v>45797</v>
      </c>
      <c r="F1041" s="3" t="s">
        <v>186</v>
      </c>
      <c r="G1041" s="3" t="s">
        <v>107</v>
      </c>
      <c r="H1041" s="3">
        <v>2010</v>
      </c>
      <c r="I1041" s="40" t="str">
        <f t="shared" si="20"/>
        <v>U14</v>
      </c>
      <c r="J1041" s="40" t="s">
        <v>109</v>
      </c>
      <c r="K1041" s="3">
        <v>167.5</v>
      </c>
      <c r="L1041" s="3">
        <v>167.5</v>
      </c>
      <c r="M1041" s="3"/>
      <c r="N1041" s="3"/>
      <c r="O1041" s="3"/>
      <c r="P1041" s="3"/>
      <c r="Q1041" s="3">
        <v>56.1</v>
      </c>
      <c r="R1041" s="3">
        <v>56.1</v>
      </c>
      <c r="S1041" s="3"/>
      <c r="T1041" s="42">
        <v>167.5</v>
      </c>
      <c r="U1041" s="42"/>
      <c r="V1041" s="199"/>
      <c r="W1041" s="73">
        <v>56.1</v>
      </c>
      <c r="X1041" s="214"/>
      <c r="Y1041" s="192">
        <v>1.948</v>
      </c>
      <c r="Z1041" s="3">
        <v>3.5960000000000001</v>
      </c>
      <c r="AA1041" s="192">
        <v>5.2329999999999997</v>
      </c>
      <c r="AB1041" s="3">
        <v>1.9690000000000001</v>
      </c>
      <c r="AC1041" s="3">
        <v>3.6549999999999998</v>
      </c>
      <c r="AD1041" s="3">
        <v>5.2969999999999997</v>
      </c>
      <c r="AE1041" s="3">
        <v>1.948</v>
      </c>
      <c r="AF1041" s="3">
        <v>3.645</v>
      </c>
      <c r="AG1041" s="3">
        <v>5.3079999999999998</v>
      </c>
      <c r="AH1041" s="194">
        <v>1.948</v>
      </c>
      <c r="AI1041" s="194">
        <v>3.5960000000000001</v>
      </c>
      <c r="AJ1041" s="194">
        <v>5.2329999999999997</v>
      </c>
      <c r="AK1041" s="130"/>
      <c r="AL1041" s="203">
        <v>11.05</v>
      </c>
      <c r="AM1041" s="203">
        <v>10.92</v>
      </c>
      <c r="AN1041" s="3">
        <v>11.21</v>
      </c>
      <c r="AO1041" s="3">
        <v>11.01</v>
      </c>
      <c r="AP1041" s="137"/>
      <c r="AQ1041" s="132">
        <v>10.92</v>
      </c>
      <c r="AR1041" s="132">
        <v>11.01</v>
      </c>
      <c r="AS1041" s="3">
        <v>19.7</v>
      </c>
      <c r="AT1041" s="3">
        <v>20.3</v>
      </c>
      <c r="AU1041" s="3">
        <v>19.2</v>
      </c>
      <c r="AV1041" s="3"/>
      <c r="AW1041" s="192"/>
      <c r="AX1041" s="133">
        <v>20.3</v>
      </c>
      <c r="AY1041" s="195">
        <v>250</v>
      </c>
      <c r="AZ1041" s="40">
        <v>10</v>
      </c>
      <c r="BA1041" s="40"/>
      <c r="BB1041" s="40"/>
      <c r="BC1041" s="40"/>
      <c r="BD1041" s="135">
        <v>880.64878690083287</v>
      </c>
      <c r="BE1041" s="135">
        <v>904.75928118743809</v>
      </c>
      <c r="BF1041" s="40"/>
      <c r="BG1041" s="213">
        <v>225.42978937677543</v>
      </c>
      <c r="BH1041" s="135">
        <v>224.34604547101421</v>
      </c>
      <c r="BI1041" s="49">
        <f>IFERROR(SUM(paper3[[#This Row],[Kraft ikke-dominant]:[Kraft dominant]]),"")</f>
        <v>1785.408068088271</v>
      </c>
      <c r="BJ1041" s="49">
        <f>IFERROR(SUM(paper3[[#This Row],[Pwr ikke-dominant]:[Pwr dominant]]),"")</f>
        <v>449.77583484778961</v>
      </c>
      <c r="BK1041" s="66"/>
      <c r="BL1041" s="66"/>
      <c r="BM1041" s="51">
        <f>IFERROR(paper3[[#This Row],[totforce]]/paper3[[#This Row],[bodymass]],"")</f>
        <v>31.825455759149214</v>
      </c>
      <c r="BN1041" s="51">
        <f>IFERROR(paper3[[#This Row],[totpwr]]/paper3[[#This Row],[bodymass]],"")</f>
        <v>8.0173945605666592</v>
      </c>
      <c r="BO1041" s="136"/>
      <c r="BP1041" s="40"/>
      <c r="BQ1041" s="40"/>
      <c r="BR1041" s="67"/>
      <c r="BS1041" s="54"/>
      <c r="BT1041" s="3"/>
      <c r="BU1041" s="3"/>
      <c r="BV1041" s="3"/>
      <c r="BW1041" s="3"/>
      <c r="BX1041" s="70"/>
      <c r="BY1041" s="70"/>
      <c r="BZ1041" s="59"/>
      <c r="CA1041" s="59"/>
      <c r="CB1041" s="59"/>
      <c r="CC1041" s="59"/>
      <c r="CD1041" s="60"/>
      <c r="CE1041" s="60"/>
      <c r="CF1041" s="61"/>
      <c r="CG1041" s="61"/>
      <c r="CH1041" s="61"/>
      <c r="CI1041" s="41">
        <v>14.6</v>
      </c>
      <c r="CJ1041" s="40">
        <f t="shared" si="21"/>
        <v>680</v>
      </c>
      <c r="CK1041" s="3"/>
      <c r="CL1041" s="62"/>
      <c r="CM1041" s="63"/>
      <c r="CN1041" s="3"/>
      <c r="CO1041" s="3"/>
      <c r="CP1041" s="41"/>
      <c r="CQ1041" s="3"/>
      <c r="CR1041" s="40"/>
      <c r="CS1041" s="40"/>
      <c r="CT1041" s="40"/>
      <c r="CU1041" s="40"/>
      <c r="CV1041" s="40"/>
      <c r="CW1041" s="40"/>
      <c r="CX1041" s="40"/>
      <c r="CY1041" s="40"/>
    </row>
    <row r="1042" spans="1:103" ht="18.75">
      <c r="A1042" s="3">
        <v>865</v>
      </c>
      <c r="B1042" s="92" t="s">
        <v>199</v>
      </c>
      <c r="C1042" s="3" t="s">
        <v>104</v>
      </c>
      <c r="D1042" s="46" t="s">
        <v>269</v>
      </c>
      <c r="E1042" s="39">
        <v>45803</v>
      </c>
      <c r="F1042" s="3" t="s">
        <v>186</v>
      </c>
      <c r="G1042" s="3" t="s">
        <v>107</v>
      </c>
      <c r="H1042" s="3">
        <v>2008</v>
      </c>
      <c r="I1042" s="40" t="str">
        <f t="shared" si="20"/>
        <v>U16</v>
      </c>
      <c r="J1042" s="40" t="s">
        <v>117</v>
      </c>
      <c r="K1042" s="3">
        <v>172.3</v>
      </c>
      <c r="L1042" s="3">
        <v>172.3</v>
      </c>
      <c r="M1042" s="3"/>
      <c r="N1042" s="3">
        <v>89.3</v>
      </c>
      <c r="O1042" s="3"/>
      <c r="P1042" s="3" t="s">
        <v>335</v>
      </c>
      <c r="Q1042" s="3">
        <v>66.599999999999994</v>
      </c>
      <c r="R1042" s="3">
        <v>66.599999999999994</v>
      </c>
      <c r="S1042" s="3"/>
      <c r="T1042" s="42">
        <v>172.3</v>
      </c>
      <c r="U1042" s="42">
        <v>89.3</v>
      </c>
      <c r="V1042" s="199">
        <f>paper3[[#This Row],[height]]-paper3[[#This Row],[sittingheight]]</f>
        <v>83.000000000000014</v>
      </c>
      <c r="W1042" s="73">
        <v>66.599999999999994</v>
      </c>
      <c r="X1042" s="43" cm="1">
        <f t="array" ref="X1042">INDEX([1]!phvny[yphv], MATCH(1, (paper3[[#This Row],[id]]=[1]!phvny[id])*(paper3[[#This Row],[time]]=[1]!phvny[time]), 0))</f>
        <v>3.7729850000973766</v>
      </c>
      <c r="Y1042" s="192">
        <v>1.7569999999999999</v>
      </c>
      <c r="Z1042" s="3">
        <v>3.2250000000000001</v>
      </c>
      <c r="AA1042" s="192">
        <v>4.6369999999999996</v>
      </c>
      <c r="AB1042" s="3">
        <v>1.762</v>
      </c>
      <c r="AC1042" s="3">
        <v>3.2269999999999999</v>
      </c>
      <c r="AD1042" s="3">
        <v>4.6349999999999998</v>
      </c>
      <c r="AE1042" s="3">
        <v>1.7809999999999999</v>
      </c>
      <c r="AF1042" s="3">
        <v>3.25</v>
      </c>
      <c r="AG1042" s="3">
        <v>4.6769999999999996</v>
      </c>
      <c r="AH1042" s="194">
        <v>1.7569999999999999</v>
      </c>
      <c r="AI1042" s="194">
        <v>3.2250000000000001</v>
      </c>
      <c r="AJ1042" s="194">
        <v>4.6349999999999998</v>
      </c>
      <c r="AK1042" s="130"/>
      <c r="AL1042" s="203"/>
      <c r="AM1042" s="203"/>
      <c r="AN1042" s="3"/>
      <c r="AO1042" s="3"/>
      <c r="AP1042" s="137"/>
      <c r="AQ1042" s="132"/>
      <c r="AR1042" s="132"/>
      <c r="AS1042" s="3">
        <v>21.9</v>
      </c>
      <c r="AT1042" s="3">
        <v>24</v>
      </c>
      <c r="AU1042" s="3">
        <v>22.6</v>
      </c>
      <c r="AV1042" s="3"/>
      <c r="AW1042" s="192"/>
      <c r="AX1042" s="133">
        <v>24</v>
      </c>
      <c r="AY1042" s="195" t="s">
        <v>265</v>
      </c>
      <c r="AZ1042" s="40">
        <v>10</v>
      </c>
      <c r="BA1042" s="40"/>
      <c r="BB1042" s="40"/>
      <c r="BC1042" s="40"/>
      <c r="BD1042" s="135"/>
      <c r="BE1042" s="135"/>
      <c r="BF1042" s="40"/>
      <c r="BG1042" s="213"/>
      <c r="BH1042" s="135"/>
      <c r="BI1042" s="49"/>
      <c r="BJ1042" s="49"/>
      <c r="BK1042" s="66"/>
      <c r="BL1042" s="66"/>
      <c r="BM1042" s="51"/>
      <c r="BN1042" s="51"/>
      <c r="BO1042" s="136"/>
      <c r="BP1042" s="40"/>
      <c r="BQ1042" s="40"/>
      <c r="BR1042" s="67"/>
      <c r="BS1042" s="54"/>
      <c r="BT1042" s="3"/>
      <c r="BU1042" s="3"/>
      <c r="BV1042" s="3"/>
      <c r="BW1042" s="3"/>
      <c r="BX1042" s="70"/>
      <c r="BY1042" s="70"/>
      <c r="BZ1042" s="59"/>
      <c r="CA1042" s="59"/>
      <c r="CB1042" s="59"/>
      <c r="CC1042" s="59"/>
      <c r="CD1042" s="60"/>
      <c r="CE1042" s="60"/>
      <c r="CF1042" s="61"/>
      <c r="CG1042" s="61"/>
      <c r="CH1042" s="61"/>
      <c r="CI1042" s="41"/>
      <c r="CJ1042" s="40"/>
      <c r="CK1042" s="3"/>
      <c r="CL1042" s="62"/>
      <c r="CM1042" s="63"/>
      <c r="CN1042" s="3"/>
      <c r="CO1042" s="3"/>
      <c r="CP1042" s="41">
        <f>_xlfn.MAXIFS([1]!phvny[age],[1]!phvny[id],paper3[[#This Row],[id]],[1]!phvny[time],paper3[[#This Row],[time]])</f>
        <v>16.655555555555555</v>
      </c>
      <c r="CQ1042" s="3"/>
      <c r="CR1042" s="40"/>
      <c r="CS1042" s="40"/>
      <c r="CT1042" s="40"/>
      <c r="CU1042" s="40"/>
      <c r="CV1042" s="40"/>
      <c r="CW1042" s="40"/>
      <c r="CX1042" s="40"/>
      <c r="CY1042" s="40"/>
    </row>
    <row r="1043" spans="1:103" ht="18.75">
      <c r="A1043" s="3">
        <v>868</v>
      </c>
      <c r="B1043" s="92" t="s">
        <v>199</v>
      </c>
      <c r="C1043" s="3" t="s">
        <v>104</v>
      </c>
      <c r="D1043" s="46" t="s">
        <v>269</v>
      </c>
      <c r="E1043" s="39">
        <v>45803</v>
      </c>
      <c r="F1043" s="3" t="s">
        <v>186</v>
      </c>
      <c r="G1043" s="3" t="s">
        <v>107</v>
      </c>
      <c r="H1043" s="3">
        <v>2008</v>
      </c>
      <c r="I1043" s="40" t="str">
        <f t="shared" si="20"/>
        <v>U16</v>
      </c>
      <c r="J1043" s="40" t="s">
        <v>117</v>
      </c>
      <c r="K1043" s="3">
        <v>160.1</v>
      </c>
      <c r="L1043" s="3">
        <v>160.1</v>
      </c>
      <c r="M1043" s="3"/>
      <c r="N1043" s="3">
        <v>84.8</v>
      </c>
      <c r="O1043" s="3"/>
      <c r="P1043" s="3" t="s">
        <v>324</v>
      </c>
      <c r="Q1043" s="3">
        <v>53.7</v>
      </c>
      <c r="R1043" s="3">
        <v>53.7</v>
      </c>
      <c r="S1043" s="3"/>
      <c r="T1043" s="42">
        <v>160.1</v>
      </c>
      <c r="U1043" s="42">
        <v>84.8</v>
      </c>
      <c r="V1043" s="199">
        <f>paper3[[#This Row],[height]]-paper3[[#This Row],[sittingheight]]</f>
        <v>75.3</v>
      </c>
      <c r="W1043" s="73">
        <v>53.7</v>
      </c>
      <c r="X1043" s="43" cm="1">
        <f t="array" ref="X1043">INDEX([1]!phvny[yphv], MATCH(1, (paper3[[#This Row],[id]]=[1]!phvny[id])*(paper3[[#This Row],[time]]=[1]!phvny[time]), 0))</f>
        <v>2.9729216923295838</v>
      </c>
      <c r="Y1043" s="192">
        <v>1.91</v>
      </c>
      <c r="Z1043" s="3">
        <v>3.4670000000000001</v>
      </c>
      <c r="AA1043" s="192">
        <v>4.9859999999999998</v>
      </c>
      <c r="AB1043" s="3">
        <v>1.899</v>
      </c>
      <c r="AC1043" s="3">
        <v>3.5049999999999999</v>
      </c>
      <c r="AD1043" s="3">
        <v>5.0730000000000004</v>
      </c>
      <c r="AE1043" s="3">
        <v>1.9379999999999999</v>
      </c>
      <c r="AF1043" s="3">
        <v>3.581</v>
      </c>
      <c r="AG1043" s="3">
        <v>5.1989999999999998</v>
      </c>
      <c r="AH1043" s="194">
        <v>1.899</v>
      </c>
      <c r="AI1043" s="194">
        <v>3.4670000000000001</v>
      </c>
      <c r="AJ1043" s="194">
        <v>4.9859999999999998</v>
      </c>
      <c r="AK1043" s="130"/>
      <c r="AL1043" s="203"/>
      <c r="AM1043" s="203"/>
      <c r="AN1043" s="3"/>
      <c r="AO1043" s="3"/>
      <c r="AP1043" s="137"/>
      <c r="AQ1043" s="132"/>
      <c r="AR1043" s="132"/>
      <c r="AS1043" s="3">
        <v>17.399999999999999</v>
      </c>
      <c r="AT1043" s="3">
        <v>20.3</v>
      </c>
      <c r="AU1043" s="3">
        <v>19.2</v>
      </c>
      <c r="AV1043" s="3"/>
      <c r="AW1043" s="192"/>
      <c r="AX1043" s="133">
        <v>20.3</v>
      </c>
      <c r="AY1043" s="195" t="s">
        <v>265</v>
      </c>
      <c r="AZ1043" s="40">
        <v>9</v>
      </c>
      <c r="BA1043" s="40"/>
      <c r="BB1043" s="40"/>
      <c r="BC1043" s="40"/>
      <c r="BD1043" s="135"/>
      <c r="BE1043" s="135"/>
      <c r="BF1043" s="40"/>
      <c r="BG1043" s="213"/>
      <c r="BH1043" s="135"/>
      <c r="BI1043" s="49"/>
      <c r="BJ1043" s="49"/>
      <c r="BK1043" s="66"/>
      <c r="BL1043" s="66"/>
      <c r="BM1043" s="51"/>
      <c r="BN1043" s="51"/>
      <c r="BO1043" s="136"/>
      <c r="BP1043" s="40"/>
      <c r="BQ1043" s="40"/>
      <c r="BR1043" s="67"/>
      <c r="BS1043" s="54"/>
      <c r="BT1043" s="3"/>
      <c r="BU1043" s="3"/>
      <c r="BV1043" s="3"/>
      <c r="BW1043" s="3"/>
      <c r="BX1043" s="70"/>
      <c r="BY1043" s="70"/>
      <c r="BZ1043" s="59"/>
      <c r="CA1043" s="59"/>
      <c r="CB1043" s="59"/>
      <c r="CC1043" s="59"/>
      <c r="CD1043" s="60"/>
      <c r="CE1043" s="60"/>
      <c r="CF1043" s="61"/>
      <c r="CG1043" s="61"/>
      <c r="CH1043" s="61"/>
      <c r="CI1043" s="41"/>
      <c r="CJ1043" s="40"/>
      <c r="CK1043" s="3"/>
      <c r="CL1043" s="62"/>
      <c r="CM1043" s="63"/>
      <c r="CN1043" s="3"/>
      <c r="CO1043" s="3"/>
      <c r="CP1043" s="41">
        <f>_xlfn.MAXIFS([1]!phvny[age],[1]!phvny[id],paper3[[#This Row],[id]],[1]!phvny[time],paper3[[#This Row],[time]])</f>
        <v>16.530555555555555</v>
      </c>
      <c r="CQ1043" s="3"/>
      <c r="CR1043" s="40"/>
      <c r="CS1043" s="40"/>
      <c r="CT1043" s="40"/>
      <c r="CU1043" s="40"/>
      <c r="CV1043" s="40"/>
      <c r="CW1043" s="40"/>
      <c r="CX1043" s="40"/>
      <c r="CY1043" s="40"/>
    </row>
    <row r="1044" spans="1:103" ht="18.75">
      <c r="A1044" s="3">
        <v>870</v>
      </c>
      <c r="B1044" s="92" t="s">
        <v>199</v>
      </c>
      <c r="C1044" s="3" t="s">
        <v>104</v>
      </c>
      <c r="D1044" s="46" t="s">
        <v>269</v>
      </c>
      <c r="E1044" s="39">
        <v>45803</v>
      </c>
      <c r="F1044" s="3" t="s">
        <v>186</v>
      </c>
      <c r="G1044" s="3" t="s">
        <v>107</v>
      </c>
      <c r="H1044" s="3">
        <v>2008</v>
      </c>
      <c r="I1044" s="40" t="str">
        <f t="shared" si="20"/>
        <v>U16</v>
      </c>
      <c r="J1044" s="40" t="s">
        <v>117</v>
      </c>
      <c r="K1044" s="3">
        <v>180.7</v>
      </c>
      <c r="L1044" s="3">
        <v>180.7</v>
      </c>
      <c r="M1044" s="3"/>
      <c r="N1044" s="3">
        <v>91.7</v>
      </c>
      <c r="O1044" s="3"/>
      <c r="P1044" s="3" t="s">
        <v>336</v>
      </c>
      <c r="Q1044" s="3">
        <v>64.400000000000006</v>
      </c>
      <c r="R1044" s="3">
        <v>64.5</v>
      </c>
      <c r="S1044" s="3"/>
      <c r="T1044" s="42">
        <v>180.7</v>
      </c>
      <c r="U1044" s="42">
        <v>91.7</v>
      </c>
      <c r="V1044" s="199">
        <f>paper3[[#This Row],[height]]-paper3[[#This Row],[sittingheight]]</f>
        <v>88.999999999999986</v>
      </c>
      <c r="W1044" s="73">
        <v>64.45</v>
      </c>
      <c r="X1044" s="43" cm="1">
        <f t="array" ref="X1044">INDEX([1]!phvny[yphv], MATCH(1, (paper3[[#This Row],[id]]=[1]!phvny[id])*(paper3[[#This Row],[time]]=[1]!phvny[time]), 0))</f>
        <v>4.3914756755530968</v>
      </c>
      <c r="Y1044" s="192">
        <v>1.7230000000000001</v>
      </c>
      <c r="Z1044" s="3">
        <v>3.1880000000000002</v>
      </c>
      <c r="AA1044" s="192">
        <v>4.5880000000000001</v>
      </c>
      <c r="AB1044" s="46"/>
      <c r="AC1044" s="3"/>
      <c r="AD1044" s="3"/>
      <c r="AE1044" s="3">
        <v>1.7809999999999999</v>
      </c>
      <c r="AF1044" s="3">
        <v>3.2749999999999999</v>
      </c>
      <c r="AG1044" s="3">
        <v>4.694</v>
      </c>
      <c r="AH1044" s="193">
        <f>MIN(Y1044,AB1044,AE1044)</f>
        <v>1.7230000000000001</v>
      </c>
      <c r="AI1044" s="193">
        <f>MIN(Z1044,AC1044,AF1044)</f>
        <v>3.1880000000000002</v>
      </c>
      <c r="AJ1044" s="193">
        <f>MIN(AA1044,AD1044,AG1044)</f>
        <v>4.5880000000000001</v>
      </c>
      <c r="AK1044" s="130"/>
      <c r="AL1044" s="203"/>
      <c r="AM1044" s="203"/>
      <c r="AN1044" s="3"/>
      <c r="AO1044" s="3"/>
      <c r="AP1044" s="137"/>
      <c r="AQ1044" s="132"/>
      <c r="AR1044" s="132"/>
      <c r="AS1044" s="3">
        <v>23.9</v>
      </c>
      <c r="AT1044" s="3">
        <v>23.9</v>
      </c>
      <c r="AU1044" s="3">
        <v>24.9</v>
      </c>
      <c r="AV1044" s="3"/>
      <c r="AW1044" s="192"/>
      <c r="AX1044" s="133">
        <v>24.9</v>
      </c>
      <c r="AY1044" s="195" t="s">
        <v>265</v>
      </c>
      <c r="AZ1044" s="40">
        <v>11</v>
      </c>
      <c r="BA1044" s="40"/>
      <c r="BB1044" s="40"/>
      <c r="BC1044" s="40"/>
      <c r="BD1044" s="135"/>
      <c r="BE1044" s="135"/>
      <c r="BF1044" s="40"/>
      <c r="BG1044" s="213"/>
      <c r="BH1044" s="135"/>
      <c r="BI1044" s="49"/>
      <c r="BJ1044" s="49"/>
      <c r="BK1044" s="66"/>
      <c r="BL1044" s="66"/>
      <c r="BM1044" s="51"/>
      <c r="BN1044" s="51"/>
      <c r="BO1044" s="136"/>
      <c r="BP1044" s="40"/>
      <c r="BQ1044" s="40"/>
      <c r="BR1044" s="67"/>
      <c r="BS1044" s="54"/>
      <c r="BT1044" s="3"/>
      <c r="BU1044" s="3"/>
      <c r="BV1044" s="3"/>
      <c r="BW1044" s="3"/>
      <c r="BX1044" s="70"/>
      <c r="BY1044" s="70"/>
      <c r="BZ1044" s="59"/>
      <c r="CA1044" s="59"/>
      <c r="CB1044" s="59"/>
      <c r="CC1044" s="59"/>
      <c r="CD1044" s="60"/>
      <c r="CE1044" s="60"/>
      <c r="CF1044" s="61"/>
      <c r="CG1044" s="61"/>
      <c r="CH1044" s="61"/>
      <c r="CI1044" s="41"/>
      <c r="CJ1044" s="40"/>
      <c r="CK1044" s="3"/>
      <c r="CL1044" s="62"/>
      <c r="CM1044" s="63"/>
      <c r="CN1044" s="3"/>
      <c r="CO1044" s="3"/>
      <c r="CP1044" s="41">
        <f>_xlfn.MAXIFS([1]!phvny[age],[1]!phvny[id],paper3[[#This Row],[id]],[1]!phvny[time],paper3[[#This Row],[time]])</f>
        <v>16.93888888888889</v>
      </c>
      <c r="CQ1044" s="3"/>
      <c r="CR1044" s="40"/>
      <c r="CS1044" s="40"/>
      <c r="CT1044" s="40"/>
      <c r="CU1044" s="40"/>
      <c r="CV1044" s="40"/>
      <c r="CW1044" s="40"/>
      <c r="CX1044" s="40"/>
      <c r="CY1044" s="40"/>
    </row>
    <row r="1045" spans="1:103" ht="18.75">
      <c r="A1045" s="3">
        <v>872</v>
      </c>
      <c r="B1045" s="92" t="s">
        <v>199</v>
      </c>
      <c r="C1045" s="3" t="s">
        <v>104</v>
      </c>
      <c r="D1045" s="46" t="s">
        <v>269</v>
      </c>
      <c r="E1045" s="39">
        <v>45803</v>
      </c>
      <c r="F1045" s="3" t="s">
        <v>186</v>
      </c>
      <c r="G1045" s="3" t="s">
        <v>107</v>
      </c>
      <c r="H1045" s="3">
        <v>2008</v>
      </c>
      <c r="I1045" s="40" t="str">
        <f t="shared" si="20"/>
        <v>U16</v>
      </c>
      <c r="J1045" s="40" t="s">
        <v>117</v>
      </c>
      <c r="K1045" s="3">
        <v>169.6</v>
      </c>
      <c r="L1045" s="3">
        <v>169.6</v>
      </c>
      <c r="M1045" s="3"/>
      <c r="N1045" s="3">
        <v>87.9</v>
      </c>
      <c r="O1045" s="3"/>
      <c r="P1045" s="3" t="s">
        <v>337</v>
      </c>
      <c r="Q1045" s="3">
        <v>59.4</v>
      </c>
      <c r="R1045" s="3">
        <v>59.4</v>
      </c>
      <c r="S1045" s="3"/>
      <c r="T1045" s="42">
        <v>169.6</v>
      </c>
      <c r="U1045" s="42">
        <v>87.9</v>
      </c>
      <c r="V1045" s="199">
        <f>paper3[[#This Row],[height]]-paper3[[#This Row],[sittingheight]]</f>
        <v>81.699999999999989</v>
      </c>
      <c r="W1045" s="73">
        <v>59.4</v>
      </c>
      <c r="X1045" s="43" cm="1">
        <f t="array" ref="X1045">INDEX([1]!phvny[yphv], MATCH(1, (paper3[[#This Row],[id]]=[1]!phvny[id])*(paper3[[#This Row],[time]]=[1]!phvny[time]), 0))</f>
        <v>3.7993851183480096</v>
      </c>
      <c r="Y1045" s="192">
        <v>1.774</v>
      </c>
      <c r="Z1045" s="3">
        <v>3.2890000000000001</v>
      </c>
      <c r="AA1045" s="192">
        <v>4.766</v>
      </c>
      <c r="AB1045" s="3">
        <v>1.806</v>
      </c>
      <c r="AC1045" s="3">
        <v>3.33</v>
      </c>
      <c r="AD1045" s="3">
        <v>4.8230000000000004</v>
      </c>
      <c r="AE1045" s="3">
        <v>1.8109999999999999</v>
      </c>
      <c r="AF1045" s="3">
        <v>3.3620000000000001</v>
      </c>
      <c r="AG1045" s="3">
        <v>4.8579999999999997</v>
      </c>
      <c r="AH1045" s="194">
        <v>1.774</v>
      </c>
      <c r="AI1045" s="194">
        <v>3.2890000000000001</v>
      </c>
      <c r="AJ1045" s="194">
        <v>4.766</v>
      </c>
      <c r="AK1045" s="130"/>
      <c r="AL1045" s="203"/>
      <c r="AM1045" s="203"/>
      <c r="AN1045" s="3"/>
      <c r="AO1045" s="3"/>
      <c r="AP1045" s="137"/>
      <c r="AQ1045" s="132"/>
      <c r="AR1045" s="132"/>
      <c r="AS1045" s="3">
        <v>18.5</v>
      </c>
      <c r="AT1045" s="3">
        <v>18.5</v>
      </c>
      <c r="AU1045" s="3">
        <v>19.7</v>
      </c>
      <c r="AV1045" s="3"/>
      <c r="AW1045" s="192"/>
      <c r="AX1045" s="133">
        <v>19.7</v>
      </c>
      <c r="AY1045" s="195" t="s">
        <v>265</v>
      </c>
      <c r="AZ1045" s="40">
        <v>10</v>
      </c>
      <c r="BA1045" s="40"/>
      <c r="BB1045" s="40"/>
      <c r="BC1045" s="40"/>
      <c r="BD1045" s="135"/>
      <c r="BE1045" s="135"/>
      <c r="BF1045" s="40"/>
      <c r="BG1045" s="213"/>
      <c r="BH1045" s="135"/>
      <c r="BI1045" s="49"/>
      <c r="BJ1045" s="49"/>
      <c r="BK1045" s="66"/>
      <c r="BL1045" s="66"/>
      <c r="BM1045" s="51"/>
      <c r="BN1045" s="51"/>
      <c r="BO1045" s="136"/>
      <c r="BP1045" s="40"/>
      <c r="BQ1045" s="40"/>
      <c r="BR1045" s="67"/>
      <c r="BS1045" s="54"/>
      <c r="BT1045" s="3"/>
      <c r="BU1045" s="3"/>
      <c r="BV1045" s="3"/>
      <c r="BW1045" s="3"/>
      <c r="BX1045" s="70"/>
      <c r="BY1045" s="70"/>
      <c r="BZ1045" s="59"/>
      <c r="CA1045" s="59"/>
      <c r="CB1045" s="59"/>
      <c r="CC1045" s="59"/>
      <c r="CD1045" s="60"/>
      <c r="CE1045" s="60"/>
      <c r="CF1045" s="61"/>
      <c r="CG1045" s="61"/>
      <c r="CH1045" s="61"/>
      <c r="CI1045" s="41"/>
      <c r="CJ1045" s="40"/>
      <c r="CK1045" s="3"/>
      <c r="CL1045" s="62"/>
      <c r="CM1045" s="63"/>
      <c r="CN1045" s="3"/>
      <c r="CO1045" s="3"/>
      <c r="CP1045" s="41">
        <f>_xlfn.MAXIFS([1]!phvny[age],[1]!phvny[id],paper3[[#This Row],[id]],[1]!phvny[time],paper3[[#This Row],[time]])</f>
        <v>17.055555555555557</v>
      </c>
      <c r="CQ1045" s="3"/>
      <c r="CR1045" s="40"/>
      <c r="CS1045" s="40"/>
      <c r="CT1045" s="40"/>
      <c r="CU1045" s="40"/>
      <c r="CV1045" s="40"/>
      <c r="CW1045" s="40"/>
      <c r="CX1045" s="40"/>
      <c r="CY1045" s="40"/>
    </row>
    <row r="1046" spans="1:103" ht="18.75">
      <c r="A1046" s="3">
        <v>874</v>
      </c>
      <c r="B1046" s="92" t="s">
        <v>199</v>
      </c>
      <c r="C1046" s="3" t="s">
        <v>104</v>
      </c>
      <c r="D1046" s="46" t="s">
        <v>269</v>
      </c>
      <c r="E1046" s="39">
        <v>45803</v>
      </c>
      <c r="F1046" s="3" t="s">
        <v>186</v>
      </c>
      <c r="G1046" s="3" t="s">
        <v>107</v>
      </c>
      <c r="H1046" s="3">
        <v>2008</v>
      </c>
      <c r="I1046" s="40" t="str">
        <f t="shared" si="20"/>
        <v>U16</v>
      </c>
      <c r="J1046" s="40" t="s">
        <v>117</v>
      </c>
      <c r="K1046" s="3">
        <v>169.9</v>
      </c>
      <c r="L1046" s="3">
        <v>169.9</v>
      </c>
      <c r="M1046" s="3"/>
      <c r="N1046" s="3">
        <v>90</v>
      </c>
      <c r="O1046" s="3"/>
      <c r="P1046" s="3" t="s">
        <v>338</v>
      </c>
      <c r="Q1046" s="3">
        <v>66.900000000000006</v>
      </c>
      <c r="R1046" s="3">
        <v>66.900000000000006</v>
      </c>
      <c r="S1046" s="3"/>
      <c r="T1046" s="42">
        <v>169.9</v>
      </c>
      <c r="U1046" s="42">
        <v>90</v>
      </c>
      <c r="V1046" s="199">
        <f>paper3[[#This Row],[height]]-paper3[[#This Row],[sittingheight]]</f>
        <v>79.900000000000006</v>
      </c>
      <c r="W1046" s="73">
        <v>66.900000000000006</v>
      </c>
      <c r="X1046" s="43" cm="1">
        <f t="array" ref="X1046">INDEX([1]!phvny[yphv], MATCH(1, (paper3[[#This Row],[id]]=[1]!phvny[id])*(paper3[[#This Row],[time]]=[1]!phvny[time]), 0))</f>
        <v>3.7675019197609734</v>
      </c>
      <c r="Y1046" s="192">
        <v>1.8180000000000001</v>
      </c>
      <c r="Z1046" s="3">
        <v>3.3450000000000002</v>
      </c>
      <c r="AA1046" s="192">
        <v>4.8250000000000002</v>
      </c>
      <c r="AB1046" s="3">
        <v>1.8859999999999999</v>
      </c>
      <c r="AC1046" s="3">
        <v>3.423</v>
      </c>
      <c r="AD1046" s="3">
        <v>4.9240000000000004</v>
      </c>
      <c r="AE1046" s="3">
        <v>1.8779999999999999</v>
      </c>
      <c r="AF1046" s="3">
        <v>3.4159999999999999</v>
      </c>
      <c r="AG1046" s="3">
        <v>4.931</v>
      </c>
      <c r="AH1046" s="194">
        <v>1.8180000000000001</v>
      </c>
      <c r="AI1046" s="194">
        <v>3.3450000000000002</v>
      </c>
      <c r="AJ1046" s="194">
        <v>4.8250000000000002</v>
      </c>
      <c r="AK1046" s="130"/>
      <c r="AL1046" s="203"/>
      <c r="AM1046" s="203"/>
      <c r="AN1046" s="3"/>
      <c r="AO1046" s="3"/>
      <c r="AP1046" s="137"/>
      <c r="AQ1046" s="132"/>
      <c r="AR1046" s="132"/>
      <c r="AS1046" s="3"/>
      <c r="AT1046" s="3" t="s">
        <v>339</v>
      </c>
      <c r="AU1046" s="3"/>
      <c r="AV1046" s="3"/>
      <c r="AW1046" s="192"/>
      <c r="AX1046" s="133"/>
      <c r="AY1046" s="195" t="s">
        <v>265</v>
      </c>
      <c r="AZ1046" s="40">
        <v>10</v>
      </c>
      <c r="BA1046" s="40"/>
      <c r="BB1046" s="40"/>
      <c r="BC1046" s="40"/>
      <c r="BD1046" s="135"/>
      <c r="BE1046" s="135"/>
      <c r="BF1046" s="40"/>
      <c r="BG1046" s="213"/>
      <c r="BH1046" s="135"/>
      <c r="BI1046" s="49"/>
      <c r="BJ1046" s="49"/>
      <c r="BK1046" s="66"/>
      <c r="BL1046" s="66"/>
      <c r="BM1046" s="51"/>
      <c r="BN1046" s="51"/>
      <c r="BO1046" s="136"/>
      <c r="BP1046" s="40"/>
      <c r="BQ1046" s="40"/>
      <c r="BR1046" s="67"/>
      <c r="BS1046" s="54"/>
      <c r="BT1046" s="3"/>
      <c r="BU1046" s="3"/>
      <c r="BV1046" s="3"/>
      <c r="BW1046" s="3"/>
      <c r="BX1046" s="70"/>
      <c r="BY1046" s="70"/>
      <c r="BZ1046" s="59"/>
      <c r="CA1046" s="59"/>
      <c r="CB1046" s="59"/>
      <c r="CC1046" s="59"/>
      <c r="CD1046" s="60"/>
      <c r="CE1046" s="60"/>
      <c r="CF1046" s="61"/>
      <c r="CG1046" s="61"/>
      <c r="CH1046" s="61"/>
      <c r="CI1046" s="41"/>
      <c r="CJ1046" s="40"/>
      <c r="CK1046" s="3"/>
      <c r="CL1046" s="62"/>
      <c r="CM1046" s="63"/>
      <c r="CN1046" s="3"/>
      <c r="CO1046" s="3"/>
      <c r="CP1046" s="41">
        <f>_xlfn.MAXIFS([1]!phvny[age],[1]!phvny[id],paper3[[#This Row],[id]],[1]!phvny[time],paper3[[#This Row],[time]])</f>
        <v>16.730555555555554</v>
      </c>
      <c r="CQ1046" s="3"/>
      <c r="CR1046" s="40"/>
      <c r="CS1046" s="40"/>
      <c r="CT1046" s="40"/>
      <c r="CU1046" s="40"/>
      <c r="CV1046" s="40"/>
      <c r="CW1046" s="40"/>
      <c r="CX1046" s="40"/>
      <c r="CY1046" s="40"/>
    </row>
    <row r="1047" spans="1:103" ht="18.75">
      <c r="A1047" s="3">
        <v>875</v>
      </c>
      <c r="B1047" s="92" t="s">
        <v>199</v>
      </c>
      <c r="C1047" s="3" t="s">
        <v>104</v>
      </c>
      <c r="D1047" s="46" t="s">
        <v>269</v>
      </c>
      <c r="E1047" s="39">
        <v>45803</v>
      </c>
      <c r="F1047" s="3" t="s">
        <v>186</v>
      </c>
      <c r="G1047" s="3" t="s">
        <v>107</v>
      </c>
      <c r="H1047" s="3">
        <v>2008</v>
      </c>
      <c r="I1047" s="40" t="str">
        <f t="shared" si="20"/>
        <v>U16</v>
      </c>
      <c r="J1047" s="40" t="s">
        <v>117</v>
      </c>
      <c r="K1047" s="3">
        <v>172.5</v>
      </c>
      <c r="L1047" s="3">
        <v>172.5</v>
      </c>
      <c r="M1047" s="3"/>
      <c r="N1047" s="3">
        <v>88.8</v>
      </c>
      <c r="O1047" s="3"/>
      <c r="P1047" s="3" t="s">
        <v>293</v>
      </c>
      <c r="Q1047" s="3">
        <v>65.900000000000006</v>
      </c>
      <c r="R1047" s="3">
        <v>65.900000000000006</v>
      </c>
      <c r="S1047" s="3"/>
      <c r="T1047" s="42">
        <v>172.5</v>
      </c>
      <c r="U1047" s="42">
        <v>88.8</v>
      </c>
      <c r="V1047" s="199">
        <f>paper3[[#This Row],[height]]-paper3[[#This Row],[sittingheight]]</f>
        <v>83.7</v>
      </c>
      <c r="W1047" s="73">
        <v>65.900000000000006</v>
      </c>
      <c r="X1047" s="43" cm="1">
        <f t="array" ref="X1047">INDEX([1]!phvny[yphv], MATCH(1, (paper3[[#This Row],[id]]=[1]!phvny[id])*(paper3[[#This Row],[time]]=[1]!phvny[time]), 0))</f>
        <v>4.1400849808405784</v>
      </c>
      <c r="Y1047" s="192">
        <v>1.7390000000000001</v>
      </c>
      <c r="Z1047" s="3">
        <v>3.206</v>
      </c>
      <c r="AA1047" s="192">
        <v>4.6609999999999996</v>
      </c>
      <c r="AB1047" s="3">
        <v>1.7390000000000001</v>
      </c>
      <c r="AC1047" s="3">
        <v>3.2370000000000001</v>
      </c>
      <c r="AD1047" s="3">
        <v>4.6849999999999996</v>
      </c>
      <c r="AE1047" s="3">
        <v>1.7470000000000001</v>
      </c>
      <c r="AF1047" s="3">
        <v>3.2690000000000001</v>
      </c>
      <c r="AG1047" s="3">
        <v>4.7409999999999997</v>
      </c>
      <c r="AH1047" s="194">
        <v>1.7390000000000001</v>
      </c>
      <c r="AI1047" s="194">
        <v>3.206</v>
      </c>
      <c r="AJ1047" s="194">
        <v>4.6609999999999996</v>
      </c>
      <c r="AK1047" s="130"/>
      <c r="AL1047" s="203"/>
      <c r="AM1047" s="203"/>
      <c r="AN1047" s="3"/>
      <c r="AO1047" s="3"/>
      <c r="AP1047" s="137"/>
      <c r="AQ1047" s="132"/>
      <c r="AR1047" s="132"/>
      <c r="AS1047" s="3">
        <v>28.1</v>
      </c>
      <c r="AT1047" s="3">
        <v>27.7</v>
      </c>
      <c r="AU1047" s="3">
        <v>29.9</v>
      </c>
      <c r="AV1047" s="3"/>
      <c r="AW1047" s="192"/>
      <c r="AX1047" s="133">
        <v>29.9</v>
      </c>
      <c r="AY1047" s="195" t="s">
        <v>265</v>
      </c>
      <c r="AZ1047" s="40">
        <v>10</v>
      </c>
      <c r="BA1047" s="40"/>
      <c r="BB1047" s="40"/>
      <c r="BC1047" s="40"/>
      <c r="BD1047" s="135"/>
      <c r="BE1047" s="135"/>
      <c r="BF1047" s="40"/>
      <c r="BG1047" s="213"/>
      <c r="BH1047" s="135"/>
      <c r="BI1047" s="49"/>
      <c r="BJ1047" s="49"/>
      <c r="BK1047" s="66"/>
      <c r="BL1047" s="66"/>
      <c r="BM1047" s="51"/>
      <c r="BN1047" s="51"/>
      <c r="BO1047" s="136"/>
      <c r="BP1047" s="40"/>
      <c r="BQ1047" s="40"/>
      <c r="BR1047" s="67"/>
      <c r="BS1047" s="54"/>
      <c r="BT1047" s="3"/>
      <c r="BU1047" s="3"/>
      <c r="BV1047" s="3"/>
      <c r="BW1047" s="3"/>
      <c r="BX1047" s="70"/>
      <c r="BY1047" s="70"/>
      <c r="BZ1047" s="59"/>
      <c r="CA1047" s="59"/>
      <c r="CB1047" s="59"/>
      <c r="CC1047" s="59"/>
      <c r="CD1047" s="60"/>
      <c r="CE1047" s="60"/>
      <c r="CF1047" s="61"/>
      <c r="CG1047" s="61"/>
      <c r="CH1047" s="61"/>
      <c r="CI1047" s="41"/>
      <c r="CJ1047" s="40"/>
      <c r="CK1047" s="3"/>
      <c r="CL1047" s="62"/>
      <c r="CM1047" s="63"/>
      <c r="CN1047" s="3"/>
      <c r="CO1047" s="3"/>
      <c r="CP1047" s="41">
        <f>_xlfn.MAXIFS([1]!phvny[age],[1]!phvny[id],paper3[[#This Row],[id]],[1]!phvny[time],paper3[[#This Row],[time]])</f>
        <v>17.394444444444446</v>
      </c>
      <c r="CQ1047" s="3"/>
      <c r="CR1047" s="40"/>
      <c r="CS1047" s="40"/>
      <c r="CT1047" s="40"/>
      <c r="CU1047" s="40"/>
      <c r="CV1047" s="40"/>
      <c r="CW1047" s="40"/>
      <c r="CX1047" s="40"/>
      <c r="CY1047" s="40"/>
    </row>
    <row r="1048" spans="1:103" ht="18.75">
      <c r="A1048" s="3">
        <v>876</v>
      </c>
      <c r="B1048" s="92" t="s">
        <v>199</v>
      </c>
      <c r="C1048" s="3" t="s">
        <v>171</v>
      </c>
      <c r="D1048" s="46" t="s">
        <v>269</v>
      </c>
      <c r="E1048" s="39">
        <v>45803</v>
      </c>
      <c r="F1048" s="3" t="s">
        <v>186</v>
      </c>
      <c r="G1048" s="3" t="s">
        <v>107</v>
      </c>
      <c r="H1048" s="3">
        <v>2008</v>
      </c>
      <c r="I1048" s="40" t="str">
        <f t="shared" si="20"/>
        <v>U16</v>
      </c>
      <c r="J1048" s="40" t="s">
        <v>117</v>
      </c>
      <c r="K1048" s="3">
        <v>168.6</v>
      </c>
      <c r="L1048" s="3">
        <v>168.6</v>
      </c>
      <c r="M1048" s="3"/>
      <c r="N1048" s="3">
        <v>87</v>
      </c>
      <c r="O1048" s="3"/>
      <c r="P1048" s="3" t="s">
        <v>334</v>
      </c>
      <c r="Q1048" s="3">
        <v>54.6</v>
      </c>
      <c r="R1048" s="3">
        <v>54.6</v>
      </c>
      <c r="S1048" s="3"/>
      <c r="T1048" s="42">
        <v>168.6</v>
      </c>
      <c r="U1048" s="42">
        <v>87</v>
      </c>
      <c r="V1048" s="199">
        <f>paper3[[#This Row],[height]]-paper3[[#This Row],[sittingheight]]</f>
        <v>81.599999999999994</v>
      </c>
      <c r="W1048" s="73">
        <v>54.6</v>
      </c>
      <c r="X1048" s="43" cm="1">
        <f t="array" ref="X1048">INDEX([1]!phvny[yphv], MATCH(1, (paper3[[#This Row],[id]]=[1]!phvny[id])*(paper3[[#This Row],[time]]=[1]!phvny[time]), 0))</f>
        <v>3.6688917954685629</v>
      </c>
      <c r="Y1048" s="192">
        <v>1.8660000000000001</v>
      </c>
      <c r="Z1048" s="3">
        <v>3.4430000000000001</v>
      </c>
      <c r="AA1048" s="192">
        <v>5.0250000000000004</v>
      </c>
      <c r="AB1048" s="3">
        <v>1.905</v>
      </c>
      <c r="AC1048" s="3">
        <v>3.5129999999999999</v>
      </c>
      <c r="AD1048" s="3">
        <v>5.069</v>
      </c>
      <c r="AE1048" s="3">
        <v>1.9139999999999999</v>
      </c>
      <c r="AF1048" s="3">
        <v>3.54</v>
      </c>
      <c r="AG1048" s="3">
        <v>5.1239999999999997</v>
      </c>
      <c r="AH1048" s="194">
        <v>1.8660000000000001</v>
      </c>
      <c r="AI1048" s="194">
        <v>3.4430000000000001</v>
      </c>
      <c r="AJ1048" s="194">
        <v>5.0250000000000004</v>
      </c>
      <c r="AK1048" s="130"/>
      <c r="AL1048" s="203"/>
      <c r="AM1048" s="203"/>
      <c r="AN1048" s="3"/>
      <c r="AO1048" s="3"/>
      <c r="AP1048" s="137"/>
      <c r="AQ1048" s="132"/>
      <c r="AR1048" s="132"/>
      <c r="AS1048" s="3"/>
      <c r="AT1048" s="3" t="s">
        <v>339</v>
      </c>
      <c r="AU1048" s="3"/>
      <c r="AV1048" s="3"/>
      <c r="AW1048" s="192"/>
      <c r="AX1048" s="133"/>
      <c r="AY1048" s="195" t="s">
        <v>265</v>
      </c>
      <c r="AZ1048" s="40">
        <v>10</v>
      </c>
      <c r="BA1048" s="40"/>
      <c r="BB1048" s="40"/>
      <c r="BC1048" s="40"/>
      <c r="BD1048" s="135"/>
      <c r="BE1048" s="135"/>
      <c r="BF1048" s="40"/>
      <c r="BG1048" s="213"/>
      <c r="BH1048" s="135"/>
      <c r="BI1048" s="49"/>
      <c r="BJ1048" s="49"/>
      <c r="BK1048" s="66"/>
      <c r="BL1048" s="66"/>
      <c r="BM1048" s="51"/>
      <c r="BN1048" s="51"/>
      <c r="BO1048" s="136"/>
      <c r="BP1048" s="40"/>
      <c r="BQ1048" s="40"/>
      <c r="BR1048" s="67"/>
      <c r="BS1048" s="54"/>
      <c r="BT1048" s="3"/>
      <c r="BU1048" s="3"/>
      <c r="BV1048" s="3"/>
      <c r="BW1048" s="3"/>
      <c r="BX1048" s="70"/>
      <c r="BY1048" s="70"/>
      <c r="BZ1048" s="59"/>
      <c r="CA1048" s="59"/>
      <c r="CB1048" s="59"/>
      <c r="CC1048" s="59"/>
      <c r="CD1048" s="60"/>
      <c r="CE1048" s="60"/>
      <c r="CF1048" s="61"/>
      <c r="CG1048" s="61"/>
      <c r="CH1048" s="61"/>
      <c r="CI1048" s="41"/>
      <c r="CJ1048" s="40"/>
      <c r="CK1048" s="3"/>
      <c r="CL1048" s="62"/>
      <c r="CM1048" s="63"/>
      <c r="CN1048" s="3"/>
      <c r="CO1048" s="3"/>
      <c r="CP1048" s="41">
        <f>_xlfn.MAXIFS([1]!phvny[age],[1]!phvny[id],paper3[[#This Row],[id]],[1]!phvny[time],paper3[[#This Row],[time]])</f>
        <v>16.988888888888887</v>
      </c>
      <c r="CQ1048" s="3"/>
      <c r="CR1048" s="40"/>
      <c r="CS1048" s="40"/>
      <c r="CT1048" s="40"/>
      <c r="CU1048" s="40"/>
      <c r="CV1048" s="40"/>
      <c r="CW1048" s="40"/>
      <c r="CX1048" s="40"/>
      <c r="CY1048" s="40"/>
    </row>
    <row r="1049" spans="1:103" ht="18.75">
      <c r="A1049" s="3">
        <v>878</v>
      </c>
      <c r="B1049" s="92" t="s">
        <v>199</v>
      </c>
      <c r="C1049" s="3" t="s">
        <v>104</v>
      </c>
      <c r="D1049" s="46" t="s">
        <v>269</v>
      </c>
      <c r="E1049" s="39">
        <v>45803</v>
      </c>
      <c r="F1049" s="3" t="s">
        <v>186</v>
      </c>
      <c r="G1049" s="3" t="s">
        <v>107</v>
      </c>
      <c r="H1049" s="3">
        <v>2008</v>
      </c>
      <c r="I1049" s="40" t="str">
        <f t="shared" si="20"/>
        <v>U16</v>
      </c>
      <c r="J1049" s="40" t="s">
        <v>117</v>
      </c>
      <c r="K1049" s="3">
        <v>179.4</v>
      </c>
      <c r="L1049" s="3">
        <v>179.4</v>
      </c>
      <c r="M1049" s="3"/>
      <c r="N1049" s="3">
        <v>91.8</v>
      </c>
      <c r="O1049" s="3"/>
      <c r="P1049" s="3" t="s">
        <v>322</v>
      </c>
      <c r="Q1049" s="3">
        <v>88.5</v>
      </c>
      <c r="R1049" s="3">
        <v>88.5</v>
      </c>
      <c r="S1049" s="3"/>
      <c r="T1049" s="42">
        <v>179.4</v>
      </c>
      <c r="U1049" s="42">
        <v>91.8</v>
      </c>
      <c r="V1049" s="199">
        <f>paper3[[#This Row],[height]]-paper3[[#This Row],[sittingheight]]</f>
        <v>87.600000000000009</v>
      </c>
      <c r="W1049" s="73">
        <v>88.5</v>
      </c>
      <c r="X1049" s="43" cm="1">
        <f t="array" ref="X1049">INDEX([1]!phvny[yphv], MATCH(1, (paper3[[#This Row],[id]]=[1]!phvny[id])*(paper3[[#This Row],[time]]=[1]!phvny[time]), 0))</f>
        <v>4.323858218686734</v>
      </c>
      <c r="Y1049" s="192">
        <v>1.806</v>
      </c>
      <c r="Z1049" s="3">
        <v>3.3340000000000001</v>
      </c>
      <c r="AA1049" s="192">
        <v>4.827</v>
      </c>
      <c r="AB1049" s="3">
        <v>1.837</v>
      </c>
      <c r="AC1049" s="3">
        <v>3.3860000000000001</v>
      </c>
      <c r="AD1049" s="3">
        <v>4.891</v>
      </c>
      <c r="AE1049" s="3">
        <v>1.931</v>
      </c>
      <c r="AF1049" s="3">
        <v>3.508</v>
      </c>
      <c r="AG1049" s="3">
        <v>5.024</v>
      </c>
      <c r="AH1049" s="194">
        <v>1.806</v>
      </c>
      <c r="AI1049" s="194">
        <v>3.3340000000000001</v>
      </c>
      <c r="AJ1049" s="194">
        <v>4.827</v>
      </c>
      <c r="AK1049" s="130"/>
      <c r="AL1049" s="203"/>
      <c r="AM1049" s="203"/>
      <c r="AN1049" s="3"/>
      <c r="AO1049" s="3"/>
      <c r="AP1049" s="137"/>
      <c r="AQ1049" s="132"/>
      <c r="AR1049" s="132"/>
      <c r="AS1049" s="3"/>
      <c r="AT1049" s="3" t="s">
        <v>339</v>
      </c>
      <c r="AU1049" s="3"/>
      <c r="AV1049" s="3"/>
      <c r="AW1049" s="192"/>
      <c r="AX1049" s="133"/>
      <c r="AY1049" s="195" t="s">
        <v>294</v>
      </c>
      <c r="AZ1049" s="40">
        <v>11</v>
      </c>
      <c r="BA1049" s="40"/>
      <c r="BB1049" s="40"/>
      <c r="BC1049" s="40"/>
      <c r="BD1049" s="135"/>
      <c r="BE1049" s="135"/>
      <c r="BF1049" s="40"/>
      <c r="BG1049" s="213"/>
      <c r="BH1049" s="135"/>
      <c r="BI1049" s="49"/>
      <c r="BJ1049" s="49"/>
      <c r="BK1049" s="66"/>
      <c r="BL1049" s="66"/>
      <c r="BM1049" s="51"/>
      <c r="BN1049" s="51"/>
      <c r="BO1049" s="136"/>
      <c r="BP1049" s="40"/>
      <c r="BQ1049" s="40"/>
      <c r="BR1049" s="67"/>
      <c r="BS1049" s="54"/>
      <c r="BT1049" s="3"/>
      <c r="BU1049" s="3"/>
      <c r="BV1049" s="3"/>
      <c r="BW1049" s="3"/>
      <c r="BX1049" s="70"/>
      <c r="BY1049" s="70"/>
      <c r="BZ1049" s="59"/>
      <c r="CA1049" s="59"/>
      <c r="CB1049" s="59"/>
      <c r="CC1049" s="59"/>
      <c r="CD1049" s="60"/>
      <c r="CE1049" s="60"/>
      <c r="CF1049" s="61"/>
      <c r="CG1049" s="61"/>
      <c r="CH1049" s="61"/>
      <c r="CI1049" s="41"/>
      <c r="CJ1049" s="40"/>
      <c r="CK1049" s="3"/>
      <c r="CL1049" s="62"/>
      <c r="CM1049" s="63"/>
      <c r="CN1049" s="3"/>
      <c r="CO1049" s="3"/>
      <c r="CP1049" s="41">
        <f>_xlfn.MAXIFS([1]!phvny[age],[1]!phvny[id],paper3[[#This Row],[id]],[1]!phvny[time],paper3[[#This Row],[time]])</f>
        <v>16.997222222222224</v>
      </c>
      <c r="CQ1049" s="3"/>
      <c r="CR1049" s="40"/>
      <c r="CS1049" s="40"/>
      <c r="CT1049" s="40"/>
      <c r="CU1049" s="40"/>
      <c r="CV1049" s="40"/>
      <c r="CW1049" s="40"/>
      <c r="CX1049" s="40"/>
      <c r="CY1049" s="40"/>
    </row>
    <row r="1050" spans="1:103" ht="18.75">
      <c r="A1050" s="3">
        <v>880</v>
      </c>
      <c r="B1050" s="92" t="s">
        <v>199</v>
      </c>
      <c r="C1050" s="3" t="s">
        <v>104</v>
      </c>
      <c r="D1050" s="46" t="s">
        <v>269</v>
      </c>
      <c r="E1050" s="39">
        <v>45803</v>
      </c>
      <c r="F1050" s="3" t="s">
        <v>186</v>
      </c>
      <c r="G1050" s="3" t="s">
        <v>107</v>
      </c>
      <c r="H1050" s="3">
        <v>2008</v>
      </c>
      <c r="I1050" s="40" t="str">
        <f t="shared" si="20"/>
        <v>U16</v>
      </c>
      <c r="J1050" s="40" t="s">
        <v>117</v>
      </c>
      <c r="K1050" s="3">
        <v>168.4</v>
      </c>
      <c r="L1050" s="3">
        <v>168.4</v>
      </c>
      <c r="M1050" s="3"/>
      <c r="N1050" s="3">
        <v>90.5</v>
      </c>
      <c r="O1050" s="3"/>
      <c r="P1050" s="3" t="s">
        <v>340</v>
      </c>
      <c r="Q1050" s="3">
        <v>80.099999999999994</v>
      </c>
      <c r="R1050" s="3">
        <v>80.099999999999994</v>
      </c>
      <c r="S1050" s="3"/>
      <c r="T1050" s="42">
        <v>168.4</v>
      </c>
      <c r="U1050" s="42">
        <v>90.5</v>
      </c>
      <c r="V1050" s="199">
        <f>paper3[[#This Row],[height]]-paper3[[#This Row],[sittingheight]]</f>
        <v>77.900000000000006</v>
      </c>
      <c r="W1050" s="73">
        <v>80.099999999999994</v>
      </c>
      <c r="X1050" s="43" cm="1">
        <f t="array" ref="X1050">INDEX([1]!phvny[yphv], MATCH(1, (paper3[[#This Row],[id]]=[1]!phvny[id])*(paper3[[#This Row],[time]]=[1]!phvny[time]), 0))</f>
        <v>3.8065537993204024</v>
      </c>
      <c r="Y1050" s="192">
        <v>2.1</v>
      </c>
      <c r="Z1050" s="3">
        <v>3.8980000000000001</v>
      </c>
      <c r="AA1050" s="192">
        <v>5.7110000000000003</v>
      </c>
      <c r="AB1050" s="3">
        <v>2.1070000000000002</v>
      </c>
      <c r="AC1050" s="3">
        <v>3.9220000000000002</v>
      </c>
      <c r="AD1050" s="3">
        <v>5.7489999999999997</v>
      </c>
      <c r="AE1050" s="3">
        <v>2.13</v>
      </c>
      <c r="AF1050" s="3">
        <v>3.968</v>
      </c>
      <c r="AG1050" s="3">
        <v>5.8449999999999998</v>
      </c>
      <c r="AH1050" s="194">
        <v>2.1</v>
      </c>
      <c r="AI1050" s="194">
        <v>3.8980000000000001</v>
      </c>
      <c r="AJ1050" s="194">
        <v>5.7110000000000003</v>
      </c>
      <c r="AK1050" s="130"/>
      <c r="AL1050" s="203"/>
      <c r="AM1050" s="203"/>
      <c r="AN1050" s="3"/>
      <c r="AO1050" s="3"/>
      <c r="AP1050" s="137"/>
      <c r="AQ1050" s="132"/>
      <c r="AR1050" s="132"/>
      <c r="AS1050" s="3"/>
      <c r="AT1050" s="3" t="s">
        <v>339</v>
      </c>
      <c r="AU1050" s="3"/>
      <c r="AV1050" s="3"/>
      <c r="AW1050" s="192"/>
      <c r="AX1050" s="133"/>
      <c r="AY1050" s="195" t="s">
        <v>265</v>
      </c>
      <c r="AZ1050" s="40">
        <v>9</v>
      </c>
      <c r="BA1050" s="40"/>
      <c r="BB1050" s="40"/>
      <c r="BC1050" s="40"/>
      <c r="BD1050" s="135"/>
      <c r="BE1050" s="135"/>
      <c r="BF1050" s="40"/>
      <c r="BG1050" s="213"/>
      <c r="BH1050" s="135"/>
      <c r="BI1050" s="49"/>
      <c r="BJ1050" s="49"/>
      <c r="BK1050" s="66"/>
      <c r="BL1050" s="66"/>
      <c r="BM1050" s="51"/>
      <c r="BN1050" s="51"/>
      <c r="BO1050" s="136"/>
      <c r="BP1050" s="40"/>
      <c r="BQ1050" s="40"/>
      <c r="BR1050" s="67"/>
      <c r="BS1050" s="54"/>
      <c r="BT1050" s="3"/>
      <c r="BU1050" s="3"/>
      <c r="BV1050" s="3"/>
      <c r="BW1050" s="3"/>
      <c r="BX1050" s="70"/>
      <c r="BY1050" s="70"/>
      <c r="BZ1050" s="59"/>
      <c r="CA1050" s="59"/>
      <c r="CB1050" s="59"/>
      <c r="CC1050" s="59"/>
      <c r="CD1050" s="60"/>
      <c r="CE1050" s="60"/>
      <c r="CF1050" s="61"/>
      <c r="CG1050" s="61"/>
      <c r="CH1050" s="61"/>
      <c r="CI1050" s="41"/>
      <c r="CJ1050" s="40"/>
      <c r="CK1050" s="3"/>
      <c r="CL1050" s="62"/>
      <c r="CM1050" s="63"/>
      <c r="CN1050" s="3"/>
      <c r="CO1050" s="3"/>
      <c r="CP1050" s="41">
        <f>_xlfn.MAXIFS([1]!phvny[age],[1]!phvny[id],paper3[[#This Row],[id]],[1]!phvny[time],paper3[[#This Row],[time]])</f>
        <v>16.827777777777779</v>
      </c>
      <c r="CQ1050" s="3"/>
      <c r="CR1050" s="40"/>
      <c r="CS1050" s="40"/>
      <c r="CT1050" s="40"/>
      <c r="CU1050" s="40"/>
      <c r="CV1050" s="40"/>
      <c r="CW1050" s="40"/>
      <c r="CX1050" s="40"/>
      <c r="CY1050" s="40"/>
    </row>
    <row r="1051" spans="1:103" ht="18.75">
      <c r="A1051" s="3">
        <v>881</v>
      </c>
      <c r="B1051" s="92" t="s">
        <v>199</v>
      </c>
      <c r="C1051" s="3" t="s">
        <v>104</v>
      </c>
      <c r="D1051" s="46" t="s">
        <v>269</v>
      </c>
      <c r="E1051" s="39">
        <v>45803</v>
      </c>
      <c r="F1051" s="3" t="s">
        <v>186</v>
      </c>
      <c r="G1051" s="3" t="s">
        <v>107</v>
      </c>
      <c r="H1051" s="3">
        <v>2008</v>
      </c>
      <c r="I1051" s="40" t="str">
        <f t="shared" si="20"/>
        <v>U16</v>
      </c>
      <c r="J1051" s="40" t="s">
        <v>117</v>
      </c>
      <c r="K1051" s="3">
        <v>170.8</v>
      </c>
      <c r="L1051" s="3">
        <v>170.8</v>
      </c>
      <c r="M1051" s="3"/>
      <c r="N1051" s="3">
        <v>88.5</v>
      </c>
      <c r="O1051" s="3"/>
      <c r="P1051" s="3" t="s">
        <v>341</v>
      </c>
      <c r="Q1051" s="3">
        <v>65.3</v>
      </c>
      <c r="R1051" s="3">
        <v>65.3</v>
      </c>
      <c r="S1051" s="3"/>
      <c r="T1051" s="42">
        <v>170.8</v>
      </c>
      <c r="U1051" s="42">
        <v>88.5</v>
      </c>
      <c r="V1051" s="199">
        <f>paper3[[#This Row],[height]]-paper3[[#This Row],[sittingheight]]</f>
        <v>82.300000000000011</v>
      </c>
      <c r="W1051" s="73">
        <v>65.3</v>
      </c>
      <c r="X1051" s="43" cm="1">
        <f t="array" ref="X1051">INDEX([1]!phvny[yphv], MATCH(1, (paper3[[#This Row],[id]]=[1]!phvny[id])*(paper3[[#This Row],[time]]=[1]!phvny[time]), 0))</f>
        <v>3.9749206881193073</v>
      </c>
      <c r="Y1051" s="192">
        <v>1.853</v>
      </c>
      <c r="Z1051" s="3">
        <v>3.4420000000000002</v>
      </c>
      <c r="AA1051" s="192">
        <v>4.9800000000000004</v>
      </c>
      <c r="AB1051" s="3">
        <v>1.8979999999999999</v>
      </c>
      <c r="AC1051" s="3">
        <v>3.5390000000000001</v>
      </c>
      <c r="AD1051" s="3">
        <v>5.1269999999999998</v>
      </c>
      <c r="AE1051" s="3"/>
      <c r="AF1051" s="3"/>
      <c r="AG1051" s="3"/>
      <c r="AH1051" s="194">
        <v>1.853</v>
      </c>
      <c r="AI1051" s="194">
        <v>3.4420000000000002</v>
      </c>
      <c r="AJ1051" s="194">
        <v>4.9800000000000004</v>
      </c>
      <c r="AK1051" s="130"/>
      <c r="AL1051" s="203"/>
      <c r="AM1051" s="203"/>
      <c r="AN1051" s="3"/>
      <c r="AO1051" s="3"/>
      <c r="AP1051" s="137"/>
      <c r="AQ1051" s="132"/>
      <c r="AR1051" s="132"/>
      <c r="AS1051" s="3"/>
      <c r="AT1051" s="3" t="s">
        <v>339</v>
      </c>
      <c r="AU1051" s="3"/>
      <c r="AV1051" s="3"/>
      <c r="AW1051" s="192"/>
      <c r="AX1051" s="133"/>
      <c r="AY1051" s="195" t="s">
        <v>265</v>
      </c>
      <c r="AZ1051" s="40">
        <v>10</v>
      </c>
      <c r="BA1051" s="40"/>
      <c r="BB1051" s="40"/>
      <c r="BC1051" s="40"/>
      <c r="BD1051" s="135"/>
      <c r="BE1051" s="135"/>
      <c r="BF1051" s="40"/>
      <c r="BG1051" s="213"/>
      <c r="BH1051" s="135"/>
      <c r="BI1051" s="49"/>
      <c r="BJ1051" s="49"/>
      <c r="BK1051" s="66"/>
      <c r="BL1051" s="66"/>
      <c r="BM1051" s="51"/>
      <c r="BN1051" s="51"/>
      <c r="BO1051" s="136"/>
      <c r="BP1051" s="40"/>
      <c r="BQ1051" s="40"/>
      <c r="BR1051" s="67"/>
      <c r="BS1051" s="54"/>
      <c r="BT1051" s="3"/>
      <c r="BU1051" s="3"/>
      <c r="BV1051" s="3"/>
      <c r="BW1051" s="3"/>
      <c r="BX1051" s="70"/>
      <c r="BY1051" s="70"/>
      <c r="BZ1051" s="59"/>
      <c r="CA1051" s="59"/>
      <c r="CB1051" s="59"/>
      <c r="CC1051" s="59"/>
      <c r="CD1051" s="60"/>
      <c r="CE1051" s="60"/>
      <c r="CF1051" s="61"/>
      <c r="CG1051" s="61"/>
      <c r="CH1051" s="61"/>
      <c r="CI1051" s="41"/>
      <c r="CJ1051" s="40"/>
      <c r="CK1051" s="3"/>
      <c r="CL1051" s="62"/>
      <c r="CM1051" s="63"/>
      <c r="CN1051" s="3"/>
      <c r="CO1051" s="3"/>
      <c r="CP1051" s="41">
        <f>_xlfn.MAXIFS([1]!phvny[age],[1]!phvny[id],paper3[[#This Row],[id]],[1]!phvny[time],paper3[[#This Row],[time]])</f>
        <v>17.236111111111111</v>
      </c>
      <c r="CQ1051" s="3"/>
      <c r="CR1051" s="40"/>
      <c r="CS1051" s="40"/>
      <c r="CT1051" s="40"/>
      <c r="CU1051" s="40"/>
      <c r="CV1051" s="40"/>
      <c r="CW1051" s="40"/>
      <c r="CX1051" s="40"/>
      <c r="CY1051" s="40"/>
    </row>
    <row r="1052" spans="1:103" ht="18.75">
      <c r="A1052" s="46">
        <v>885</v>
      </c>
      <c r="B1052" s="92" t="s">
        <v>199</v>
      </c>
      <c r="C1052" s="3" t="s">
        <v>104</v>
      </c>
      <c r="D1052" s="46" t="s">
        <v>269</v>
      </c>
      <c r="E1052" s="86">
        <v>45796</v>
      </c>
      <c r="F1052" s="3" t="s">
        <v>186</v>
      </c>
      <c r="G1052" s="3" t="s">
        <v>107</v>
      </c>
      <c r="H1052" s="3">
        <v>2010</v>
      </c>
      <c r="I1052" s="40" t="str">
        <f t="shared" si="20"/>
        <v>U14</v>
      </c>
      <c r="J1052" s="40" t="s">
        <v>109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42">
        <v>160.80000000000001</v>
      </c>
      <c r="U1052" s="42">
        <v>83.8</v>
      </c>
      <c r="V1052" s="199">
        <f>paper3[[#This Row],[height]]-paper3[[#This Row],[sittingheight]]</f>
        <v>77.000000000000014</v>
      </c>
      <c r="W1052" s="73">
        <v>60.9</v>
      </c>
      <c r="X1052" s="43" cm="1">
        <f t="array" ref="X1052">INDEX([1]!phvny[yphv], MATCH(1, (paper3[[#This Row],[id]]=[1]!phvny[id])*(paper3[[#This Row],[time]]=[1]!phvny[time]), 0))</f>
        <v>1.9709368338805979</v>
      </c>
      <c r="Y1052" s="192">
        <v>1.859</v>
      </c>
      <c r="Z1052" s="3">
        <v>3.4140000000000001</v>
      </c>
      <c r="AA1052" s="192">
        <v>4.9039999999999999</v>
      </c>
      <c r="AB1052" s="3">
        <v>1.861</v>
      </c>
      <c r="AC1052" s="3">
        <v>3.44</v>
      </c>
      <c r="AD1052" s="3">
        <v>4.9820000000000002</v>
      </c>
      <c r="AE1052" s="3">
        <v>1.8620000000000001</v>
      </c>
      <c r="AF1052" s="3">
        <v>3.4510000000000001</v>
      </c>
      <c r="AG1052" s="3">
        <v>4.9880000000000004</v>
      </c>
      <c r="AH1052" s="194">
        <v>1.859</v>
      </c>
      <c r="AI1052" s="194">
        <v>3.4140000000000001</v>
      </c>
      <c r="AJ1052" s="194">
        <v>4.9039999999999999</v>
      </c>
      <c r="AK1052" s="130"/>
      <c r="AL1052" s="203">
        <v>10.17</v>
      </c>
      <c r="AM1052" s="203">
        <v>10.01</v>
      </c>
      <c r="AN1052" s="3">
        <v>10.57</v>
      </c>
      <c r="AO1052" s="3">
        <v>10.79</v>
      </c>
      <c r="AP1052" s="137"/>
      <c r="AQ1052" s="132">
        <v>10.01</v>
      </c>
      <c r="AR1052" s="132">
        <v>10.57</v>
      </c>
      <c r="AS1052" s="3">
        <v>21</v>
      </c>
      <c r="AT1052" s="3">
        <v>21</v>
      </c>
      <c r="AU1052" s="3">
        <v>20.5</v>
      </c>
      <c r="AV1052" s="3"/>
      <c r="AW1052" s="192"/>
      <c r="AX1052" s="133">
        <v>21</v>
      </c>
      <c r="AY1052" s="195"/>
      <c r="AZ1052" s="40"/>
      <c r="BA1052" s="40"/>
      <c r="BB1052" s="40"/>
      <c r="BC1052" s="40"/>
      <c r="BD1052" s="135">
        <v>861.01713029063671</v>
      </c>
      <c r="BE1052" s="135">
        <v>831.12800629818128</v>
      </c>
      <c r="BF1052" s="40"/>
      <c r="BG1052" s="213">
        <v>392.01891744796859</v>
      </c>
      <c r="BH1052" s="135">
        <v>382.81168564385473</v>
      </c>
      <c r="BI1052" s="49">
        <f>IFERROR(SUM(paper3[[#This Row],[Kraft ikke-dominant]:[Kraft dominant]]),"")</f>
        <v>1692.1451365888179</v>
      </c>
      <c r="BJ1052" s="49">
        <f>IFERROR(SUM(paper3[[#This Row],[Pwr ikke-dominant]:[Pwr dominant]]),"")</f>
        <v>774.83060309182338</v>
      </c>
      <c r="BK1052" s="66"/>
      <c r="BL1052" s="66"/>
      <c r="BM1052" s="51">
        <f>IFERROR(paper3[[#This Row],[totforce]]/paper3[[#This Row],[bodymass]],"")</f>
        <v>27.78563442674578</v>
      </c>
      <c r="BN1052" s="51">
        <f>IFERROR(paper3[[#This Row],[totpwr]]/paper3[[#This Row],[bodymass]],"")</f>
        <v>12.722998408732732</v>
      </c>
      <c r="BO1052" s="136"/>
      <c r="BP1052" s="40"/>
      <c r="BQ1052" s="40"/>
      <c r="BR1052" s="67"/>
      <c r="BS1052" s="54"/>
      <c r="BT1052" s="3"/>
      <c r="BU1052" s="3"/>
      <c r="BV1052" s="3"/>
      <c r="BW1052" s="3"/>
      <c r="BX1052" s="70"/>
      <c r="BY1052" s="70"/>
      <c r="BZ1052" s="59"/>
      <c r="CA1052" s="59"/>
      <c r="CB1052" s="59"/>
      <c r="CC1052" s="59"/>
      <c r="CD1052" s="60"/>
      <c r="CE1052" s="60"/>
      <c r="CF1052" s="61"/>
      <c r="CG1052" s="61"/>
      <c r="CH1052" s="61"/>
      <c r="CI1052" s="41">
        <v>14.2</v>
      </c>
      <c r="CJ1052" s="40">
        <f t="shared" ref="CJ1052:CJ1065" si="22">VLOOKUP(CI1052,$DB:$DC,2)</f>
        <v>520</v>
      </c>
      <c r="CK1052" s="3"/>
      <c r="CL1052" s="62"/>
      <c r="CM1052" s="63"/>
      <c r="CN1052" s="3"/>
      <c r="CO1052" s="3"/>
      <c r="CP1052" s="41">
        <f>_xlfn.MAXIFS([1]!phvny[age],[1]!phvny[id],paper3[[#This Row],[id]],[1]!phvny[time],paper3[[#This Row],[time]])</f>
        <v>14.525</v>
      </c>
      <c r="CQ1052" s="3"/>
      <c r="CR1052" s="40"/>
      <c r="CS1052" s="40"/>
      <c r="CT1052" s="40"/>
      <c r="CU1052" s="40"/>
      <c r="CV1052" s="40"/>
      <c r="CW1052" s="40"/>
      <c r="CX1052" s="40"/>
      <c r="CY1052" s="40"/>
    </row>
    <row r="1053" spans="1:103" ht="18.75">
      <c r="A1053" s="46">
        <v>886</v>
      </c>
      <c r="B1053" s="92" t="s">
        <v>199</v>
      </c>
      <c r="C1053" s="3" t="s">
        <v>104</v>
      </c>
      <c r="D1053" s="46" t="s">
        <v>269</v>
      </c>
      <c r="E1053" s="86">
        <v>45796</v>
      </c>
      <c r="F1053" s="3" t="s">
        <v>186</v>
      </c>
      <c r="G1053" s="3" t="s">
        <v>107</v>
      </c>
      <c r="H1053" s="3">
        <v>2010</v>
      </c>
      <c r="I1053" s="40" t="str">
        <f t="shared" si="20"/>
        <v>U14</v>
      </c>
      <c r="J1053" s="40" t="s">
        <v>109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42">
        <v>172.7</v>
      </c>
      <c r="U1053" s="42">
        <v>88.600000000000009</v>
      </c>
      <c r="V1053" s="199">
        <f>paper3[[#This Row],[height]]-paper3[[#This Row],[sittingheight]]</f>
        <v>84.09999999999998</v>
      </c>
      <c r="W1053" s="73">
        <v>72</v>
      </c>
      <c r="X1053" s="43" cm="1">
        <f t="array" ref="X1053">INDEX([1]!phvny[yphv], MATCH(1, (paper3[[#This Row],[id]]=[1]!phvny[id])*(paper3[[#This Row],[time]]=[1]!phvny[time]), 0))</f>
        <v>2.9080482564949501</v>
      </c>
      <c r="Y1053" s="192">
        <v>1.8320000000000001</v>
      </c>
      <c r="Z1053" s="3">
        <v>3.359</v>
      </c>
      <c r="AA1053" s="192">
        <v>4.7839999999999998</v>
      </c>
      <c r="AB1053" s="3">
        <v>1.857</v>
      </c>
      <c r="AC1053" s="3">
        <v>3.4249999999999998</v>
      </c>
      <c r="AD1053" s="3">
        <v>4.891</v>
      </c>
      <c r="AE1053" s="3">
        <v>1.8149999999999999</v>
      </c>
      <c r="AF1053" s="3">
        <v>3.3839999999999999</v>
      </c>
      <c r="AG1053" s="3">
        <v>4.8769999999999998</v>
      </c>
      <c r="AH1053" s="194">
        <v>1.8149999999999999</v>
      </c>
      <c r="AI1053" s="194">
        <v>3.359</v>
      </c>
      <c r="AJ1053" s="194">
        <v>4.7839999999999998</v>
      </c>
      <c r="AK1053" s="130"/>
      <c r="AL1053" s="203">
        <v>10.3</v>
      </c>
      <c r="AM1053" s="203">
        <v>10.29</v>
      </c>
      <c r="AN1053" s="3">
        <v>10.29</v>
      </c>
      <c r="AO1053" s="3">
        <v>10.42</v>
      </c>
      <c r="AP1053" s="137"/>
      <c r="AQ1053" s="132">
        <v>10.29</v>
      </c>
      <c r="AR1053" s="132">
        <v>10.29</v>
      </c>
      <c r="AS1053" s="3"/>
      <c r="AT1053" s="3">
        <v>18.899999999999999</v>
      </c>
      <c r="AU1053" s="3">
        <v>20.9</v>
      </c>
      <c r="AV1053" s="3"/>
      <c r="AW1053" s="192"/>
      <c r="AX1053" s="133">
        <v>20.9</v>
      </c>
      <c r="AY1053" s="195"/>
      <c r="AZ1053" s="40"/>
      <c r="BA1053" s="40"/>
      <c r="BB1053" s="40"/>
      <c r="BC1053" s="40"/>
      <c r="BD1053" s="135">
        <v>1364.6367901396347</v>
      </c>
      <c r="BE1053" s="135">
        <v>1320.0156636455231</v>
      </c>
      <c r="BF1053" s="40"/>
      <c r="BG1053" s="213">
        <v>475.32658178053828</v>
      </c>
      <c r="BH1053" s="135">
        <v>482.80192218069055</v>
      </c>
      <c r="BI1053" s="49">
        <f>IFERROR(SUM(paper3[[#This Row],[Kraft ikke-dominant]:[Kraft dominant]]),"")</f>
        <v>2684.6524537851578</v>
      </c>
      <c r="BJ1053" s="49">
        <f>IFERROR(SUM(paper3[[#This Row],[Pwr ikke-dominant]:[Pwr dominant]]),"")</f>
        <v>958.12850396122883</v>
      </c>
      <c r="BK1053" s="66"/>
      <c r="BL1053" s="66"/>
      <c r="BM1053" s="51">
        <f>IFERROR(paper3[[#This Row],[totforce]]/paper3[[#This Row],[bodymass]],"")</f>
        <v>37.286839635904968</v>
      </c>
      <c r="BN1053" s="51">
        <f>IFERROR(paper3[[#This Row],[totpwr]]/paper3[[#This Row],[bodymass]],"")</f>
        <v>13.307340332794844</v>
      </c>
      <c r="BO1053" s="136"/>
      <c r="BP1053" s="40"/>
      <c r="BQ1053" s="40"/>
      <c r="BR1053" s="67"/>
      <c r="BS1053" s="54"/>
      <c r="BT1053" s="3"/>
      <c r="BU1053" s="3"/>
      <c r="BV1053" s="3"/>
      <c r="BW1053" s="3"/>
      <c r="BX1053" s="70"/>
      <c r="BY1053" s="70"/>
      <c r="BZ1053" s="59"/>
      <c r="CA1053" s="59"/>
      <c r="CB1053" s="59"/>
      <c r="CC1053" s="59"/>
      <c r="CD1053" s="60"/>
      <c r="CE1053" s="60"/>
      <c r="CF1053" s="61"/>
      <c r="CG1053" s="61"/>
      <c r="CH1053" s="61"/>
      <c r="CI1053" s="41">
        <v>15.1</v>
      </c>
      <c r="CJ1053" s="40">
        <f t="shared" si="22"/>
        <v>800</v>
      </c>
      <c r="CK1053" s="3"/>
      <c r="CL1053" s="62"/>
      <c r="CM1053" s="63"/>
      <c r="CN1053" s="3"/>
      <c r="CO1053" s="3"/>
      <c r="CP1053" s="41">
        <f>_xlfn.MAXIFS([1]!phvny[age],[1]!phvny[id],paper3[[#This Row],[id]],[1]!phvny[time],paper3[[#This Row],[time]])</f>
        <v>15.013888888888889</v>
      </c>
      <c r="CQ1053" s="3"/>
      <c r="CR1053" s="40"/>
      <c r="CS1053" s="40"/>
      <c r="CT1053" s="40"/>
      <c r="CU1053" s="40"/>
      <c r="CV1053" s="40"/>
      <c r="CW1053" s="40"/>
      <c r="CX1053" s="40"/>
      <c r="CY1053" s="40"/>
    </row>
    <row r="1054" spans="1:103" ht="18.75">
      <c r="A1054" s="46">
        <v>887</v>
      </c>
      <c r="B1054" s="92" t="s">
        <v>199</v>
      </c>
      <c r="C1054" s="3"/>
      <c r="D1054" s="46" t="s">
        <v>269</v>
      </c>
      <c r="E1054" s="86">
        <v>45796</v>
      </c>
      <c r="F1054" s="3" t="s">
        <v>186</v>
      </c>
      <c r="G1054" s="3" t="s">
        <v>107</v>
      </c>
      <c r="H1054" s="3">
        <v>2010</v>
      </c>
      <c r="I1054" s="40" t="str">
        <f t="shared" si="20"/>
        <v>U14</v>
      </c>
      <c r="J1054" s="40" t="s">
        <v>109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42">
        <v>165.6</v>
      </c>
      <c r="U1054" s="42">
        <v>84.3</v>
      </c>
      <c r="V1054" s="199">
        <f>paper3[[#This Row],[height]]-paper3[[#This Row],[sittingheight]]</f>
        <v>81.3</v>
      </c>
      <c r="W1054" s="73">
        <v>47.8</v>
      </c>
      <c r="X1054" s="43" cm="1">
        <f t="array" ref="X1054">INDEX([1]!phvny[yphv], MATCH(1, (paper3[[#This Row],[id]]=[1]!phvny[id])*(paper3[[#This Row],[time]]=[1]!phvny[time]), 0))</f>
        <v>2.1840923351618353</v>
      </c>
      <c r="Y1054" s="192">
        <v>1.8740000000000001</v>
      </c>
      <c r="Z1054" s="3">
        <v>3.4860000000000002</v>
      </c>
      <c r="AA1054" s="192">
        <v>5.0759999999999996</v>
      </c>
      <c r="AB1054" s="3">
        <v>1.9159999999999999</v>
      </c>
      <c r="AC1054" s="3">
        <v>3.59</v>
      </c>
      <c r="AD1054" s="3">
        <v>5.2309999999999999</v>
      </c>
      <c r="AE1054" s="3">
        <v>1.966</v>
      </c>
      <c r="AF1054" s="3">
        <v>3.6589999999999998</v>
      </c>
      <c r="AG1054" s="3">
        <v>5.35</v>
      </c>
      <c r="AH1054" s="194">
        <v>1.8740000000000001</v>
      </c>
      <c r="AI1054" s="194">
        <v>3.4860000000000002</v>
      </c>
      <c r="AJ1054" s="194">
        <v>5.0759999999999996</v>
      </c>
      <c r="AK1054" s="130"/>
      <c r="AL1054" s="203">
        <v>10.73</v>
      </c>
      <c r="AM1054" s="203">
        <v>10.78</v>
      </c>
      <c r="AN1054" s="3">
        <v>10.9</v>
      </c>
      <c r="AO1054" s="3">
        <v>10.94</v>
      </c>
      <c r="AP1054" s="137"/>
      <c r="AQ1054" s="132">
        <v>10.73</v>
      </c>
      <c r="AR1054" s="132">
        <v>10.9</v>
      </c>
      <c r="AS1054" s="3">
        <v>17.2</v>
      </c>
      <c r="AT1054" s="3">
        <v>16.600000000000001</v>
      </c>
      <c r="AU1054" s="3">
        <v>17.899999999999999</v>
      </c>
      <c r="AV1054" s="3"/>
      <c r="AW1054" s="192"/>
      <c r="AX1054" s="133">
        <v>17.899999999999999</v>
      </c>
      <c r="AY1054" s="195"/>
      <c r="AZ1054" s="40"/>
      <c r="BA1054" s="40"/>
      <c r="BB1054" s="40"/>
      <c r="BC1054" s="40"/>
      <c r="BD1054" s="135">
        <v>676.58877006293665</v>
      </c>
      <c r="BE1054" s="135">
        <v>655.34018534618019</v>
      </c>
      <c r="BF1054" s="40"/>
      <c r="BG1054" s="213">
        <v>285.30407643312174</v>
      </c>
      <c r="BH1054" s="135">
        <v>294.5057376871286</v>
      </c>
      <c r="BI1054" s="49">
        <f>IFERROR(SUM(paper3[[#This Row],[Kraft ikke-dominant]:[Kraft dominant]]),"")</f>
        <v>1331.928955409117</v>
      </c>
      <c r="BJ1054" s="49">
        <f>IFERROR(SUM(paper3[[#This Row],[Pwr ikke-dominant]:[Pwr dominant]]),"")</f>
        <v>579.80981412025039</v>
      </c>
      <c r="BK1054" s="66"/>
      <c r="BL1054" s="66"/>
      <c r="BM1054" s="51">
        <f>IFERROR(paper3[[#This Row],[totforce]]/paper3[[#This Row],[bodymass]],"")</f>
        <v>27.864622498098683</v>
      </c>
      <c r="BN1054" s="51">
        <f>IFERROR(paper3[[#This Row],[totpwr]]/paper3[[#This Row],[bodymass]],"")</f>
        <v>12.129912429293942</v>
      </c>
      <c r="BO1054" s="136"/>
      <c r="BP1054" s="40"/>
      <c r="BQ1054" s="40"/>
      <c r="BR1054" s="67"/>
      <c r="BS1054" s="54"/>
      <c r="BT1054" s="3"/>
      <c r="BU1054" s="3"/>
      <c r="BV1054" s="3"/>
      <c r="BW1054" s="3"/>
      <c r="BX1054" s="70"/>
      <c r="BY1054" s="70"/>
      <c r="BZ1054" s="59"/>
      <c r="CA1054" s="59"/>
      <c r="CB1054" s="59"/>
      <c r="CC1054" s="59"/>
      <c r="CD1054" s="60"/>
      <c r="CE1054" s="60"/>
      <c r="CF1054" s="61"/>
      <c r="CG1054" s="61"/>
      <c r="CH1054" s="61"/>
      <c r="CI1054" s="41">
        <v>14.4</v>
      </c>
      <c r="CJ1054" s="40">
        <f t="shared" si="22"/>
        <v>600</v>
      </c>
      <c r="CK1054" s="3"/>
      <c r="CL1054" s="62"/>
      <c r="CM1054" s="63"/>
      <c r="CN1054" s="3"/>
      <c r="CO1054" s="3"/>
      <c r="CP1054" s="41">
        <f>_xlfn.MAXIFS([1]!phvny[age],[1]!phvny[id],paper3[[#This Row],[id]],[1]!phvny[time],paper3[[#This Row],[time]])</f>
        <v>14.791666666666666</v>
      </c>
      <c r="CQ1054" s="3"/>
      <c r="CR1054" s="40"/>
      <c r="CS1054" s="40"/>
      <c r="CT1054" s="40"/>
      <c r="CU1054" s="40"/>
      <c r="CV1054" s="40"/>
      <c r="CW1054" s="40"/>
      <c r="CX1054" s="40"/>
      <c r="CY1054" s="40"/>
    </row>
    <row r="1055" spans="1:103" ht="18.75">
      <c r="A1055" s="46">
        <v>892</v>
      </c>
      <c r="B1055" s="92" t="s">
        <v>199</v>
      </c>
      <c r="C1055" s="3" t="s">
        <v>104</v>
      </c>
      <c r="D1055" s="46" t="s">
        <v>269</v>
      </c>
      <c r="E1055" s="86">
        <v>45796</v>
      </c>
      <c r="F1055" s="3" t="s">
        <v>186</v>
      </c>
      <c r="G1055" s="3" t="s">
        <v>107</v>
      </c>
      <c r="H1055" s="3">
        <v>2010</v>
      </c>
      <c r="I1055" s="40" t="str">
        <f t="shared" si="20"/>
        <v>U14</v>
      </c>
      <c r="J1055" s="40" t="s">
        <v>109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42">
        <v>168.05</v>
      </c>
      <c r="U1055" s="42">
        <v>87.999999999999986</v>
      </c>
      <c r="V1055" s="199">
        <f>paper3[[#This Row],[height]]-paper3[[#This Row],[sittingheight]]</f>
        <v>80.050000000000026</v>
      </c>
      <c r="W1055" s="73">
        <v>55.2</v>
      </c>
      <c r="X1055" s="43" cm="1">
        <f t="array" ref="X1055">INDEX([1]!phvny[yphv], MATCH(1, (paper3[[#This Row],[id]]=[1]!phvny[id])*(paper3[[#This Row],[time]]=[1]!phvny[time]), 0))</f>
        <v>2.3801027632741567</v>
      </c>
      <c r="Y1055" s="192">
        <v>1.764</v>
      </c>
      <c r="Z1055" s="3">
        <v>3.2530000000000001</v>
      </c>
      <c r="AA1055" s="192">
        <v>4.6900000000000004</v>
      </c>
      <c r="AB1055" s="3">
        <v>1.863</v>
      </c>
      <c r="AC1055" s="3">
        <v>3.395</v>
      </c>
      <c r="AD1055" s="3">
        <v>4.8819999999999997</v>
      </c>
      <c r="AE1055" s="3">
        <v>1.7669999999999999</v>
      </c>
      <c r="AF1055" s="3">
        <v>3.2669999999999999</v>
      </c>
      <c r="AG1055" s="3">
        <v>4.7519999999999998</v>
      </c>
      <c r="AH1055" s="194">
        <v>1.764</v>
      </c>
      <c r="AI1055" s="194">
        <v>3.2530000000000001</v>
      </c>
      <c r="AJ1055" s="194">
        <v>4.6900000000000004</v>
      </c>
      <c r="AK1055" s="130"/>
      <c r="AL1055" s="203">
        <v>10.31</v>
      </c>
      <c r="AM1055" s="203">
        <v>10.16</v>
      </c>
      <c r="AN1055" s="3">
        <v>10.64</v>
      </c>
      <c r="AO1055" s="3">
        <v>10.62</v>
      </c>
      <c r="AP1055" s="137"/>
      <c r="AQ1055" s="132">
        <v>10.16</v>
      </c>
      <c r="AR1055" s="132">
        <v>10.62</v>
      </c>
      <c r="AS1055" s="3">
        <v>24.5</v>
      </c>
      <c r="AT1055" s="3">
        <v>25.4</v>
      </c>
      <c r="AU1055" s="3">
        <v>25.9</v>
      </c>
      <c r="AV1055" s="3"/>
      <c r="AW1055" s="192"/>
      <c r="AX1055" s="133">
        <v>25.9</v>
      </c>
      <c r="AY1055" s="195"/>
      <c r="AZ1055" s="40"/>
      <c r="BA1055" s="40"/>
      <c r="BB1055" s="40"/>
      <c r="BC1055" s="40"/>
      <c r="BD1055" s="135">
        <v>915.14886965383903</v>
      </c>
      <c r="BE1055" s="135">
        <v>880.5982706223914</v>
      </c>
      <c r="BF1055" s="40"/>
      <c r="BG1055" s="213">
        <v>432.93539436079061</v>
      </c>
      <c r="BH1055" s="135">
        <v>428.24704261757745</v>
      </c>
      <c r="BI1055" s="49">
        <f>IFERROR(SUM(paper3[[#This Row],[Kraft ikke-dominant]:[Kraft dominant]]),"")</f>
        <v>1795.7471402762303</v>
      </c>
      <c r="BJ1055" s="49">
        <f>IFERROR(SUM(paper3[[#This Row],[Pwr ikke-dominant]:[Pwr dominant]]),"")</f>
        <v>861.18243697836806</v>
      </c>
      <c r="BK1055" s="66"/>
      <c r="BL1055" s="66"/>
      <c r="BM1055" s="51">
        <f>IFERROR(paper3[[#This Row],[totforce]]/paper3[[#This Row],[bodymass]],"")</f>
        <v>32.53165109196069</v>
      </c>
      <c r="BN1055" s="51">
        <f>IFERROR(paper3[[#This Row],[totpwr]]/paper3[[#This Row],[bodymass]],"")</f>
        <v>15.601131104680579</v>
      </c>
      <c r="BO1055" s="136"/>
      <c r="BP1055" s="40"/>
      <c r="BQ1055" s="40"/>
      <c r="BR1055" s="67"/>
      <c r="BS1055" s="54"/>
      <c r="BT1055" s="3"/>
      <c r="BU1055" s="3"/>
      <c r="BV1055" s="3"/>
      <c r="BW1055" s="3"/>
      <c r="BX1055" s="70"/>
      <c r="BY1055" s="70"/>
      <c r="BZ1055" s="59"/>
      <c r="CA1055" s="59"/>
      <c r="CB1055" s="59"/>
      <c r="CC1055" s="59"/>
      <c r="CD1055" s="60"/>
      <c r="CE1055" s="60"/>
      <c r="CF1055" s="61"/>
      <c r="CG1055" s="61"/>
      <c r="CH1055" s="61"/>
      <c r="CI1055" s="41">
        <v>14.5</v>
      </c>
      <c r="CJ1055" s="40">
        <f t="shared" si="22"/>
        <v>640</v>
      </c>
      <c r="CK1055" s="3"/>
      <c r="CL1055" s="62"/>
      <c r="CM1055" s="63"/>
      <c r="CN1055" s="3"/>
      <c r="CO1055" s="3"/>
      <c r="CP1055" s="41">
        <f>_xlfn.MAXIFS([1]!phvny[age],[1]!phvny[id],paper3[[#This Row],[id]],[1]!phvny[time],paper3[[#This Row],[time]])</f>
        <v>14.544444444444444</v>
      </c>
      <c r="CQ1055" s="3"/>
      <c r="CR1055" s="40"/>
      <c r="CS1055" s="40"/>
      <c r="CT1055" s="40"/>
      <c r="CU1055" s="40"/>
      <c r="CV1055" s="40"/>
      <c r="CW1055" s="40"/>
      <c r="CX1055" s="40"/>
      <c r="CY1055" s="40"/>
    </row>
    <row r="1056" spans="1:103" ht="18.75">
      <c r="A1056" s="46">
        <v>897</v>
      </c>
      <c r="B1056" s="92" t="s">
        <v>199</v>
      </c>
      <c r="C1056" s="3"/>
      <c r="D1056" s="46" t="s">
        <v>269</v>
      </c>
      <c r="E1056" s="86">
        <v>45796</v>
      </c>
      <c r="F1056" s="3" t="s">
        <v>186</v>
      </c>
      <c r="G1056" s="3" t="s">
        <v>107</v>
      </c>
      <c r="H1056" s="3">
        <v>2010</v>
      </c>
      <c r="I1056" s="40" t="str">
        <f t="shared" si="20"/>
        <v>U14</v>
      </c>
      <c r="J1056" s="40" t="s">
        <v>109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42">
        <v>174.7</v>
      </c>
      <c r="U1056" s="42">
        <v>91.999999999999986</v>
      </c>
      <c r="V1056" s="199">
        <f>paper3[[#This Row],[height]]-paper3[[#This Row],[sittingheight]]</f>
        <v>82.7</v>
      </c>
      <c r="W1056" s="73">
        <v>59.7</v>
      </c>
      <c r="X1056" s="43" cm="1">
        <f t="array" ref="X1056">INDEX([1]!phvny[yphv], MATCH(1, (paper3[[#This Row],[id]]=[1]!phvny[id])*(paper3[[#This Row],[time]]=[1]!phvny[time]), 0))</f>
        <v>2.9634470711352798</v>
      </c>
      <c r="Y1056" s="192">
        <v>1.833</v>
      </c>
      <c r="Z1056" s="3">
        <v>3.4</v>
      </c>
      <c r="AA1056" s="192">
        <v>4.8819999999999997</v>
      </c>
      <c r="AB1056" s="3">
        <v>1.865</v>
      </c>
      <c r="AC1056" s="3">
        <v>3.4609999999999999</v>
      </c>
      <c r="AD1056" s="3">
        <v>4.968</v>
      </c>
      <c r="AE1056" s="3">
        <v>1.827</v>
      </c>
      <c r="AF1056" s="3">
        <v>3.407</v>
      </c>
      <c r="AG1056" s="3">
        <v>4.92</v>
      </c>
      <c r="AH1056" s="194">
        <v>1.827</v>
      </c>
      <c r="AI1056" s="194">
        <v>3.4</v>
      </c>
      <c r="AJ1056" s="194">
        <v>4.8819999999999997</v>
      </c>
      <c r="AK1056" s="130"/>
      <c r="AL1056" s="203">
        <v>10.76</v>
      </c>
      <c r="AM1056" s="203">
        <v>10.62</v>
      </c>
      <c r="AN1056" s="3">
        <v>10.85</v>
      </c>
      <c r="AO1056" s="3">
        <v>11.19</v>
      </c>
      <c r="AP1056" s="137"/>
      <c r="AQ1056" s="132"/>
      <c r="AR1056" s="132">
        <v>10.85</v>
      </c>
      <c r="AS1056" s="3">
        <v>19.3</v>
      </c>
      <c r="AT1056" s="3">
        <v>17.8</v>
      </c>
      <c r="AU1056" s="3">
        <v>17.399999999999999</v>
      </c>
      <c r="AV1056" s="3"/>
      <c r="AW1056" s="192"/>
      <c r="AX1056" s="133">
        <v>19.3</v>
      </c>
      <c r="AY1056" s="195"/>
      <c r="AZ1056" s="40"/>
      <c r="BA1056" s="40"/>
      <c r="BB1056" s="40"/>
      <c r="BC1056" s="40"/>
      <c r="BD1056" s="135">
        <v>954.72013678796952</v>
      </c>
      <c r="BE1056" s="135">
        <v>859.0067567137944</v>
      </c>
      <c r="BF1056" s="40"/>
      <c r="BG1056" s="213">
        <v>399.8321280507966</v>
      </c>
      <c r="BH1056" s="135">
        <v>390.97245362718104</v>
      </c>
      <c r="BI1056" s="49">
        <f>IFERROR(SUM(paper3[[#This Row],[Kraft ikke-dominant]:[Kraft dominant]]),"")</f>
        <v>1813.7268935017639</v>
      </c>
      <c r="BJ1056" s="49">
        <f>IFERROR(SUM(paper3[[#This Row],[Pwr ikke-dominant]:[Pwr dominant]]),"")</f>
        <v>790.80458167797769</v>
      </c>
      <c r="BK1056" s="66"/>
      <c r="BL1056" s="66"/>
      <c r="BM1056" s="51">
        <f>IFERROR(paper3[[#This Row],[totforce]]/paper3[[#This Row],[bodymass]],"")</f>
        <v>30.380684983279128</v>
      </c>
      <c r="BN1056" s="51">
        <f>IFERROR(paper3[[#This Row],[totpwr]]/paper3[[#This Row],[bodymass]],"")</f>
        <v>13.246307900803647</v>
      </c>
      <c r="BO1056" s="136"/>
      <c r="BP1056" s="40"/>
      <c r="BQ1056" s="40"/>
      <c r="BR1056" s="67"/>
      <c r="BS1056" s="54"/>
      <c r="BT1056" s="3"/>
      <c r="BU1056" s="3"/>
      <c r="BV1056" s="3"/>
      <c r="BW1056" s="3"/>
      <c r="BX1056" s="70"/>
      <c r="BY1056" s="70"/>
      <c r="BZ1056" s="59"/>
      <c r="CA1056" s="59"/>
      <c r="CB1056" s="59"/>
      <c r="CC1056" s="59"/>
      <c r="CD1056" s="60"/>
      <c r="CE1056" s="60"/>
      <c r="CF1056" s="61"/>
      <c r="CG1056" s="61"/>
      <c r="CH1056" s="61"/>
      <c r="CI1056" s="41">
        <v>14.4</v>
      </c>
      <c r="CJ1056" s="40">
        <f t="shared" si="22"/>
        <v>600</v>
      </c>
      <c r="CK1056" s="3"/>
      <c r="CL1056" s="62"/>
      <c r="CM1056" s="63"/>
      <c r="CN1056" s="3"/>
      <c r="CO1056" s="3"/>
      <c r="CP1056" s="41">
        <f>_xlfn.MAXIFS([1]!phvny[age],[1]!phvny[id],paper3[[#This Row],[id]],[1]!phvny[time],paper3[[#This Row],[time]])</f>
        <v>14.766666666666667</v>
      </c>
      <c r="CQ1056" s="3"/>
      <c r="CR1056" s="40"/>
      <c r="CS1056" s="40"/>
      <c r="CT1056" s="40"/>
      <c r="CU1056" s="40"/>
      <c r="CV1056" s="40"/>
      <c r="CW1056" s="40"/>
      <c r="CX1056" s="40"/>
      <c r="CY1056" s="40"/>
    </row>
    <row r="1057" spans="1:103" ht="18.75">
      <c r="A1057" s="46">
        <v>899</v>
      </c>
      <c r="B1057" s="92" t="s">
        <v>199</v>
      </c>
      <c r="C1057" s="3"/>
      <c r="D1057" s="46" t="s">
        <v>269</v>
      </c>
      <c r="E1057" s="86">
        <v>45796</v>
      </c>
      <c r="F1057" s="3" t="s">
        <v>186</v>
      </c>
      <c r="G1057" s="3" t="s">
        <v>107</v>
      </c>
      <c r="H1057" s="3">
        <v>2010</v>
      </c>
      <c r="I1057" s="40" t="str">
        <f t="shared" si="20"/>
        <v>U14</v>
      </c>
      <c r="J1057" s="40" t="s">
        <v>109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42">
        <v>150.6</v>
      </c>
      <c r="U1057" s="42">
        <v>80.3</v>
      </c>
      <c r="V1057" s="199">
        <f>paper3[[#This Row],[height]]-paper3[[#This Row],[sittingheight]]</f>
        <v>70.3</v>
      </c>
      <c r="W1057" s="73">
        <v>48.1</v>
      </c>
      <c r="X1057" s="43"/>
      <c r="Y1057" s="192">
        <v>1.879</v>
      </c>
      <c r="Z1057" s="3">
        <v>3.4740000000000002</v>
      </c>
      <c r="AA1057" s="192">
        <v>5.0110000000000001</v>
      </c>
      <c r="AB1057" s="3">
        <v>1.9019999999999999</v>
      </c>
      <c r="AC1057" s="3">
        <v>3.512</v>
      </c>
      <c r="AD1057" s="3">
        <v>5.048</v>
      </c>
      <c r="AE1057" s="3">
        <v>1.85</v>
      </c>
      <c r="AF1057" s="3">
        <v>3.4220000000000002</v>
      </c>
      <c r="AG1057" s="3">
        <v>4.95</v>
      </c>
      <c r="AH1057" s="194">
        <v>1.85</v>
      </c>
      <c r="AI1057" s="194">
        <v>3.4220000000000002</v>
      </c>
      <c r="AJ1057" s="194">
        <v>4.95</v>
      </c>
      <c r="AK1057" s="130"/>
      <c r="AL1057" s="203">
        <v>10.37</v>
      </c>
      <c r="AM1057" s="203">
        <v>10.27</v>
      </c>
      <c r="AN1057" s="3">
        <v>10.18</v>
      </c>
      <c r="AO1057" s="3">
        <v>10.31</v>
      </c>
      <c r="AP1057" s="137"/>
      <c r="AQ1057" s="132">
        <v>10.27</v>
      </c>
      <c r="AR1057" s="132">
        <v>10.18</v>
      </c>
      <c r="AS1057" s="3">
        <v>22.6</v>
      </c>
      <c r="AT1057" s="3">
        <v>22.3</v>
      </c>
      <c r="AU1057" s="3">
        <v>22.5</v>
      </c>
      <c r="AV1057" s="3"/>
      <c r="AW1057" s="192"/>
      <c r="AX1057" s="133">
        <v>22.6</v>
      </c>
      <c r="AY1057" s="195"/>
      <c r="AZ1057" s="40"/>
      <c r="BA1057" s="40"/>
      <c r="BB1057" s="40"/>
      <c r="BC1057" s="40"/>
      <c r="BD1057" s="135">
        <v>938.93953189235617</v>
      </c>
      <c r="BE1057" s="135">
        <v>921.61470432595797</v>
      </c>
      <c r="BF1057" s="40"/>
      <c r="BG1057" s="213">
        <v>328.19588903684468</v>
      </c>
      <c r="BH1057" s="135">
        <v>318.58513316640705</v>
      </c>
      <c r="BI1057" s="49">
        <f>IFERROR(SUM(paper3[[#This Row],[Kraft ikke-dominant]:[Kraft dominant]]),"")</f>
        <v>1860.5542362183141</v>
      </c>
      <c r="BJ1057" s="49">
        <f>IFERROR(SUM(paper3[[#This Row],[Pwr ikke-dominant]:[Pwr dominant]]),"")</f>
        <v>646.78102220325172</v>
      </c>
      <c r="BK1057" s="66"/>
      <c r="BL1057" s="66"/>
      <c r="BM1057" s="51">
        <f>IFERROR(paper3[[#This Row],[totforce]]/paper3[[#This Row],[bodymass]],"")</f>
        <v>38.680961251940005</v>
      </c>
      <c r="BN1057" s="51">
        <f>IFERROR(paper3[[#This Row],[totpwr]]/paper3[[#This Row],[bodymass]],"")</f>
        <v>13.446590898196501</v>
      </c>
      <c r="BO1057" s="136"/>
      <c r="BP1057" s="40"/>
      <c r="BQ1057" s="40"/>
      <c r="BR1057" s="67"/>
      <c r="BS1057" s="54"/>
      <c r="BT1057" s="3"/>
      <c r="BU1057" s="3"/>
      <c r="BV1057" s="3"/>
      <c r="BW1057" s="3"/>
      <c r="BX1057" s="70"/>
      <c r="BY1057" s="70"/>
      <c r="BZ1057" s="59"/>
      <c r="CA1057" s="59"/>
      <c r="CB1057" s="59"/>
      <c r="CC1057" s="59"/>
      <c r="CD1057" s="60"/>
      <c r="CE1057" s="60"/>
      <c r="CF1057" s="61"/>
      <c r="CG1057" s="61"/>
      <c r="CH1057" s="61"/>
      <c r="CI1057" s="41">
        <v>15.5</v>
      </c>
      <c r="CJ1057" s="40">
        <f t="shared" si="22"/>
        <v>960</v>
      </c>
      <c r="CK1057" s="3"/>
      <c r="CL1057" s="62"/>
      <c r="CM1057" s="63"/>
      <c r="CN1057" s="3"/>
      <c r="CO1057" s="3"/>
      <c r="CP1057" s="41"/>
      <c r="CQ1057" s="3"/>
      <c r="CR1057" s="40"/>
      <c r="CS1057" s="40"/>
      <c r="CT1057" s="40"/>
      <c r="CU1057" s="40"/>
      <c r="CV1057" s="40"/>
      <c r="CW1057" s="40"/>
      <c r="CX1057" s="40"/>
      <c r="CY1057" s="40"/>
    </row>
    <row r="1058" spans="1:103" ht="18.75">
      <c r="A1058" s="46">
        <v>900</v>
      </c>
      <c r="B1058" s="92" t="s">
        <v>199</v>
      </c>
      <c r="C1058" s="3" t="s">
        <v>104</v>
      </c>
      <c r="D1058" s="46" t="s">
        <v>269</v>
      </c>
      <c r="E1058" s="86">
        <v>45796</v>
      </c>
      <c r="F1058" s="3" t="s">
        <v>186</v>
      </c>
      <c r="G1058" s="3" t="s">
        <v>107</v>
      </c>
      <c r="H1058" s="3">
        <v>2010</v>
      </c>
      <c r="I1058" s="40" t="str">
        <f t="shared" si="20"/>
        <v>U14</v>
      </c>
      <c r="J1058" s="40" t="s">
        <v>109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42">
        <v>168.05</v>
      </c>
      <c r="U1058" s="42">
        <v>85.499999999999986</v>
      </c>
      <c r="V1058" s="199">
        <f>paper3[[#This Row],[height]]-paper3[[#This Row],[sittingheight]]</f>
        <v>82.550000000000026</v>
      </c>
      <c r="W1058" s="73">
        <v>59.6</v>
      </c>
      <c r="X1058" s="43" cm="1">
        <f t="array" ref="X1058">INDEX([1]!phvny[yphv], MATCH(1, (paper3[[#This Row],[id]]=[1]!phvny[id])*(paper3[[#This Row],[time]]=[1]!phvny[time]), 0))</f>
        <v>2.288857697226768</v>
      </c>
      <c r="Y1058" s="192" t="s">
        <v>342</v>
      </c>
      <c r="Z1058" s="3" t="s">
        <v>343</v>
      </c>
      <c r="AA1058" s="192" t="s">
        <v>344</v>
      </c>
      <c r="AB1058" s="3">
        <v>1.8979999999999999</v>
      </c>
      <c r="AC1058" s="3">
        <v>3.5659999999999998</v>
      </c>
      <c r="AD1058" s="3">
        <v>5.1970000000000001</v>
      </c>
      <c r="AE1058" s="3">
        <v>1.9239999999999999</v>
      </c>
      <c r="AF1058" s="3">
        <v>3.601</v>
      </c>
      <c r="AG1058" s="3">
        <v>5.2359999999999998</v>
      </c>
      <c r="AH1058" s="193">
        <f>MIN(Y1058,AB1058,AE1058)</f>
        <v>1.8979999999999999</v>
      </c>
      <c r="AI1058" s="193">
        <f>MIN(Z1058,AC1058,AF1058)</f>
        <v>3.5659999999999998</v>
      </c>
      <c r="AJ1058" s="193">
        <f>MIN(AA1058,AD1058,AG1058)</f>
        <v>5.1970000000000001</v>
      </c>
      <c r="AK1058" s="130"/>
      <c r="AL1058" s="203">
        <v>10.66</v>
      </c>
      <c r="AM1058" s="203">
        <v>10.63</v>
      </c>
      <c r="AN1058" s="3">
        <v>10.84</v>
      </c>
      <c r="AO1058" s="3">
        <v>10.73</v>
      </c>
      <c r="AP1058" s="137"/>
      <c r="AQ1058" s="132">
        <v>10.63</v>
      </c>
      <c r="AR1058" s="132">
        <v>10.73</v>
      </c>
      <c r="AS1058" s="3">
        <v>20.6</v>
      </c>
      <c r="AT1058" s="3">
        <v>20.3</v>
      </c>
      <c r="AU1058" s="3">
        <v>21.7</v>
      </c>
      <c r="AV1058" s="3"/>
      <c r="AW1058" s="192"/>
      <c r="AX1058" s="133">
        <v>21.7</v>
      </c>
      <c r="AY1058" s="195"/>
      <c r="AZ1058" s="40"/>
      <c r="BA1058" s="40"/>
      <c r="BB1058" s="40"/>
      <c r="BC1058" s="40"/>
      <c r="BD1058" s="135">
        <v>1070.0819539669465</v>
      </c>
      <c r="BE1058" s="135">
        <v>1053.4251900007562</v>
      </c>
      <c r="BF1058" s="40"/>
      <c r="BG1058" s="213">
        <v>345.63992253400727</v>
      </c>
      <c r="BH1058" s="135">
        <v>374.93175095722438</v>
      </c>
      <c r="BI1058" s="49">
        <f>IFERROR(SUM(paper3[[#This Row],[Kraft ikke-dominant]:[Kraft dominant]]),"")</f>
        <v>2123.5071439677026</v>
      </c>
      <c r="BJ1058" s="49">
        <f>IFERROR(SUM(paper3[[#This Row],[Pwr ikke-dominant]:[Pwr dominant]]),"")</f>
        <v>720.57167349123165</v>
      </c>
      <c r="BK1058" s="66"/>
      <c r="BL1058" s="66"/>
      <c r="BM1058" s="51">
        <f>IFERROR(paper3[[#This Row],[totforce]]/paper3[[#This Row],[bodymass]],"")</f>
        <v>35.629314496102396</v>
      </c>
      <c r="BN1058" s="51">
        <f>IFERROR(paper3[[#This Row],[totpwr]]/paper3[[#This Row],[bodymass]],"")</f>
        <v>12.09012874985288</v>
      </c>
      <c r="BO1058" s="136"/>
      <c r="BP1058" s="40"/>
      <c r="BQ1058" s="40"/>
      <c r="BR1058" s="67"/>
      <c r="BS1058" s="54"/>
      <c r="BT1058" s="3"/>
      <c r="BU1058" s="3"/>
      <c r="BV1058" s="3"/>
      <c r="BW1058" s="3"/>
      <c r="BX1058" s="70"/>
      <c r="BY1058" s="70"/>
      <c r="BZ1058" s="59"/>
      <c r="CA1058" s="59"/>
      <c r="CB1058" s="59"/>
      <c r="CC1058" s="59"/>
      <c r="CD1058" s="60"/>
      <c r="CE1058" s="60"/>
      <c r="CF1058" s="61"/>
      <c r="CG1058" s="61"/>
      <c r="CH1058" s="61"/>
      <c r="CI1058" s="41">
        <v>14.8</v>
      </c>
      <c r="CJ1058" s="40">
        <f t="shared" si="22"/>
        <v>760</v>
      </c>
      <c r="CK1058" s="3"/>
      <c r="CL1058" s="62"/>
      <c r="CM1058" s="63"/>
      <c r="CN1058" s="3"/>
      <c r="CO1058" s="3"/>
      <c r="CP1058" s="41">
        <f>_xlfn.MAXIFS([1]!phvny[age],[1]!phvny[id],paper3[[#This Row],[id]],[1]!phvny[time],paper3[[#This Row],[time]])</f>
        <v>14.558333333333334</v>
      </c>
      <c r="CQ1058" s="3"/>
      <c r="CR1058" s="40"/>
      <c r="CS1058" s="40"/>
      <c r="CT1058" s="40"/>
      <c r="CU1058" s="40"/>
      <c r="CV1058" s="40"/>
      <c r="CW1058" s="40"/>
      <c r="CX1058" s="40"/>
      <c r="CY1058" s="40"/>
    </row>
    <row r="1059" spans="1:103" ht="18.75">
      <c r="A1059" s="46">
        <v>902</v>
      </c>
      <c r="B1059" s="92" t="s">
        <v>199</v>
      </c>
      <c r="C1059" s="3"/>
      <c r="D1059" s="46" t="s">
        <v>269</v>
      </c>
      <c r="E1059" s="86">
        <v>45796</v>
      </c>
      <c r="F1059" s="3" t="s">
        <v>186</v>
      </c>
      <c r="G1059" s="3" t="s">
        <v>107</v>
      </c>
      <c r="H1059" s="3">
        <v>2010</v>
      </c>
      <c r="I1059" s="40" t="str">
        <f t="shared" si="20"/>
        <v>U14</v>
      </c>
      <c r="J1059" s="40" t="s">
        <v>109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42">
        <v>173</v>
      </c>
      <c r="U1059" s="42">
        <v>93.3</v>
      </c>
      <c r="V1059" s="199">
        <f>paper3[[#This Row],[height]]-paper3[[#This Row],[sittingheight]]</f>
        <v>79.7</v>
      </c>
      <c r="W1059" s="73">
        <v>66.7</v>
      </c>
      <c r="X1059" s="43" cm="1">
        <f t="array" ref="X1059">INDEX([1]!phvny[yphv], MATCH(1, (paper3[[#This Row],[id]]=[1]!phvny[id])*(paper3[[#This Row],[time]]=[1]!phvny[time]), 0))</f>
        <v>3.2870834137132294</v>
      </c>
      <c r="Y1059" s="192">
        <v>1.958</v>
      </c>
      <c r="Z1059" s="3">
        <v>3.4780000000000002</v>
      </c>
      <c r="AA1059" s="192">
        <v>4.96</v>
      </c>
      <c r="AB1059" s="3">
        <v>1.946</v>
      </c>
      <c r="AC1059" s="3">
        <v>3.5009999999999999</v>
      </c>
      <c r="AD1059" s="3">
        <v>4.984</v>
      </c>
      <c r="AE1059" s="3">
        <v>1.917</v>
      </c>
      <c r="AF1059" s="3">
        <v>3.488</v>
      </c>
      <c r="AG1059" s="3">
        <v>5.0490000000000004</v>
      </c>
      <c r="AH1059" s="194">
        <v>1.917</v>
      </c>
      <c r="AI1059" s="194">
        <v>3.4780000000000002</v>
      </c>
      <c r="AJ1059" s="194">
        <v>4.96</v>
      </c>
      <c r="AK1059" s="130"/>
      <c r="AL1059" s="203">
        <v>10.23</v>
      </c>
      <c r="AM1059" s="203">
        <v>10.15</v>
      </c>
      <c r="AN1059" s="3">
        <v>10.55</v>
      </c>
      <c r="AO1059" s="3">
        <v>10.4</v>
      </c>
      <c r="AP1059" s="137"/>
      <c r="AQ1059" s="132">
        <v>10.15</v>
      </c>
      <c r="AR1059" s="132">
        <v>10.4</v>
      </c>
      <c r="AS1059" s="3">
        <v>21.5</v>
      </c>
      <c r="AT1059" s="3">
        <v>20.3</v>
      </c>
      <c r="AU1059" s="3">
        <v>20.6</v>
      </c>
      <c r="AV1059" s="3"/>
      <c r="AW1059" s="192"/>
      <c r="AX1059" s="133">
        <v>21.5</v>
      </c>
      <c r="AY1059" s="195"/>
      <c r="AZ1059" s="40"/>
      <c r="BA1059" s="40"/>
      <c r="BB1059" s="40"/>
      <c r="BC1059" s="40"/>
      <c r="BD1059" s="135">
        <v>1385.1845611672024</v>
      </c>
      <c r="BE1059" s="135">
        <v>1303.5076700134255</v>
      </c>
      <c r="BF1059" s="40"/>
      <c r="BG1059" s="213">
        <v>430.06053243279877</v>
      </c>
      <c r="BH1059" s="135">
        <v>380.68526824758311</v>
      </c>
      <c r="BI1059" s="49">
        <f>IFERROR(SUM(paper3[[#This Row],[Kraft ikke-dominant]:[Kraft dominant]]),"")</f>
        <v>2688.6922311806279</v>
      </c>
      <c r="BJ1059" s="49">
        <f>IFERROR(SUM(paper3[[#This Row],[Pwr ikke-dominant]:[Pwr dominant]]),"")</f>
        <v>810.74580068038188</v>
      </c>
      <c r="BK1059" s="66"/>
      <c r="BL1059" s="66"/>
      <c r="BM1059" s="51">
        <f>IFERROR(paper3[[#This Row],[totforce]]/paper3[[#This Row],[bodymass]],"")</f>
        <v>40.310228353532651</v>
      </c>
      <c r="BN1059" s="51">
        <f>IFERROR(paper3[[#This Row],[totpwr]]/paper3[[#This Row],[bodymass]],"")</f>
        <v>12.155109455477989</v>
      </c>
      <c r="BO1059" s="136"/>
      <c r="BP1059" s="40"/>
      <c r="BQ1059" s="40"/>
      <c r="BR1059" s="67"/>
      <c r="BS1059" s="54"/>
      <c r="BT1059" s="3"/>
      <c r="BU1059" s="3"/>
      <c r="BV1059" s="3"/>
      <c r="BW1059" s="3"/>
      <c r="BX1059" s="70"/>
      <c r="BY1059" s="70"/>
      <c r="BZ1059" s="59"/>
      <c r="CA1059" s="59"/>
      <c r="CB1059" s="59"/>
      <c r="CC1059" s="59"/>
      <c r="CD1059" s="60"/>
      <c r="CE1059" s="60"/>
      <c r="CF1059" s="61"/>
      <c r="CG1059" s="61"/>
      <c r="CH1059" s="61"/>
      <c r="CI1059" s="41">
        <v>14.6</v>
      </c>
      <c r="CJ1059" s="40">
        <f t="shared" si="22"/>
        <v>680</v>
      </c>
      <c r="CK1059" s="3"/>
      <c r="CL1059" s="62"/>
      <c r="CM1059" s="63"/>
      <c r="CN1059" s="3"/>
      <c r="CO1059" s="3"/>
      <c r="CP1059" s="41">
        <f>_xlfn.MAXIFS([1]!phvny[age],[1]!phvny[id],paper3[[#This Row],[id]],[1]!phvny[time],paper3[[#This Row],[time]])</f>
        <v>15.280555555555555</v>
      </c>
      <c r="CQ1059" s="3"/>
      <c r="CR1059" s="40"/>
      <c r="CS1059" s="40"/>
      <c r="CT1059" s="40"/>
      <c r="CU1059" s="40"/>
      <c r="CV1059" s="40"/>
      <c r="CW1059" s="40"/>
      <c r="CX1059" s="40"/>
      <c r="CY1059" s="40"/>
    </row>
    <row r="1060" spans="1:103" ht="18.75">
      <c r="A1060" s="46">
        <v>903</v>
      </c>
      <c r="B1060" s="92" t="s">
        <v>199</v>
      </c>
      <c r="C1060" s="3"/>
      <c r="D1060" s="46" t="s">
        <v>269</v>
      </c>
      <c r="E1060" s="86">
        <v>45796</v>
      </c>
      <c r="F1060" s="3" t="s">
        <v>186</v>
      </c>
      <c r="G1060" s="3" t="s">
        <v>107</v>
      </c>
      <c r="H1060" s="3">
        <v>2010</v>
      </c>
      <c r="I1060" s="40" t="str">
        <f t="shared" si="20"/>
        <v>U14</v>
      </c>
      <c r="J1060" s="40" t="s">
        <v>109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42">
        <v>164.5</v>
      </c>
      <c r="U1060" s="42">
        <v>86.8</v>
      </c>
      <c r="V1060" s="199">
        <f>paper3[[#This Row],[height]]-paper3[[#This Row],[sittingheight]]</f>
        <v>77.7</v>
      </c>
      <c r="W1060" s="73">
        <v>65</v>
      </c>
      <c r="X1060" s="43" cm="1">
        <f t="array" ref="X1060">INDEX([1]!phvny[yphv], MATCH(1, (paper3[[#This Row],[id]]=[1]!phvny[id])*(paper3[[#This Row],[time]]=[1]!phvny[time]), 0))</f>
        <v>2.6312869993758876</v>
      </c>
      <c r="Y1060" s="192">
        <v>1.78</v>
      </c>
      <c r="Z1060" s="3">
        <v>3.31</v>
      </c>
      <c r="AA1060" s="192">
        <v>4.7690000000000001</v>
      </c>
      <c r="AB1060" s="3">
        <v>1.802</v>
      </c>
      <c r="AC1060" s="3">
        <v>3.3780000000000001</v>
      </c>
      <c r="AD1060" s="3">
        <v>4.8970000000000002</v>
      </c>
      <c r="AE1060" s="3">
        <v>1.871</v>
      </c>
      <c r="AF1060" s="3">
        <v>3.484</v>
      </c>
      <c r="AG1060" s="3">
        <v>5.016</v>
      </c>
      <c r="AH1060" s="194">
        <v>1.78</v>
      </c>
      <c r="AI1060" s="194">
        <v>3.31</v>
      </c>
      <c r="AJ1060" s="194">
        <v>4.7690000000000001</v>
      </c>
      <c r="AK1060" s="130"/>
      <c r="AL1060" s="203">
        <v>10.18</v>
      </c>
      <c r="AM1060" s="203">
        <v>10.26</v>
      </c>
      <c r="AN1060" s="3">
        <v>10.47</v>
      </c>
      <c r="AO1060" s="3">
        <v>10.6</v>
      </c>
      <c r="AP1060" s="137"/>
      <c r="AQ1060" s="132">
        <v>10.18</v>
      </c>
      <c r="AR1060" s="132">
        <v>10.47</v>
      </c>
      <c r="AS1060" s="3">
        <v>21</v>
      </c>
      <c r="AT1060" s="3">
        <v>20.6</v>
      </c>
      <c r="AU1060" s="3">
        <v>21.7</v>
      </c>
      <c r="AV1060" s="3"/>
      <c r="AW1060" s="192"/>
      <c r="AX1060" s="133">
        <v>21.7</v>
      </c>
      <c r="AY1060" s="195"/>
      <c r="AZ1060" s="40"/>
      <c r="BA1060" s="40"/>
      <c r="BB1060" s="40"/>
      <c r="BC1060" s="40"/>
      <c r="BD1060" s="135">
        <v>1240.3921818089734</v>
      </c>
      <c r="BE1060" s="135">
        <v>1151.0133689803386</v>
      </c>
      <c r="BF1060" s="40"/>
      <c r="BG1060" s="213">
        <v>474.83084806805425</v>
      </c>
      <c r="BH1060" s="135">
        <v>458.05717005209175</v>
      </c>
      <c r="BI1060" s="49">
        <f>IFERROR(SUM(paper3[[#This Row],[Kraft ikke-dominant]:[Kraft dominant]]),"")</f>
        <v>2391.4055507893117</v>
      </c>
      <c r="BJ1060" s="49">
        <f>IFERROR(SUM(paper3[[#This Row],[Pwr ikke-dominant]:[Pwr dominant]]),"")</f>
        <v>932.88801812014594</v>
      </c>
      <c r="BK1060" s="66"/>
      <c r="BL1060" s="66"/>
      <c r="BM1060" s="51">
        <f>IFERROR(paper3[[#This Row],[totforce]]/paper3[[#This Row],[bodymass]],"")</f>
        <v>36.790854627527871</v>
      </c>
      <c r="BN1060" s="51">
        <f>IFERROR(paper3[[#This Row],[totpwr]]/paper3[[#This Row],[bodymass]],"")</f>
        <v>14.352123355694554</v>
      </c>
      <c r="BO1060" s="136"/>
      <c r="BP1060" s="40"/>
      <c r="BQ1060" s="40"/>
      <c r="BR1060" s="67"/>
      <c r="BS1060" s="54"/>
      <c r="BT1060" s="3"/>
      <c r="BU1060" s="3"/>
      <c r="BV1060" s="3"/>
      <c r="BW1060" s="3"/>
      <c r="BX1060" s="70"/>
      <c r="BY1060" s="70"/>
      <c r="BZ1060" s="59"/>
      <c r="CA1060" s="59"/>
      <c r="CB1060" s="59"/>
      <c r="CC1060" s="59"/>
      <c r="CD1060" s="60"/>
      <c r="CE1060" s="60"/>
      <c r="CF1060" s="61"/>
      <c r="CG1060" s="61"/>
      <c r="CH1060" s="61"/>
      <c r="CI1060" s="41">
        <v>14.2</v>
      </c>
      <c r="CJ1060" s="40">
        <f t="shared" si="22"/>
        <v>520</v>
      </c>
      <c r="CK1060" s="3"/>
      <c r="CL1060" s="62"/>
      <c r="CM1060" s="63"/>
      <c r="CN1060" s="3"/>
      <c r="CO1060" s="3"/>
      <c r="CP1060" s="41">
        <f>_xlfn.MAXIFS([1]!phvny[age],[1]!phvny[id],paper3[[#This Row],[id]],[1]!phvny[time],paper3[[#This Row],[time]])</f>
        <v>15.238888888888889</v>
      </c>
      <c r="CQ1060" s="3"/>
      <c r="CR1060" s="40"/>
      <c r="CS1060" s="40"/>
      <c r="CT1060" s="40"/>
      <c r="CU1060" s="40"/>
      <c r="CV1060" s="40"/>
      <c r="CW1060" s="40"/>
      <c r="CX1060" s="40"/>
      <c r="CY1060" s="40"/>
    </row>
    <row r="1061" spans="1:103" ht="18.75">
      <c r="A1061" s="46">
        <v>904</v>
      </c>
      <c r="B1061" s="92" t="s">
        <v>199</v>
      </c>
      <c r="C1061" s="3" t="s">
        <v>104</v>
      </c>
      <c r="D1061" s="46" t="s">
        <v>269</v>
      </c>
      <c r="E1061" s="86">
        <v>45796</v>
      </c>
      <c r="F1061" s="3" t="s">
        <v>186</v>
      </c>
      <c r="G1061" s="3" t="s">
        <v>107</v>
      </c>
      <c r="H1061" s="3">
        <v>2010</v>
      </c>
      <c r="I1061" s="40" t="str">
        <f t="shared" si="20"/>
        <v>U14</v>
      </c>
      <c r="J1061" s="40" t="s">
        <v>109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42">
        <v>160</v>
      </c>
      <c r="U1061" s="42">
        <v>85.3</v>
      </c>
      <c r="V1061" s="199">
        <f>paper3[[#This Row],[height]]-paper3[[#This Row],[sittingheight]]</f>
        <v>74.7</v>
      </c>
      <c r="W1061" s="73">
        <v>69.099999999999994</v>
      </c>
      <c r="X1061" s="43" cm="1">
        <f t="array" ref="X1061">INDEX([1]!phvny[yphv], MATCH(1, (paper3[[#This Row],[id]]=[1]!phvny[id])*(paper3[[#This Row],[time]]=[1]!phvny[time]), 0))</f>
        <v>2.0365834203333337</v>
      </c>
      <c r="Y1061" s="192">
        <v>1.696</v>
      </c>
      <c r="Z1061" s="3">
        <v>3.121</v>
      </c>
      <c r="AA1061" s="192">
        <v>4.5110000000000001</v>
      </c>
      <c r="AB1061" s="3">
        <v>1.738</v>
      </c>
      <c r="AC1061" s="3">
        <v>3.1930000000000001</v>
      </c>
      <c r="AD1061" s="3">
        <v>4.5880000000000001</v>
      </c>
      <c r="AE1061" s="3">
        <v>1.7490000000000001</v>
      </c>
      <c r="AF1061" s="3">
        <v>3.2210000000000001</v>
      </c>
      <c r="AG1061" s="3">
        <v>4.6349999999999998</v>
      </c>
      <c r="AH1061" s="194">
        <v>1.696</v>
      </c>
      <c r="AI1061" s="194">
        <v>3.121</v>
      </c>
      <c r="AJ1061" s="194">
        <v>4.5110000000000001</v>
      </c>
      <c r="AK1061" s="130"/>
      <c r="AL1061" s="203">
        <v>9.8000000000000007</v>
      </c>
      <c r="AM1061" s="203">
        <v>9.5299999999999994</v>
      </c>
      <c r="AN1061" s="3">
        <v>10.16</v>
      </c>
      <c r="AO1061" s="3">
        <v>10.11</v>
      </c>
      <c r="AP1061" s="137"/>
      <c r="AQ1061" s="132">
        <v>9.5299999999999994</v>
      </c>
      <c r="AR1061" s="132">
        <v>10.11</v>
      </c>
      <c r="AS1061" s="3">
        <v>28.4</v>
      </c>
      <c r="AT1061" s="3">
        <v>29</v>
      </c>
      <c r="AU1061" s="3">
        <v>29.4</v>
      </c>
      <c r="AV1061" s="3"/>
      <c r="AW1061" s="192"/>
      <c r="AX1061" s="133">
        <v>29.4</v>
      </c>
      <c r="AY1061" s="195"/>
      <c r="AZ1061" s="40"/>
      <c r="BA1061" s="40"/>
      <c r="BB1061" s="40"/>
      <c r="BC1061" s="40"/>
      <c r="BD1061" s="135">
        <v>1395.5946990413163</v>
      </c>
      <c r="BE1061" s="135">
        <v>1445.7694654783375</v>
      </c>
      <c r="BF1061" s="40"/>
      <c r="BG1061" s="213">
        <v>661.76388012074358</v>
      </c>
      <c r="BH1061" s="135">
        <v>565.48259945580457</v>
      </c>
      <c r="BI1061" s="49">
        <f>IFERROR(SUM(paper3[[#This Row],[Kraft ikke-dominant]:[Kraft dominant]]),"")</f>
        <v>2841.364164519654</v>
      </c>
      <c r="BJ1061" s="49">
        <f>IFERROR(SUM(paper3[[#This Row],[Pwr ikke-dominant]:[Pwr dominant]]),"")</f>
        <v>1227.2464795765482</v>
      </c>
      <c r="BK1061" s="66"/>
      <c r="BL1061" s="66"/>
      <c r="BM1061" s="51">
        <f>IFERROR(paper3[[#This Row],[totforce]]/paper3[[#This Row],[bodymass]],"")</f>
        <v>41.119597171051439</v>
      </c>
      <c r="BN1061" s="51">
        <f>IFERROR(paper3[[#This Row],[totpwr]]/paper3[[#This Row],[bodymass]],"")</f>
        <v>17.760441093727181</v>
      </c>
      <c r="BO1061" s="136"/>
      <c r="BP1061" s="40"/>
      <c r="BQ1061" s="40"/>
      <c r="BR1061" s="67"/>
      <c r="BS1061" s="54"/>
      <c r="BT1061" s="3"/>
      <c r="BU1061" s="3"/>
      <c r="BV1061" s="3"/>
      <c r="BW1061" s="3"/>
      <c r="BX1061" s="70"/>
      <c r="BY1061" s="70"/>
      <c r="BZ1061" s="59"/>
      <c r="CA1061" s="59"/>
      <c r="CB1061" s="59"/>
      <c r="CC1061" s="59"/>
      <c r="CD1061" s="60"/>
      <c r="CE1061" s="60"/>
      <c r="CF1061" s="61"/>
      <c r="CG1061" s="61"/>
      <c r="CH1061" s="61"/>
      <c r="CI1061" s="41">
        <v>14.4</v>
      </c>
      <c r="CJ1061" s="40">
        <f t="shared" si="22"/>
        <v>600</v>
      </c>
      <c r="CK1061" s="3"/>
      <c r="CL1061" s="62"/>
      <c r="CM1061" s="63"/>
      <c r="CN1061" s="3"/>
      <c r="CO1061" s="3"/>
      <c r="CP1061" s="41">
        <f>_xlfn.MAXIFS([1]!phvny[age],[1]!phvny[id],paper3[[#This Row],[id]],[1]!phvny[time],paper3[[#This Row],[time]])</f>
        <v>14.388888888888889</v>
      </c>
      <c r="CQ1061" s="3"/>
      <c r="CR1061" s="40"/>
      <c r="CS1061" s="40"/>
      <c r="CT1061" s="40"/>
      <c r="CU1061" s="40"/>
      <c r="CV1061" s="40"/>
      <c r="CW1061" s="40"/>
      <c r="CX1061" s="40"/>
      <c r="CY1061" s="40"/>
    </row>
    <row r="1062" spans="1:103" ht="18.75">
      <c r="A1062" s="46">
        <v>905</v>
      </c>
      <c r="B1062" s="92" t="s">
        <v>199</v>
      </c>
      <c r="C1062" s="3" t="s">
        <v>104</v>
      </c>
      <c r="D1062" s="46" t="s">
        <v>269</v>
      </c>
      <c r="E1062" s="86">
        <v>45796</v>
      </c>
      <c r="F1062" s="3" t="s">
        <v>186</v>
      </c>
      <c r="G1062" s="3" t="s">
        <v>107</v>
      </c>
      <c r="H1062" s="3">
        <v>2010</v>
      </c>
      <c r="I1062" s="40" t="str">
        <f t="shared" si="20"/>
        <v>U14</v>
      </c>
      <c r="J1062" s="40" t="s">
        <v>109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42">
        <v>170.6</v>
      </c>
      <c r="U1062" s="42">
        <v>88.3</v>
      </c>
      <c r="V1062" s="199">
        <f>paper3[[#This Row],[height]]-paper3[[#This Row],[sittingheight]]</f>
        <v>82.3</v>
      </c>
      <c r="W1062" s="73">
        <v>65.3</v>
      </c>
      <c r="X1062" s="43" cm="1">
        <f t="array" ref="X1062">INDEX([1]!phvny[yphv], MATCH(1, (paper3[[#This Row],[id]]=[1]!phvny[id])*(paper3[[#This Row],[time]]=[1]!phvny[time]), 0))</f>
        <v>2.7051426900141311</v>
      </c>
      <c r="Y1062" s="192">
        <v>1.7190000000000001</v>
      </c>
      <c r="Z1062" s="3">
        <v>3.266</v>
      </c>
      <c r="AA1062" s="192">
        <v>4.7869999999999999</v>
      </c>
      <c r="AB1062" s="3">
        <v>1.7450000000000001</v>
      </c>
      <c r="AC1062" s="3">
        <v>3.2810000000000001</v>
      </c>
      <c r="AD1062" s="3">
        <v>4.8099999999999996</v>
      </c>
      <c r="AE1062" s="3">
        <v>1.754</v>
      </c>
      <c r="AF1062" s="3">
        <v>3.3159999999999998</v>
      </c>
      <c r="AG1062" s="3">
        <v>4.9080000000000004</v>
      </c>
      <c r="AH1062" s="194">
        <v>1.7190000000000001</v>
      </c>
      <c r="AI1062" s="194">
        <v>3.266</v>
      </c>
      <c r="AJ1062" s="194">
        <v>4.7869999999999999</v>
      </c>
      <c r="AK1062" s="130"/>
      <c r="AL1062" s="203">
        <v>10.28</v>
      </c>
      <c r="AM1062" s="203">
        <v>10.39</v>
      </c>
      <c r="AN1062" s="3">
        <v>10.36</v>
      </c>
      <c r="AO1062" s="3">
        <v>10.31</v>
      </c>
      <c r="AP1062" s="137"/>
      <c r="AQ1062" s="132">
        <v>10.28</v>
      </c>
      <c r="AR1062" s="132">
        <v>10.31</v>
      </c>
      <c r="AS1062" s="3">
        <v>29.8</v>
      </c>
      <c r="AT1062" s="3">
        <v>26.5</v>
      </c>
      <c r="AU1062" s="3">
        <v>29.1</v>
      </c>
      <c r="AV1062" s="3"/>
      <c r="AW1062" s="192"/>
      <c r="AX1062" s="133">
        <v>29.8</v>
      </c>
      <c r="AY1062" s="195"/>
      <c r="AZ1062" s="40"/>
      <c r="BA1062" s="40"/>
      <c r="BB1062" s="40"/>
      <c r="BC1062" s="40"/>
      <c r="BD1062" s="135">
        <v>1230.9644934258702</v>
      </c>
      <c r="BE1062" s="135">
        <v>1196.7279737136164</v>
      </c>
      <c r="BF1062" s="40"/>
      <c r="BG1062" s="213">
        <v>385.32284489967913</v>
      </c>
      <c r="BH1062" s="135">
        <v>402.37415964260663</v>
      </c>
      <c r="BI1062" s="49">
        <f>IFERROR(SUM(paper3[[#This Row],[Kraft ikke-dominant]:[Kraft dominant]]),"")</f>
        <v>2427.6924671394863</v>
      </c>
      <c r="BJ1062" s="49">
        <f>IFERROR(SUM(paper3[[#This Row],[Pwr ikke-dominant]:[Pwr dominant]]),"")</f>
        <v>787.69700454228575</v>
      </c>
      <c r="BK1062" s="66"/>
      <c r="BL1062" s="66"/>
      <c r="BM1062" s="51">
        <f>IFERROR(paper3[[#This Row],[totforce]]/paper3[[#This Row],[bodymass]],"")</f>
        <v>37.177526296163649</v>
      </c>
      <c r="BN1062" s="51">
        <f>IFERROR(paper3[[#This Row],[totpwr]]/paper3[[#This Row],[bodymass]],"")</f>
        <v>12.062741264047256</v>
      </c>
      <c r="BO1062" s="136"/>
      <c r="BP1062" s="40"/>
      <c r="BQ1062" s="40"/>
      <c r="BR1062" s="67"/>
      <c r="BS1062" s="54"/>
      <c r="BT1062" s="3"/>
      <c r="BU1062" s="3"/>
      <c r="BV1062" s="3"/>
      <c r="BW1062" s="3"/>
      <c r="BX1062" s="70"/>
      <c r="BY1062" s="70"/>
      <c r="BZ1062" s="59"/>
      <c r="CA1062" s="59"/>
      <c r="CB1062" s="59"/>
      <c r="CC1062" s="59"/>
      <c r="CD1062" s="60"/>
      <c r="CE1062" s="60"/>
      <c r="CF1062" s="61"/>
      <c r="CG1062" s="61"/>
      <c r="CH1062" s="61"/>
      <c r="CI1062" s="41">
        <v>14.7</v>
      </c>
      <c r="CJ1062" s="40">
        <f t="shared" si="22"/>
        <v>720</v>
      </c>
      <c r="CK1062" s="3"/>
      <c r="CL1062" s="62"/>
      <c r="CM1062" s="63"/>
      <c r="CN1062" s="3"/>
      <c r="CO1062" s="3"/>
      <c r="CP1062" s="41">
        <f>_xlfn.MAXIFS([1]!phvny[age],[1]!phvny[id],paper3[[#This Row],[id]],[1]!phvny[time],paper3[[#This Row],[time]])</f>
        <v>14.847222222222221</v>
      </c>
      <c r="CQ1062" s="3"/>
      <c r="CR1062" s="40"/>
      <c r="CS1062" s="40"/>
      <c r="CT1062" s="40"/>
      <c r="CU1062" s="40"/>
      <c r="CV1062" s="40"/>
      <c r="CW1062" s="40"/>
      <c r="CX1062" s="40"/>
      <c r="CY1062" s="40"/>
    </row>
    <row r="1063" spans="1:103" ht="18.75">
      <c r="A1063" s="46">
        <v>906</v>
      </c>
      <c r="B1063" s="92" t="s">
        <v>199</v>
      </c>
      <c r="C1063" s="3"/>
      <c r="D1063" s="46" t="s">
        <v>269</v>
      </c>
      <c r="E1063" s="86">
        <v>45796</v>
      </c>
      <c r="F1063" s="3" t="s">
        <v>186</v>
      </c>
      <c r="G1063" s="3" t="s">
        <v>107</v>
      </c>
      <c r="H1063" s="3">
        <v>2010</v>
      </c>
      <c r="I1063" s="40" t="str">
        <f t="shared" si="20"/>
        <v>U14</v>
      </c>
      <c r="J1063" s="40" t="s">
        <v>109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42">
        <v>178</v>
      </c>
      <c r="U1063" s="42">
        <v>90.8</v>
      </c>
      <c r="V1063" s="199">
        <f>paper3[[#This Row],[height]]-paper3[[#This Row],[sittingheight]]</f>
        <v>87.2</v>
      </c>
      <c r="W1063" s="73">
        <v>69</v>
      </c>
      <c r="X1063" s="43" cm="1">
        <f t="array" ref="X1063">INDEX([1]!phvny[yphv], MATCH(1, (paper3[[#This Row],[id]]=[1]!phvny[id])*(paper3[[#This Row],[time]]=[1]!phvny[time]), 0))</f>
        <v>3.3578526761947578</v>
      </c>
      <c r="Y1063" s="192">
        <v>1.98</v>
      </c>
      <c r="Z1063" s="3">
        <v>3.556</v>
      </c>
      <c r="AA1063" s="192">
        <v>5.0670000000000002</v>
      </c>
      <c r="AB1063" s="3">
        <v>1.857</v>
      </c>
      <c r="AC1063" s="3">
        <v>3.4329999999999998</v>
      </c>
      <c r="AD1063" s="3">
        <v>4.95</v>
      </c>
      <c r="AE1063" s="3">
        <v>2.0209999999999999</v>
      </c>
      <c r="AF1063" s="3">
        <v>3.585</v>
      </c>
      <c r="AG1063" s="3">
        <v>5.109</v>
      </c>
      <c r="AH1063" s="194">
        <v>1.857</v>
      </c>
      <c r="AI1063" s="194">
        <v>3.4329999999999998</v>
      </c>
      <c r="AJ1063" s="194">
        <v>4.95</v>
      </c>
      <c r="AK1063" s="130"/>
      <c r="AL1063" s="203">
        <v>10.039999999999999</v>
      </c>
      <c r="AM1063" s="203">
        <v>10.24</v>
      </c>
      <c r="AN1063" s="3">
        <v>10.25</v>
      </c>
      <c r="AO1063" s="3">
        <v>10.14</v>
      </c>
      <c r="AP1063" s="137"/>
      <c r="AQ1063" s="132">
        <v>10.039999999999999</v>
      </c>
      <c r="AR1063" s="132">
        <v>10.14</v>
      </c>
      <c r="AS1063" s="3">
        <v>21.8</v>
      </c>
      <c r="AT1063" s="3">
        <v>19.5</v>
      </c>
      <c r="AU1063" s="3">
        <v>21.8</v>
      </c>
      <c r="AV1063" s="3"/>
      <c r="AW1063" s="192"/>
      <c r="AX1063" s="133">
        <v>21.8</v>
      </c>
      <c r="AY1063" s="195"/>
      <c r="AZ1063" s="40"/>
      <c r="BA1063" s="40"/>
      <c r="BB1063" s="40"/>
      <c r="BC1063" s="40"/>
      <c r="BD1063" s="135">
        <v>1157.6018536790366</v>
      </c>
      <c r="BE1063" s="135">
        <v>1119.5413713899675</v>
      </c>
      <c r="BF1063" s="40"/>
      <c r="BG1063" s="213">
        <v>516.99195369585732</v>
      </c>
      <c r="BH1063" s="135">
        <v>486.07375644177603</v>
      </c>
      <c r="BI1063" s="49">
        <f>IFERROR(SUM(paper3[[#This Row],[Kraft ikke-dominant]:[Kraft dominant]]),"")</f>
        <v>2277.1432250690041</v>
      </c>
      <c r="BJ1063" s="49">
        <f>IFERROR(SUM(paper3[[#This Row],[Pwr ikke-dominant]:[Pwr dominant]]),"")</f>
        <v>1003.0657101376333</v>
      </c>
      <c r="BK1063" s="66"/>
      <c r="BL1063" s="66"/>
      <c r="BM1063" s="51">
        <f>IFERROR(paper3[[#This Row],[totforce]]/paper3[[#This Row],[bodymass]],"")</f>
        <v>33.002075725637738</v>
      </c>
      <c r="BN1063" s="51">
        <f>IFERROR(paper3[[#This Row],[totpwr]]/paper3[[#This Row],[bodymass]],"")</f>
        <v>14.537184204893236</v>
      </c>
      <c r="BO1063" s="136"/>
      <c r="BP1063" s="40"/>
      <c r="BQ1063" s="40"/>
      <c r="BR1063" s="67"/>
      <c r="BS1063" s="54"/>
      <c r="BT1063" s="3"/>
      <c r="BU1063" s="3"/>
      <c r="BV1063" s="3"/>
      <c r="BW1063" s="3"/>
      <c r="BX1063" s="70"/>
      <c r="BY1063" s="70"/>
      <c r="BZ1063" s="59"/>
      <c r="CA1063" s="59"/>
      <c r="CB1063" s="59"/>
      <c r="CC1063" s="59"/>
      <c r="CD1063" s="60"/>
      <c r="CE1063" s="60"/>
      <c r="CF1063" s="61"/>
      <c r="CG1063" s="61"/>
      <c r="CH1063" s="61"/>
      <c r="CI1063" s="41">
        <v>14.8</v>
      </c>
      <c r="CJ1063" s="40">
        <f t="shared" si="22"/>
        <v>760</v>
      </c>
      <c r="CK1063" s="3"/>
      <c r="CL1063" s="62"/>
      <c r="CM1063" s="63"/>
      <c r="CN1063" s="3"/>
      <c r="CO1063" s="3"/>
      <c r="CP1063" s="41">
        <f>_xlfn.MAXIFS([1]!phvny[age],[1]!phvny[id],paper3[[#This Row],[id]],[1]!phvny[time],paper3[[#This Row],[time]])</f>
        <v>15.333333333333334</v>
      </c>
      <c r="CQ1063" s="3"/>
      <c r="CR1063" s="40"/>
      <c r="CS1063" s="40"/>
      <c r="CT1063" s="40"/>
      <c r="CU1063" s="40"/>
      <c r="CV1063" s="40"/>
      <c r="CW1063" s="40"/>
      <c r="CX1063" s="40"/>
      <c r="CY1063" s="40"/>
    </row>
    <row r="1064" spans="1:103" ht="18.75">
      <c r="A1064" s="46">
        <v>907</v>
      </c>
      <c r="B1064" s="92" t="s">
        <v>199</v>
      </c>
      <c r="C1064" s="3"/>
      <c r="D1064" s="46" t="s">
        <v>269</v>
      </c>
      <c r="E1064" s="86">
        <v>45796</v>
      </c>
      <c r="F1064" s="3" t="s">
        <v>186</v>
      </c>
      <c r="G1064" s="3" t="s">
        <v>107</v>
      </c>
      <c r="H1064" s="3">
        <v>2010</v>
      </c>
      <c r="I1064" s="40" t="str">
        <f t="shared" si="20"/>
        <v>U14</v>
      </c>
      <c r="J1064" s="40" t="s">
        <v>109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42"/>
      <c r="U1064" s="42"/>
      <c r="V1064" s="199"/>
      <c r="W1064" s="73"/>
      <c r="X1064" s="214"/>
      <c r="Y1064" s="192"/>
      <c r="Z1064" s="3"/>
      <c r="AA1064" s="192"/>
      <c r="AB1064" s="3"/>
      <c r="AC1064" s="3"/>
      <c r="AD1064" s="3"/>
      <c r="AE1064" s="3"/>
      <c r="AF1064" s="3"/>
      <c r="AG1064" s="3"/>
      <c r="AH1064" s="194"/>
      <c r="AI1064" s="194"/>
      <c r="AJ1064" s="194"/>
      <c r="AK1064" s="130"/>
      <c r="AL1064" s="203">
        <v>10.050000000000001</v>
      </c>
      <c r="AM1064" s="203">
        <v>9.85</v>
      </c>
      <c r="AN1064" s="3">
        <v>10.14</v>
      </c>
      <c r="AO1064" s="3">
        <v>9.81</v>
      </c>
      <c r="AP1064" s="137"/>
      <c r="AQ1064" s="132">
        <v>9.85</v>
      </c>
      <c r="AR1064" s="132">
        <v>9.81</v>
      </c>
      <c r="AS1064" s="3"/>
      <c r="AT1064" s="3"/>
      <c r="AU1064" s="3"/>
      <c r="AV1064" s="3"/>
      <c r="AW1064" s="192"/>
      <c r="AX1064" s="133"/>
      <c r="AY1064" s="195"/>
      <c r="AZ1064" s="40"/>
      <c r="BA1064" s="40"/>
      <c r="BB1064" s="40"/>
      <c r="BC1064" s="40"/>
      <c r="BD1064" s="135"/>
      <c r="BE1064" s="135"/>
      <c r="BF1064" s="40"/>
      <c r="BG1064" s="213"/>
      <c r="BH1064" s="135"/>
      <c r="BI1064" s="49"/>
      <c r="BJ1064" s="49"/>
      <c r="BK1064" s="66"/>
      <c r="BL1064" s="66"/>
      <c r="BM1064" s="51"/>
      <c r="BN1064" s="51"/>
      <c r="BO1064" s="136"/>
      <c r="BP1064" s="40"/>
      <c r="BQ1064" s="40"/>
      <c r="BR1064" s="67"/>
      <c r="BS1064" s="54"/>
      <c r="BT1064" s="3"/>
      <c r="BU1064" s="3"/>
      <c r="BV1064" s="3"/>
      <c r="BW1064" s="3"/>
      <c r="BX1064" s="70"/>
      <c r="BY1064" s="70"/>
      <c r="BZ1064" s="59"/>
      <c r="CA1064" s="59"/>
      <c r="CB1064" s="59"/>
      <c r="CC1064" s="59"/>
      <c r="CD1064" s="60"/>
      <c r="CE1064" s="60"/>
      <c r="CF1064" s="61"/>
      <c r="CG1064" s="61"/>
      <c r="CH1064" s="61"/>
      <c r="CI1064" s="41">
        <v>15.3</v>
      </c>
      <c r="CJ1064" s="40">
        <f t="shared" si="22"/>
        <v>880</v>
      </c>
      <c r="CK1064" s="3"/>
      <c r="CL1064" s="62"/>
      <c r="CM1064" s="63"/>
      <c r="CN1064" s="3"/>
      <c r="CO1064" s="3"/>
      <c r="CP1064" s="41"/>
      <c r="CQ1064" s="3"/>
      <c r="CR1064" s="40"/>
      <c r="CS1064" s="40"/>
      <c r="CT1064" s="40"/>
      <c r="CU1064" s="40"/>
      <c r="CV1064" s="40"/>
      <c r="CW1064" s="40"/>
      <c r="CX1064" s="40"/>
      <c r="CY1064" s="40"/>
    </row>
    <row r="1065" spans="1:103" ht="18.75">
      <c r="A1065" s="46">
        <v>913</v>
      </c>
      <c r="B1065" s="92" t="s">
        <v>199</v>
      </c>
      <c r="C1065" s="3" t="s">
        <v>104</v>
      </c>
      <c r="D1065" s="46" t="s">
        <v>269</v>
      </c>
      <c r="E1065" s="86">
        <v>45796</v>
      </c>
      <c r="F1065" s="3" t="s">
        <v>186</v>
      </c>
      <c r="G1065" s="3" t="s">
        <v>107</v>
      </c>
      <c r="H1065" s="3">
        <v>2010</v>
      </c>
      <c r="I1065" s="40" t="str">
        <f t="shared" si="20"/>
        <v>U14</v>
      </c>
      <c r="J1065" s="40" t="s">
        <v>109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42">
        <v>172</v>
      </c>
      <c r="U1065" s="42">
        <v>89.8</v>
      </c>
      <c r="V1065" s="199">
        <f>paper3[[#This Row],[height]]-paper3[[#This Row],[sittingheight]]</f>
        <v>82.2</v>
      </c>
      <c r="W1065" s="73">
        <v>72.5</v>
      </c>
      <c r="X1065" s="43" cm="1">
        <f t="array" ref="X1065">INDEX([1]!phvny[yphv], MATCH(1, (paper3[[#This Row],[id]]=[1]!phvny[id])*(paper3[[#This Row],[time]]=[1]!phvny[time]), 0))</f>
        <v>3.0169528788217059</v>
      </c>
      <c r="Y1065" s="192">
        <v>1.887</v>
      </c>
      <c r="Z1065" s="3">
        <v>3.4710000000000001</v>
      </c>
      <c r="AA1065" s="192">
        <v>5.0010000000000003</v>
      </c>
      <c r="AB1065" s="3">
        <v>1.8819999999999999</v>
      </c>
      <c r="AC1065" s="3">
        <v>3.4780000000000002</v>
      </c>
      <c r="AD1065" s="3">
        <v>5.0129999999999999</v>
      </c>
      <c r="AE1065" s="3">
        <v>1.9259999999999999</v>
      </c>
      <c r="AF1065" s="3">
        <v>2.758</v>
      </c>
      <c r="AG1065" s="3">
        <v>5.1230000000000002</v>
      </c>
      <c r="AH1065" s="194">
        <v>1.8819999999999999</v>
      </c>
      <c r="AI1065" s="194">
        <v>2.758</v>
      </c>
      <c r="AJ1065" s="194">
        <v>5.0010000000000003</v>
      </c>
      <c r="AK1065" s="130"/>
      <c r="AL1065" s="203">
        <v>10.41</v>
      </c>
      <c r="AM1065" s="203">
        <v>10.19</v>
      </c>
      <c r="AN1065" s="3">
        <v>10.53</v>
      </c>
      <c r="AO1065" s="3">
        <v>10.39</v>
      </c>
      <c r="AP1065" s="137"/>
      <c r="AQ1065" s="132">
        <v>10.19</v>
      </c>
      <c r="AR1065" s="132">
        <v>10.39</v>
      </c>
      <c r="AS1065" s="3">
        <v>21</v>
      </c>
      <c r="AT1065" s="3">
        <v>20.8</v>
      </c>
      <c r="AU1065" s="3">
        <v>20.9</v>
      </c>
      <c r="AV1065" s="3"/>
      <c r="AW1065" s="192"/>
      <c r="AX1065" s="133">
        <v>21</v>
      </c>
      <c r="AY1065" s="195"/>
      <c r="AZ1065" s="40"/>
      <c r="BA1065" s="40"/>
      <c r="BB1065" s="40"/>
      <c r="BC1065" s="40"/>
      <c r="BD1065" s="135">
        <v>1364.6213105884217</v>
      </c>
      <c r="BE1065" s="135">
        <v>1326.5770868622199</v>
      </c>
      <c r="BF1065" s="40"/>
      <c r="BG1065" s="213">
        <v>496.25291776730319</v>
      </c>
      <c r="BH1065" s="135">
        <v>470.71738911676829</v>
      </c>
      <c r="BI1065" s="49">
        <f>IFERROR(SUM(paper3[[#This Row],[Kraft ikke-dominant]:[Kraft dominant]]),"")</f>
        <v>2691.1983974506416</v>
      </c>
      <c r="BJ1065" s="49">
        <f>IFERROR(SUM(paper3[[#This Row],[Pwr ikke-dominant]:[Pwr dominant]]),"")</f>
        <v>966.97030688407153</v>
      </c>
      <c r="BK1065" s="66"/>
      <c r="BL1065" s="66"/>
      <c r="BM1065" s="51">
        <f>IFERROR(paper3[[#This Row],[totforce]]/paper3[[#This Row],[bodymass]],"")</f>
        <v>37.119977895870917</v>
      </c>
      <c r="BN1065" s="51">
        <f>IFERROR(paper3[[#This Row],[totpwr]]/paper3[[#This Row],[bodymass]],"")</f>
        <v>13.337521474263056</v>
      </c>
      <c r="BO1065" s="136"/>
      <c r="BP1065" s="40"/>
      <c r="BQ1065" s="40"/>
      <c r="BR1065" s="67"/>
      <c r="BS1065" s="54"/>
      <c r="BT1065" s="3"/>
      <c r="BU1065" s="3"/>
      <c r="BV1065" s="3"/>
      <c r="BW1065" s="3"/>
      <c r="BX1065" s="70"/>
      <c r="BY1065" s="70"/>
      <c r="BZ1065" s="59"/>
      <c r="CA1065" s="59"/>
      <c r="CB1065" s="59"/>
      <c r="CC1065" s="59"/>
      <c r="CD1065" s="60"/>
      <c r="CE1065" s="60"/>
      <c r="CF1065" s="61"/>
      <c r="CG1065" s="61"/>
      <c r="CH1065" s="61"/>
      <c r="CI1065" s="41">
        <v>15.4</v>
      </c>
      <c r="CJ1065" s="40">
        <f t="shared" si="22"/>
        <v>920</v>
      </c>
      <c r="CK1065" s="3"/>
      <c r="CL1065" s="62"/>
      <c r="CM1065" s="63"/>
      <c r="CN1065" s="3"/>
      <c r="CO1065" s="3"/>
      <c r="CP1065" s="41">
        <f>_xlfn.MAXIFS([1]!phvny[age],[1]!phvny[id],paper3[[#This Row],[id]],[1]!phvny[time],paper3[[#This Row],[time]])</f>
        <v>15.138888888888889</v>
      </c>
      <c r="CQ1065" s="3"/>
      <c r="CR1065" s="40"/>
      <c r="CS1065" s="40"/>
      <c r="CT1065" s="40"/>
      <c r="CU1065" s="40"/>
      <c r="CV1065" s="40"/>
      <c r="CW1065" s="40"/>
      <c r="CX1065" s="40"/>
      <c r="CY1065" s="40"/>
    </row>
    <row r="1066" spans="1:103" ht="18.75">
      <c r="A1066" s="46">
        <v>914</v>
      </c>
      <c r="B1066" s="92" t="s">
        <v>199</v>
      </c>
      <c r="C1066" s="3" t="s">
        <v>104</v>
      </c>
      <c r="D1066" s="46" t="s">
        <v>269</v>
      </c>
      <c r="E1066" s="86">
        <v>45796</v>
      </c>
      <c r="F1066" s="3" t="s">
        <v>186</v>
      </c>
      <c r="G1066" s="3" t="s">
        <v>107</v>
      </c>
      <c r="H1066" s="3">
        <v>2010</v>
      </c>
      <c r="I1066" s="40" t="str">
        <f t="shared" si="20"/>
        <v>U14</v>
      </c>
      <c r="J1066" s="40" t="s">
        <v>109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42">
        <v>180.05</v>
      </c>
      <c r="U1066" s="42">
        <v>92.3</v>
      </c>
      <c r="V1066" s="199">
        <f>paper3[[#This Row],[height]]-paper3[[#This Row],[sittingheight]]</f>
        <v>87.750000000000014</v>
      </c>
      <c r="W1066" s="73">
        <v>59.5</v>
      </c>
      <c r="X1066" s="43" cm="1">
        <f t="array" ref="X1066">INDEX([1]!phvny[yphv], MATCH(1, (paper3[[#This Row],[id]]=[1]!phvny[id])*(paper3[[#This Row],[time]]=[1]!phvny[time]), 0))</f>
        <v>2.9979434295260581</v>
      </c>
      <c r="Y1066" s="192">
        <v>1.7929999999999999</v>
      </c>
      <c r="Z1066" s="3">
        <v>3.3260000000000001</v>
      </c>
      <c r="AA1066" s="192">
        <v>4.7910000000000004</v>
      </c>
      <c r="AB1066" s="3">
        <v>1.7609999999999999</v>
      </c>
      <c r="AC1066" s="3">
        <v>3.278</v>
      </c>
      <c r="AD1066" s="3">
        <v>4.7300000000000004</v>
      </c>
      <c r="AE1066" s="3">
        <v>1.756</v>
      </c>
      <c r="AF1066" s="3">
        <v>3.2730000000000001</v>
      </c>
      <c r="AG1066" s="3">
        <v>4.7309999999999999</v>
      </c>
      <c r="AH1066" s="194">
        <v>1.756</v>
      </c>
      <c r="AI1066" s="194">
        <v>3.2730000000000001</v>
      </c>
      <c r="AJ1066" s="194">
        <v>4.7300000000000004</v>
      </c>
      <c r="AK1066" s="130"/>
      <c r="AL1066" s="203"/>
      <c r="AM1066" s="203"/>
      <c r="AN1066" s="3"/>
      <c r="AO1066" s="3"/>
      <c r="AP1066" s="137"/>
      <c r="AQ1066" s="132"/>
      <c r="AR1066" s="132"/>
      <c r="AS1066" s="3">
        <v>25.1</v>
      </c>
      <c r="AT1066" s="3">
        <v>23.7</v>
      </c>
      <c r="AU1066" s="3">
        <v>24.6</v>
      </c>
      <c r="AV1066" s="3"/>
      <c r="AW1066" s="192"/>
      <c r="AX1066" s="133">
        <v>25.1</v>
      </c>
      <c r="AY1066" s="195"/>
      <c r="AZ1066" s="40"/>
      <c r="BA1066" s="40"/>
      <c r="BB1066" s="40"/>
      <c r="BC1066" s="40"/>
      <c r="BD1066" s="135">
        <v>920.03145432983615</v>
      </c>
      <c r="BE1066" s="135">
        <v>943.08097752965273</v>
      </c>
      <c r="BF1066" s="40"/>
      <c r="BG1066" s="213">
        <v>392.60542547604769</v>
      </c>
      <c r="BH1066" s="135">
        <v>377.36905628814765</v>
      </c>
      <c r="BI1066" s="49">
        <f>IFERROR(SUM(paper3[[#This Row],[Kraft ikke-dominant]:[Kraft dominant]]),"")</f>
        <v>1863.1124318594889</v>
      </c>
      <c r="BJ1066" s="49">
        <f>IFERROR(SUM(paper3[[#This Row],[Pwr ikke-dominant]:[Pwr dominant]]),"")</f>
        <v>769.97448176419539</v>
      </c>
      <c r="BK1066" s="66"/>
      <c r="BL1066" s="66"/>
      <c r="BM1066" s="51">
        <f>IFERROR(paper3[[#This Row],[totforce]]/paper3[[#This Row],[bodymass]],"")</f>
        <v>31.312813980831745</v>
      </c>
      <c r="BN1066" s="51">
        <f>IFERROR(paper3[[#This Row],[totpwr]]/paper3[[#This Row],[bodymass]],"")</f>
        <v>12.940747592675553</v>
      </c>
      <c r="BO1066" s="136"/>
      <c r="BP1066" s="40"/>
      <c r="BQ1066" s="40"/>
      <c r="BR1066" s="67"/>
      <c r="BS1066" s="54"/>
      <c r="BT1066" s="3"/>
      <c r="BU1066" s="3"/>
      <c r="BV1066" s="3"/>
      <c r="BW1066" s="3"/>
      <c r="BX1066" s="70"/>
      <c r="BY1066" s="70"/>
      <c r="BZ1066" s="59"/>
      <c r="CA1066" s="59"/>
      <c r="CB1066" s="59"/>
      <c r="CC1066" s="59"/>
      <c r="CD1066" s="60"/>
      <c r="CE1066" s="60"/>
      <c r="CF1066" s="61"/>
      <c r="CG1066" s="61"/>
      <c r="CH1066" s="61"/>
      <c r="CI1066" s="41"/>
      <c r="CJ1066" s="40"/>
      <c r="CK1066" s="3"/>
      <c r="CL1066" s="62"/>
      <c r="CM1066" s="63"/>
      <c r="CN1066" s="3"/>
      <c r="CO1066" s="3"/>
      <c r="CP1066" s="41">
        <f>_xlfn.MAXIFS([1]!phvny[age],[1]!phvny[id],paper3[[#This Row],[id]],[1]!phvny[time],paper3[[#This Row],[time]])</f>
        <v>14.472222222222221</v>
      </c>
      <c r="CQ1066" s="3"/>
      <c r="CR1066" s="40"/>
      <c r="CS1066" s="40"/>
      <c r="CT1066" s="40"/>
      <c r="CU1066" s="40"/>
      <c r="CV1066" s="40"/>
      <c r="CW1066" s="40"/>
      <c r="CX1066" s="40"/>
      <c r="CY1066" s="40"/>
    </row>
    <row r="1067" spans="1:103" ht="18.75">
      <c r="A1067" s="46">
        <v>4005</v>
      </c>
      <c r="B1067" s="92" t="s">
        <v>199</v>
      </c>
      <c r="C1067" s="3" t="s">
        <v>104</v>
      </c>
      <c r="D1067" s="3" t="s">
        <v>269</v>
      </c>
      <c r="E1067" s="86">
        <v>45796</v>
      </c>
      <c r="F1067" s="3" t="s">
        <v>186</v>
      </c>
      <c r="G1067" s="3" t="s">
        <v>107</v>
      </c>
      <c r="H1067" s="3">
        <v>2010</v>
      </c>
      <c r="I1067" s="40" t="str">
        <f>RIGHT(J1067,3)</f>
        <v>U14</v>
      </c>
      <c r="J1067" s="40" t="s">
        <v>109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42">
        <v>163.1</v>
      </c>
      <c r="U1067" s="42">
        <v>87.399999999999991</v>
      </c>
      <c r="V1067" s="199">
        <f>paper3[[#This Row],[height]]-paper3[[#This Row],[sittingheight]]</f>
        <v>75.7</v>
      </c>
      <c r="W1067" s="73">
        <v>68.099999999999994</v>
      </c>
      <c r="X1067" s="43" cm="1">
        <f t="array" ref="X1067">INDEX([1]!phvny[yphv], MATCH(1, (paper3[[#This Row],[id]]=[1]!phvny[id])*(paper3[[#This Row],[time]]=[1]!phvny[time]), 0))</f>
        <v>2.6926238062241286</v>
      </c>
      <c r="Y1067" s="192">
        <v>1.714</v>
      </c>
      <c r="Z1067" s="3">
        <v>3.161</v>
      </c>
      <c r="AA1067" s="192">
        <v>4.5330000000000004</v>
      </c>
      <c r="AB1067" s="3">
        <v>1.7549999999999999</v>
      </c>
      <c r="AC1067" s="3">
        <v>3.2</v>
      </c>
      <c r="AD1067" s="3">
        <v>4.5599999999999996</v>
      </c>
      <c r="AE1067" s="3">
        <v>1.752</v>
      </c>
      <c r="AF1067" s="3">
        <v>3.21</v>
      </c>
      <c r="AG1067" s="3">
        <v>4.6150000000000002</v>
      </c>
      <c r="AH1067" s="194">
        <v>1.714</v>
      </c>
      <c r="AI1067" s="194">
        <v>3.161</v>
      </c>
      <c r="AJ1067" s="194">
        <v>4.5330000000000004</v>
      </c>
      <c r="AK1067" s="130"/>
      <c r="AL1067" s="203">
        <v>9.76</v>
      </c>
      <c r="AM1067" s="203">
        <v>9.66</v>
      </c>
      <c r="AN1067" s="3">
        <v>9.9700000000000006</v>
      </c>
      <c r="AO1067" s="3">
        <v>9.98</v>
      </c>
      <c r="AP1067" s="137"/>
      <c r="AQ1067" s="132">
        <v>9.66</v>
      </c>
      <c r="AR1067" s="132">
        <v>9.9700000000000006</v>
      </c>
      <c r="AS1067" s="3">
        <v>32</v>
      </c>
      <c r="AT1067" s="3">
        <v>31.8</v>
      </c>
      <c r="AU1067" s="3">
        <v>32.799999999999997</v>
      </c>
      <c r="AV1067" s="3"/>
      <c r="AW1067" s="192"/>
      <c r="AX1067" s="133">
        <v>32.799999999999997</v>
      </c>
      <c r="AY1067" s="195"/>
      <c r="AZ1067" s="40"/>
      <c r="BA1067" s="40"/>
      <c r="BB1067" s="40"/>
      <c r="BC1067" s="40"/>
      <c r="BD1067" s="135"/>
      <c r="BE1067" s="135"/>
      <c r="BF1067" s="40"/>
      <c r="BG1067" s="213"/>
      <c r="BH1067" s="135"/>
      <c r="BI1067" s="49"/>
      <c r="BJ1067" s="49"/>
      <c r="BK1067" s="66"/>
      <c r="BL1067" s="66"/>
      <c r="BM1067" s="51"/>
      <c r="BN1067" s="51"/>
      <c r="BO1067" s="136"/>
      <c r="BP1067" s="40"/>
      <c r="BQ1067" s="40"/>
      <c r="BR1067" s="67"/>
      <c r="BS1067" s="54"/>
      <c r="BT1067" s="3"/>
      <c r="BU1067" s="3"/>
      <c r="BV1067" s="3"/>
      <c r="BW1067" s="3"/>
      <c r="BX1067" s="70"/>
      <c r="BY1067" s="70"/>
      <c r="BZ1067" s="59"/>
      <c r="CA1067" s="59"/>
      <c r="CB1067" s="59"/>
      <c r="CC1067" s="59"/>
      <c r="CD1067" s="60"/>
      <c r="CE1067" s="60"/>
      <c r="CF1067" s="61"/>
      <c r="CG1067" s="61"/>
      <c r="CH1067" s="61"/>
      <c r="CI1067" s="41">
        <v>14.2</v>
      </c>
      <c r="CJ1067" s="40">
        <f t="shared" ref="CJ1067:CJ1068" si="23">VLOOKUP(CI1067,$DB:$DC,2)</f>
        <v>520</v>
      </c>
      <c r="CK1067" s="3"/>
      <c r="CL1067" s="62"/>
      <c r="CM1067" s="63"/>
      <c r="CN1067" s="3"/>
      <c r="CO1067" s="3"/>
      <c r="CP1067" s="41">
        <f>_xlfn.MAXIFS([1]!phvny[age],[1]!phvny[id],paper3[[#This Row],[id]],[1]!phvny[time],paper3[[#This Row],[time]])</f>
        <v>15.344444444444445</v>
      </c>
      <c r="CQ1067" s="3"/>
      <c r="CR1067" s="40"/>
      <c r="CS1067" s="40"/>
      <c r="CT1067" s="40"/>
      <c r="CU1067" s="40"/>
      <c r="CV1067" s="40"/>
      <c r="CW1067" s="40"/>
      <c r="CX1067" s="40"/>
      <c r="CY1067" s="40"/>
    </row>
    <row r="1068" spans="1:103" ht="18.75">
      <c r="A1068" s="46">
        <v>4008</v>
      </c>
      <c r="B1068" s="92" t="s">
        <v>199</v>
      </c>
      <c r="C1068" s="3" t="s">
        <v>104</v>
      </c>
      <c r="D1068" s="3" t="s">
        <v>269</v>
      </c>
      <c r="E1068" s="86">
        <v>45796</v>
      </c>
      <c r="F1068" s="3" t="s">
        <v>186</v>
      </c>
      <c r="G1068" s="3" t="s">
        <v>107</v>
      </c>
      <c r="H1068" s="3">
        <v>2010</v>
      </c>
      <c r="I1068" s="40" t="str">
        <f>RIGHT(J1068,3)</f>
        <v>U14</v>
      </c>
      <c r="J1068" s="40" t="s">
        <v>109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42"/>
      <c r="U1068" s="42"/>
      <c r="V1068" s="199"/>
      <c r="W1068" s="73"/>
      <c r="X1068" s="214"/>
      <c r="Y1068" s="192"/>
      <c r="Z1068" s="3"/>
      <c r="AA1068" s="192"/>
      <c r="AB1068" s="3"/>
      <c r="AC1068" s="3"/>
      <c r="AD1068" s="3"/>
      <c r="AE1068" s="3"/>
      <c r="AF1068" s="3"/>
      <c r="AG1068" s="3"/>
      <c r="AH1068" s="194"/>
      <c r="AI1068" s="194"/>
      <c r="AJ1068" s="194"/>
      <c r="AK1068" s="130"/>
      <c r="AL1068" s="203">
        <v>11.06</v>
      </c>
      <c r="AM1068" s="203">
        <v>10.88</v>
      </c>
      <c r="AN1068" s="3">
        <v>11.03</v>
      </c>
      <c r="AO1068" s="3">
        <v>11.12</v>
      </c>
      <c r="AP1068" s="137"/>
      <c r="AQ1068" s="132">
        <v>10.88</v>
      </c>
      <c r="AR1068" s="132">
        <v>11.03</v>
      </c>
      <c r="AS1068" s="3">
        <v>30.6</v>
      </c>
      <c r="AT1068" s="3">
        <v>29.2</v>
      </c>
      <c r="AU1068" s="3">
        <v>28.2</v>
      </c>
      <c r="AV1068" s="3"/>
      <c r="AW1068" s="192"/>
      <c r="AX1068" s="133">
        <v>30.6</v>
      </c>
      <c r="AY1068" s="195" t="s">
        <v>247</v>
      </c>
      <c r="AZ1068" s="40">
        <v>8</v>
      </c>
      <c r="BA1068" s="40"/>
      <c r="BB1068" s="40"/>
      <c r="BC1068" s="40"/>
      <c r="BD1068" s="135"/>
      <c r="BE1068" s="135"/>
      <c r="BF1068" s="40"/>
      <c r="BG1068" s="213"/>
      <c r="BH1068" s="135"/>
      <c r="BI1068" s="49"/>
      <c r="BJ1068" s="49"/>
      <c r="BK1068" s="66"/>
      <c r="BL1068" s="66"/>
      <c r="BM1068" s="51"/>
      <c r="BN1068" s="51"/>
      <c r="BO1068" s="136"/>
      <c r="BP1068" s="40"/>
      <c r="BQ1068" s="40"/>
      <c r="BR1068" s="67"/>
      <c r="BS1068" s="54"/>
      <c r="BT1068" s="3"/>
      <c r="BU1068" s="3"/>
      <c r="BV1068" s="3"/>
      <c r="BW1068" s="3"/>
      <c r="BX1068" s="70"/>
      <c r="BY1068" s="70"/>
      <c r="BZ1068" s="59"/>
      <c r="CA1068" s="59"/>
      <c r="CB1068" s="59"/>
      <c r="CC1068" s="59"/>
      <c r="CD1068" s="60"/>
      <c r="CE1068" s="60"/>
      <c r="CF1068" s="61"/>
      <c r="CG1068" s="61"/>
      <c r="CH1068" s="61"/>
      <c r="CI1068" s="41">
        <v>14.6</v>
      </c>
      <c r="CJ1068" s="40">
        <f t="shared" si="23"/>
        <v>680</v>
      </c>
      <c r="CK1068" s="3"/>
      <c r="CL1068" s="62"/>
      <c r="CM1068" s="63"/>
      <c r="CN1068" s="3"/>
      <c r="CO1068" s="3"/>
      <c r="CP1068" s="41"/>
      <c r="CQ1068" s="3"/>
      <c r="CR1068" s="40"/>
      <c r="CS1068" s="40"/>
      <c r="CT1068" s="40"/>
      <c r="CU1068" s="40"/>
      <c r="CV1068" s="40"/>
      <c r="CW1068" s="40"/>
      <c r="CX1068" s="40"/>
      <c r="CY1068" s="40"/>
    </row>
    <row r="1069" spans="1:103" ht="18.75">
      <c r="A1069" s="46">
        <v>1155</v>
      </c>
      <c r="B1069" s="92" t="s">
        <v>199</v>
      </c>
      <c r="C1069" s="3" t="s">
        <v>104</v>
      </c>
      <c r="D1069" s="3" t="s">
        <v>269</v>
      </c>
      <c r="E1069" s="39">
        <v>45635</v>
      </c>
      <c r="F1069" s="3" t="s">
        <v>106</v>
      </c>
      <c r="G1069" s="3" t="s">
        <v>122</v>
      </c>
      <c r="H1069" s="3">
        <v>2009</v>
      </c>
      <c r="I1069" s="40" t="s">
        <v>108</v>
      </c>
      <c r="J1069" s="40" t="s">
        <v>123</v>
      </c>
      <c r="K1069" s="3">
        <v>180.4</v>
      </c>
      <c r="L1069" s="3">
        <v>180.4</v>
      </c>
      <c r="M1069" s="3"/>
      <c r="N1069" s="3">
        <v>94</v>
      </c>
      <c r="O1069" s="3"/>
      <c r="P1069" s="3" t="s">
        <v>345</v>
      </c>
      <c r="Q1069" s="3">
        <v>62.5</v>
      </c>
      <c r="R1069" s="3">
        <v>62.5</v>
      </c>
      <c r="S1069" s="3"/>
      <c r="T1069" s="42">
        <v>180.4</v>
      </c>
      <c r="U1069" s="188">
        <v>94</v>
      </c>
      <c r="V1069" s="12">
        <f>paper3[[#This Row],[height]]-paper3[[#This Row],[sittingheight]]</f>
        <v>86.4</v>
      </c>
      <c r="W1069" s="73">
        <v>62.5</v>
      </c>
      <c r="X1069" s="43"/>
      <c r="Y1069" s="192">
        <v>1.6850000000000001</v>
      </c>
      <c r="Z1069" s="3">
        <v>3.0419999999999998</v>
      </c>
      <c r="AA1069" s="192">
        <v>4.33</v>
      </c>
      <c r="AB1069" s="3">
        <v>1.6879999999999999</v>
      </c>
      <c r="AC1069" s="3">
        <v>3.0640000000000001</v>
      </c>
      <c r="AD1069" s="3">
        <v>4.3310000000000004</v>
      </c>
      <c r="AE1069" s="3">
        <v>1.6659999999999999</v>
      </c>
      <c r="AF1069" s="3">
        <v>3.0350000000000001</v>
      </c>
      <c r="AG1069" s="3">
        <v>4.3209999999999997</v>
      </c>
      <c r="AH1069" s="194">
        <v>1.6659999999999999</v>
      </c>
      <c r="AI1069" s="194">
        <v>3.0350000000000001</v>
      </c>
      <c r="AJ1069" s="194">
        <v>4.3209999999999997</v>
      </c>
      <c r="AK1069" s="130"/>
      <c r="AL1069" s="203"/>
      <c r="AM1069" s="203"/>
      <c r="AN1069" s="3"/>
      <c r="AO1069" s="3"/>
      <c r="AP1069" s="137"/>
      <c r="AQ1069" s="132"/>
      <c r="AR1069" s="132"/>
      <c r="AS1069" s="3">
        <v>28.8</v>
      </c>
      <c r="AT1069" s="3">
        <v>31.4</v>
      </c>
      <c r="AU1069" s="3">
        <v>31.8</v>
      </c>
      <c r="AV1069" s="3"/>
      <c r="AW1069" s="192"/>
      <c r="AX1069" s="133">
        <v>31.8</v>
      </c>
      <c r="AY1069" s="195">
        <v>260</v>
      </c>
      <c r="AZ1069" s="40">
        <v>8</v>
      </c>
      <c r="BA1069" s="40"/>
      <c r="BB1069" s="40"/>
      <c r="BC1069" s="40"/>
      <c r="BD1069" s="135">
        <v>961.49029584986647</v>
      </c>
      <c r="BE1069" s="135">
        <v>1063.7584471982641</v>
      </c>
      <c r="BF1069" s="40"/>
      <c r="BG1069" s="135">
        <v>505.16059543755227</v>
      </c>
      <c r="BH1069" s="135">
        <v>551.73284649011964</v>
      </c>
      <c r="BI1069" s="49">
        <f>IFERROR(SUM(paper3[[#This Row],[Kraft ikke-dominant]:[Kraft dominant]]),"")</f>
        <v>2025.2487430481306</v>
      </c>
      <c r="BJ1069" s="49">
        <f>IFERROR(SUM(paper3[[#This Row],[Pwr ikke-dominant]:[Pwr dominant]]),"")</f>
        <v>1056.893441927672</v>
      </c>
      <c r="BK1069" s="66"/>
      <c r="BL1069" s="66"/>
      <c r="BM1069" s="51">
        <f>IFERROR(paper3[[#This Row],[totforce]]/paper3[[#This Row],[bodymass]],"")</f>
        <v>32.403979888770088</v>
      </c>
      <c r="BN1069" s="51">
        <f>IFERROR(paper3[[#This Row],[totpwr]]/paper3[[#This Row],[bodymass]],"")</f>
        <v>16.910295070842754</v>
      </c>
      <c r="BO1069" s="136"/>
      <c r="BP1069" s="40"/>
      <c r="BQ1069" s="40"/>
      <c r="BR1069" s="67"/>
      <c r="BS1069" s="54"/>
      <c r="BT1069" s="3"/>
      <c r="BU1069" s="3"/>
      <c r="BV1069" s="3"/>
      <c r="BW1069" s="3"/>
      <c r="BX1069" s="70"/>
      <c r="BY1069" s="70"/>
      <c r="BZ1069" s="59"/>
      <c r="CA1069" s="59"/>
      <c r="CB1069" s="59"/>
      <c r="CC1069" s="59"/>
      <c r="CD1069" s="60"/>
      <c r="CE1069" s="60"/>
      <c r="CF1069" s="61"/>
      <c r="CG1069" s="61"/>
      <c r="CH1069" s="61"/>
      <c r="CI1069" s="41"/>
      <c r="CJ1069" s="40"/>
      <c r="CK1069" s="3"/>
      <c r="CL1069" s="62"/>
      <c r="CM1069" s="63"/>
      <c r="CN1069" s="3"/>
      <c r="CO1069" s="3"/>
      <c r="CP1069" s="41">
        <f>_xlfn.MAXIFS([1]!phvny[age],[1]!phvny[id],paper3[[#This Row],[id]],[1]!phvny[time],paper3[[#This Row],[time]])</f>
        <v>15.447222222222223</v>
      </c>
      <c r="CQ1069" s="3"/>
      <c r="CR1069" s="40"/>
      <c r="CS1069" s="40"/>
      <c r="CT1069" s="40"/>
      <c r="CU1069" s="40"/>
      <c r="CV1069" s="40"/>
      <c r="CW1069" s="40"/>
      <c r="CX1069" s="40"/>
      <c r="CY1069" s="40"/>
    </row>
    <row r="1070" spans="1:103" ht="18.75">
      <c r="A1070" s="3">
        <v>2002</v>
      </c>
      <c r="B1070" s="92" t="s">
        <v>199</v>
      </c>
      <c r="C1070" s="3" t="s">
        <v>104</v>
      </c>
      <c r="D1070" s="3" t="s">
        <v>269</v>
      </c>
      <c r="E1070" s="39">
        <v>45799</v>
      </c>
      <c r="F1070" s="3" t="s">
        <v>186</v>
      </c>
      <c r="G1070" s="3" t="s">
        <v>122</v>
      </c>
      <c r="H1070" s="3">
        <v>2010</v>
      </c>
      <c r="I1070" s="89" t="s">
        <v>108</v>
      </c>
      <c r="J1070" s="215" t="s">
        <v>123</v>
      </c>
      <c r="K1070" s="3">
        <v>171</v>
      </c>
      <c r="L1070" s="3">
        <v>171</v>
      </c>
      <c r="M1070" s="3"/>
      <c r="N1070" s="3">
        <v>89.8</v>
      </c>
      <c r="O1070" s="3"/>
      <c r="P1070" s="3" t="s">
        <v>313</v>
      </c>
      <c r="Q1070" s="3">
        <v>59</v>
      </c>
      <c r="R1070" s="3">
        <v>59</v>
      </c>
      <c r="S1070" s="3"/>
      <c r="T1070" s="42">
        <v>171</v>
      </c>
      <c r="U1070" s="42">
        <v>89.8</v>
      </c>
      <c r="V1070" s="199">
        <f>paper3[[#This Row],[height]]-paper3[[#This Row],[sittingheight]]</f>
        <v>81.2</v>
      </c>
      <c r="W1070" s="73">
        <v>59</v>
      </c>
      <c r="X1070" s="43" cm="1">
        <f t="array" ref="X1070">INDEX([1]!phvny[yphv], MATCH(1, (paper3[[#This Row],[id]]=[1]!phvny[id])*(paper3[[#This Row],[time]]=[1]!phvny[time]), 0))</f>
        <v>1.0072500077660829</v>
      </c>
      <c r="Y1070" s="192">
        <v>1.647</v>
      </c>
      <c r="Z1070" s="3">
        <v>3.0089999999999999</v>
      </c>
      <c r="AA1070" s="192">
        <v>4.306</v>
      </c>
      <c r="AB1070" s="3">
        <v>1.6259999999999999</v>
      </c>
      <c r="AC1070" s="3">
        <v>3.0129999999999999</v>
      </c>
      <c r="AD1070" s="3">
        <v>4.3470000000000004</v>
      </c>
      <c r="AE1070" s="3">
        <v>1.6719999999999999</v>
      </c>
      <c r="AF1070" s="3">
        <v>3.05</v>
      </c>
      <c r="AG1070" s="3">
        <v>4.351</v>
      </c>
      <c r="AH1070" s="194">
        <f t="shared" ref="AH1070:AJ1071" si="24">MIN(AE1070,AB1070,Y1070)</f>
        <v>1.6259999999999999</v>
      </c>
      <c r="AI1070" s="194">
        <f t="shared" si="24"/>
        <v>3.0089999999999999</v>
      </c>
      <c r="AJ1070" s="194">
        <f t="shared" si="24"/>
        <v>4.306</v>
      </c>
      <c r="AK1070" s="130"/>
      <c r="AL1070" s="203">
        <v>9.5500000000000007</v>
      </c>
      <c r="AM1070" s="203">
        <v>9</v>
      </c>
      <c r="AN1070" s="3">
        <v>9.85</v>
      </c>
      <c r="AO1070" s="3"/>
      <c r="AP1070" s="137"/>
      <c r="AQ1070" s="132">
        <v>9</v>
      </c>
      <c r="AR1070" s="132">
        <v>9.85</v>
      </c>
      <c r="AS1070" s="3"/>
      <c r="AT1070" s="3">
        <v>28.4</v>
      </c>
      <c r="AU1070" s="3">
        <v>26.5</v>
      </c>
      <c r="AV1070" s="3"/>
      <c r="AW1070" s="192"/>
      <c r="AX1070" s="133">
        <v>28.4</v>
      </c>
      <c r="AY1070" s="195" t="s">
        <v>346</v>
      </c>
      <c r="AZ1070" s="40">
        <v>10</v>
      </c>
      <c r="BA1070" s="40"/>
      <c r="BB1070" s="40"/>
      <c r="BC1070" s="40"/>
      <c r="BD1070" s="135">
        <v>1156.9620911976917</v>
      </c>
      <c r="BE1070" s="135">
        <v>1095.3216186997954</v>
      </c>
      <c r="BF1070" s="40"/>
      <c r="BG1070" s="213">
        <v>380.38957240619698</v>
      </c>
      <c r="BH1070" s="135">
        <v>392.54766742220033</v>
      </c>
      <c r="BI1070" s="49">
        <f>IFERROR(SUM(paper3[[#This Row],[Kraft ikke-dominant]:[Kraft dominant]]),"")</f>
        <v>2252.2837098974869</v>
      </c>
      <c r="BJ1070" s="49">
        <f>IFERROR(SUM(paper3[[#This Row],[Pwr ikke-dominant]:[Pwr dominant]]),"")</f>
        <v>772.93723982839731</v>
      </c>
      <c r="BK1070" s="66"/>
      <c r="BL1070" s="66"/>
      <c r="BM1070" s="51">
        <f>IFERROR(paper3[[#This Row],[totforce]]/paper3[[#This Row],[bodymass]],"")</f>
        <v>38.174300167754012</v>
      </c>
      <c r="BN1070" s="51">
        <f>IFERROR(paper3[[#This Row],[totpwr]]/paper3[[#This Row],[bodymass]],"")</f>
        <v>13.100631183532158</v>
      </c>
      <c r="BO1070" s="136"/>
      <c r="BP1070" s="40"/>
      <c r="BQ1070" s="40"/>
      <c r="BR1070" s="67"/>
      <c r="BS1070" s="54"/>
      <c r="BT1070" s="3"/>
      <c r="BU1070" s="3"/>
      <c r="BV1070" s="3"/>
      <c r="BW1070" s="3"/>
      <c r="BX1070" s="70"/>
      <c r="BY1070" s="70"/>
      <c r="BZ1070" s="59"/>
      <c r="CA1070" s="59"/>
      <c r="CB1070" s="59"/>
      <c r="CC1070" s="59"/>
      <c r="CD1070" s="60"/>
      <c r="CE1070" s="60"/>
      <c r="CF1070" s="61"/>
      <c r="CG1070" s="61"/>
      <c r="CH1070" s="61"/>
      <c r="CI1070" s="41">
        <v>15.6</v>
      </c>
      <c r="CJ1070" s="40">
        <f t="shared" ref="CJ1070:CJ1085" si="25">VLOOKUP(CI1070,$DB:$DC,2)</f>
        <v>1000</v>
      </c>
      <c r="CK1070" s="3"/>
      <c r="CL1070" s="62"/>
      <c r="CM1070" s="63"/>
      <c r="CN1070" s="3"/>
      <c r="CO1070" s="3"/>
      <c r="CP1070" s="41">
        <f>_xlfn.MAXIFS([1]!phvny[age],[1]!phvny[id],paper3[[#This Row],[id]],[1]!phvny[time],paper3[[#This Row],[time]])</f>
        <v>14.577777777777778</v>
      </c>
      <c r="CQ1070" s="3"/>
      <c r="CR1070" s="40"/>
      <c r="CS1070" s="40"/>
      <c r="CT1070" s="40"/>
      <c r="CU1070" s="40"/>
      <c r="CV1070" s="40"/>
      <c r="CW1070" s="40"/>
      <c r="CX1070" s="40"/>
      <c r="CY1070" s="40"/>
    </row>
    <row r="1071" spans="1:103" ht="18.75">
      <c r="A1071" s="3">
        <v>2003</v>
      </c>
      <c r="B1071" s="92" t="s">
        <v>199</v>
      </c>
      <c r="C1071" s="3" t="s">
        <v>104</v>
      </c>
      <c r="D1071" s="3" t="s">
        <v>269</v>
      </c>
      <c r="E1071" s="39">
        <v>45799</v>
      </c>
      <c r="F1071" s="3" t="s">
        <v>186</v>
      </c>
      <c r="G1071" s="3" t="s">
        <v>122</v>
      </c>
      <c r="H1071" s="3">
        <v>2010</v>
      </c>
      <c r="I1071" s="89" t="s">
        <v>108</v>
      </c>
      <c r="J1071" s="215" t="s">
        <v>123</v>
      </c>
      <c r="K1071" s="3">
        <v>182.5</v>
      </c>
      <c r="L1071" s="3">
        <v>182.7</v>
      </c>
      <c r="M1071" s="3"/>
      <c r="N1071" s="3">
        <v>93</v>
      </c>
      <c r="O1071" s="3"/>
      <c r="P1071" s="3" t="s">
        <v>309</v>
      </c>
      <c r="Q1071" s="3">
        <v>71</v>
      </c>
      <c r="R1071" s="3">
        <v>71</v>
      </c>
      <c r="S1071" s="3"/>
      <c r="T1071" s="42">
        <v>182.6</v>
      </c>
      <c r="U1071" s="42">
        <v>93</v>
      </c>
      <c r="V1071" s="199">
        <f>paper3[[#This Row],[height]]-paper3[[#This Row],[sittingheight]]</f>
        <v>89.6</v>
      </c>
      <c r="W1071" s="73">
        <v>71</v>
      </c>
      <c r="X1071" s="43" cm="1">
        <f t="array" ref="X1071">INDEX([1]!phvny[yphv], MATCH(1, (paper3[[#This Row],[id]]=[1]!phvny[id])*(paper3[[#This Row],[time]]=[1]!phvny[time]), 0))</f>
        <v>1.8067742752634768</v>
      </c>
      <c r="Y1071" s="192"/>
      <c r="Z1071" s="3"/>
      <c r="AA1071" s="192"/>
      <c r="AB1071" s="3">
        <v>1.8480000000000001</v>
      </c>
      <c r="AC1071" s="3">
        <v>3.3769999999999998</v>
      </c>
      <c r="AD1071" s="3">
        <v>4.8650000000000002</v>
      </c>
      <c r="AE1071" s="3">
        <v>1.849</v>
      </c>
      <c r="AF1071" s="3">
        <v>3.3860000000000001</v>
      </c>
      <c r="AG1071" s="3">
        <v>4.8780000000000001</v>
      </c>
      <c r="AH1071" s="194">
        <f t="shared" si="24"/>
        <v>1.8480000000000001</v>
      </c>
      <c r="AI1071" s="194">
        <f t="shared" si="24"/>
        <v>3.3769999999999998</v>
      </c>
      <c r="AJ1071" s="194">
        <f t="shared" si="24"/>
        <v>4.8650000000000002</v>
      </c>
      <c r="AK1071" s="130"/>
      <c r="AL1071" s="203">
        <v>10.35</v>
      </c>
      <c r="AM1071" s="203">
        <v>9.92</v>
      </c>
      <c r="AN1071" s="3">
        <v>10.37</v>
      </c>
      <c r="AO1071" s="3">
        <v>10.45</v>
      </c>
      <c r="AP1071" s="137"/>
      <c r="AQ1071" s="132">
        <v>9.92</v>
      </c>
      <c r="AR1071" s="132">
        <v>10.37</v>
      </c>
      <c r="AS1071" s="3">
        <v>24.1</v>
      </c>
      <c r="AT1071" s="3">
        <v>22.7</v>
      </c>
      <c r="AU1071" s="3">
        <v>23.7</v>
      </c>
      <c r="AV1071" s="3"/>
      <c r="AW1071" s="192"/>
      <c r="AX1071" s="133">
        <v>24.1</v>
      </c>
      <c r="AY1071" s="195" t="s">
        <v>346</v>
      </c>
      <c r="AZ1071" s="40">
        <v>10</v>
      </c>
      <c r="BA1071" s="40"/>
      <c r="BB1071" s="40"/>
      <c r="BC1071" s="40"/>
      <c r="BD1071" s="135">
        <v>918.50793545245585</v>
      </c>
      <c r="BE1071" s="135">
        <v>934.04644068291248</v>
      </c>
      <c r="BF1071" s="40"/>
      <c r="BG1071" s="213">
        <v>484.98634795057245</v>
      </c>
      <c r="BH1071" s="135">
        <v>472.6551483861748</v>
      </c>
      <c r="BI1071" s="49">
        <f>IFERROR(SUM(paper3[[#This Row],[Kraft ikke-dominant]:[Kraft dominant]]),"")</f>
        <v>1852.5543761353683</v>
      </c>
      <c r="BJ1071" s="49">
        <f>IFERROR(SUM(paper3[[#This Row],[Pwr ikke-dominant]:[Pwr dominant]]),"")</f>
        <v>957.6414963367472</v>
      </c>
      <c r="BK1071" s="66"/>
      <c r="BL1071" s="66"/>
      <c r="BM1071" s="51">
        <f>IFERROR(paper3[[#This Row],[totforce]]/paper3[[#This Row],[bodymass]],"")</f>
        <v>26.092315156836175</v>
      </c>
      <c r="BN1071" s="51">
        <f>IFERROR(paper3[[#This Row],[totpwr]]/paper3[[#This Row],[bodymass]],"")</f>
        <v>13.487908399109115</v>
      </c>
      <c r="BO1071" s="136"/>
      <c r="BP1071" s="40"/>
      <c r="BQ1071" s="40"/>
      <c r="BR1071" s="67"/>
      <c r="BS1071" s="54"/>
      <c r="BT1071" s="3"/>
      <c r="BU1071" s="3"/>
      <c r="BV1071" s="3"/>
      <c r="BW1071" s="3"/>
      <c r="BX1071" s="70"/>
      <c r="BY1071" s="70"/>
      <c r="BZ1071" s="59"/>
      <c r="CA1071" s="59"/>
      <c r="CB1071" s="59"/>
      <c r="CC1071" s="59"/>
      <c r="CD1071" s="60"/>
      <c r="CE1071" s="60"/>
      <c r="CF1071" s="61"/>
      <c r="CG1071" s="61"/>
      <c r="CH1071" s="61"/>
      <c r="CI1071" s="41">
        <v>15.1</v>
      </c>
      <c r="CJ1071" s="40">
        <f t="shared" si="25"/>
        <v>800</v>
      </c>
      <c r="CK1071" s="3"/>
      <c r="CL1071" s="62"/>
      <c r="CM1071" s="63"/>
      <c r="CN1071" s="3"/>
      <c r="CO1071" s="3"/>
      <c r="CP1071" s="41">
        <f>_xlfn.MAXIFS([1]!phvny[age],[1]!phvny[id],paper3[[#This Row],[id]],[1]!phvny[time],paper3[[#This Row],[time]])</f>
        <v>15.122222222222222</v>
      </c>
      <c r="CQ1071" s="3"/>
      <c r="CR1071" s="40"/>
      <c r="CS1071" s="40"/>
      <c r="CT1071" s="40"/>
      <c r="CU1071" s="40"/>
      <c r="CV1071" s="40"/>
      <c r="CW1071" s="40"/>
      <c r="CX1071" s="40"/>
      <c r="CY1071" s="40"/>
    </row>
    <row r="1072" spans="1:103" ht="18.75">
      <c r="A1072" s="3">
        <v>2004</v>
      </c>
      <c r="B1072" s="92" t="s">
        <v>199</v>
      </c>
      <c r="C1072" s="3" t="s">
        <v>104</v>
      </c>
      <c r="D1072" s="3" t="s">
        <v>269</v>
      </c>
      <c r="E1072" s="39">
        <v>45799</v>
      </c>
      <c r="F1072" s="3" t="s">
        <v>186</v>
      </c>
      <c r="G1072" s="3" t="s">
        <v>122</v>
      </c>
      <c r="H1072" s="3">
        <v>2010</v>
      </c>
      <c r="I1072" s="89" t="s">
        <v>108</v>
      </c>
      <c r="J1072" s="215" t="s">
        <v>123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42"/>
      <c r="U1072" s="42"/>
      <c r="V1072" s="199"/>
      <c r="W1072" s="73"/>
      <c r="X1072" s="43"/>
      <c r="Y1072" s="192"/>
      <c r="Z1072" s="3"/>
      <c r="AA1072" s="192"/>
      <c r="AB1072" s="3"/>
      <c r="AC1072" s="3"/>
      <c r="AD1072" s="3"/>
      <c r="AE1072" s="3"/>
      <c r="AF1072" s="3"/>
      <c r="AG1072" s="3"/>
      <c r="AH1072" s="194"/>
      <c r="AI1072" s="193"/>
      <c r="AJ1072" s="194"/>
      <c r="AK1072" s="130"/>
      <c r="AL1072" s="203">
        <v>10.19</v>
      </c>
      <c r="AM1072" s="203">
        <v>10.199999999999999</v>
      </c>
      <c r="AN1072" s="3">
        <v>10.27</v>
      </c>
      <c r="AO1072" s="3">
        <v>10.130000000000001</v>
      </c>
      <c r="AP1072" s="137"/>
      <c r="AQ1072" s="132">
        <v>10.19</v>
      </c>
      <c r="AR1072" s="132">
        <v>10.130000000000001</v>
      </c>
      <c r="AS1072" s="3"/>
      <c r="AT1072" s="3"/>
      <c r="AU1072" s="3"/>
      <c r="AV1072" s="3"/>
      <c r="AW1072" s="192"/>
      <c r="AX1072" s="133"/>
      <c r="AY1072" s="195"/>
      <c r="AZ1072" s="40"/>
      <c r="BA1072" s="40"/>
      <c r="BB1072" s="40"/>
      <c r="BC1072" s="40"/>
      <c r="BD1072" s="135"/>
      <c r="BE1072" s="135"/>
      <c r="BF1072" s="40"/>
      <c r="BG1072" s="213"/>
      <c r="BH1072" s="135"/>
      <c r="BI1072" s="49"/>
      <c r="BJ1072" s="49"/>
      <c r="BK1072" s="66"/>
      <c r="BL1072" s="66"/>
      <c r="BM1072" s="51"/>
      <c r="BN1072" s="51"/>
      <c r="BO1072" s="136"/>
      <c r="BP1072" s="40"/>
      <c r="BQ1072" s="40"/>
      <c r="BR1072" s="67"/>
      <c r="BS1072" s="54"/>
      <c r="BT1072" s="3"/>
      <c r="BU1072" s="3"/>
      <c r="BV1072" s="3"/>
      <c r="BW1072" s="3"/>
      <c r="BX1072" s="70"/>
      <c r="BY1072" s="70"/>
      <c r="BZ1072" s="59"/>
      <c r="CA1072" s="59"/>
      <c r="CB1072" s="59"/>
      <c r="CC1072" s="59"/>
      <c r="CD1072" s="60"/>
      <c r="CE1072" s="60"/>
      <c r="CF1072" s="61"/>
      <c r="CG1072" s="61"/>
      <c r="CH1072" s="61"/>
      <c r="CI1072" s="41">
        <v>15.1</v>
      </c>
      <c r="CJ1072" s="40">
        <f t="shared" si="25"/>
        <v>800</v>
      </c>
      <c r="CK1072" s="3"/>
      <c r="CL1072" s="62"/>
      <c r="CM1072" s="63"/>
      <c r="CN1072" s="3"/>
      <c r="CO1072" s="3"/>
      <c r="CP1072" s="41"/>
      <c r="CQ1072" s="3"/>
      <c r="CR1072" s="40"/>
      <c r="CS1072" s="40"/>
      <c r="CT1072" s="40"/>
      <c r="CU1072" s="40"/>
      <c r="CV1072" s="40"/>
      <c r="CW1072" s="40"/>
      <c r="CX1072" s="40"/>
      <c r="CY1072" s="40"/>
    </row>
    <row r="1073" spans="1:103" ht="18.75">
      <c r="A1073" s="3">
        <v>2005</v>
      </c>
      <c r="B1073" s="92" t="s">
        <v>199</v>
      </c>
      <c r="C1073" s="3" t="s">
        <v>104</v>
      </c>
      <c r="D1073" s="3" t="s">
        <v>269</v>
      </c>
      <c r="E1073" s="39">
        <v>45799</v>
      </c>
      <c r="F1073" s="3" t="s">
        <v>186</v>
      </c>
      <c r="G1073" s="3" t="s">
        <v>122</v>
      </c>
      <c r="H1073" s="3">
        <v>2010</v>
      </c>
      <c r="I1073" s="89" t="s">
        <v>108</v>
      </c>
      <c r="J1073" s="215" t="s">
        <v>123</v>
      </c>
      <c r="K1073" s="3">
        <v>166.3</v>
      </c>
      <c r="L1073" s="3">
        <v>166.3</v>
      </c>
      <c r="M1073" s="3"/>
      <c r="N1073" s="3">
        <v>87.1</v>
      </c>
      <c r="O1073" s="3"/>
      <c r="P1073" s="3" t="s">
        <v>295</v>
      </c>
      <c r="Q1073" s="3">
        <v>51.5</v>
      </c>
      <c r="R1073" s="3">
        <v>51.5</v>
      </c>
      <c r="S1073" s="3"/>
      <c r="T1073" s="42">
        <v>166.3</v>
      </c>
      <c r="U1073" s="42">
        <v>87.1</v>
      </c>
      <c r="V1073" s="199">
        <f>paper3[[#This Row],[height]]-paper3[[#This Row],[sittingheight]]</f>
        <v>79.200000000000017</v>
      </c>
      <c r="W1073" s="73">
        <v>51.5</v>
      </c>
      <c r="X1073" s="43"/>
      <c r="Y1073" s="192">
        <v>1.732</v>
      </c>
      <c r="Z1073" s="3">
        <v>3.1669999999999998</v>
      </c>
      <c r="AA1073" s="192">
        <v>4.5540000000000003</v>
      </c>
      <c r="AB1073" s="3">
        <v>1.7629999999999999</v>
      </c>
      <c r="AC1073" s="3">
        <v>3.2040000000000002</v>
      </c>
      <c r="AD1073" s="3">
        <v>4.6159999999999997</v>
      </c>
      <c r="AE1073" s="3">
        <v>1.7589999999999999</v>
      </c>
      <c r="AF1073" s="3">
        <v>3.242</v>
      </c>
      <c r="AG1073" s="3">
        <v>4.6779999999999999</v>
      </c>
      <c r="AH1073" s="194">
        <f t="shared" ref="AH1073:AJ1082" si="26">MIN(AE1073,AB1073,Y1073)</f>
        <v>1.732</v>
      </c>
      <c r="AI1073" s="194">
        <f t="shared" si="26"/>
        <v>3.1669999999999998</v>
      </c>
      <c r="AJ1073" s="194">
        <f t="shared" si="26"/>
        <v>4.5540000000000003</v>
      </c>
      <c r="AK1073" s="130"/>
      <c r="AL1073" s="203">
        <v>10.24</v>
      </c>
      <c r="AM1073" s="203"/>
      <c r="AN1073" s="3">
        <v>10.94</v>
      </c>
      <c r="AO1073" s="3">
        <v>9.98</v>
      </c>
      <c r="AP1073" s="137"/>
      <c r="AQ1073" s="132">
        <v>10.24</v>
      </c>
      <c r="AR1073" s="132">
        <v>9.98</v>
      </c>
      <c r="AS1073" s="3">
        <v>26.9</v>
      </c>
      <c r="AT1073" s="3">
        <v>27.1</v>
      </c>
      <c r="AU1073" s="3">
        <v>30.9</v>
      </c>
      <c r="AV1073" s="3"/>
      <c r="AW1073" s="192"/>
      <c r="AX1073" s="133">
        <v>30.9</v>
      </c>
      <c r="AY1073" s="195" t="s">
        <v>346</v>
      </c>
      <c r="AZ1073" s="40">
        <v>9</v>
      </c>
      <c r="BA1073" s="40"/>
      <c r="BB1073" s="40"/>
      <c r="BC1073" s="40"/>
      <c r="BD1073" s="135">
        <v>850.28762832195071</v>
      </c>
      <c r="BE1073" s="135">
        <v>799.56095840770104</v>
      </c>
      <c r="BF1073" s="40"/>
      <c r="BG1073" s="213">
        <v>387.7330820161738</v>
      </c>
      <c r="BH1073" s="135">
        <v>383.37088014981265</v>
      </c>
      <c r="BI1073" s="49">
        <f>IFERROR(SUM(paper3[[#This Row],[Kraft ikke-dominant]:[Kraft dominant]]),"")</f>
        <v>1649.8485867296517</v>
      </c>
      <c r="BJ1073" s="49">
        <f>IFERROR(SUM(paper3[[#This Row],[Pwr ikke-dominant]:[Pwr dominant]]),"")</f>
        <v>771.10396216598645</v>
      </c>
      <c r="BK1073" s="66"/>
      <c r="BL1073" s="66"/>
      <c r="BM1073" s="51">
        <f>IFERROR(paper3[[#This Row],[totforce]]/paper3[[#This Row],[bodymass]],"")</f>
        <v>32.035894887954406</v>
      </c>
      <c r="BN1073" s="51">
        <f>IFERROR(paper3[[#This Row],[totpwr]]/paper3[[#This Row],[bodymass]],"")</f>
        <v>14.972892469242455</v>
      </c>
      <c r="BO1073" s="136"/>
      <c r="BP1073" s="40"/>
      <c r="BQ1073" s="40"/>
      <c r="BR1073" s="67"/>
      <c r="BS1073" s="54"/>
      <c r="BT1073" s="3"/>
      <c r="BU1073" s="3"/>
      <c r="BV1073" s="3"/>
      <c r="BW1073" s="3"/>
      <c r="BX1073" s="70"/>
      <c r="BY1073" s="70"/>
      <c r="BZ1073" s="59"/>
      <c r="CA1073" s="59"/>
      <c r="CB1073" s="59"/>
      <c r="CC1073" s="59"/>
      <c r="CD1073" s="60"/>
      <c r="CE1073" s="60"/>
      <c r="CF1073" s="61"/>
      <c r="CG1073" s="61"/>
      <c r="CH1073" s="61"/>
      <c r="CI1073" s="41">
        <v>14.8</v>
      </c>
      <c r="CJ1073" s="40">
        <f t="shared" si="25"/>
        <v>760</v>
      </c>
      <c r="CK1073" s="3"/>
      <c r="CL1073" s="62"/>
      <c r="CM1073" s="63"/>
      <c r="CN1073" s="3"/>
      <c r="CO1073" s="3"/>
      <c r="CP1073" s="41"/>
      <c r="CQ1073" s="3"/>
      <c r="CR1073" s="40"/>
      <c r="CS1073" s="40"/>
      <c r="CT1073" s="40"/>
      <c r="CU1073" s="40"/>
      <c r="CV1073" s="40"/>
      <c r="CW1073" s="40"/>
      <c r="CX1073" s="40"/>
      <c r="CY1073" s="40"/>
    </row>
    <row r="1074" spans="1:103" ht="18.75">
      <c r="A1074" s="3">
        <v>2006</v>
      </c>
      <c r="B1074" s="92" t="s">
        <v>199</v>
      </c>
      <c r="C1074" s="3" t="s">
        <v>104</v>
      </c>
      <c r="D1074" s="3" t="s">
        <v>269</v>
      </c>
      <c r="E1074" s="39">
        <v>45799</v>
      </c>
      <c r="F1074" s="3" t="s">
        <v>186</v>
      </c>
      <c r="G1074" s="3" t="s">
        <v>122</v>
      </c>
      <c r="H1074" s="3">
        <v>2010</v>
      </c>
      <c r="I1074" s="89" t="s">
        <v>108</v>
      </c>
      <c r="J1074" s="215" t="s">
        <v>123</v>
      </c>
      <c r="K1074" s="3">
        <v>186</v>
      </c>
      <c r="L1074" s="3">
        <v>186</v>
      </c>
      <c r="M1074" s="3"/>
      <c r="N1074" s="3">
        <v>94</v>
      </c>
      <c r="O1074" s="3"/>
      <c r="P1074" s="3" t="s">
        <v>345</v>
      </c>
      <c r="Q1074" s="3">
        <v>60.5</v>
      </c>
      <c r="R1074" s="3">
        <v>60.5</v>
      </c>
      <c r="S1074" s="3"/>
      <c r="T1074" s="42">
        <v>186</v>
      </c>
      <c r="U1074" s="42">
        <v>94</v>
      </c>
      <c r="V1074" s="199">
        <f>paper3[[#This Row],[height]]-paper3[[#This Row],[sittingheight]]</f>
        <v>92</v>
      </c>
      <c r="W1074" s="73">
        <v>60.5</v>
      </c>
      <c r="X1074" s="43" cm="1">
        <f t="array" ref="X1074">INDEX([1]!phvny[yphv], MATCH(1, (paper3[[#This Row],[id]]=[1]!phvny[id])*(paper3[[#This Row],[time]]=[1]!phvny[time]), 0))</f>
        <v>1.5311056512544789</v>
      </c>
      <c r="Y1074" s="192">
        <v>1.742</v>
      </c>
      <c r="Z1074" s="3">
        <v>3.1720000000000002</v>
      </c>
      <c r="AA1074" s="192">
        <v>4.5449999999999999</v>
      </c>
      <c r="AB1074" s="3">
        <v>1.7430000000000001</v>
      </c>
      <c r="AC1074" s="3">
        <v>3.177</v>
      </c>
      <c r="AD1074" s="3">
        <v>4.5670000000000002</v>
      </c>
      <c r="AE1074" s="3">
        <v>1.73</v>
      </c>
      <c r="AF1074" s="3">
        <v>3.1760000000000002</v>
      </c>
      <c r="AG1074" s="3">
        <v>4.5309999999999997</v>
      </c>
      <c r="AH1074" s="194">
        <f t="shared" si="26"/>
        <v>1.73</v>
      </c>
      <c r="AI1074" s="194">
        <f t="shared" si="26"/>
        <v>3.1720000000000002</v>
      </c>
      <c r="AJ1074" s="194">
        <f t="shared" si="26"/>
        <v>4.5309999999999997</v>
      </c>
      <c r="AK1074" s="130"/>
      <c r="AL1074" s="203">
        <v>9.9700000000000006</v>
      </c>
      <c r="AM1074" s="203">
        <v>10.08</v>
      </c>
      <c r="AN1074" s="3"/>
      <c r="AO1074" s="3">
        <v>10.199999999999999</v>
      </c>
      <c r="AP1074" s="137"/>
      <c r="AQ1074" s="132">
        <v>9.9700000000000006</v>
      </c>
      <c r="AR1074" s="132">
        <v>10.199999999999999</v>
      </c>
      <c r="AS1074" s="3">
        <v>28</v>
      </c>
      <c r="AT1074" s="3"/>
      <c r="AU1074" s="3">
        <v>28.6</v>
      </c>
      <c r="AV1074" s="3"/>
      <c r="AW1074" s="192"/>
      <c r="AX1074" s="133">
        <v>28.6</v>
      </c>
      <c r="AY1074" s="195" t="s">
        <v>346</v>
      </c>
      <c r="AZ1074" s="40">
        <v>11</v>
      </c>
      <c r="BA1074" s="40"/>
      <c r="BB1074" s="40"/>
      <c r="BC1074" s="40"/>
      <c r="BD1074" s="135">
        <v>1023.1746132125986</v>
      </c>
      <c r="BE1074" s="135">
        <v>995.01029836569091</v>
      </c>
      <c r="BF1074" s="40"/>
      <c r="BG1074" s="213">
        <v>484.4406087875376</v>
      </c>
      <c r="BH1074" s="135">
        <v>466.51031533396917</v>
      </c>
      <c r="BI1074" s="49">
        <f>IFERROR(SUM(paper3[[#This Row],[Kraft ikke-dominant]:[Kraft dominant]]),"")</f>
        <v>2018.1849115782895</v>
      </c>
      <c r="BJ1074" s="49">
        <f>IFERROR(SUM(paper3[[#This Row],[Pwr ikke-dominant]:[Pwr dominant]]),"")</f>
        <v>950.95092412150677</v>
      </c>
      <c r="BK1074" s="66"/>
      <c r="BL1074" s="66"/>
      <c r="BM1074" s="51">
        <f>IFERROR(paper3[[#This Row],[totforce]]/paper3[[#This Row],[bodymass]],"")</f>
        <v>33.358428290550243</v>
      </c>
      <c r="BN1074" s="51">
        <f>IFERROR(paper3[[#This Row],[totpwr]]/paper3[[#This Row],[bodymass]],"")</f>
        <v>15.718197092917467</v>
      </c>
      <c r="BO1074" s="136"/>
      <c r="BP1074" s="40"/>
      <c r="BQ1074" s="40"/>
      <c r="BR1074" s="67"/>
      <c r="BS1074" s="54"/>
      <c r="BT1074" s="3"/>
      <c r="BU1074" s="3"/>
      <c r="BV1074" s="3"/>
      <c r="BW1074" s="3"/>
      <c r="BX1074" s="70"/>
      <c r="BY1074" s="70"/>
      <c r="BZ1074" s="59"/>
      <c r="CA1074" s="59"/>
      <c r="CB1074" s="59"/>
      <c r="CC1074" s="59"/>
      <c r="CD1074" s="60"/>
      <c r="CE1074" s="60"/>
      <c r="CF1074" s="61"/>
      <c r="CG1074" s="61"/>
      <c r="CH1074" s="61"/>
      <c r="CI1074" s="41">
        <v>17.399999999999999</v>
      </c>
      <c r="CJ1074" s="40">
        <f t="shared" si="25"/>
        <v>1560</v>
      </c>
      <c r="CK1074" s="3"/>
      <c r="CL1074" s="62"/>
      <c r="CM1074" s="63"/>
      <c r="CN1074" s="3"/>
      <c r="CO1074" s="3"/>
      <c r="CP1074" s="41">
        <f>_xlfn.MAXIFS([1]!phvny[age],[1]!phvny[id],paper3[[#This Row],[id]],[1]!phvny[time],paper3[[#This Row],[time]])</f>
        <v>14.619444444444444</v>
      </c>
      <c r="CQ1074" s="3"/>
      <c r="CR1074" s="40"/>
      <c r="CS1074" s="40"/>
      <c r="CT1074" s="40"/>
      <c r="CU1074" s="40"/>
      <c r="CV1074" s="40"/>
      <c r="CW1074" s="40"/>
      <c r="CX1074" s="40"/>
      <c r="CY1074" s="40"/>
    </row>
    <row r="1075" spans="1:103" ht="18.75">
      <c r="A1075" s="3">
        <v>2009</v>
      </c>
      <c r="B1075" s="92" t="s">
        <v>199</v>
      </c>
      <c r="C1075" s="3" t="s">
        <v>104</v>
      </c>
      <c r="D1075" s="3" t="s">
        <v>269</v>
      </c>
      <c r="E1075" s="39">
        <v>45799</v>
      </c>
      <c r="F1075" s="3" t="s">
        <v>186</v>
      </c>
      <c r="G1075" s="3" t="s">
        <v>122</v>
      </c>
      <c r="H1075" s="3">
        <v>2010</v>
      </c>
      <c r="I1075" s="89" t="s">
        <v>108</v>
      </c>
      <c r="J1075" s="215" t="s">
        <v>123</v>
      </c>
      <c r="K1075" s="3">
        <v>167.4</v>
      </c>
      <c r="L1075" s="3">
        <v>167.4</v>
      </c>
      <c r="M1075" s="3"/>
      <c r="N1075" s="3">
        <v>83.2</v>
      </c>
      <c r="O1075" s="3"/>
      <c r="P1075" s="3" t="s">
        <v>347</v>
      </c>
      <c r="Q1075" s="3">
        <v>52.2</v>
      </c>
      <c r="R1075" s="3">
        <v>52.2</v>
      </c>
      <c r="S1075" s="3"/>
      <c r="T1075" s="42">
        <v>167.4</v>
      </c>
      <c r="U1075" s="42">
        <v>83.2</v>
      </c>
      <c r="V1075" s="199">
        <f>paper3[[#This Row],[height]]-paper3[[#This Row],[sittingheight]]</f>
        <v>84.2</v>
      </c>
      <c r="W1075" s="73">
        <v>52.2</v>
      </c>
      <c r="X1075" s="43" cm="1">
        <f t="array" ref="X1075">INDEX([1]!phvny[yphv], MATCH(1, (paper3[[#This Row],[id]]=[1]!phvny[id])*(paper3[[#This Row],[time]]=[1]!phvny[time]), 0))</f>
        <v>0.15055029275268828</v>
      </c>
      <c r="Y1075" s="192">
        <v>1.839</v>
      </c>
      <c r="Z1075" s="3">
        <v>3.3</v>
      </c>
      <c r="AA1075" s="192">
        <v>4.6790000000000003</v>
      </c>
      <c r="AB1075" s="3">
        <v>1.8320000000000001</v>
      </c>
      <c r="AC1075" s="3">
        <v>3.27</v>
      </c>
      <c r="AD1075" s="3">
        <v>4.6440000000000001</v>
      </c>
      <c r="AE1075" s="3">
        <v>1.857</v>
      </c>
      <c r="AF1075" s="3">
        <v>3.3149999999999999</v>
      </c>
      <c r="AG1075" s="3">
        <v>4.7220000000000004</v>
      </c>
      <c r="AH1075" s="194">
        <f t="shared" si="26"/>
        <v>1.8320000000000001</v>
      </c>
      <c r="AI1075" s="194">
        <f t="shared" si="26"/>
        <v>3.27</v>
      </c>
      <c r="AJ1075" s="194">
        <f t="shared" si="26"/>
        <v>4.6440000000000001</v>
      </c>
      <c r="AK1075" s="130"/>
      <c r="AL1075" s="203">
        <v>9.9</v>
      </c>
      <c r="AM1075" s="203">
        <v>9.9499999999999993</v>
      </c>
      <c r="AN1075" s="3">
        <v>10.36</v>
      </c>
      <c r="AO1075" s="3">
        <v>11</v>
      </c>
      <c r="AP1075" s="137"/>
      <c r="AQ1075" s="132">
        <v>9.9</v>
      </c>
      <c r="AR1075" s="132">
        <v>10.36</v>
      </c>
      <c r="AS1075" s="3"/>
      <c r="AT1075" s="3"/>
      <c r="AU1075" s="3"/>
      <c r="AV1075" s="3"/>
      <c r="AW1075" s="192"/>
      <c r="AX1075" s="133"/>
      <c r="AY1075" s="195"/>
      <c r="AZ1075" s="40"/>
      <c r="BA1075" s="40"/>
      <c r="BB1075" s="40"/>
      <c r="BC1075" s="40"/>
      <c r="BD1075" s="135"/>
      <c r="BE1075" s="135"/>
      <c r="BF1075" s="40"/>
      <c r="BG1075" s="213"/>
      <c r="BH1075" s="135"/>
      <c r="BI1075" s="49"/>
      <c r="BJ1075" s="49"/>
      <c r="BK1075" s="66"/>
      <c r="BL1075" s="66"/>
      <c r="BM1075" s="51"/>
      <c r="BN1075" s="51"/>
      <c r="BO1075" s="136"/>
      <c r="BP1075" s="40"/>
      <c r="BQ1075" s="40"/>
      <c r="BR1075" s="67"/>
      <c r="BS1075" s="54"/>
      <c r="BT1075" s="3"/>
      <c r="BU1075" s="3"/>
      <c r="BV1075" s="3"/>
      <c r="BW1075" s="3"/>
      <c r="BX1075" s="70"/>
      <c r="BY1075" s="70"/>
      <c r="BZ1075" s="59"/>
      <c r="CA1075" s="59"/>
      <c r="CB1075" s="59"/>
      <c r="CC1075" s="59"/>
      <c r="CD1075" s="60"/>
      <c r="CE1075" s="60"/>
      <c r="CF1075" s="61"/>
      <c r="CG1075" s="61"/>
      <c r="CH1075" s="61"/>
      <c r="CI1075" s="41">
        <v>15.3</v>
      </c>
      <c r="CJ1075" s="40">
        <f t="shared" si="25"/>
        <v>880</v>
      </c>
      <c r="CK1075" s="3"/>
      <c r="CL1075" s="62"/>
      <c r="CM1075" s="63"/>
      <c r="CN1075" s="3"/>
      <c r="CO1075" s="3"/>
      <c r="CP1075" s="41">
        <f>_xlfn.MAXIFS([1]!phvny[age],[1]!phvny[id],paper3[[#This Row],[id]],[1]!phvny[time],paper3[[#This Row],[time]])</f>
        <v>14.716666666666667</v>
      </c>
      <c r="CQ1075" s="3"/>
      <c r="CR1075" s="40"/>
      <c r="CS1075" s="40"/>
      <c r="CT1075" s="40"/>
      <c r="CU1075" s="40"/>
      <c r="CV1075" s="40"/>
      <c r="CW1075" s="40"/>
      <c r="CX1075" s="40"/>
      <c r="CY1075" s="40"/>
    </row>
    <row r="1076" spans="1:103" ht="18.75">
      <c r="A1076" s="3">
        <v>2011</v>
      </c>
      <c r="B1076" s="92" t="s">
        <v>199</v>
      </c>
      <c r="C1076" s="3" t="s">
        <v>104</v>
      </c>
      <c r="D1076" s="3" t="s">
        <v>269</v>
      </c>
      <c r="E1076" s="39">
        <v>45799</v>
      </c>
      <c r="F1076" s="3" t="s">
        <v>186</v>
      </c>
      <c r="G1076" s="3" t="s">
        <v>122</v>
      </c>
      <c r="H1076" s="3">
        <v>2010</v>
      </c>
      <c r="I1076" s="89" t="s">
        <v>108</v>
      </c>
      <c r="J1076" s="215" t="s">
        <v>123</v>
      </c>
      <c r="K1076" s="3">
        <v>182.8</v>
      </c>
      <c r="L1076" s="3">
        <v>182.7</v>
      </c>
      <c r="M1076" s="3"/>
      <c r="N1076" s="3">
        <v>95.3</v>
      </c>
      <c r="O1076" s="3"/>
      <c r="P1076" s="3" t="s">
        <v>304</v>
      </c>
      <c r="Q1076" s="3">
        <v>76.2</v>
      </c>
      <c r="R1076" s="3">
        <v>76.2</v>
      </c>
      <c r="S1076" s="3"/>
      <c r="T1076" s="42">
        <v>182.75</v>
      </c>
      <c r="U1076" s="42">
        <v>95.3</v>
      </c>
      <c r="V1076" s="199">
        <f>paper3[[#This Row],[height]]-paper3[[#This Row],[sittingheight]]</f>
        <v>87.45</v>
      </c>
      <c r="W1076" s="73">
        <v>76.2</v>
      </c>
      <c r="X1076" s="43" cm="1">
        <f t="array" ref="X1076">INDEX([1]!phvny[yphv], MATCH(1, (paper3[[#This Row],[id]]=[1]!phvny[id])*(paper3[[#This Row],[time]]=[1]!phvny[time]), 0))</f>
        <v>2.120898087337475</v>
      </c>
      <c r="Y1076" s="192">
        <v>1.6779999999999999</v>
      </c>
      <c r="Z1076" s="3">
        <v>3.0760000000000001</v>
      </c>
      <c r="AA1076" s="192">
        <v>4.4020000000000001</v>
      </c>
      <c r="AB1076" s="3">
        <v>1.651</v>
      </c>
      <c r="AC1076" s="3">
        <v>3.0529999999999999</v>
      </c>
      <c r="AD1076" s="3">
        <v>4.3860000000000001</v>
      </c>
      <c r="AE1076" s="3">
        <v>1.6819999999999999</v>
      </c>
      <c r="AF1076" s="3">
        <v>3.069</v>
      </c>
      <c r="AG1076" s="3">
        <v>4.3780000000000001</v>
      </c>
      <c r="AH1076" s="194">
        <f t="shared" si="26"/>
        <v>1.651</v>
      </c>
      <c r="AI1076" s="194">
        <f t="shared" si="26"/>
        <v>3.0529999999999999</v>
      </c>
      <c r="AJ1076" s="194">
        <f t="shared" si="26"/>
        <v>4.3780000000000001</v>
      </c>
      <c r="AK1076" s="130"/>
      <c r="AL1076" s="203">
        <v>9.02</v>
      </c>
      <c r="AM1076" s="203">
        <v>8.93</v>
      </c>
      <c r="AN1076" s="3">
        <v>9.1999999999999993</v>
      </c>
      <c r="AO1076" s="3">
        <v>9.18</v>
      </c>
      <c r="AP1076" s="137"/>
      <c r="AQ1076" s="132">
        <v>8.93</v>
      </c>
      <c r="AR1076" s="132">
        <v>9.18</v>
      </c>
      <c r="AS1076" s="3">
        <v>28.3</v>
      </c>
      <c r="AT1076" s="3"/>
      <c r="AU1076" s="3"/>
      <c r="AV1076" s="3"/>
      <c r="AW1076" s="192"/>
      <c r="AX1076" s="133">
        <v>28.3</v>
      </c>
      <c r="AY1076" s="195" t="s">
        <v>346</v>
      </c>
      <c r="AZ1076" s="40">
        <v>12</v>
      </c>
      <c r="BA1076" s="40"/>
      <c r="BB1076" s="40"/>
      <c r="BC1076" s="40"/>
      <c r="BD1076" s="135">
        <v>1737.5767009929043</v>
      </c>
      <c r="BE1076" s="135">
        <v>1642.7397800456361</v>
      </c>
      <c r="BF1076" s="40"/>
      <c r="BG1076" s="213">
        <v>798.11406494130927</v>
      </c>
      <c r="BH1076" s="135">
        <v>759.87788362421043</v>
      </c>
      <c r="BI1076" s="49">
        <f>IFERROR(SUM(paper3[[#This Row],[Kraft ikke-dominant]:[Kraft dominant]]),"")</f>
        <v>3380.3164810385406</v>
      </c>
      <c r="BJ1076" s="49">
        <f>IFERROR(SUM(paper3[[#This Row],[Pwr ikke-dominant]:[Pwr dominant]]),"")</f>
        <v>1557.9919485655196</v>
      </c>
      <c r="BK1076" s="66"/>
      <c r="BL1076" s="66"/>
      <c r="BM1076" s="51">
        <f>IFERROR(paper3[[#This Row],[totforce]]/paper3[[#This Row],[bodymass]],"")</f>
        <v>44.361108675046459</v>
      </c>
      <c r="BN1076" s="51">
        <f>IFERROR(paper3[[#This Row],[totpwr]]/paper3[[#This Row],[bodymass]],"")</f>
        <v>20.446088563851962</v>
      </c>
      <c r="BO1076" s="136"/>
      <c r="BP1076" s="40"/>
      <c r="BQ1076" s="40"/>
      <c r="BR1076" s="67"/>
      <c r="BS1076" s="54"/>
      <c r="BT1076" s="3"/>
      <c r="BU1076" s="3"/>
      <c r="BV1076" s="3"/>
      <c r="BW1076" s="3"/>
      <c r="BX1076" s="70"/>
      <c r="BY1076" s="70"/>
      <c r="BZ1076" s="59"/>
      <c r="CA1076" s="59"/>
      <c r="CB1076" s="59"/>
      <c r="CC1076" s="59"/>
      <c r="CD1076" s="60"/>
      <c r="CE1076" s="60"/>
      <c r="CF1076" s="61"/>
      <c r="CG1076" s="61"/>
      <c r="CH1076" s="61"/>
      <c r="CI1076" s="41">
        <v>18.100000000000001</v>
      </c>
      <c r="CJ1076" s="40">
        <f t="shared" si="25"/>
        <v>1760</v>
      </c>
      <c r="CK1076" s="3"/>
      <c r="CL1076" s="62"/>
      <c r="CM1076" s="63"/>
      <c r="CN1076" s="3"/>
      <c r="CO1076" s="3"/>
      <c r="CP1076" s="41">
        <f>_xlfn.MAXIFS([1]!phvny[age],[1]!phvny[id],paper3[[#This Row],[id]],[1]!phvny[time],paper3[[#This Row],[time]])</f>
        <v>15.019444444444444</v>
      </c>
      <c r="CQ1076" s="3"/>
      <c r="CR1076" s="40"/>
      <c r="CS1076" s="40"/>
      <c r="CT1076" s="40"/>
      <c r="CU1076" s="40"/>
      <c r="CV1076" s="40"/>
      <c r="CW1076" s="40"/>
      <c r="CX1076" s="40"/>
      <c r="CY1076" s="40"/>
    </row>
    <row r="1077" spans="1:103" ht="18.75">
      <c r="A1077" s="3">
        <v>2013</v>
      </c>
      <c r="B1077" s="92" t="s">
        <v>199</v>
      </c>
      <c r="C1077" s="3" t="s">
        <v>104</v>
      </c>
      <c r="D1077" s="3" t="s">
        <v>269</v>
      </c>
      <c r="E1077" s="39">
        <v>45799</v>
      </c>
      <c r="F1077" s="3" t="s">
        <v>186</v>
      </c>
      <c r="G1077" s="3" t="s">
        <v>122</v>
      </c>
      <c r="H1077" s="3">
        <v>2010</v>
      </c>
      <c r="I1077" s="89" t="s">
        <v>108</v>
      </c>
      <c r="J1077" s="215" t="s">
        <v>123</v>
      </c>
      <c r="K1077" s="3">
        <v>173.6</v>
      </c>
      <c r="L1077" s="3">
        <v>173.6</v>
      </c>
      <c r="M1077" s="3"/>
      <c r="N1077" s="3">
        <v>88.8</v>
      </c>
      <c r="O1077" s="3"/>
      <c r="P1077" s="3" t="s">
        <v>293</v>
      </c>
      <c r="Q1077" s="3">
        <v>57</v>
      </c>
      <c r="R1077" s="3">
        <v>57</v>
      </c>
      <c r="S1077" s="3"/>
      <c r="T1077" s="42">
        <v>173.6</v>
      </c>
      <c r="U1077" s="42">
        <v>88.8</v>
      </c>
      <c r="V1077" s="199">
        <f>paper3[[#This Row],[height]]-paper3[[#This Row],[sittingheight]]</f>
        <v>84.8</v>
      </c>
      <c r="W1077" s="73">
        <v>57</v>
      </c>
      <c r="X1077" s="43" cm="1">
        <f t="array" ref="X1077">INDEX([1]!phvny[yphv], MATCH(1, (paper3[[#This Row],[id]]=[1]!phvny[id])*(paper3[[#This Row],[time]]=[1]!phvny[time]), 0))</f>
        <v>1.0465697245755243</v>
      </c>
      <c r="Y1077" s="192">
        <v>1.6639999999999999</v>
      </c>
      <c r="Z1077" s="3">
        <v>3.0790000000000002</v>
      </c>
      <c r="AA1077" s="192">
        <v>4.4290000000000003</v>
      </c>
      <c r="AB1077" s="3">
        <v>1.792</v>
      </c>
      <c r="AC1077" s="3">
        <v>3.2469999999999999</v>
      </c>
      <c r="AD1077" s="3">
        <v>4.6029999999999998</v>
      </c>
      <c r="AE1077" s="3">
        <v>1.7070000000000001</v>
      </c>
      <c r="AF1077" s="3">
        <v>3.1190000000000002</v>
      </c>
      <c r="AG1077" s="3">
        <v>4.4649999999999999</v>
      </c>
      <c r="AH1077" s="194">
        <f t="shared" si="26"/>
        <v>1.6639999999999999</v>
      </c>
      <c r="AI1077" s="194">
        <f t="shared" si="26"/>
        <v>3.0790000000000002</v>
      </c>
      <c r="AJ1077" s="194">
        <f t="shared" si="26"/>
        <v>4.4290000000000003</v>
      </c>
      <c r="AK1077" s="130"/>
      <c r="AL1077" s="203">
        <v>10.5</v>
      </c>
      <c r="AM1077" s="203">
        <v>10.46</v>
      </c>
      <c r="AN1077" s="3">
        <v>10.6</v>
      </c>
      <c r="AO1077" s="3">
        <v>10.4</v>
      </c>
      <c r="AP1077" s="137"/>
      <c r="AQ1077" s="132">
        <v>10.46</v>
      </c>
      <c r="AR1077" s="132">
        <v>10.4</v>
      </c>
      <c r="AS1077" s="3">
        <v>32.299999999999997</v>
      </c>
      <c r="AT1077" s="3"/>
      <c r="AU1077" s="3">
        <v>32</v>
      </c>
      <c r="AV1077" s="3"/>
      <c r="AW1077" s="192"/>
      <c r="AX1077" s="133">
        <v>32.299999999999997</v>
      </c>
      <c r="AY1077" s="195" t="s">
        <v>265</v>
      </c>
      <c r="AZ1077" s="40">
        <v>10</v>
      </c>
      <c r="BA1077" s="40"/>
      <c r="BB1077" s="40"/>
      <c r="BC1077" s="40"/>
      <c r="BD1077" s="135">
        <v>1195.1189820570269</v>
      </c>
      <c r="BE1077" s="135">
        <v>1129.1544262099619</v>
      </c>
      <c r="BF1077" s="40"/>
      <c r="BG1077" s="213">
        <v>518.5139500672185</v>
      </c>
      <c r="BH1077" s="135">
        <v>519.70900301644633</v>
      </c>
      <c r="BI1077" s="49">
        <f>IFERROR(SUM(paper3[[#This Row],[Kraft ikke-dominant]:[Kraft dominant]]),"")</f>
        <v>2324.2734082669886</v>
      </c>
      <c r="BJ1077" s="49">
        <f>IFERROR(SUM(paper3[[#This Row],[Pwr ikke-dominant]:[Pwr dominant]]),"")</f>
        <v>1038.2229530836648</v>
      </c>
      <c r="BK1077" s="66"/>
      <c r="BL1077" s="66"/>
      <c r="BM1077" s="51">
        <f>IFERROR(paper3[[#This Row],[totforce]]/paper3[[#This Row],[bodymass]],"")</f>
        <v>40.776726460824364</v>
      </c>
      <c r="BN1077" s="51">
        <f>IFERROR(paper3[[#This Row],[totpwr]]/paper3[[#This Row],[bodymass]],"")</f>
        <v>18.214437773397627</v>
      </c>
      <c r="BO1077" s="136"/>
      <c r="BP1077" s="40"/>
      <c r="BQ1077" s="40"/>
      <c r="BR1077" s="67"/>
      <c r="BS1077" s="54"/>
      <c r="BT1077" s="3"/>
      <c r="BU1077" s="3"/>
      <c r="BV1077" s="3"/>
      <c r="BW1077" s="3"/>
      <c r="BX1077" s="70"/>
      <c r="BY1077" s="70"/>
      <c r="BZ1077" s="59"/>
      <c r="CA1077" s="59"/>
      <c r="CB1077" s="59"/>
      <c r="CC1077" s="59"/>
      <c r="CD1077" s="60"/>
      <c r="CE1077" s="60"/>
      <c r="CF1077" s="61"/>
      <c r="CG1077" s="61"/>
      <c r="CH1077" s="61"/>
      <c r="CI1077" s="41">
        <v>14.8</v>
      </c>
      <c r="CJ1077" s="40">
        <f t="shared" si="25"/>
        <v>760</v>
      </c>
      <c r="CK1077" s="3"/>
      <c r="CL1077" s="62"/>
      <c r="CM1077" s="63"/>
      <c r="CN1077" s="3"/>
      <c r="CO1077" s="3"/>
      <c r="CP1077" s="41">
        <f>_xlfn.MAXIFS([1]!phvny[age],[1]!phvny[id],paper3[[#This Row],[id]],[1]!phvny[time],paper3[[#This Row],[time]])</f>
        <v>14.988888888888889</v>
      </c>
      <c r="CQ1077" s="3"/>
      <c r="CR1077" s="40"/>
      <c r="CS1077" s="40"/>
      <c r="CT1077" s="40"/>
      <c r="CU1077" s="40"/>
      <c r="CV1077" s="40"/>
      <c r="CW1077" s="40"/>
      <c r="CX1077" s="40"/>
      <c r="CY1077" s="40"/>
    </row>
    <row r="1078" spans="1:103" ht="18.75">
      <c r="A1078" s="3">
        <v>2016</v>
      </c>
      <c r="B1078" s="92" t="s">
        <v>199</v>
      </c>
      <c r="C1078" s="3" t="s">
        <v>104</v>
      </c>
      <c r="D1078" s="3" t="s">
        <v>269</v>
      </c>
      <c r="E1078" s="39">
        <v>45799</v>
      </c>
      <c r="F1078" s="3" t="s">
        <v>186</v>
      </c>
      <c r="G1078" s="3" t="s">
        <v>122</v>
      </c>
      <c r="H1078" s="3">
        <v>2010</v>
      </c>
      <c r="I1078" s="89" t="s">
        <v>108</v>
      </c>
      <c r="J1078" s="215" t="s">
        <v>123</v>
      </c>
      <c r="K1078" s="3">
        <v>172</v>
      </c>
      <c r="L1078" s="3">
        <v>172</v>
      </c>
      <c r="M1078" s="3"/>
      <c r="N1078" s="3">
        <v>87.3</v>
      </c>
      <c r="O1078" s="3"/>
      <c r="P1078" s="3" t="s">
        <v>319</v>
      </c>
      <c r="Q1078" s="3">
        <v>57.2</v>
      </c>
      <c r="R1078" s="3">
        <v>57.2</v>
      </c>
      <c r="S1078" s="3"/>
      <c r="T1078" s="42">
        <v>172</v>
      </c>
      <c r="U1078" s="42">
        <v>87.3</v>
      </c>
      <c r="V1078" s="199">
        <f>paper3[[#This Row],[height]]-paper3[[#This Row],[sittingheight]]</f>
        <v>84.7</v>
      </c>
      <c r="W1078" s="73">
        <v>57.2</v>
      </c>
      <c r="X1078" s="43" cm="1">
        <f t="array" ref="X1078">INDEX([1]!phvny[yphv], MATCH(1, (paper3[[#This Row],[id]]=[1]!phvny[id])*(paper3[[#This Row],[time]]=[1]!phvny[time]), 0))</f>
        <v>0.97651917436950852</v>
      </c>
      <c r="Y1078" s="192">
        <v>1.6240000000000001</v>
      </c>
      <c r="Z1078" s="3">
        <v>3.0089999999999999</v>
      </c>
      <c r="AA1078" s="192">
        <v>4.3390000000000004</v>
      </c>
      <c r="AB1078" s="46"/>
      <c r="AC1078" s="3"/>
      <c r="AD1078" s="3"/>
      <c r="AE1078" s="3">
        <v>1.6719999999999999</v>
      </c>
      <c r="AF1078" s="3">
        <v>3.097</v>
      </c>
      <c r="AG1078" s="3">
        <v>4.508</v>
      </c>
      <c r="AH1078" s="194">
        <f t="shared" si="26"/>
        <v>1.6240000000000001</v>
      </c>
      <c r="AI1078" s="194">
        <f t="shared" si="26"/>
        <v>3.0089999999999999</v>
      </c>
      <c r="AJ1078" s="194">
        <f t="shared" si="26"/>
        <v>4.3390000000000004</v>
      </c>
      <c r="AK1078" s="130"/>
      <c r="AL1078" s="203">
        <v>9.48</v>
      </c>
      <c r="AM1078" s="203">
        <v>9.32</v>
      </c>
      <c r="AN1078" s="3">
        <v>9.6999999999999993</v>
      </c>
      <c r="AO1078" s="3">
        <v>10.08</v>
      </c>
      <c r="AP1078" s="137"/>
      <c r="AQ1078" s="132">
        <v>9.32</v>
      </c>
      <c r="AR1078" s="132">
        <v>9.6999999999999993</v>
      </c>
      <c r="AS1078" s="3">
        <v>26.2</v>
      </c>
      <c r="AT1078" s="3">
        <v>22.1</v>
      </c>
      <c r="AU1078" s="3">
        <v>27.5</v>
      </c>
      <c r="AV1078" s="3"/>
      <c r="AW1078" s="192"/>
      <c r="AX1078" s="133">
        <v>27.5</v>
      </c>
      <c r="AY1078" s="195" t="s">
        <v>346</v>
      </c>
      <c r="AZ1078" s="40">
        <v>10</v>
      </c>
      <c r="BA1078" s="40"/>
      <c r="BB1078" s="40"/>
      <c r="BC1078" s="40"/>
      <c r="BD1078" s="135">
        <v>1080.5271968029406</v>
      </c>
      <c r="BE1078" s="135">
        <v>1040.4400672723284</v>
      </c>
      <c r="BF1078" s="40"/>
      <c r="BG1078" s="213">
        <v>484.63318615967501</v>
      </c>
      <c r="BH1078" s="135">
        <v>478.38243313983082</v>
      </c>
      <c r="BI1078" s="49">
        <f>IFERROR(SUM(paper3[[#This Row],[Kraft ikke-dominant]:[Kraft dominant]]),"")</f>
        <v>2120.9672640752688</v>
      </c>
      <c r="BJ1078" s="49">
        <f>IFERROR(SUM(paper3[[#This Row],[Pwr ikke-dominant]:[Pwr dominant]]),"")</f>
        <v>963.01561929950583</v>
      </c>
      <c r="BK1078" s="66"/>
      <c r="BL1078" s="66"/>
      <c r="BM1078" s="51">
        <f>IFERROR(paper3[[#This Row],[totforce]]/paper3[[#This Row],[bodymass]],"")</f>
        <v>37.079847274043161</v>
      </c>
      <c r="BN1078" s="51">
        <f>IFERROR(paper3[[#This Row],[totpwr]]/paper3[[#This Row],[bodymass]],"")</f>
        <v>16.83593740034101</v>
      </c>
      <c r="BO1078" s="136"/>
      <c r="BP1078" s="40"/>
      <c r="BQ1078" s="40"/>
      <c r="BR1078" s="67"/>
      <c r="BS1078" s="54"/>
      <c r="BT1078" s="3"/>
      <c r="BU1078" s="3"/>
      <c r="BV1078" s="3"/>
      <c r="BW1078" s="3"/>
      <c r="BX1078" s="70"/>
      <c r="BY1078" s="70"/>
      <c r="BZ1078" s="59"/>
      <c r="CA1078" s="59"/>
      <c r="CB1078" s="59"/>
      <c r="CC1078" s="59"/>
      <c r="CD1078" s="60"/>
      <c r="CE1078" s="60"/>
      <c r="CF1078" s="61"/>
      <c r="CG1078" s="61"/>
      <c r="CH1078" s="61"/>
      <c r="CI1078" s="41">
        <v>14.3</v>
      </c>
      <c r="CJ1078" s="40">
        <f t="shared" si="25"/>
        <v>560</v>
      </c>
      <c r="CK1078" s="3"/>
      <c r="CL1078" s="62"/>
      <c r="CM1078" s="63"/>
      <c r="CN1078" s="3"/>
      <c r="CO1078" s="3"/>
      <c r="CP1078" s="41">
        <f>_xlfn.MAXIFS([1]!phvny[age],[1]!phvny[id],paper3[[#This Row],[id]],[1]!phvny[time],paper3[[#This Row],[time]])</f>
        <v>15.227777777777778</v>
      </c>
      <c r="CQ1078" s="3"/>
      <c r="CR1078" s="40"/>
      <c r="CS1078" s="40"/>
      <c r="CT1078" s="40"/>
      <c r="CU1078" s="40"/>
      <c r="CV1078" s="40"/>
      <c r="CW1078" s="40"/>
      <c r="CX1078" s="40"/>
      <c r="CY1078" s="40"/>
    </row>
    <row r="1079" spans="1:103" ht="18.75">
      <c r="A1079" s="3">
        <v>2017</v>
      </c>
      <c r="B1079" s="92" t="s">
        <v>199</v>
      </c>
      <c r="C1079" s="3" t="s">
        <v>104</v>
      </c>
      <c r="D1079" s="3" t="s">
        <v>269</v>
      </c>
      <c r="E1079" s="39">
        <v>45799</v>
      </c>
      <c r="F1079" s="3" t="s">
        <v>186</v>
      </c>
      <c r="G1079" s="3" t="s">
        <v>122</v>
      </c>
      <c r="H1079" s="3">
        <v>2010</v>
      </c>
      <c r="I1079" s="89" t="s">
        <v>108</v>
      </c>
      <c r="J1079" s="215" t="s">
        <v>123</v>
      </c>
      <c r="K1079" s="3">
        <v>183</v>
      </c>
      <c r="L1079" s="3">
        <v>183</v>
      </c>
      <c r="M1079" s="3"/>
      <c r="N1079" s="3">
        <v>93.5</v>
      </c>
      <c r="O1079" s="3"/>
      <c r="P1079" s="3" t="s">
        <v>348</v>
      </c>
      <c r="Q1079" s="3">
        <v>65.599999999999994</v>
      </c>
      <c r="R1079" s="3">
        <v>65.599999999999994</v>
      </c>
      <c r="S1079" s="3"/>
      <c r="T1079" s="42">
        <v>183</v>
      </c>
      <c r="U1079" s="42">
        <v>93.5</v>
      </c>
      <c r="V1079" s="199">
        <f>paper3[[#This Row],[height]]-paper3[[#This Row],[sittingheight]]</f>
        <v>89.5</v>
      </c>
      <c r="W1079" s="73">
        <v>65.599999999999994</v>
      </c>
      <c r="X1079" s="43" cm="1">
        <f t="array" ref="X1079">INDEX([1]!phvny[yphv], MATCH(1, (paper3[[#This Row],[id]]=[1]!phvny[id])*(paper3[[#This Row],[time]]=[1]!phvny[time]), 0))</f>
        <v>1.8155549091985423</v>
      </c>
      <c r="Y1079" s="192">
        <v>1.5609999999999999</v>
      </c>
      <c r="Z1079" s="3">
        <v>2.8969999999999998</v>
      </c>
      <c r="AA1079" s="192">
        <v>4.1740000000000004</v>
      </c>
      <c r="AB1079" s="3">
        <v>1.5720000000000001</v>
      </c>
      <c r="AC1079" s="3">
        <v>2.9390000000000001</v>
      </c>
      <c r="AD1079" s="3">
        <v>4.25</v>
      </c>
      <c r="AE1079" s="3">
        <v>1.57</v>
      </c>
      <c r="AF1079" s="3">
        <v>2.9409999999999998</v>
      </c>
      <c r="AG1079" s="3">
        <v>4.2539999999999996</v>
      </c>
      <c r="AH1079" s="194">
        <f t="shared" si="26"/>
        <v>1.5609999999999999</v>
      </c>
      <c r="AI1079" s="194">
        <f t="shared" si="26"/>
        <v>2.8969999999999998</v>
      </c>
      <c r="AJ1079" s="194">
        <f t="shared" si="26"/>
        <v>4.1740000000000004</v>
      </c>
      <c r="AK1079" s="130"/>
      <c r="AL1079" s="203">
        <v>9.6</v>
      </c>
      <c r="AM1079" s="203">
        <v>9.48</v>
      </c>
      <c r="AN1079" s="3">
        <v>9.3699999999999992</v>
      </c>
      <c r="AO1079" s="3">
        <v>9.42</v>
      </c>
      <c r="AP1079" s="137"/>
      <c r="AQ1079" s="132">
        <v>9.48</v>
      </c>
      <c r="AR1079" s="132">
        <v>9.3699999999999992</v>
      </c>
      <c r="AS1079" s="3"/>
      <c r="AT1079" s="3">
        <v>35.299999999999997</v>
      </c>
      <c r="AU1079" s="3">
        <v>32.299999999999997</v>
      </c>
      <c r="AV1079" s="3"/>
      <c r="AW1079" s="192"/>
      <c r="AX1079" s="133">
        <v>35.299999999999997</v>
      </c>
      <c r="AY1079" s="195" t="s">
        <v>346</v>
      </c>
      <c r="AZ1079" s="40">
        <v>10</v>
      </c>
      <c r="BA1079" s="40"/>
      <c r="BB1079" s="40"/>
      <c r="BC1079" s="40"/>
      <c r="BD1079" s="135"/>
      <c r="BE1079" s="135"/>
      <c r="BF1079" s="40"/>
      <c r="BG1079" s="213"/>
      <c r="BH1079" s="135"/>
      <c r="BI1079" s="49"/>
      <c r="BJ1079" s="49"/>
      <c r="BK1079" s="66"/>
      <c r="BL1079" s="66"/>
      <c r="BM1079" s="51"/>
      <c r="BN1079" s="51"/>
      <c r="BO1079" s="136"/>
      <c r="BP1079" s="40"/>
      <c r="BQ1079" s="40"/>
      <c r="BR1079" s="67"/>
      <c r="BS1079" s="54"/>
      <c r="BT1079" s="3"/>
      <c r="BU1079" s="3"/>
      <c r="BV1079" s="3"/>
      <c r="BW1079" s="3"/>
      <c r="BX1079" s="70"/>
      <c r="BY1079" s="70"/>
      <c r="BZ1079" s="59"/>
      <c r="CA1079" s="59"/>
      <c r="CB1079" s="59"/>
      <c r="CC1079" s="59"/>
      <c r="CD1079" s="60"/>
      <c r="CE1079" s="60"/>
      <c r="CF1079" s="61"/>
      <c r="CG1079" s="61"/>
      <c r="CH1079" s="61"/>
      <c r="CI1079" s="41">
        <v>14.8</v>
      </c>
      <c r="CJ1079" s="40">
        <f t="shared" si="25"/>
        <v>760</v>
      </c>
      <c r="CK1079" s="3"/>
      <c r="CL1079" s="62"/>
      <c r="CM1079" s="63"/>
      <c r="CN1079" s="3"/>
      <c r="CO1079" s="3"/>
      <c r="CP1079" s="41">
        <f>_xlfn.MAXIFS([1]!phvny[age],[1]!phvny[id],paper3[[#This Row],[id]],[1]!phvny[time],paper3[[#This Row],[time]])</f>
        <v>15.144444444444444</v>
      </c>
      <c r="CQ1079" s="3"/>
      <c r="CR1079" s="40"/>
      <c r="CS1079" s="40"/>
      <c r="CT1079" s="40"/>
      <c r="CU1079" s="40"/>
      <c r="CV1079" s="40"/>
      <c r="CW1079" s="40"/>
      <c r="CX1079" s="40"/>
      <c r="CY1079" s="40"/>
    </row>
    <row r="1080" spans="1:103" ht="18.75">
      <c r="A1080" s="3">
        <v>2018</v>
      </c>
      <c r="B1080" s="92" t="s">
        <v>199</v>
      </c>
      <c r="C1080" s="3" t="s">
        <v>104</v>
      </c>
      <c r="D1080" s="3" t="s">
        <v>269</v>
      </c>
      <c r="E1080" s="39">
        <v>45799</v>
      </c>
      <c r="F1080" s="3" t="s">
        <v>186</v>
      </c>
      <c r="G1080" s="3" t="s">
        <v>122</v>
      </c>
      <c r="H1080" s="3">
        <v>2010</v>
      </c>
      <c r="I1080" s="89" t="s">
        <v>108</v>
      </c>
      <c r="J1080" s="215" t="s">
        <v>123</v>
      </c>
      <c r="K1080" s="3">
        <v>172.2</v>
      </c>
      <c r="L1080" s="3">
        <v>172</v>
      </c>
      <c r="M1080" s="3"/>
      <c r="N1080" s="3">
        <v>83.8</v>
      </c>
      <c r="O1080" s="3"/>
      <c r="P1080" s="3" t="s">
        <v>306</v>
      </c>
      <c r="Q1080" s="3">
        <v>60</v>
      </c>
      <c r="R1080" s="3">
        <v>60</v>
      </c>
      <c r="S1080" s="3"/>
      <c r="T1080" s="42">
        <v>172.1</v>
      </c>
      <c r="U1080" s="42">
        <v>83.8</v>
      </c>
      <c r="V1080" s="199">
        <f>paper3[[#This Row],[height]]-paper3[[#This Row],[sittingheight]]</f>
        <v>88.3</v>
      </c>
      <c r="W1080" s="73">
        <v>60</v>
      </c>
      <c r="X1080" s="43" cm="1">
        <f t="array" ref="X1080">INDEX([1]!phvny[yphv], MATCH(1, (paper3[[#This Row],[id]]=[1]!phvny[id])*(paper3[[#This Row],[time]]=[1]!phvny[time]), 0))</f>
        <v>0.29356138746048932</v>
      </c>
      <c r="Y1080" s="200" t="s">
        <v>349</v>
      </c>
      <c r="Z1080" s="3" t="s">
        <v>350</v>
      </c>
      <c r="AA1080" s="192" t="s">
        <v>351</v>
      </c>
      <c r="AB1080" s="3">
        <v>1.7889999999999999</v>
      </c>
      <c r="AC1080" s="3">
        <v>3.3610000000000002</v>
      </c>
      <c r="AD1080" s="3">
        <v>4.8959999999999999</v>
      </c>
      <c r="AE1080" s="3">
        <v>1.8220000000000001</v>
      </c>
      <c r="AF1080" s="3">
        <v>3.39</v>
      </c>
      <c r="AG1080" s="3">
        <v>4.9400000000000004</v>
      </c>
      <c r="AH1080" s="194">
        <f t="shared" si="26"/>
        <v>1.7889999999999999</v>
      </c>
      <c r="AI1080" s="194">
        <f t="shared" si="26"/>
        <v>3.3610000000000002</v>
      </c>
      <c r="AJ1080" s="194">
        <f t="shared" si="26"/>
        <v>4.8959999999999999</v>
      </c>
      <c r="AK1080" s="130"/>
      <c r="AL1080" s="203"/>
      <c r="AM1080" s="203">
        <v>10.14</v>
      </c>
      <c r="AN1080" s="3">
        <v>9.94</v>
      </c>
      <c r="AO1080" s="3">
        <v>10.050000000000001</v>
      </c>
      <c r="AP1080" s="137"/>
      <c r="AQ1080" s="132">
        <v>10.14</v>
      </c>
      <c r="AR1080" s="132">
        <v>9.94</v>
      </c>
      <c r="AS1080" s="3">
        <v>23.7</v>
      </c>
      <c r="AT1080" s="3">
        <v>24.8</v>
      </c>
      <c r="AU1080" s="3">
        <v>26</v>
      </c>
      <c r="AV1080" s="3"/>
      <c r="AW1080" s="192"/>
      <c r="AX1080" s="133">
        <v>26</v>
      </c>
      <c r="AY1080" s="195" t="s">
        <v>346</v>
      </c>
      <c r="AZ1080" s="40">
        <v>10</v>
      </c>
      <c r="BA1080" s="40"/>
      <c r="BB1080" s="40"/>
      <c r="BC1080" s="40"/>
      <c r="BD1080" s="135"/>
      <c r="BE1080" s="135"/>
      <c r="BF1080" s="40"/>
      <c r="BG1080" s="213"/>
      <c r="BH1080" s="135"/>
      <c r="BI1080" s="49"/>
      <c r="BJ1080" s="49"/>
      <c r="BK1080" s="66"/>
      <c r="BL1080" s="66"/>
      <c r="BM1080" s="51"/>
      <c r="BN1080" s="51"/>
      <c r="BO1080" s="136"/>
      <c r="BP1080" s="40"/>
      <c r="BQ1080" s="40"/>
      <c r="BR1080" s="67"/>
      <c r="BS1080" s="54"/>
      <c r="BT1080" s="3"/>
      <c r="BU1080" s="3"/>
      <c r="BV1080" s="3"/>
      <c r="BW1080" s="3"/>
      <c r="BX1080" s="70"/>
      <c r="BY1080" s="70"/>
      <c r="BZ1080" s="59"/>
      <c r="CA1080" s="59"/>
      <c r="CB1080" s="59"/>
      <c r="CC1080" s="59"/>
      <c r="CD1080" s="60"/>
      <c r="CE1080" s="60"/>
      <c r="CF1080" s="61"/>
      <c r="CG1080" s="61"/>
      <c r="CH1080" s="61"/>
      <c r="CI1080" s="41">
        <v>15.1</v>
      </c>
      <c r="CJ1080" s="40">
        <f t="shared" si="25"/>
        <v>800</v>
      </c>
      <c r="CK1080" s="3"/>
      <c r="CL1080" s="62"/>
      <c r="CM1080" s="63"/>
      <c r="CN1080" s="3"/>
      <c r="CO1080" s="3"/>
      <c r="CP1080" s="41">
        <f>_xlfn.MAXIFS([1]!phvny[age],[1]!phvny[id],paper3[[#This Row],[id]],[1]!phvny[time],paper3[[#This Row],[time]])</f>
        <v>14.691666666666666</v>
      </c>
      <c r="CQ1080" s="3"/>
      <c r="CR1080" s="40"/>
      <c r="CS1080" s="40"/>
      <c r="CT1080" s="40"/>
      <c r="CU1080" s="40"/>
      <c r="CV1080" s="40"/>
      <c r="CW1080" s="40"/>
      <c r="CX1080" s="40"/>
      <c r="CY1080" s="40"/>
    </row>
    <row r="1081" spans="1:103" ht="18.75">
      <c r="A1081" s="3">
        <v>2100</v>
      </c>
      <c r="B1081" s="92" t="s">
        <v>199</v>
      </c>
      <c r="C1081" s="3"/>
      <c r="D1081" s="3" t="s">
        <v>269</v>
      </c>
      <c r="E1081" s="39">
        <v>45799</v>
      </c>
      <c r="F1081" s="3" t="s">
        <v>186</v>
      </c>
      <c r="G1081" s="3" t="s">
        <v>122</v>
      </c>
      <c r="H1081" s="3">
        <v>2011</v>
      </c>
      <c r="I1081" s="89" t="s">
        <v>108</v>
      </c>
      <c r="J1081" s="215" t="s">
        <v>123</v>
      </c>
      <c r="K1081" s="3">
        <v>166.5</v>
      </c>
      <c r="L1081" s="3">
        <v>166.5</v>
      </c>
      <c r="M1081" s="3"/>
      <c r="N1081" s="3">
        <v>86.3</v>
      </c>
      <c r="O1081" s="3"/>
      <c r="P1081" s="3" t="s">
        <v>352</v>
      </c>
      <c r="Q1081" s="3">
        <v>51.5</v>
      </c>
      <c r="R1081" s="3">
        <v>51.5</v>
      </c>
      <c r="S1081" s="3"/>
      <c r="T1081" s="42">
        <v>166.5</v>
      </c>
      <c r="U1081" s="42">
        <v>86.3</v>
      </c>
      <c r="V1081" s="199">
        <f>paper3[[#This Row],[height]]-paper3[[#This Row],[sittingheight]]</f>
        <v>80.2</v>
      </c>
      <c r="W1081" s="73">
        <v>51.5</v>
      </c>
      <c r="X1081" s="43" cm="1">
        <f t="array" ref="X1081">INDEX([1]!phvny[yphv], MATCH(1, (paper3[[#This Row],[id]]=[1]!phvny[id])*(paper3[[#This Row],[time]]=[1]!phvny[time]), 0))</f>
        <v>0.16710375438138192</v>
      </c>
      <c r="Y1081" s="192">
        <v>1.859</v>
      </c>
      <c r="Z1081" s="3">
        <v>3.415</v>
      </c>
      <c r="AA1081" s="192">
        <v>4.9160000000000004</v>
      </c>
      <c r="AB1081" s="3">
        <v>1.85</v>
      </c>
      <c r="AC1081" s="3">
        <v>3.452</v>
      </c>
      <c r="AD1081" s="3">
        <v>4.9989999999999997</v>
      </c>
      <c r="AE1081" s="3">
        <v>1.8939999999999999</v>
      </c>
      <c r="AF1081" s="3">
        <v>3.476</v>
      </c>
      <c r="AG1081" s="3">
        <v>4.992</v>
      </c>
      <c r="AH1081" s="194">
        <f t="shared" si="26"/>
        <v>1.85</v>
      </c>
      <c r="AI1081" s="194">
        <f t="shared" si="26"/>
        <v>3.415</v>
      </c>
      <c r="AJ1081" s="194">
        <f t="shared" si="26"/>
        <v>4.9160000000000004</v>
      </c>
      <c r="AK1081" s="130"/>
      <c r="AL1081" s="203">
        <v>10.199999999999999</v>
      </c>
      <c r="AM1081" s="203">
        <v>10.61</v>
      </c>
      <c r="AN1081" s="3">
        <v>10.99</v>
      </c>
      <c r="AO1081" s="3">
        <v>10.81</v>
      </c>
      <c r="AP1081" s="137"/>
      <c r="AQ1081" s="132">
        <v>10.199999999999999</v>
      </c>
      <c r="AR1081" s="132">
        <v>10.81</v>
      </c>
      <c r="AS1081" s="3">
        <v>22.8</v>
      </c>
      <c r="AT1081" s="3">
        <v>23.2</v>
      </c>
      <c r="AU1081" s="3">
        <v>22.3</v>
      </c>
      <c r="AV1081" s="3"/>
      <c r="AW1081" s="192"/>
      <c r="AX1081" s="133">
        <v>23.2</v>
      </c>
      <c r="AY1081" s="195" t="s">
        <v>346</v>
      </c>
      <c r="AZ1081" s="40">
        <v>9</v>
      </c>
      <c r="BA1081" s="40"/>
      <c r="BB1081" s="40"/>
      <c r="BC1081" s="40"/>
      <c r="BD1081" s="135"/>
      <c r="BE1081" s="135"/>
      <c r="BF1081" s="40"/>
      <c r="BG1081" s="213"/>
      <c r="BH1081" s="135"/>
      <c r="BI1081" s="49"/>
      <c r="BJ1081" s="49"/>
      <c r="BK1081" s="66"/>
      <c r="BL1081" s="66"/>
      <c r="BM1081" s="51"/>
      <c r="BN1081" s="51"/>
      <c r="BO1081" s="136"/>
      <c r="BP1081" s="40"/>
      <c r="BQ1081" s="40"/>
      <c r="BR1081" s="67"/>
      <c r="BS1081" s="54"/>
      <c r="BT1081" s="3"/>
      <c r="BU1081" s="3"/>
      <c r="BV1081" s="3"/>
      <c r="BW1081" s="3"/>
      <c r="BX1081" s="70"/>
      <c r="BY1081" s="70"/>
      <c r="BZ1081" s="59"/>
      <c r="CA1081" s="59"/>
      <c r="CB1081" s="59"/>
      <c r="CC1081" s="59"/>
      <c r="CD1081" s="60"/>
      <c r="CE1081" s="60"/>
      <c r="CF1081" s="61"/>
      <c r="CG1081" s="61"/>
      <c r="CH1081" s="61"/>
      <c r="CI1081" s="41">
        <v>14.5</v>
      </c>
      <c r="CJ1081" s="40">
        <f t="shared" si="25"/>
        <v>640</v>
      </c>
      <c r="CK1081" s="3"/>
      <c r="CL1081" s="62"/>
      <c r="CM1081" s="63"/>
      <c r="CN1081" s="3"/>
      <c r="CO1081" s="3"/>
      <c r="CP1081" s="41">
        <f>_xlfn.MAXIFS([1]!phvny[age],[1]!phvny[id],paper3[[#This Row],[id]],[1]!phvny[time],paper3[[#This Row],[time]])</f>
        <v>13.936111111111112</v>
      </c>
      <c r="CQ1081" s="3"/>
      <c r="CR1081" s="40"/>
      <c r="CS1081" s="40"/>
      <c r="CT1081" s="40"/>
      <c r="CU1081" s="40"/>
      <c r="CV1081" s="40"/>
      <c r="CW1081" s="40"/>
      <c r="CX1081" s="40"/>
      <c r="CY1081" s="40"/>
    </row>
    <row r="1082" spans="1:103" ht="18.75">
      <c r="A1082" s="3">
        <v>2200</v>
      </c>
      <c r="B1082" s="92" t="s">
        <v>199</v>
      </c>
      <c r="C1082" s="3"/>
      <c r="D1082" s="3" t="s">
        <v>269</v>
      </c>
      <c r="E1082" s="39">
        <v>45799</v>
      </c>
      <c r="F1082" s="3" t="s">
        <v>186</v>
      </c>
      <c r="G1082" s="3" t="s">
        <v>122</v>
      </c>
      <c r="H1082" s="3">
        <v>2011</v>
      </c>
      <c r="I1082" s="89" t="s">
        <v>108</v>
      </c>
      <c r="J1082" s="215" t="s">
        <v>123</v>
      </c>
      <c r="K1082" s="3">
        <v>167.2</v>
      </c>
      <c r="L1082" s="3">
        <v>167.4</v>
      </c>
      <c r="M1082" s="3"/>
      <c r="N1082" s="3">
        <v>84.2</v>
      </c>
      <c r="O1082" s="3"/>
      <c r="P1082" s="3" t="s">
        <v>353</v>
      </c>
      <c r="Q1082" s="3">
        <v>54.2</v>
      </c>
      <c r="R1082" s="3">
        <v>54.2</v>
      </c>
      <c r="S1082" s="3"/>
      <c r="T1082" s="42">
        <v>167.3</v>
      </c>
      <c r="U1082" s="42">
        <v>84.2</v>
      </c>
      <c r="V1082" s="199">
        <f>paper3[[#This Row],[height]]-paper3[[#This Row],[sittingheight]]</f>
        <v>83.100000000000009</v>
      </c>
      <c r="W1082" s="73">
        <v>54.2</v>
      </c>
      <c r="X1082" s="43" cm="1">
        <f t="array" ref="X1082">INDEX([1]!phvny[yphv], MATCH(1, (paper3[[#This Row],[id]]=[1]!phvny[id])*(paper3[[#This Row],[time]]=[1]!phvny[time]), 0))</f>
        <v>0.15666153714415165</v>
      </c>
      <c r="Y1082" s="192">
        <v>1.6739999999999999</v>
      </c>
      <c r="Z1082" s="3">
        <v>3.0379999999999998</v>
      </c>
      <c r="AA1082" s="192">
        <v>4.3650000000000002</v>
      </c>
      <c r="AB1082" s="3">
        <v>1.675</v>
      </c>
      <c r="AC1082" s="3">
        <v>3.0870000000000002</v>
      </c>
      <c r="AD1082" s="3">
        <v>4.4290000000000003</v>
      </c>
      <c r="AE1082" s="3">
        <v>1.708</v>
      </c>
      <c r="AF1082" s="3">
        <v>3.1269999999999998</v>
      </c>
      <c r="AG1082" s="3">
        <v>4.4770000000000003</v>
      </c>
      <c r="AH1082" s="194">
        <f t="shared" si="26"/>
        <v>1.6739999999999999</v>
      </c>
      <c r="AI1082" s="194">
        <f t="shared" si="26"/>
        <v>3.0379999999999998</v>
      </c>
      <c r="AJ1082" s="194">
        <f t="shared" si="26"/>
        <v>4.3650000000000002</v>
      </c>
      <c r="AK1082" s="130"/>
      <c r="AL1082" s="203">
        <v>9.6</v>
      </c>
      <c r="AM1082" s="203">
        <v>9.24</v>
      </c>
      <c r="AN1082" s="3">
        <v>9.84</v>
      </c>
      <c r="AO1082" s="3">
        <v>9.7899999999999991</v>
      </c>
      <c r="AP1082" s="137"/>
      <c r="AQ1082" s="132">
        <v>9.24</v>
      </c>
      <c r="AR1082" s="132">
        <v>9.7899999999999991</v>
      </c>
      <c r="AS1082" s="3">
        <v>34.9</v>
      </c>
      <c r="AT1082" s="3">
        <v>35.6</v>
      </c>
      <c r="AU1082" s="3">
        <v>33.700000000000003</v>
      </c>
      <c r="AV1082" s="3"/>
      <c r="AW1082" s="192"/>
      <c r="AX1082" s="133">
        <v>35.6</v>
      </c>
      <c r="AY1082" s="195" t="s">
        <v>346</v>
      </c>
      <c r="AZ1082" s="40">
        <v>10</v>
      </c>
      <c r="BA1082" s="40"/>
      <c r="BB1082" s="40"/>
      <c r="BC1082" s="40"/>
      <c r="BD1082" s="135"/>
      <c r="BE1082" s="135"/>
      <c r="BF1082" s="40"/>
      <c r="BG1082" s="213"/>
      <c r="BH1082" s="135"/>
      <c r="BI1082" s="49"/>
      <c r="BJ1082" s="49"/>
      <c r="BK1082" s="66"/>
      <c r="BL1082" s="66"/>
      <c r="BM1082" s="51"/>
      <c r="BN1082" s="51"/>
      <c r="BO1082" s="136"/>
      <c r="BP1082" s="40"/>
      <c r="BQ1082" s="40"/>
      <c r="BR1082" s="67"/>
      <c r="BS1082" s="54"/>
      <c r="BT1082" s="3"/>
      <c r="BU1082" s="3"/>
      <c r="BV1082" s="3"/>
      <c r="BW1082" s="3"/>
      <c r="BX1082" s="70"/>
      <c r="BY1082" s="70"/>
      <c r="BZ1082" s="59"/>
      <c r="CA1082" s="59"/>
      <c r="CB1082" s="59"/>
      <c r="CC1082" s="59"/>
      <c r="CD1082" s="60"/>
      <c r="CE1082" s="60"/>
      <c r="CF1082" s="61"/>
      <c r="CG1082" s="61"/>
      <c r="CH1082" s="61"/>
      <c r="CI1082" s="41">
        <v>17.5</v>
      </c>
      <c r="CJ1082" s="40">
        <f t="shared" si="25"/>
        <v>1600</v>
      </c>
      <c r="CK1082" s="3"/>
      <c r="CL1082" s="62"/>
      <c r="CM1082" s="63"/>
      <c r="CN1082" s="3"/>
      <c r="CO1082" s="3"/>
      <c r="CP1082" s="41">
        <f>_xlfn.MAXIFS([1]!phvny[age],[1]!phvny[id],paper3[[#This Row],[id]],[1]!phvny[time],paper3[[#This Row],[time]])</f>
        <v>14.391666666666667</v>
      </c>
      <c r="CQ1082" s="3"/>
      <c r="CR1082" s="40"/>
      <c r="CS1082" s="40"/>
      <c r="CT1082" s="40"/>
      <c r="CU1082" s="40"/>
      <c r="CV1082" s="40"/>
      <c r="CW1082" s="40"/>
      <c r="CX1082" s="40"/>
      <c r="CY1082" s="40"/>
    </row>
    <row r="1083" spans="1:103" ht="18.75">
      <c r="A1083" s="3">
        <v>4021</v>
      </c>
      <c r="B1083" s="92" t="s">
        <v>199</v>
      </c>
      <c r="C1083" s="3" t="s">
        <v>104</v>
      </c>
      <c r="D1083" s="3" t="s">
        <v>269</v>
      </c>
      <c r="E1083" s="39">
        <v>45803</v>
      </c>
      <c r="F1083" s="3" t="s">
        <v>186</v>
      </c>
      <c r="G1083" s="3" t="s">
        <v>107</v>
      </c>
      <c r="H1083" s="3">
        <v>2008</v>
      </c>
      <c r="I1083" s="40" t="str">
        <f t="shared" ref="I1083:I1086" si="27">RIGHT(J1083,3)</f>
        <v>U16</v>
      </c>
      <c r="J1083" s="40" t="s">
        <v>117</v>
      </c>
      <c r="K1083" s="3">
        <v>161</v>
      </c>
      <c r="L1083" s="3">
        <v>161.1</v>
      </c>
      <c r="M1083" s="3"/>
      <c r="N1083" s="3">
        <v>86.5</v>
      </c>
      <c r="O1083" s="3"/>
      <c r="P1083" s="3" t="s">
        <v>321</v>
      </c>
      <c r="Q1083" s="3">
        <v>62</v>
      </c>
      <c r="R1083" s="3">
        <v>62</v>
      </c>
      <c r="S1083" s="3"/>
      <c r="T1083" s="42">
        <v>161.05000000000001</v>
      </c>
      <c r="U1083" s="42">
        <v>86.5</v>
      </c>
      <c r="V1083" s="199">
        <f>paper3[[#This Row],[height]]-paper3[[#This Row],[sittingheight]]</f>
        <v>74.550000000000011</v>
      </c>
      <c r="W1083" s="73">
        <v>62</v>
      </c>
      <c r="X1083" s="43" cm="1">
        <f t="array" ref="X1083">INDEX([1]!phvny[yphv], MATCH(1, (paper3[[#This Row],[id]]=[1]!phvny[id])*(paper3[[#This Row],[time]]=[1]!phvny[time]), 0))</f>
        <v>3.3386190436272383</v>
      </c>
      <c r="Y1083" s="192">
        <v>1.893</v>
      </c>
      <c r="Z1083" s="3">
        <v>3.4209999999999998</v>
      </c>
      <c r="AA1083" s="192">
        <v>4.8849999999999998</v>
      </c>
      <c r="AB1083" s="3">
        <v>1.893</v>
      </c>
      <c r="AC1083" s="3">
        <v>3.4660000000000002</v>
      </c>
      <c r="AD1083" s="3">
        <v>4.9340000000000002</v>
      </c>
      <c r="AE1083" s="3">
        <v>1.9159999999999999</v>
      </c>
      <c r="AF1083" s="3">
        <v>3.4729999999999999</v>
      </c>
      <c r="AG1083" s="3">
        <v>4.9279999999999999</v>
      </c>
      <c r="AH1083" s="194">
        <v>1.893</v>
      </c>
      <c r="AI1083" s="193">
        <v>3.4209999999999998</v>
      </c>
      <c r="AJ1083" s="194">
        <v>4.8849999999999998</v>
      </c>
      <c r="AK1083" s="130"/>
      <c r="AL1083" s="203">
        <v>10.8</v>
      </c>
      <c r="AM1083" s="203">
        <v>10.66</v>
      </c>
      <c r="AN1083" s="3">
        <v>10.74</v>
      </c>
      <c r="AO1083" s="3">
        <v>10.65</v>
      </c>
      <c r="AP1083" s="137"/>
      <c r="AQ1083" s="132">
        <v>10.66</v>
      </c>
      <c r="AR1083" s="132">
        <v>10.65</v>
      </c>
      <c r="AS1083" s="3">
        <v>23.7</v>
      </c>
      <c r="AT1083" s="3">
        <v>21.7</v>
      </c>
      <c r="AU1083" s="3">
        <v>19.5</v>
      </c>
      <c r="AV1083" s="3"/>
      <c r="AW1083" s="192"/>
      <c r="AX1083" s="133">
        <v>23.7</v>
      </c>
      <c r="AY1083" s="195" t="s">
        <v>307</v>
      </c>
      <c r="AZ1083" s="40">
        <v>8</v>
      </c>
      <c r="BA1083" s="40"/>
      <c r="BB1083" s="40"/>
      <c r="BC1083" s="40"/>
      <c r="BD1083" s="135">
        <v>1215.7368205684838</v>
      </c>
      <c r="BE1083" s="135">
        <v>1240.8762259311516</v>
      </c>
      <c r="BF1083" s="40"/>
      <c r="BG1083" s="213">
        <v>475.82632094893756</v>
      </c>
      <c r="BH1083" s="135">
        <v>492.51116108518488</v>
      </c>
      <c r="BI1083" s="49">
        <f>IFERROR(SUM(paper3[[#This Row],[Kraft ikke-dominant]:[Kraft dominant]]),"")</f>
        <v>2456.6130464996354</v>
      </c>
      <c r="BJ1083" s="49">
        <f>IFERROR(SUM(paper3[[#This Row],[Pwr ikke-dominant]:[Pwr dominant]]),"")</f>
        <v>968.33748203412244</v>
      </c>
      <c r="BK1083" s="66"/>
      <c r="BL1083" s="66"/>
      <c r="BM1083" s="51">
        <f>IFERROR(paper3[[#This Row],[totforce]]/paper3[[#This Row],[bodymass]],"")</f>
        <v>39.622791072574763</v>
      </c>
      <c r="BN1083" s="51">
        <f>IFERROR(paper3[[#This Row],[totpwr]]/paper3[[#This Row],[bodymass]],"")</f>
        <v>15.61834648442133</v>
      </c>
      <c r="BO1083" s="136"/>
      <c r="BP1083" s="40"/>
      <c r="BQ1083" s="40"/>
      <c r="BR1083" s="67"/>
      <c r="BS1083" s="54"/>
      <c r="BT1083" s="3"/>
      <c r="BU1083" s="3"/>
      <c r="BV1083" s="3"/>
      <c r="BW1083" s="3"/>
      <c r="BX1083" s="70"/>
      <c r="BY1083" s="70"/>
      <c r="BZ1083" s="59"/>
      <c r="CA1083" s="59"/>
      <c r="CB1083" s="59"/>
      <c r="CC1083" s="59"/>
      <c r="CD1083" s="60"/>
      <c r="CE1083" s="60"/>
      <c r="CF1083" s="61"/>
      <c r="CG1083" s="61"/>
      <c r="CH1083" s="61"/>
      <c r="CI1083" s="41">
        <v>14.5</v>
      </c>
      <c r="CJ1083" s="40">
        <f t="shared" si="25"/>
        <v>640</v>
      </c>
      <c r="CK1083" s="3"/>
      <c r="CL1083" s="62"/>
      <c r="CM1083" s="63"/>
      <c r="CN1083" s="3"/>
      <c r="CO1083" s="3"/>
      <c r="CP1083" s="41">
        <f>_xlfn.MAXIFS([1]!phvny[age],[1]!phvny[id],paper3[[#This Row],[id]],[1]!phvny[time],paper3[[#This Row],[time]])</f>
        <v>16.927777777777777</v>
      </c>
      <c r="CQ1083" s="3"/>
      <c r="CR1083" s="40"/>
      <c r="CS1083" s="40"/>
      <c r="CT1083" s="40"/>
      <c r="CU1083" s="40"/>
      <c r="CV1083" s="40"/>
      <c r="CW1083" s="40"/>
      <c r="CX1083" s="40"/>
      <c r="CY1083" s="40"/>
    </row>
    <row r="1084" spans="1:103" ht="18.75">
      <c r="A1084" s="3">
        <v>4022</v>
      </c>
      <c r="B1084" s="92" t="s">
        <v>199</v>
      </c>
      <c r="C1084" s="3" t="s">
        <v>104</v>
      </c>
      <c r="D1084" s="3" t="s">
        <v>269</v>
      </c>
      <c r="E1084" s="39">
        <v>45803</v>
      </c>
      <c r="F1084" s="3" t="s">
        <v>186</v>
      </c>
      <c r="G1084" s="3" t="s">
        <v>107</v>
      </c>
      <c r="H1084" s="3">
        <v>2008</v>
      </c>
      <c r="I1084" s="40" t="str">
        <f t="shared" si="27"/>
        <v>U16</v>
      </c>
      <c r="J1084" s="40" t="s">
        <v>117</v>
      </c>
      <c r="K1084" s="3">
        <v>177.7</v>
      </c>
      <c r="L1084" s="3">
        <v>177.7</v>
      </c>
      <c r="M1084" s="3"/>
      <c r="N1084" s="3">
        <v>95.3</v>
      </c>
      <c r="O1084" s="3"/>
      <c r="P1084" s="3" t="s">
        <v>354</v>
      </c>
      <c r="Q1084" s="3">
        <v>73.2</v>
      </c>
      <c r="R1084" s="3">
        <v>73.2</v>
      </c>
      <c r="S1084" s="3"/>
      <c r="T1084" s="42">
        <v>177.7</v>
      </c>
      <c r="U1084" s="42">
        <v>95.3</v>
      </c>
      <c r="V1084" s="199">
        <f>paper3[[#This Row],[height]]-paper3[[#This Row],[sittingheight]]</f>
        <v>82.399999999999991</v>
      </c>
      <c r="W1084" s="73">
        <v>73.2</v>
      </c>
      <c r="X1084" s="43" cm="1">
        <f t="array" ref="X1084">INDEX([1]!phvny[yphv], MATCH(1, (paper3[[#This Row],[id]]=[1]!phvny[id])*(paper3[[#This Row],[time]]=[1]!phvny[time]), 0))</f>
        <v>4.4627298407238793</v>
      </c>
      <c r="Y1084" s="192">
        <v>1.7470000000000001</v>
      </c>
      <c r="Z1084" s="3">
        <v>3.2010000000000001</v>
      </c>
      <c r="AA1084" s="192">
        <v>4.5890000000000004</v>
      </c>
      <c r="AB1084" s="3">
        <v>1.754</v>
      </c>
      <c r="AC1084" s="3">
        <v>3.2349999999999999</v>
      </c>
      <c r="AD1084" s="3">
        <v>4.6399999999999997</v>
      </c>
      <c r="AE1084" s="3">
        <v>1.7490000000000001</v>
      </c>
      <c r="AF1084" s="3">
        <v>3.2</v>
      </c>
      <c r="AG1084" s="3">
        <v>4.6130000000000004</v>
      </c>
      <c r="AH1084" s="194">
        <v>1.7470000000000001</v>
      </c>
      <c r="AI1084" s="193">
        <v>3.2</v>
      </c>
      <c r="AJ1084" s="194">
        <v>4.5890000000000004</v>
      </c>
      <c r="AK1084" s="130"/>
      <c r="AL1084" s="203">
        <v>10.48</v>
      </c>
      <c r="AM1084" s="203">
        <v>10.54</v>
      </c>
      <c r="AN1084" s="3">
        <v>10.81</v>
      </c>
      <c r="AO1084" s="3">
        <v>10.56</v>
      </c>
      <c r="AP1084" s="137"/>
      <c r="AQ1084" s="132">
        <v>10.48</v>
      </c>
      <c r="AR1084" s="132">
        <v>10.56</v>
      </c>
      <c r="AS1084" s="3">
        <v>31.3</v>
      </c>
      <c r="AT1084" s="3">
        <v>31.3</v>
      </c>
      <c r="AU1084" s="3">
        <v>30.5</v>
      </c>
      <c r="AV1084" s="3"/>
      <c r="AW1084" s="192"/>
      <c r="AX1084" s="133">
        <v>31.3</v>
      </c>
      <c r="AY1084" s="195" t="s">
        <v>307</v>
      </c>
      <c r="AZ1084" s="40">
        <v>8</v>
      </c>
      <c r="BA1084" s="40"/>
      <c r="BB1084" s="40"/>
      <c r="BC1084" s="40"/>
      <c r="BD1084" s="135">
        <v>1146.8837238810113</v>
      </c>
      <c r="BE1084" s="135">
        <v>1146.3643453406789</v>
      </c>
      <c r="BF1084" s="40"/>
      <c r="BG1084" s="213">
        <v>613.62995998942552</v>
      </c>
      <c r="BH1084" s="135">
        <v>602.65914422352625</v>
      </c>
      <c r="BI1084" s="49">
        <f>IFERROR(SUM(paper3[[#This Row],[Kraft ikke-dominant]:[Kraft dominant]]),"")</f>
        <v>2293.2480692216905</v>
      </c>
      <c r="BJ1084" s="49">
        <f>IFERROR(SUM(paper3[[#This Row],[Pwr ikke-dominant]:[Pwr dominant]]),"")</f>
        <v>1216.2891042129518</v>
      </c>
      <c r="BK1084" s="66"/>
      <c r="BL1084" s="66"/>
      <c r="BM1084" s="51">
        <f>IFERROR(paper3[[#This Row],[totforce]]/paper3[[#This Row],[bodymass]],"")</f>
        <v>31.328525535815441</v>
      </c>
      <c r="BN1084" s="51">
        <f>IFERROR(paper3[[#This Row],[totpwr]]/paper3[[#This Row],[bodymass]],"")</f>
        <v>16.615971369029396</v>
      </c>
      <c r="BO1084" s="136"/>
      <c r="BP1084" s="40"/>
      <c r="BQ1084" s="40"/>
      <c r="BR1084" s="67"/>
      <c r="BS1084" s="54"/>
      <c r="BT1084" s="3"/>
      <c r="BU1084" s="3"/>
      <c r="BV1084" s="3"/>
      <c r="BW1084" s="3"/>
      <c r="BX1084" s="70"/>
      <c r="BY1084" s="70"/>
      <c r="BZ1084" s="59"/>
      <c r="CA1084" s="59"/>
      <c r="CB1084" s="59"/>
      <c r="CC1084" s="59"/>
      <c r="CD1084" s="60"/>
      <c r="CE1084" s="60"/>
      <c r="CF1084" s="61"/>
      <c r="CG1084" s="61"/>
      <c r="CH1084" s="61"/>
      <c r="CI1084" s="41">
        <v>14.2</v>
      </c>
      <c r="CJ1084" s="40">
        <f t="shared" si="25"/>
        <v>520</v>
      </c>
      <c r="CK1084" s="3"/>
      <c r="CL1084" s="62"/>
      <c r="CM1084" s="63"/>
      <c r="CN1084" s="3"/>
      <c r="CO1084" s="3"/>
      <c r="CP1084" s="41">
        <f>_xlfn.MAXIFS([1]!phvny[age],[1]!phvny[id],paper3[[#This Row],[id]],[1]!phvny[time],paper3[[#This Row],[time]])</f>
        <v>16.916666666666668</v>
      </c>
      <c r="CQ1084" s="3"/>
      <c r="CR1084" s="40"/>
      <c r="CS1084" s="40"/>
      <c r="CT1084" s="40"/>
      <c r="CU1084" s="40"/>
      <c r="CV1084" s="40"/>
      <c r="CW1084" s="40"/>
      <c r="CX1084" s="40"/>
      <c r="CY1084" s="40"/>
    </row>
    <row r="1085" spans="1:103" ht="18.75">
      <c r="A1085" s="3">
        <v>4023</v>
      </c>
      <c r="B1085" s="92" t="s">
        <v>199</v>
      </c>
      <c r="C1085" s="3" t="s">
        <v>104</v>
      </c>
      <c r="D1085" s="3" t="s">
        <v>269</v>
      </c>
      <c r="E1085" s="39">
        <v>45803</v>
      </c>
      <c r="F1085" s="3" t="s">
        <v>186</v>
      </c>
      <c r="G1085" s="3" t="s">
        <v>107</v>
      </c>
      <c r="H1085" s="3">
        <v>2008</v>
      </c>
      <c r="I1085" s="40" t="str">
        <f t="shared" si="27"/>
        <v>U16</v>
      </c>
      <c r="J1085" s="40" t="s">
        <v>117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42"/>
      <c r="U1085" s="42"/>
      <c r="V1085" s="199"/>
      <c r="W1085" s="73"/>
      <c r="X1085" s="43"/>
      <c r="Y1085" s="192"/>
      <c r="Z1085" s="3"/>
      <c r="AA1085" s="192"/>
      <c r="AB1085" s="3"/>
      <c r="AC1085" s="3"/>
      <c r="AD1085" s="3"/>
      <c r="AE1085" s="3"/>
      <c r="AF1085" s="3"/>
      <c r="AG1085" s="3"/>
      <c r="AH1085" s="194"/>
      <c r="AI1085" s="193"/>
      <c r="AJ1085" s="194"/>
      <c r="AK1085" s="130"/>
      <c r="AL1085" s="203">
        <v>10.14</v>
      </c>
      <c r="AM1085" s="203">
        <v>9.99</v>
      </c>
      <c r="AN1085" s="3">
        <v>10.63</v>
      </c>
      <c r="AO1085" s="3">
        <v>10.72</v>
      </c>
      <c r="AP1085" s="137"/>
      <c r="AQ1085" s="132">
        <v>9.99</v>
      </c>
      <c r="AR1085" s="132">
        <v>10.63</v>
      </c>
      <c r="AS1085" s="3"/>
      <c r="AT1085" s="3"/>
      <c r="AU1085" s="3"/>
      <c r="AV1085" s="3"/>
      <c r="AW1085" s="192"/>
      <c r="AX1085" s="133"/>
      <c r="AY1085" s="195"/>
      <c r="AZ1085" s="40"/>
      <c r="BA1085" s="40"/>
      <c r="BB1085" s="40"/>
      <c r="BC1085" s="40"/>
      <c r="BD1085" s="135"/>
      <c r="BE1085" s="135"/>
      <c r="BF1085" s="40"/>
      <c r="BG1085" s="135"/>
      <c r="BH1085" s="135"/>
      <c r="BI1085" s="49"/>
      <c r="BJ1085" s="49"/>
      <c r="BK1085" s="66"/>
      <c r="BL1085" s="66"/>
      <c r="BM1085" s="51"/>
      <c r="BN1085" s="51"/>
      <c r="BO1085" s="136"/>
      <c r="BP1085" s="40"/>
      <c r="BQ1085" s="40"/>
      <c r="BR1085" s="67"/>
      <c r="BS1085" s="54"/>
      <c r="BT1085" s="3"/>
      <c r="BU1085" s="3"/>
      <c r="BV1085" s="3"/>
      <c r="BW1085" s="3"/>
      <c r="BX1085" s="70"/>
      <c r="BY1085" s="70"/>
      <c r="BZ1085" s="59"/>
      <c r="CA1085" s="59"/>
      <c r="CB1085" s="59"/>
      <c r="CC1085" s="59"/>
      <c r="CD1085" s="60"/>
      <c r="CE1085" s="60"/>
      <c r="CF1085" s="61"/>
      <c r="CG1085" s="61"/>
      <c r="CH1085" s="61"/>
      <c r="CI1085" s="41">
        <v>14.3</v>
      </c>
      <c r="CJ1085" s="40">
        <f t="shared" si="25"/>
        <v>560</v>
      </c>
      <c r="CK1085" s="3"/>
      <c r="CL1085" s="62"/>
      <c r="CM1085" s="63"/>
      <c r="CN1085" s="3"/>
      <c r="CO1085" s="3"/>
      <c r="CP1085" s="41"/>
      <c r="CQ1085" s="3"/>
      <c r="CR1085" s="40"/>
      <c r="CS1085" s="40"/>
      <c r="CT1085" s="40"/>
      <c r="CU1085" s="40"/>
      <c r="CV1085" s="40"/>
      <c r="CW1085" s="40"/>
      <c r="CX1085" s="40"/>
      <c r="CY1085" s="40"/>
    </row>
    <row r="1086" spans="1:103" ht="18.75">
      <c r="A1086" s="3">
        <v>4024</v>
      </c>
      <c r="B1086" s="92" t="s">
        <v>199</v>
      </c>
      <c r="C1086" s="3" t="s">
        <v>104</v>
      </c>
      <c r="D1086" s="3" t="s">
        <v>269</v>
      </c>
      <c r="E1086" s="39">
        <v>45803</v>
      </c>
      <c r="F1086" s="3" t="s">
        <v>186</v>
      </c>
      <c r="G1086" s="3" t="s">
        <v>107</v>
      </c>
      <c r="H1086" s="3">
        <v>2008</v>
      </c>
      <c r="I1086" s="40" t="str">
        <f t="shared" si="27"/>
        <v>U16</v>
      </c>
      <c r="J1086" s="40" t="s">
        <v>117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42"/>
      <c r="U1086" s="42"/>
      <c r="V1086" s="199"/>
      <c r="W1086" s="73"/>
      <c r="X1086" s="43"/>
      <c r="Y1086" s="192"/>
      <c r="Z1086" s="3"/>
      <c r="AA1086" s="192"/>
      <c r="AB1086" s="3"/>
      <c r="AC1086" s="3"/>
      <c r="AD1086" s="3"/>
      <c r="AE1086" s="3"/>
      <c r="AF1086" s="3"/>
      <c r="AG1086" s="3"/>
      <c r="AH1086" s="194"/>
      <c r="AI1086" s="193"/>
      <c r="AJ1086" s="194"/>
      <c r="AK1086" s="130"/>
      <c r="AL1086" s="203"/>
      <c r="AM1086" s="203"/>
      <c r="AN1086" s="3"/>
      <c r="AO1086" s="3"/>
      <c r="AP1086" s="137"/>
      <c r="AQ1086" s="132"/>
      <c r="AR1086" s="132"/>
      <c r="AS1086" s="3"/>
      <c r="AT1086" s="3"/>
      <c r="AU1086" s="3"/>
      <c r="AV1086" s="3"/>
      <c r="AW1086" s="192"/>
      <c r="AX1086" s="133"/>
      <c r="AY1086" s="195"/>
      <c r="AZ1086" s="40"/>
      <c r="BA1086" s="40"/>
      <c r="BB1086" s="40"/>
      <c r="BC1086" s="40"/>
      <c r="BD1086" s="135"/>
      <c r="BE1086" s="135"/>
      <c r="BF1086" s="40"/>
      <c r="BG1086" s="135"/>
      <c r="BH1086" s="135"/>
      <c r="BI1086" s="49"/>
      <c r="BJ1086" s="49"/>
      <c r="BK1086" s="66"/>
      <c r="BL1086" s="66"/>
      <c r="BM1086" s="51"/>
      <c r="BN1086" s="51"/>
      <c r="BO1086" s="136"/>
      <c r="BP1086" s="40"/>
      <c r="BQ1086" s="40"/>
      <c r="BR1086" s="67"/>
      <c r="BS1086" s="54"/>
      <c r="BT1086" s="3"/>
      <c r="BU1086" s="3"/>
      <c r="BV1086" s="3"/>
      <c r="BW1086" s="3"/>
      <c r="BX1086" s="70"/>
      <c r="BY1086" s="70"/>
      <c r="BZ1086" s="59"/>
      <c r="CA1086" s="59"/>
      <c r="CB1086" s="59"/>
      <c r="CC1086" s="59"/>
      <c r="CD1086" s="60"/>
      <c r="CE1086" s="60"/>
      <c r="CF1086" s="61"/>
      <c r="CG1086" s="61"/>
      <c r="CH1086" s="61"/>
      <c r="CI1086" s="41"/>
      <c r="CJ1086" s="40"/>
      <c r="CK1086" s="3"/>
      <c r="CL1086" s="62"/>
      <c r="CM1086" s="63"/>
      <c r="CN1086" s="3"/>
      <c r="CO1086" s="3"/>
      <c r="CP1086" s="41"/>
      <c r="CQ1086" s="3"/>
      <c r="CR1086" s="40"/>
      <c r="CS1086" s="40"/>
      <c r="CT1086" s="40"/>
      <c r="CU1086" s="40"/>
      <c r="CV1086" s="40"/>
      <c r="CW1086" s="40"/>
      <c r="CX1086" s="40"/>
      <c r="CY1086" s="40"/>
    </row>
    <row r="1087" spans="1:103" ht="18.75">
      <c r="A1087" s="46">
        <v>9100</v>
      </c>
      <c r="B1087" s="92" t="s">
        <v>199</v>
      </c>
      <c r="C1087" s="3"/>
      <c r="D1087" s="90" t="s">
        <v>269</v>
      </c>
      <c r="E1087" s="39">
        <v>45610</v>
      </c>
      <c r="F1087" s="3" t="s">
        <v>106</v>
      </c>
      <c r="G1087" s="3" t="s">
        <v>122</v>
      </c>
      <c r="H1087" s="3">
        <v>2009</v>
      </c>
      <c r="I1087" s="40" t="s">
        <v>108</v>
      </c>
      <c r="J1087" s="40" t="s">
        <v>123</v>
      </c>
      <c r="K1087" s="3">
        <v>171.5</v>
      </c>
      <c r="L1087" s="3">
        <v>171.5</v>
      </c>
      <c r="M1087" s="3"/>
      <c r="N1087" s="3">
        <v>84.3</v>
      </c>
      <c r="O1087" s="3"/>
      <c r="P1087" s="3" t="s">
        <v>355</v>
      </c>
      <c r="Q1087" s="3">
        <v>55.7</v>
      </c>
      <c r="R1087" s="3">
        <v>55.7</v>
      </c>
      <c r="S1087" s="3"/>
      <c r="T1087" s="42">
        <v>171.5</v>
      </c>
      <c r="U1087" s="188">
        <v>84.3</v>
      </c>
      <c r="V1087" s="12">
        <f>paper3[[#This Row],[height]]-paper3[[#This Row],[sittingheight]]</f>
        <v>87.2</v>
      </c>
      <c r="W1087" s="73">
        <v>55.7</v>
      </c>
      <c r="X1087" s="43"/>
      <c r="Y1087" s="192">
        <v>1.69</v>
      </c>
      <c r="Z1087" s="3">
        <v>3.056</v>
      </c>
      <c r="AA1087" s="192">
        <v>4.3659999999999997</v>
      </c>
      <c r="AB1087" s="3">
        <v>1.6719999999999999</v>
      </c>
      <c r="AC1087" s="3">
        <v>3.06</v>
      </c>
      <c r="AD1087" s="3">
        <v>4.383</v>
      </c>
      <c r="AE1087" s="3">
        <v>1.6539999999999999</v>
      </c>
      <c r="AF1087" s="3">
        <v>3.0449999999999999</v>
      </c>
      <c r="AG1087" s="3">
        <v>4.3479999999999999</v>
      </c>
      <c r="AH1087" s="194">
        <v>1.6539999999999999</v>
      </c>
      <c r="AI1087" s="193">
        <v>3.0449999999999999</v>
      </c>
      <c r="AJ1087" s="194">
        <v>4.3479999999999999</v>
      </c>
      <c r="AK1087" s="130"/>
      <c r="AL1087" s="203"/>
      <c r="AM1087" s="203"/>
      <c r="AN1087" s="3"/>
      <c r="AO1087" s="3"/>
      <c r="AP1087" s="137"/>
      <c r="AQ1087" s="132"/>
      <c r="AR1087" s="132"/>
      <c r="AS1087" s="3">
        <v>26</v>
      </c>
      <c r="AT1087" s="3">
        <v>26.4</v>
      </c>
      <c r="AU1087" s="3">
        <v>25.5</v>
      </c>
      <c r="AV1087" s="3"/>
      <c r="AW1087" s="192"/>
      <c r="AX1087" s="133">
        <v>26.4</v>
      </c>
      <c r="AY1087" s="195" t="s">
        <v>307</v>
      </c>
      <c r="AZ1087" s="40">
        <v>8</v>
      </c>
      <c r="BA1087" s="40"/>
      <c r="BB1087" s="40"/>
      <c r="BC1087" s="40"/>
      <c r="BD1087" s="135" t="s">
        <v>110</v>
      </c>
      <c r="BE1087" s="135" t="s">
        <v>110</v>
      </c>
      <c r="BF1087" s="40"/>
      <c r="BG1087" s="135" t="s">
        <v>110</v>
      </c>
      <c r="BH1087" s="135" t="s">
        <v>110</v>
      </c>
      <c r="BI1087" s="49"/>
      <c r="BJ1087" s="49"/>
      <c r="BK1087" s="66"/>
      <c r="BL1087" s="66"/>
      <c r="BM1087" s="51"/>
      <c r="BN1087" s="51" t="s">
        <v>110</v>
      </c>
      <c r="BO1087" s="136"/>
      <c r="BP1087" s="40"/>
      <c r="BQ1087" s="40"/>
      <c r="BR1087" s="67"/>
      <c r="BS1087" s="54"/>
      <c r="BT1087" s="3"/>
      <c r="BU1087" s="3"/>
      <c r="BV1087" s="3"/>
      <c r="BW1087" s="3"/>
      <c r="BX1087" s="70"/>
      <c r="BY1087" s="70"/>
      <c r="BZ1087" s="59"/>
      <c r="CA1087" s="59"/>
      <c r="CB1087" s="59"/>
      <c r="CC1087" s="59"/>
      <c r="CD1087" s="60"/>
      <c r="CE1087" s="60"/>
      <c r="CF1087" s="61"/>
      <c r="CG1087" s="61"/>
      <c r="CH1087" s="61"/>
      <c r="CI1087" s="41"/>
      <c r="CJ1087" s="40"/>
      <c r="CK1087" s="3"/>
      <c r="CL1087" s="62"/>
      <c r="CM1087" s="63"/>
      <c r="CN1087" s="3"/>
      <c r="CO1087" s="3"/>
      <c r="CP1087" s="41">
        <f>_xlfn.MAXIFS([1]!phvny[age],[1]!phvny[id],paper3[[#This Row],[id]],[1]!phvny[time],paper3[[#This Row],[time]])</f>
        <v>15.869444444444444</v>
      </c>
      <c r="CQ1087" s="3"/>
      <c r="CR1087" s="40"/>
      <c r="CS1087" s="40"/>
      <c r="CT1087" s="40"/>
      <c r="CU1087" s="40"/>
      <c r="CV1087" s="40"/>
      <c r="CW1087" s="40"/>
      <c r="CX1087" s="40"/>
      <c r="CY1087" s="40"/>
    </row>
    <row r="1088" spans="1:103" ht="18.75">
      <c r="A1088" s="46">
        <v>9101</v>
      </c>
      <c r="B1088" s="92" t="s">
        <v>199</v>
      </c>
      <c r="C1088" s="3"/>
      <c r="D1088" s="90" t="s">
        <v>269</v>
      </c>
      <c r="E1088" s="39">
        <v>45610</v>
      </c>
      <c r="F1088" s="3" t="s">
        <v>106</v>
      </c>
      <c r="G1088" s="3" t="s">
        <v>122</v>
      </c>
      <c r="H1088" s="3">
        <v>2009</v>
      </c>
      <c r="I1088" s="40" t="s">
        <v>108</v>
      </c>
      <c r="J1088" s="40" t="s">
        <v>123</v>
      </c>
      <c r="K1088" s="3">
        <v>191</v>
      </c>
      <c r="L1088" s="3">
        <v>191</v>
      </c>
      <c r="M1088" s="3"/>
      <c r="N1088" s="3">
        <v>97.2</v>
      </c>
      <c r="O1088" s="3"/>
      <c r="P1088" s="3" t="s">
        <v>356</v>
      </c>
      <c r="Q1088" s="3">
        <v>70.2</v>
      </c>
      <c r="R1088" s="3">
        <v>70.2</v>
      </c>
      <c r="S1088" s="3"/>
      <c r="T1088" s="42">
        <v>191</v>
      </c>
      <c r="U1088" s="188">
        <v>97.2</v>
      </c>
      <c r="V1088" s="12">
        <f>paper3[[#This Row],[height]]-paper3[[#This Row],[sittingheight]]</f>
        <v>93.8</v>
      </c>
      <c r="W1088" s="73">
        <v>70.2</v>
      </c>
      <c r="X1088" s="43"/>
      <c r="Y1088" s="192">
        <v>1.67</v>
      </c>
      <c r="Z1088" s="3">
        <v>3.0289999999999999</v>
      </c>
      <c r="AA1088" s="192">
        <v>4.4020000000000001</v>
      </c>
      <c r="AB1088" s="3">
        <v>1.6919999999999999</v>
      </c>
      <c r="AC1088" s="3">
        <v>3.1139999999999999</v>
      </c>
      <c r="AD1088" s="3">
        <v>4.476</v>
      </c>
      <c r="AE1088" s="3">
        <v>1.714</v>
      </c>
      <c r="AF1088" s="3">
        <v>3.1379999999999999</v>
      </c>
      <c r="AG1088" s="3">
        <v>4.5170000000000003</v>
      </c>
      <c r="AH1088" s="194">
        <v>1.67</v>
      </c>
      <c r="AI1088" s="193">
        <v>3.0289999999999999</v>
      </c>
      <c r="AJ1088" s="194">
        <v>4.4020000000000001</v>
      </c>
      <c r="AK1088" s="130"/>
      <c r="AL1088" s="203">
        <v>9.69</v>
      </c>
      <c r="AM1088" s="203">
        <v>9.86</v>
      </c>
      <c r="AN1088" s="3">
        <v>9.9</v>
      </c>
      <c r="AO1088" s="3">
        <v>9.75</v>
      </c>
      <c r="AP1088" s="137">
        <v>9.69</v>
      </c>
      <c r="AQ1088" s="132"/>
      <c r="AR1088" s="132"/>
      <c r="AS1088" s="3">
        <v>25.7</v>
      </c>
      <c r="AT1088" s="3">
        <v>25.5</v>
      </c>
      <c r="AU1088" s="3">
        <v>24.6</v>
      </c>
      <c r="AV1088" s="3"/>
      <c r="AW1088" s="192"/>
      <c r="AX1088" s="133">
        <v>25.7</v>
      </c>
      <c r="AY1088" s="195" t="s">
        <v>307</v>
      </c>
      <c r="AZ1088" s="40">
        <v>9</v>
      </c>
      <c r="BA1088" s="40"/>
      <c r="BB1088" s="40"/>
      <c r="BC1088" s="40"/>
      <c r="BD1088" s="135" t="s">
        <v>110</v>
      </c>
      <c r="BE1088" s="135" t="s">
        <v>110</v>
      </c>
      <c r="BF1088" s="40"/>
      <c r="BG1088" s="135" t="s">
        <v>110</v>
      </c>
      <c r="BH1088" s="135" t="s">
        <v>110</v>
      </c>
      <c r="BI1088" s="49"/>
      <c r="BJ1088" s="49"/>
      <c r="BK1088" s="66"/>
      <c r="BL1088" s="66"/>
      <c r="BM1088" s="51"/>
      <c r="BN1088" s="51" t="s">
        <v>110</v>
      </c>
      <c r="BO1088" s="136"/>
      <c r="BP1088" s="40"/>
      <c r="BQ1088" s="40"/>
      <c r="BR1088" s="67"/>
      <c r="BS1088" s="54"/>
      <c r="BT1088" s="3"/>
      <c r="BU1088" s="3"/>
      <c r="BV1088" s="3"/>
      <c r="BW1088" s="3"/>
      <c r="BX1088" s="70"/>
      <c r="BY1088" s="70"/>
      <c r="BZ1088" s="59"/>
      <c r="CA1088" s="59"/>
      <c r="CB1088" s="59"/>
      <c r="CC1088" s="59"/>
      <c r="CD1088" s="60"/>
      <c r="CE1088" s="60"/>
      <c r="CF1088" s="61"/>
      <c r="CG1088" s="61"/>
      <c r="CH1088" s="61"/>
      <c r="CI1088" s="41">
        <v>15.5</v>
      </c>
      <c r="CJ1088" s="40">
        <v>960</v>
      </c>
      <c r="CK1088" s="3"/>
      <c r="CL1088" s="62"/>
      <c r="CM1088" s="63"/>
      <c r="CN1088" s="3"/>
      <c r="CO1088" s="3"/>
      <c r="CP1088" s="41">
        <f>_xlfn.MAXIFS([1]!phvny[age],[1]!phvny[id],paper3[[#This Row],[id]],[1]!phvny[time],paper3[[#This Row],[time]])</f>
        <v>15.611111111111111</v>
      </c>
      <c r="CQ1088" s="3"/>
      <c r="CR1088" s="40"/>
      <c r="CS1088" s="40"/>
      <c r="CT1088" s="40"/>
      <c r="CU1088" s="40"/>
      <c r="CV1088" s="40"/>
      <c r="CW1088" s="40"/>
      <c r="CX1088" s="40"/>
      <c r="CY1088" s="40"/>
    </row>
    <row r="1089" spans="1:103" ht="18.75">
      <c r="A1089" s="46">
        <v>9102</v>
      </c>
      <c r="B1089" s="92" t="s">
        <v>199</v>
      </c>
      <c r="C1089" s="3"/>
      <c r="D1089" s="90" t="s">
        <v>269</v>
      </c>
      <c r="E1089" s="39">
        <v>45610</v>
      </c>
      <c r="F1089" s="3" t="s">
        <v>106</v>
      </c>
      <c r="G1089" s="3" t="s">
        <v>122</v>
      </c>
      <c r="H1089" s="3">
        <v>2009</v>
      </c>
      <c r="I1089" s="40" t="s">
        <v>108</v>
      </c>
      <c r="J1089" s="40" t="s">
        <v>123</v>
      </c>
      <c r="K1089" s="3">
        <v>180.5</v>
      </c>
      <c r="L1089" s="3">
        <v>180.5</v>
      </c>
      <c r="M1089" s="3"/>
      <c r="N1089" s="3">
        <v>95.3</v>
      </c>
      <c r="O1089" s="3"/>
      <c r="P1089" s="3" t="s">
        <v>354</v>
      </c>
      <c r="Q1089" s="3">
        <v>69</v>
      </c>
      <c r="R1089" s="3">
        <v>69</v>
      </c>
      <c r="S1089" s="3"/>
      <c r="T1089" s="42">
        <v>180.5</v>
      </c>
      <c r="U1089" s="188">
        <v>95.3</v>
      </c>
      <c r="V1089" s="12">
        <f>paper3[[#This Row],[height]]-paper3[[#This Row],[sittingheight]]</f>
        <v>85.2</v>
      </c>
      <c r="W1089" s="73">
        <v>69</v>
      </c>
      <c r="X1089" s="43"/>
      <c r="Y1089" s="192">
        <v>1.518</v>
      </c>
      <c r="Z1089" s="3">
        <v>2.798</v>
      </c>
      <c r="AA1089" s="192">
        <v>3.9969999999999999</v>
      </c>
      <c r="AB1089" s="3"/>
      <c r="AC1089" s="3"/>
      <c r="AD1089" s="3"/>
      <c r="AE1089" s="3">
        <v>1.516</v>
      </c>
      <c r="AF1089" s="3">
        <v>2.8730000000000002</v>
      </c>
      <c r="AG1089" s="3">
        <v>4.125</v>
      </c>
      <c r="AH1089" s="194">
        <v>1.516</v>
      </c>
      <c r="AI1089" s="193">
        <v>2.798</v>
      </c>
      <c r="AJ1089" s="194">
        <v>3.9969999999999999</v>
      </c>
      <c r="AK1089" s="130"/>
      <c r="AL1089" s="203">
        <v>10.26</v>
      </c>
      <c r="AM1089" s="203">
        <v>10.07</v>
      </c>
      <c r="AN1089" s="3">
        <v>10.07</v>
      </c>
      <c r="AO1089" s="3">
        <v>9.82</v>
      </c>
      <c r="AP1089" s="137">
        <v>9.82</v>
      </c>
      <c r="AQ1089" s="132"/>
      <c r="AR1089" s="132"/>
      <c r="AS1089" s="3">
        <v>33.299999999999997</v>
      </c>
      <c r="AT1089" s="3">
        <v>31.9</v>
      </c>
      <c r="AU1089" s="3">
        <v>32.799999999999997</v>
      </c>
      <c r="AV1089" s="3"/>
      <c r="AW1089" s="192"/>
      <c r="AX1089" s="133">
        <v>33.299999999999997</v>
      </c>
      <c r="AY1089" s="195" t="s">
        <v>357</v>
      </c>
      <c r="AZ1089" s="40">
        <v>8</v>
      </c>
      <c r="BA1089" s="40"/>
      <c r="BB1089" s="40"/>
      <c r="BC1089" s="40"/>
      <c r="BD1089" s="135" t="s">
        <v>110</v>
      </c>
      <c r="BE1089" s="135" t="s">
        <v>110</v>
      </c>
      <c r="BF1089" s="40"/>
      <c r="BG1089" s="135" t="s">
        <v>110</v>
      </c>
      <c r="BH1089" s="135" t="s">
        <v>110</v>
      </c>
      <c r="BI1089" s="49"/>
      <c r="BJ1089" s="49"/>
      <c r="BK1089" s="66"/>
      <c r="BL1089" s="66"/>
      <c r="BM1089" s="51"/>
      <c r="BN1089" s="51" t="s">
        <v>110</v>
      </c>
      <c r="BO1089" s="136"/>
      <c r="BP1089" s="40"/>
      <c r="BQ1089" s="40"/>
      <c r="BR1089" s="67"/>
      <c r="BS1089" s="54"/>
      <c r="BT1089" s="3"/>
      <c r="BU1089" s="3"/>
      <c r="BV1089" s="3"/>
      <c r="BW1089" s="3"/>
      <c r="BX1089" s="70"/>
      <c r="BY1089" s="70"/>
      <c r="BZ1089" s="59"/>
      <c r="CA1089" s="59"/>
      <c r="CB1089" s="59"/>
      <c r="CC1089" s="59"/>
      <c r="CD1089" s="60"/>
      <c r="CE1089" s="60"/>
      <c r="CF1089" s="61"/>
      <c r="CG1089" s="61"/>
      <c r="CH1089" s="61"/>
      <c r="CI1089" s="41">
        <v>16.100000000000001</v>
      </c>
      <c r="CJ1089" s="40">
        <v>1120</v>
      </c>
      <c r="CK1089" s="3"/>
      <c r="CL1089" s="62"/>
      <c r="CM1089" s="63"/>
      <c r="CN1089" s="3"/>
      <c r="CO1089" s="3"/>
      <c r="CP1089" s="41">
        <f>_xlfn.MAXIFS([1]!phvny[age],[1]!phvny[id],paper3[[#This Row],[id]],[1]!phvny[time],paper3[[#This Row],[time]])</f>
        <v>15.172222222222222</v>
      </c>
      <c r="CQ1089" s="3"/>
      <c r="CR1089" s="40"/>
      <c r="CS1089" s="40"/>
      <c r="CT1089" s="40"/>
      <c r="CU1089" s="40"/>
      <c r="CV1089" s="40"/>
      <c r="CW1089" s="40"/>
      <c r="CX1089" s="40"/>
      <c r="CY1089" s="40"/>
    </row>
    <row r="1090" spans="1:103" ht="18.75">
      <c r="A1090" s="46">
        <v>9103</v>
      </c>
      <c r="B1090" s="92" t="s">
        <v>199</v>
      </c>
      <c r="C1090" s="3"/>
      <c r="D1090" s="90" t="s">
        <v>269</v>
      </c>
      <c r="E1090" s="39">
        <v>45610</v>
      </c>
      <c r="F1090" s="3" t="s">
        <v>106</v>
      </c>
      <c r="G1090" s="3" t="s">
        <v>122</v>
      </c>
      <c r="H1090" s="3">
        <v>2009</v>
      </c>
      <c r="I1090" s="40" t="s">
        <v>108</v>
      </c>
      <c r="J1090" s="40" t="s">
        <v>123</v>
      </c>
      <c r="K1090" s="3">
        <v>178.4</v>
      </c>
      <c r="L1090" s="3">
        <v>178.4</v>
      </c>
      <c r="M1090" s="3"/>
      <c r="N1090" s="3">
        <v>93.3</v>
      </c>
      <c r="O1090" s="3"/>
      <c r="P1090" s="3" t="s">
        <v>297</v>
      </c>
      <c r="Q1090" s="3">
        <v>67.099999999999994</v>
      </c>
      <c r="R1090" s="3">
        <v>67.099999999999994</v>
      </c>
      <c r="S1090" s="3"/>
      <c r="T1090" s="42">
        <v>178.4</v>
      </c>
      <c r="U1090" s="188">
        <v>93.3</v>
      </c>
      <c r="V1090" s="12">
        <f>paper3[[#This Row],[height]]-paper3[[#This Row],[sittingheight]]</f>
        <v>85.100000000000009</v>
      </c>
      <c r="W1090" s="73">
        <v>67.099999999999994</v>
      </c>
      <c r="X1090" s="43"/>
      <c r="Y1090" s="192">
        <v>1.7609999999999999</v>
      </c>
      <c r="Z1090" s="3">
        <v>3.1819999999999999</v>
      </c>
      <c r="AA1090" s="192">
        <v>4.5659999999999998</v>
      </c>
      <c r="AB1090" s="3">
        <v>1.8009999999999999</v>
      </c>
      <c r="AC1090" s="3">
        <v>3.234</v>
      </c>
      <c r="AD1090" s="3">
        <v>4.5860000000000003</v>
      </c>
      <c r="AE1090" s="3">
        <v>1.7989999999999999</v>
      </c>
      <c r="AF1090" s="3">
        <v>3.2480000000000002</v>
      </c>
      <c r="AG1090" s="3">
        <v>4.625</v>
      </c>
      <c r="AH1090" s="194">
        <v>1.7609999999999999</v>
      </c>
      <c r="AI1090" s="193">
        <v>3.1819999999999999</v>
      </c>
      <c r="AJ1090" s="194">
        <v>4.5659999999999998</v>
      </c>
      <c r="AK1090" s="130"/>
      <c r="AL1090" s="203">
        <v>10.15</v>
      </c>
      <c r="AM1090" s="203">
        <v>10.36</v>
      </c>
      <c r="AN1090" s="3">
        <v>10.6</v>
      </c>
      <c r="AO1090" s="3">
        <v>10.84</v>
      </c>
      <c r="AP1090" s="137">
        <v>10.15</v>
      </c>
      <c r="AQ1090" s="132"/>
      <c r="AR1090" s="132"/>
      <c r="AS1090" s="3">
        <v>23.6</v>
      </c>
      <c r="AT1090" s="3">
        <v>24.4</v>
      </c>
      <c r="AU1090" s="3">
        <v>23.8</v>
      </c>
      <c r="AV1090" s="3"/>
      <c r="AW1090" s="192"/>
      <c r="AX1090" s="133">
        <v>24.4</v>
      </c>
      <c r="AY1090" s="195" t="s">
        <v>307</v>
      </c>
      <c r="AZ1090" s="40">
        <v>8</v>
      </c>
      <c r="BA1090" s="40"/>
      <c r="BB1090" s="40"/>
      <c r="BC1090" s="40"/>
      <c r="BD1090" s="135" t="s">
        <v>110</v>
      </c>
      <c r="BE1090" s="135" t="s">
        <v>110</v>
      </c>
      <c r="BF1090" s="40"/>
      <c r="BG1090" s="135" t="s">
        <v>110</v>
      </c>
      <c r="BH1090" s="135" t="s">
        <v>110</v>
      </c>
      <c r="BI1090" s="49"/>
      <c r="BJ1090" s="49"/>
      <c r="BK1090" s="66"/>
      <c r="BL1090" s="66"/>
      <c r="BM1090" s="51"/>
      <c r="BN1090" s="51" t="s">
        <v>110</v>
      </c>
      <c r="BO1090" s="136"/>
      <c r="BP1090" s="40"/>
      <c r="BQ1090" s="40"/>
      <c r="BR1090" s="67"/>
      <c r="BS1090" s="54"/>
      <c r="BT1090" s="3"/>
      <c r="BU1090" s="3"/>
      <c r="BV1090" s="3"/>
      <c r="BW1090" s="3"/>
      <c r="BX1090" s="70"/>
      <c r="BY1090" s="70"/>
      <c r="BZ1090" s="59"/>
      <c r="CA1090" s="59"/>
      <c r="CB1090" s="59"/>
      <c r="CC1090" s="59"/>
      <c r="CD1090" s="60"/>
      <c r="CE1090" s="60"/>
      <c r="CF1090" s="61"/>
      <c r="CG1090" s="61"/>
      <c r="CH1090" s="61"/>
      <c r="CI1090" s="41">
        <v>16.100000000000001</v>
      </c>
      <c r="CJ1090" s="40">
        <v>1120</v>
      </c>
      <c r="CK1090" s="3"/>
      <c r="CL1090" s="62"/>
      <c r="CM1090" s="63"/>
      <c r="CN1090" s="3"/>
      <c r="CO1090" s="3"/>
      <c r="CP1090" s="41">
        <f>_xlfn.MAXIFS([1]!phvny[age],[1]!phvny[id],paper3[[#This Row],[id]],[1]!phvny[time],paper3[[#This Row],[time]])</f>
        <v>14.883333333333333</v>
      </c>
      <c r="CQ1090" s="3"/>
      <c r="CR1090" s="40"/>
      <c r="CS1090" s="40"/>
      <c r="CT1090" s="40"/>
      <c r="CU1090" s="40"/>
      <c r="CV1090" s="40"/>
      <c r="CW1090" s="40"/>
      <c r="CX1090" s="40"/>
      <c r="CY1090" s="40"/>
    </row>
    <row r="1091" spans="1:103" ht="18.75">
      <c r="A1091" s="3">
        <v>9998</v>
      </c>
      <c r="B1091" s="92" t="s">
        <v>199</v>
      </c>
      <c r="C1091" s="3" t="s">
        <v>104</v>
      </c>
      <c r="D1091" s="46" t="s">
        <v>269</v>
      </c>
      <c r="E1091" s="39">
        <v>45803</v>
      </c>
      <c r="F1091" s="3" t="s">
        <v>186</v>
      </c>
      <c r="G1091" s="3" t="s">
        <v>107</v>
      </c>
      <c r="H1091" s="3">
        <v>2008</v>
      </c>
      <c r="I1091" s="40" t="str">
        <f>RIGHT(J1091,3)</f>
        <v>U16</v>
      </c>
      <c r="J1091" s="40" t="s">
        <v>117</v>
      </c>
      <c r="K1091" s="3">
        <v>178</v>
      </c>
      <c r="L1091" s="3">
        <v>178</v>
      </c>
      <c r="M1091" s="3"/>
      <c r="N1091" s="3">
        <v>92.1</v>
      </c>
      <c r="O1091" s="3"/>
      <c r="P1091" s="3" t="s">
        <v>358</v>
      </c>
      <c r="Q1091" s="3">
        <v>59.5</v>
      </c>
      <c r="R1091" s="3">
        <v>59.5</v>
      </c>
      <c r="S1091" s="3"/>
      <c r="T1091" s="42">
        <v>178</v>
      </c>
      <c r="U1091" s="42">
        <v>92.1</v>
      </c>
      <c r="V1091" s="199">
        <f>paper3[[#This Row],[height]]-paper3[[#This Row],[sittingheight]]</f>
        <v>85.9</v>
      </c>
      <c r="W1091" s="73">
        <v>59.5</v>
      </c>
      <c r="X1091" s="43" cm="1">
        <f t="array" ref="X1091">INDEX([1]!phvny[yphv], MATCH(1, (paper3[[#This Row],[id]]=[1]!phvny[id])*(paper3[[#This Row],[time]]=[1]!phvny[time]), 0))</f>
        <v>4.5370820137428201</v>
      </c>
      <c r="Y1091" s="192">
        <v>1.9730000000000001</v>
      </c>
      <c r="Z1091" s="3">
        <v>3.7170000000000001</v>
      </c>
      <c r="AA1091" s="192">
        <v>5.4589999999999996</v>
      </c>
      <c r="AB1091" s="3">
        <v>2.0640000000000001</v>
      </c>
      <c r="AC1091" s="3">
        <v>3.8130000000000002</v>
      </c>
      <c r="AD1091" s="3">
        <v>5.5250000000000004</v>
      </c>
      <c r="AE1091" s="3">
        <v>1.994</v>
      </c>
      <c r="AF1091" s="3">
        <v>3.77</v>
      </c>
      <c r="AG1091" s="3">
        <v>5.5339999999999998</v>
      </c>
      <c r="AH1091" s="194">
        <v>1.9730000000000001</v>
      </c>
      <c r="AI1091" s="193">
        <v>3.7170000000000001</v>
      </c>
      <c r="AJ1091" s="194">
        <v>5.4589999999999996</v>
      </c>
      <c r="AK1091" s="130"/>
      <c r="AL1091" s="203"/>
      <c r="AM1091" s="203"/>
      <c r="AN1091" s="3"/>
      <c r="AO1091" s="3"/>
      <c r="AP1091" s="137"/>
      <c r="AQ1091" s="132"/>
      <c r="AR1091" s="132"/>
      <c r="AS1091" s="3"/>
      <c r="AT1091" s="3" t="s">
        <v>339</v>
      </c>
      <c r="AU1091" s="3"/>
      <c r="AV1091" s="3"/>
      <c r="AW1091" s="192"/>
      <c r="AX1091" s="133"/>
      <c r="AY1091" s="195" t="s">
        <v>265</v>
      </c>
      <c r="AZ1091" s="40">
        <v>10</v>
      </c>
      <c r="BA1091" s="40"/>
      <c r="BB1091" s="40"/>
      <c r="BC1091" s="40"/>
      <c r="BD1091" s="135"/>
      <c r="BE1091" s="135"/>
      <c r="BF1091" s="40"/>
      <c r="BG1091" s="135"/>
      <c r="BH1091" s="135"/>
      <c r="BI1091" s="49"/>
      <c r="BJ1091" s="49"/>
      <c r="BK1091" s="66"/>
      <c r="BL1091" s="66"/>
      <c r="BM1091" s="51"/>
      <c r="BN1091" s="51"/>
      <c r="BO1091" s="136"/>
      <c r="BP1091" s="40"/>
      <c r="BQ1091" s="40"/>
      <c r="BR1091" s="67"/>
      <c r="BS1091" s="54"/>
      <c r="BT1091" s="3"/>
      <c r="BU1091" s="3"/>
      <c r="BV1091" s="3"/>
      <c r="BW1091" s="3"/>
      <c r="BX1091" s="70"/>
      <c r="BY1091" s="70"/>
      <c r="BZ1091" s="59"/>
      <c r="CA1091" s="59"/>
      <c r="CB1091" s="59"/>
      <c r="CC1091" s="59"/>
      <c r="CD1091" s="60"/>
      <c r="CE1091" s="60"/>
      <c r="CF1091" s="61"/>
      <c r="CG1091" s="61"/>
      <c r="CH1091" s="61"/>
      <c r="CI1091" s="41"/>
      <c r="CJ1091" s="40"/>
      <c r="CK1091" s="3"/>
      <c r="CL1091" s="62"/>
      <c r="CM1091" s="63"/>
      <c r="CN1091" s="3"/>
      <c r="CO1091" s="3"/>
      <c r="CP1091" s="41">
        <f>_xlfn.MAXIFS([1]!phvny[age],[1]!phvny[id],paper3[[#This Row],[id]],[1]!phvny[time],paper3[[#This Row],[time]])</f>
        <v>17.322222222222223</v>
      </c>
      <c r="CQ1091" s="3"/>
      <c r="CR1091" s="40"/>
      <c r="CS1091" s="40"/>
      <c r="CT1091" s="40"/>
      <c r="CU1091" s="40"/>
      <c r="CV1091" s="40"/>
      <c r="CW1091" s="40"/>
      <c r="CX1091" s="40"/>
      <c r="CY1091" s="40"/>
    </row>
    <row r="1092" spans="1:103" ht="18.75">
      <c r="A1092" s="3">
        <v>123453</v>
      </c>
      <c r="B1092" s="92" t="s">
        <v>199</v>
      </c>
      <c r="C1092" s="3">
        <v>0</v>
      </c>
      <c r="D1092" s="46" t="s">
        <v>269</v>
      </c>
      <c r="E1092" s="39">
        <v>45797</v>
      </c>
      <c r="F1092" s="3" t="s">
        <v>186</v>
      </c>
      <c r="G1092" s="3" t="s">
        <v>107</v>
      </c>
      <c r="H1092" s="3">
        <v>2010</v>
      </c>
      <c r="I1092" s="40" t="str">
        <f>RIGHT(J1092,3)</f>
        <v>U14</v>
      </c>
      <c r="J1092" s="40" t="s">
        <v>109</v>
      </c>
      <c r="K1092" s="3">
        <v>167.5</v>
      </c>
      <c r="L1092" s="3">
        <v>167.5</v>
      </c>
      <c r="M1092" s="3"/>
      <c r="N1092" s="3">
        <v>85.5</v>
      </c>
      <c r="O1092" s="3"/>
      <c r="P1092" s="3" t="s">
        <v>359</v>
      </c>
      <c r="Q1092" s="3">
        <v>48.6</v>
      </c>
      <c r="R1092" s="3">
        <v>48.6</v>
      </c>
      <c r="S1092" s="3"/>
      <c r="T1092" s="42">
        <v>167.5</v>
      </c>
      <c r="U1092" s="42">
        <v>85.5</v>
      </c>
      <c r="V1092" s="199">
        <f>paper3[[#This Row],[height]]-paper3[[#This Row],[sittingheight]]</f>
        <v>82</v>
      </c>
      <c r="W1092" s="73">
        <v>48.6</v>
      </c>
      <c r="X1092" s="43"/>
      <c r="Y1092" s="192">
        <v>1.7709999999999999</v>
      </c>
      <c r="Z1092" s="3">
        <v>3.1589999999999998</v>
      </c>
      <c r="AA1092" s="192">
        <v>4.5659999999999998</v>
      </c>
      <c r="AB1092" s="3">
        <v>1.766</v>
      </c>
      <c r="AC1092" s="3">
        <v>3.2269999999999999</v>
      </c>
      <c r="AD1092" s="3">
        <v>4.3639999999999999</v>
      </c>
      <c r="AE1092" s="3">
        <v>1.7809999999999999</v>
      </c>
      <c r="AF1092" s="3">
        <v>3.25</v>
      </c>
      <c r="AG1092" s="3">
        <v>4.6820000000000004</v>
      </c>
      <c r="AH1092" s="194">
        <v>1.766</v>
      </c>
      <c r="AI1092" s="193">
        <v>3.1589999999999998</v>
      </c>
      <c r="AJ1092" s="194">
        <v>4.3639999999999999</v>
      </c>
      <c r="AK1092" s="130"/>
      <c r="AL1092" s="203">
        <v>10.53</v>
      </c>
      <c r="AM1092" s="203">
        <v>10.32</v>
      </c>
      <c r="AN1092" s="3">
        <v>10.51</v>
      </c>
      <c r="AO1092" s="3">
        <v>10.19</v>
      </c>
      <c r="AP1092" s="137"/>
      <c r="AQ1092" s="132">
        <v>10.32</v>
      </c>
      <c r="AR1092" s="132">
        <v>10.19</v>
      </c>
      <c r="AS1092" s="3">
        <v>17.8</v>
      </c>
      <c r="AT1092" s="3">
        <v>17.899999999999999</v>
      </c>
      <c r="AU1092" s="3">
        <v>19.899999999999999</v>
      </c>
      <c r="AV1092" s="3"/>
      <c r="AW1092" s="192"/>
      <c r="AX1092" s="133">
        <v>19.899999999999999</v>
      </c>
      <c r="AY1092" s="195">
        <v>250</v>
      </c>
      <c r="AZ1092" s="40">
        <v>9</v>
      </c>
      <c r="BA1092" s="40"/>
      <c r="BB1092" s="40"/>
      <c r="BC1092" s="40"/>
      <c r="BD1092" s="135"/>
      <c r="BE1092" s="135"/>
      <c r="BF1092" s="40"/>
      <c r="BG1092" s="135"/>
      <c r="BH1092" s="135"/>
      <c r="BI1092" s="49"/>
      <c r="BJ1092" s="49"/>
      <c r="BK1092" s="66"/>
      <c r="BL1092" s="66"/>
      <c r="BM1092" s="51"/>
      <c r="BN1092" s="51"/>
      <c r="BO1092" s="136"/>
      <c r="BP1092" s="40"/>
      <c r="BQ1092" s="40"/>
      <c r="BR1092" s="67"/>
      <c r="BS1092" s="54"/>
      <c r="BT1092" s="3"/>
      <c r="BU1092" s="3"/>
      <c r="BV1092" s="3"/>
      <c r="BW1092" s="3"/>
      <c r="BX1092" s="70"/>
      <c r="BY1092" s="70"/>
      <c r="BZ1092" s="59"/>
      <c r="CA1092" s="59"/>
      <c r="CB1092" s="59"/>
      <c r="CC1092" s="59"/>
      <c r="CD1092" s="60"/>
      <c r="CE1092" s="60"/>
      <c r="CF1092" s="61"/>
      <c r="CG1092" s="61"/>
      <c r="CH1092" s="61"/>
      <c r="CI1092" s="41">
        <v>15.2</v>
      </c>
      <c r="CJ1092" s="40"/>
      <c r="CK1092" s="3"/>
      <c r="CL1092" s="62"/>
      <c r="CM1092" s="63"/>
      <c r="CN1092" s="3"/>
      <c r="CO1092" s="3"/>
      <c r="CP1092" s="41"/>
      <c r="CQ1092" s="3"/>
      <c r="CR1092" s="40"/>
      <c r="CS1092" s="40"/>
      <c r="CT1092" s="40"/>
      <c r="CU1092" s="40"/>
      <c r="CV1092" s="40"/>
      <c r="CW1092" s="40"/>
      <c r="CX1092" s="40"/>
      <c r="CY1092" s="40"/>
    </row>
    <row r="1093" spans="1:103" ht="18.95" customHeight="1">
      <c r="A1093" s="3">
        <v>249</v>
      </c>
      <c r="B1093" s="38" t="s">
        <v>103</v>
      </c>
      <c r="C1093" s="3"/>
      <c r="D1093" s="3"/>
      <c r="E1093" s="39"/>
      <c r="F1093" s="3" t="s">
        <v>106</v>
      </c>
      <c r="G1093" s="3" t="s">
        <v>122</v>
      </c>
      <c r="H1093" s="3">
        <v>2006</v>
      </c>
      <c r="I1093" s="40" t="s">
        <v>116</v>
      </c>
      <c r="J1093" s="40" t="s">
        <v>157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42"/>
      <c r="U1093" s="42"/>
      <c r="V1093" s="12"/>
      <c r="W1093" s="73"/>
      <c r="X1093" s="43"/>
      <c r="Y1093" s="3"/>
      <c r="Z1093" s="3"/>
      <c r="AA1093" s="3"/>
      <c r="AB1093" s="3"/>
      <c r="AC1093" s="57"/>
      <c r="AD1093" s="57"/>
      <c r="AE1093" s="57"/>
      <c r="AF1093" s="57"/>
      <c r="AG1093" s="3"/>
      <c r="AH1093" s="44"/>
      <c r="AI1093" s="44"/>
      <c r="AJ1093" s="44"/>
      <c r="AK1093" s="45"/>
      <c r="AL1093" s="3"/>
      <c r="AM1093" s="3"/>
      <c r="AN1093" s="3"/>
      <c r="AO1093" s="3"/>
      <c r="AP1093" s="3"/>
      <c r="AQ1093" s="47"/>
      <c r="AR1093" s="47"/>
      <c r="AS1093" s="3"/>
      <c r="AT1093" s="3"/>
      <c r="AU1093" s="3"/>
      <c r="AV1093" s="3"/>
      <c r="AW1093" s="3"/>
      <c r="AX1093" s="48"/>
      <c r="AY1093" s="3"/>
      <c r="AZ1093" s="3"/>
      <c r="BA1093" s="3"/>
      <c r="BB1093" s="3"/>
      <c r="BC1093" s="3"/>
      <c r="BD1093" s="40"/>
      <c r="BE1093" s="40"/>
      <c r="BF1093" s="40"/>
      <c r="BG1093" s="40"/>
      <c r="BH1093" s="40"/>
      <c r="BI1093" s="49"/>
      <c r="BJ1093" s="49"/>
      <c r="BK1093" s="66"/>
      <c r="BL1093" s="66"/>
      <c r="BM1093" s="51"/>
      <c r="BN1093" s="51"/>
      <c r="BO1093" s="52"/>
      <c r="BP1093" s="40"/>
      <c r="BQ1093" s="40"/>
      <c r="BR1093" s="67"/>
      <c r="BS1093" s="54" t="s">
        <v>110</v>
      </c>
      <c r="BT1093" s="3"/>
      <c r="BU1093" s="40"/>
      <c r="BV1093" s="3"/>
      <c r="BW1093" s="3"/>
      <c r="BX1093" s="70"/>
      <c r="BY1093" s="70"/>
      <c r="BZ1093" s="64"/>
      <c r="CA1093" s="59"/>
      <c r="CB1093" s="59" t="s">
        <v>110</v>
      </c>
      <c r="CC1093" s="59"/>
      <c r="CD1093" s="60"/>
      <c r="CE1093" s="60"/>
      <c r="CF1093" s="61"/>
      <c r="CG1093" s="61"/>
      <c r="CH1093" s="61"/>
      <c r="CI1093" s="41">
        <v>16.7</v>
      </c>
      <c r="CJ1093" s="40">
        <f>VLOOKUP(paper3[[#This Row],[YYIR nivå]],$DB:$DC,2)</f>
        <v>1360</v>
      </c>
      <c r="CK1093" s="3"/>
      <c r="CL1093" s="62"/>
      <c r="CM1093" s="63" t="s">
        <v>110</v>
      </c>
      <c r="CN1093" s="3"/>
      <c r="CO1093" s="3"/>
      <c r="CP1093" s="41"/>
      <c r="CQ1093" s="3" t="s">
        <v>110</v>
      </c>
      <c r="CR1093" s="40" t="s">
        <v>110</v>
      </c>
      <c r="CS1093" s="40" t="s">
        <v>110</v>
      </c>
      <c r="CT1093" s="40" t="s">
        <v>110</v>
      </c>
      <c r="CU1093" s="40"/>
      <c r="CV1093" s="40"/>
      <c r="CW1093" s="40"/>
      <c r="CX1093" s="40"/>
      <c r="CY1093" s="40">
        <v>0</v>
      </c>
    </row>
    <row r="1094" spans="1:103" ht="18.95" customHeight="1">
      <c r="A1094" s="3">
        <v>251</v>
      </c>
      <c r="B1094" s="38" t="s">
        <v>103</v>
      </c>
      <c r="C1094" s="3"/>
      <c r="D1094" s="3"/>
      <c r="E1094" s="39"/>
      <c r="F1094" s="3" t="s">
        <v>106</v>
      </c>
      <c r="G1094" s="3" t="s">
        <v>122</v>
      </c>
      <c r="H1094" s="3">
        <v>2006</v>
      </c>
      <c r="I1094" s="40" t="s">
        <v>116</v>
      </c>
      <c r="J1094" s="40" t="s">
        <v>157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42"/>
      <c r="U1094" s="42"/>
      <c r="V1094" s="12"/>
      <c r="W1094" s="73"/>
      <c r="X1094" s="43"/>
      <c r="Y1094" s="3"/>
      <c r="Z1094" s="3"/>
      <c r="AA1094" s="3"/>
      <c r="AB1094" s="3"/>
      <c r="AC1094" s="57"/>
      <c r="AD1094" s="57"/>
      <c r="AE1094" s="57"/>
      <c r="AF1094" s="57"/>
      <c r="AG1094" s="3"/>
      <c r="AH1094" s="44">
        <v>1.9789999999999999</v>
      </c>
      <c r="AI1094" s="44">
        <v>3.4060000000000001</v>
      </c>
      <c r="AJ1094" s="44">
        <v>4.8250000000000002</v>
      </c>
      <c r="AK1094" s="45"/>
      <c r="AL1094" s="3"/>
      <c r="AM1094" s="3"/>
      <c r="AN1094" s="3"/>
      <c r="AO1094" s="3"/>
      <c r="AP1094" s="3"/>
      <c r="AQ1094" s="47"/>
      <c r="AR1094" s="47"/>
      <c r="AS1094" s="3"/>
      <c r="AT1094" s="3"/>
      <c r="AU1094" s="3"/>
      <c r="AV1094" s="3"/>
      <c r="AW1094" s="3"/>
      <c r="AX1094" s="48"/>
      <c r="AY1094" s="3"/>
      <c r="AZ1094" s="3"/>
      <c r="BA1094" s="3"/>
      <c r="BB1094" s="3"/>
      <c r="BC1094" s="3"/>
      <c r="BD1094" s="40"/>
      <c r="BE1094" s="40"/>
      <c r="BF1094" s="40"/>
      <c r="BG1094" s="40"/>
      <c r="BH1094" s="40"/>
      <c r="BI1094" s="49"/>
      <c r="BJ1094" s="49"/>
      <c r="BK1094" s="66"/>
      <c r="BL1094" s="66"/>
      <c r="BM1094" s="51"/>
      <c r="BN1094" s="51"/>
      <c r="BO1094" s="52"/>
      <c r="BP1094" s="40"/>
      <c r="BQ1094" s="40"/>
      <c r="BR1094" s="67"/>
      <c r="BS1094" s="54" t="s">
        <v>110</v>
      </c>
      <c r="BT1094" s="3"/>
      <c r="BU1094" s="40"/>
      <c r="BV1094" s="3"/>
      <c r="BW1094" s="3"/>
      <c r="BX1094" s="70"/>
      <c r="BY1094" s="70"/>
      <c r="BZ1094" s="64"/>
      <c r="CA1094" s="59"/>
      <c r="CB1094" s="59" t="s">
        <v>110</v>
      </c>
      <c r="CC1094" s="59"/>
      <c r="CD1094" s="60"/>
      <c r="CE1094" s="60"/>
      <c r="CF1094" s="61"/>
      <c r="CG1094" s="61"/>
      <c r="CH1094" s="61"/>
      <c r="CI1094" s="41">
        <v>16.600000000000001</v>
      </c>
      <c r="CJ1094" s="40">
        <f>VLOOKUP(paper3[[#This Row],[YYIR nivå]],$DB:$DC,2)</f>
        <v>1320</v>
      </c>
      <c r="CK1094" s="3" t="s">
        <v>112</v>
      </c>
      <c r="CL1094" s="62"/>
      <c r="CM1094" s="63" t="s">
        <v>110</v>
      </c>
      <c r="CN1094" s="3"/>
      <c r="CO1094" s="3"/>
      <c r="CP1094" s="41"/>
      <c r="CQ1094" s="3" t="s">
        <v>110</v>
      </c>
      <c r="CR1094" s="40" t="s">
        <v>110</v>
      </c>
      <c r="CS1094" s="40" t="s">
        <v>110</v>
      </c>
      <c r="CT1094" s="40" t="s">
        <v>110</v>
      </c>
      <c r="CU1094" s="40"/>
      <c r="CV1094" s="40"/>
      <c r="CW1094" s="40"/>
      <c r="CX1094" s="40"/>
      <c r="CY1094" s="40">
        <v>0</v>
      </c>
    </row>
    <row r="1095" spans="1:103" ht="18.75">
      <c r="A1095" s="3">
        <v>971</v>
      </c>
      <c r="B1095" s="92" t="s">
        <v>199</v>
      </c>
      <c r="C1095" s="3" t="s">
        <v>171</v>
      </c>
      <c r="D1095" s="202"/>
      <c r="E1095" s="46"/>
      <c r="F1095" s="3"/>
      <c r="G1095" s="3"/>
      <c r="H1095" s="3"/>
      <c r="I1095" s="40" t="str">
        <f>RIGHT(J1095,3)</f>
        <v/>
      </c>
      <c r="J1095" s="40"/>
      <c r="K1095" s="3">
        <v>188.1</v>
      </c>
      <c r="L1095" s="3">
        <v>188.3</v>
      </c>
      <c r="M1095" s="3"/>
      <c r="N1095" s="3">
        <v>164.4</v>
      </c>
      <c r="O1095" s="3">
        <v>164.4</v>
      </c>
      <c r="P1095" s="3"/>
      <c r="Q1095" s="3">
        <v>92.7</v>
      </c>
      <c r="R1095" s="3">
        <v>92.7</v>
      </c>
      <c r="S1095" s="3"/>
      <c r="T1095" s="42">
        <v>188.2</v>
      </c>
      <c r="U1095" s="188" cm="1">
        <f t="array" ref="U1095">AVERAGE(paper3[[#This Row],[Sittende høyde 1]:[Sittende høyde 2]]-70.2)</f>
        <v>94.2</v>
      </c>
      <c r="V1095" s="12">
        <f>paper3[[#This Row],[height]]-paper3[[#This Row],[sittingheight]]</f>
        <v>93.999999999999986</v>
      </c>
      <c r="W1095" s="73">
        <v>92.7</v>
      </c>
      <c r="X1095" s="43"/>
      <c r="Y1095" s="200">
        <v>1.4</v>
      </c>
      <c r="Z1095" s="46">
        <v>2.9529999999999998</v>
      </c>
      <c r="AA1095" s="200">
        <v>4.3280000000000003</v>
      </c>
      <c r="AB1095" s="3">
        <v>1.77</v>
      </c>
      <c r="AC1095" s="3">
        <v>3.2389999999999999</v>
      </c>
      <c r="AD1095" s="3">
        <v>4.6109999999999998</v>
      </c>
      <c r="AE1095" s="46">
        <v>1.4159999999999999</v>
      </c>
      <c r="AF1095" s="46">
        <v>3.0150000000000001</v>
      </c>
      <c r="AG1095" s="46">
        <v>4.4340000000000002</v>
      </c>
      <c r="AH1095" s="194">
        <v>1.77</v>
      </c>
      <c r="AI1095" s="193">
        <v>3.2389999999999999</v>
      </c>
      <c r="AJ1095" s="194">
        <v>4.6109999999999998</v>
      </c>
      <c r="AK1095" s="130"/>
      <c r="AL1095" s="203">
        <v>10.31</v>
      </c>
      <c r="AM1095" s="203">
        <v>10.199999999999999</v>
      </c>
      <c r="AN1095" s="3">
        <v>10.54</v>
      </c>
      <c r="AO1095" s="3">
        <v>10.26</v>
      </c>
      <c r="AP1095" s="137">
        <f>MIN(AQ1095:AR1095)</f>
        <v>10.199999999999999</v>
      </c>
      <c r="AQ1095" s="132">
        <v>10.199999999999999</v>
      </c>
      <c r="AR1095" s="132">
        <v>10.26</v>
      </c>
      <c r="AS1095" s="3"/>
      <c r="AT1095" s="3"/>
      <c r="AU1095" s="3"/>
      <c r="AV1095" s="3"/>
      <c r="AW1095" s="192"/>
      <c r="AX1095" s="133"/>
      <c r="AY1095" s="195" t="s">
        <v>254</v>
      </c>
      <c r="AZ1095" s="40">
        <v>11</v>
      </c>
      <c r="BA1095" s="40"/>
      <c r="BB1095" s="40"/>
      <c r="BC1095" s="40"/>
      <c r="BD1095" s="135">
        <v>1246.0510096342825</v>
      </c>
      <c r="BE1095" s="135">
        <v>1213.5640126264341</v>
      </c>
      <c r="BF1095" s="40"/>
      <c r="BG1095" s="135">
        <v>640.18062590296745</v>
      </c>
      <c r="BH1095" s="135">
        <v>579.4113922684927</v>
      </c>
      <c r="BI1095" s="49">
        <f>IFERROR(SUM(paper3[[#This Row],[Kraft ikke-dominant]:[Kraft dominant]]),"")</f>
        <v>2459.6150222607166</v>
      </c>
      <c r="BJ1095" s="49">
        <f>IFERROR(SUM(paper3[[#This Row],[Pwr ikke-dominant]:[Pwr dominant]]),"")</f>
        <v>1219.59201817146</v>
      </c>
      <c r="BK1095" s="66"/>
      <c r="BL1095" s="66"/>
      <c r="BM1095" s="51">
        <f>IFERROR(paper3[[#This Row],[totforce]]/paper3[[#This Row],[bodymass]],"")</f>
        <v>26.533063886307623</v>
      </c>
      <c r="BN1095" s="51">
        <f>IFERROR(paper3[[#This Row],[totpwr]]/paper3[[#This Row],[bodymass]],"")</f>
        <v>13.156332450609062</v>
      </c>
      <c r="BO1095" s="136"/>
      <c r="BP1095" s="40"/>
      <c r="BQ1095" s="40"/>
      <c r="BR1095" s="67"/>
      <c r="BS1095" s="54"/>
      <c r="BT1095" s="3"/>
      <c r="BU1095" s="3"/>
      <c r="BV1095" s="3"/>
      <c r="BW1095" s="3"/>
      <c r="BX1095" s="70"/>
      <c r="BY1095" s="70"/>
      <c r="BZ1095" s="59"/>
      <c r="CA1095" s="59"/>
      <c r="CB1095" s="59"/>
      <c r="CC1095" s="59"/>
      <c r="CD1095" s="60"/>
      <c r="CE1095" s="60"/>
      <c r="CF1095" s="61"/>
      <c r="CG1095" s="61"/>
      <c r="CH1095" s="61"/>
      <c r="CI1095" s="41">
        <v>15.1</v>
      </c>
      <c r="CJ1095" s="40">
        <f>VLOOKUP(CI1095,$DB:$DC,2)</f>
        <v>800</v>
      </c>
      <c r="CK1095" s="3"/>
      <c r="CL1095" s="62"/>
      <c r="CM1095" s="63"/>
      <c r="CN1095" s="3"/>
      <c r="CO1095" s="3"/>
      <c r="CP1095" s="41"/>
      <c r="CQ1095" s="3"/>
      <c r="CR1095" s="40"/>
      <c r="CS1095" s="40"/>
      <c r="CT1095" s="40"/>
      <c r="CU1095" s="40"/>
      <c r="CV1095" s="40"/>
      <c r="CW1095" s="40"/>
      <c r="CX1095" s="40"/>
      <c r="CY1095" s="40"/>
    </row>
    <row r="1096" spans="1:103" ht="18.75">
      <c r="A1096" s="46">
        <v>1122</v>
      </c>
      <c r="B1096" s="92" t="s">
        <v>199</v>
      </c>
      <c r="C1096" s="3" t="e">
        <v>#N/A</v>
      </c>
      <c r="D1096" s="3" t="s">
        <v>215</v>
      </c>
      <c r="E1096" s="39">
        <v>45250</v>
      </c>
      <c r="F1096" s="3" t="s">
        <v>106</v>
      </c>
      <c r="G1096" s="3" t="s">
        <v>122</v>
      </c>
      <c r="H1096" s="3">
        <v>2007</v>
      </c>
      <c r="I1096" s="40" t="s">
        <v>116</v>
      </c>
      <c r="J1096" s="40" t="str">
        <f>paper3[[#This Row],[sex]]&amp;paper3[[#This Row],[ageg]]</f>
        <v>boysU16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42" t="s">
        <v>110</v>
      </c>
      <c r="U1096" s="188" t="s">
        <v>110</v>
      </c>
      <c r="V1096" s="199"/>
      <c r="W1096" s="73" t="s">
        <v>110</v>
      </c>
      <c r="X1096" s="43"/>
      <c r="Y1096" s="192"/>
      <c r="Z1096" s="3"/>
      <c r="AA1096" s="192"/>
      <c r="AB1096" s="3"/>
      <c r="AC1096" s="3"/>
      <c r="AD1096" s="3"/>
      <c r="AE1096" s="3"/>
      <c r="AF1096" s="3"/>
      <c r="AG1096" s="3"/>
      <c r="AH1096" s="194"/>
      <c r="AI1096" s="193"/>
      <c r="AJ1096" s="194"/>
      <c r="AK1096" s="130"/>
      <c r="AL1096" s="203"/>
      <c r="AM1096" s="203"/>
      <c r="AN1096" s="3"/>
      <c r="AO1096" s="3"/>
      <c r="AP1096" s="137">
        <v>10.42</v>
      </c>
      <c r="AQ1096" s="132"/>
      <c r="AR1096" s="132"/>
      <c r="AS1096" s="3"/>
      <c r="AT1096" s="3"/>
      <c r="AU1096" s="3"/>
      <c r="AV1096" s="3"/>
      <c r="AW1096" s="192"/>
      <c r="AX1096" s="133"/>
      <c r="AY1096" s="195"/>
      <c r="AZ1096" s="40"/>
      <c r="BA1096" s="40"/>
      <c r="BB1096" s="40"/>
      <c r="BC1096" s="40"/>
      <c r="BD1096" s="135"/>
      <c r="BE1096" s="135"/>
      <c r="BF1096" s="40"/>
      <c r="BG1096" s="135"/>
      <c r="BH1096" s="135"/>
      <c r="BI1096" s="49"/>
      <c r="BJ1096" s="49"/>
      <c r="BK1096" s="66"/>
      <c r="BL1096" s="66"/>
      <c r="BM1096" s="51"/>
      <c r="BN1096" s="51"/>
      <c r="BO1096" s="136"/>
      <c r="BP1096" s="40"/>
      <c r="BQ1096" s="40"/>
      <c r="BR1096" s="67"/>
      <c r="BS1096" s="54"/>
      <c r="BT1096" s="3"/>
      <c r="BU1096" s="3"/>
      <c r="BV1096" s="3"/>
      <c r="BW1096" s="3"/>
      <c r="BX1096" s="70"/>
      <c r="BY1096" s="70"/>
      <c r="BZ1096" s="59"/>
      <c r="CA1096" s="59"/>
      <c r="CB1096" s="59"/>
      <c r="CC1096" s="59"/>
      <c r="CD1096" s="60"/>
      <c r="CE1096" s="60"/>
      <c r="CF1096" s="61"/>
      <c r="CG1096" s="61"/>
      <c r="CH1096" s="61"/>
      <c r="CI1096" s="41"/>
      <c r="CJ1096" s="40"/>
      <c r="CK1096" s="3"/>
      <c r="CL1096" s="62"/>
      <c r="CM1096" s="63"/>
      <c r="CN1096" s="3"/>
      <c r="CO1096" s="3"/>
      <c r="CP1096" s="41">
        <f>_xlfn.MAXIFS([1]!phvny[age],[1]!phvny[id],paper3[[#This Row],[id]],[1]!phvny[time],paper3[[#This Row],[time]])</f>
        <v>16.886111111111113</v>
      </c>
      <c r="CQ1096" s="3"/>
      <c r="CR1096" s="40"/>
      <c r="CS1096" s="40"/>
      <c r="CT1096" s="40"/>
      <c r="CU1096" s="40"/>
      <c r="CV1096" s="40"/>
      <c r="CW1096" s="40"/>
      <c r="CX1096" s="40"/>
      <c r="CY1096" s="40"/>
    </row>
    <row r="1097" spans="1:103" ht="18.75">
      <c r="A1097" s="46">
        <v>1123</v>
      </c>
      <c r="B1097" s="92" t="s">
        <v>199</v>
      </c>
      <c r="C1097" s="3" t="e">
        <v>#N/A</v>
      </c>
      <c r="D1097" s="3" t="s">
        <v>215</v>
      </c>
      <c r="E1097" s="39">
        <v>45250</v>
      </c>
      <c r="F1097" s="3" t="s">
        <v>106</v>
      </c>
      <c r="G1097" s="3" t="s">
        <v>122</v>
      </c>
      <c r="H1097" s="3">
        <v>2007</v>
      </c>
      <c r="I1097" s="40" t="s">
        <v>116</v>
      </c>
      <c r="J1097" s="40" t="str">
        <f>paper3[[#This Row],[sex]]&amp;paper3[[#This Row],[ageg]]</f>
        <v>boysU16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42" t="s">
        <v>110</v>
      </c>
      <c r="U1097" s="188" t="s">
        <v>110</v>
      </c>
      <c r="V1097" s="199"/>
      <c r="W1097" s="73" t="s">
        <v>110</v>
      </c>
      <c r="X1097" s="43"/>
      <c r="Y1097" s="192"/>
      <c r="Z1097" s="3"/>
      <c r="AA1097" s="192"/>
      <c r="AB1097" s="3"/>
      <c r="AC1097" s="3"/>
      <c r="AD1097" s="3"/>
      <c r="AE1097" s="3"/>
      <c r="AF1097" s="3"/>
      <c r="AG1097" s="3"/>
      <c r="AH1097" s="194"/>
      <c r="AI1097" s="193"/>
      <c r="AJ1097" s="194"/>
      <c r="AK1097" s="130"/>
      <c r="AL1097" s="203"/>
      <c r="AM1097" s="203"/>
      <c r="AN1097" s="3"/>
      <c r="AO1097" s="3"/>
      <c r="AP1097" s="137">
        <v>9.7000000000000011</v>
      </c>
      <c r="AQ1097" s="132"/>
      <c r="AR1097" s="132"/>
      <c r="AS1097" s="3"/>
      <c r="AT1097" s="3"/>
      <c r="AU1097" s="3"/>
      <c r="AV1097" s="3"/>
      <c r="AW1097" s="192"/>
      <c r="AX1097" s="133"/>
      <c r="AY1097" s="195"/>
      <c r="AZ1097" s="40"/>
      <c r="BA1097" s="40"/>
      <c r="BB1097" s="40"/>
      <c r="BC1097" s="40"/>
      <c r="BD1097" s="135"/>
      <c r="BE1097" s="135"/>
      <c r="BF1097" s="40"/>
      <c r="BG1097" s="135"/>
      <c r="BH1097" s="135"/>
      <c r="BI1097" s="49"/>
      <c r="BJ1097" s="49"/>
      <c r="BK1097" s="66"/>
      <c r="BL1097" s="66"/>
      <c r="BM1097" s="51"/>
      <c r="BN1097" s="51"/>
      <c r="BO1097" s="136"/>
      <c r="BP1097" s="40"/>
      <c r="BQ1097" s="40"/>
      <c r="BR1097" s="67"/>
      <c r="BS1097" s="54"/>
      <c r="BT1097" s="3"/>
      <c r="BU1097" s="3"/>
      <c r="BV1097" s="3"/>
      <c r="BW1097" s="3"/>
      <c r="BX1097" s="70"/>
      <c r="BY1097" s="70"/>
      <c r="BZ1097" s="59"/>
      <c r="CA1097" s="59"/>
      <c r="CB1097" s="59"/>
      <c r="CC1097" s="59"/>
      <c r="CD1097" s="60"/>
      <c r="CE1097" s="60"/>
      <c r="CF1097" s="61"/>
      <c r="CG1097" s="61"/>
      <c r="CH1097" s="61"/>
      <c r="CI1097" s="41">
        <v>16.100000000000001</v>
      </c>
      <c r="CJ1097" s="40">
        <f>VLOOKUP(paper3[[#This Row],[YYIR nivå]],$DB:$DC,2)</f>
        <v>1120</v>
      </c>
      <c r="CK1097" s="3"/>
      <c r="CL1097" s="62"/>
      <c r="CM1097" s="63"/>
      <c r="CN1097" s="3"/>
      <c r="CO1097" s="3"/>
      <c r="CP1097" s="41">
        <f>_xlfn.MAXIFS([1]!phvny[age],[1]!phvny[id],paper3[[#This Row],[id]],[1]!phvny[time],paper3[[#This Row],[time]])</f>
        <v>16.886111111111113</v>
      </c>
      <c r="CQ1097" s="3"/>
      <c r="CR1097" s="40"/>
      <c r="CS1097" s="40"/>
      <c r="CT1097" s="40"/>
      <c r="CU1097" s="40"/>
      <c r="CV1097" s="40"/>
      <c r="CW1097" s="40"/>
      <c r="CX1097" s="40"/>
      <c r="CY1097" s="40"/>
    </row>
    <row r="1098" spans="1:103" ht="18.75">
      <c r="A1098" s="46">
        <v>1155</v>
      </c>
      <c r="B1098" s="92" t="s">
        <v>199</v>
      </c>
      <c r="C1098" s="3" t="e">
        <v>#N/A</v>
      </c>
      <c r="D1098" s="3" t="s">
        <v>215</v>
      </c>
      <c r="E1098" s="39">
        <v>45258</v>
      </c>
      <c r="F1098" s="3" t="s">
        <v>106</v>
      </c>
      <c r="G1098" s="3" t="s">
        <v>122</v>
      </c>
      <c r="H1098" s="3">
        <v>2009</v>
      </c>
      <c r="I1098" s="40" t="s">
        <v>108</v>
      </c>
      <c r="J1098" s="40" t="str">
        <f>paper3[[#This Row],[sex]]&amp;paper3[[#This Row],[ageg]]</f>
        <v>boysU14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42">
        <v>175.2</v>
      </c>
      <c r="U1098" s="188">
        <v>89.8</v>
      </c>
      <c r="V1098" s="12">
        <f>paper3[[#This Row],[height]]-paper3[[#This Row],[sittingheight]]</f>
        <v>85.399999999999991</v>
      </c>
      <c r="W1098" s="73">
        <v>56.3</v>
      </c>
      <c r="X1098" s="43" cm="1">
        <f t="array" ref="X1098">INDEX([1]!phvny[yphv], MATCH(1, (paper3[[#This Row],[id]]=[1]!phvny[id])*(paper3[[#This Row],[time]]=[1]!phvny[time]), 0))</f>
        <v>0.87176691659360617</v>
      </c>
      <c r="Y1098" s="192"/>
      <c r="Z1098" s="3"/>
      <c r="AA1098" s="192"/>
      <c r="AB1098" s="3"/>
      <c r="AC1098" s="3"/>
      <c r="AD1098" s="3"/>
      <c r="AE1098" s="3"/>
      <c r="AF1098" s="3"/>
      <c r="AG1098" s="3"/>
      <c r="AH1098" s="194"/>
      <c r="AI1098" s="193"/>
      <c r="AJ1098" s="194">
        <v>4.6269999999999998</v>
      </c>
      <c r="AK1098" s="130"/>
      <c r="AL1098" s="203"/>
      <c r="AM1098" s="203"/>
      <c r="AN1098" s="3"/>
      <c r="AO1098" s="3"/>
      <c r="AP1098" s="137">
        <v>10.51</v>
      </c>
      <c r="AQ1098" s="132"/>
      <c r="AR1098" s="132"/>
      <c r="AS1098" s="3"/>
      <c r="AT1098" s="3"/>
      <c r="AU1098" s="3"/>
      <c r="AV1098" s="3"/>
      <c r="AW1098" s="192"/>
      <c r="AX1098" s="133"/>
      <c r="AY1098" s="195"/>
      <c r="AZ1098" s="40"/>
      <c r="BA1098" s="40"/>
      <c r="BB1098" s="40"/>
      <c r="BC1098" s="40"/>
      <c r="BD1098" s="135"/>
      <c r="BE1098" s="135"/>
      <c r="BF1098" s="40"/>
      <c r="BG1098" s="135"/>
      <c r="BH1098" s="135"/>
      <c r="BI1098" s="49"/>
      <c r="BJ1098" s="49"/>
      <c r="BK1098" s="66"/>
      <c r="BL1098" s="66"/>
      <c r="BM1098" s="51"/>
      <c r="BN1098" s="51"/>
      <c r="BO1098" s="136"/>
      <c r="BP1098" s="40"/>
      <c r="BQ1098" s="40"/>
      <c r="BR1098" s="67"/>
      <c r="BS1098" s="54"/>
      <c r="BT1098" s="3"/>
      <c r="BU1098" s="3"/>
      <c r="BV1098" s="3"/>
      <c r="BW1098" s="3"/>
      <c r="BX1098" s="70"/>
      <c r="BY1098" s="70"/>
      <c r="BZ1098" s="59"/>
      <c r="CA1098" s="59"/>
      <c r="CB1098" s="59"/>
      <c r="CC1098" s="59"/>
      <c r="CD1098" s="60"/>
      <c r="CE1098" s="60"/>
      <c r="CF1098" s="61"/>
      <c r="CG1098" s="61"/>
      <c r="CH1098" s="61"/>
      <c r="CI1098" s="41">
        <v>16.2</v>
      </c>
      <c r="CJ1098" s="40">
        <f>VLOOKUP(paper3[[#This Row],[YYIR nivå]],$DB:$DC,2)</f>
        <v>1160</v>
      </c>
      <c r="CK1098" s="3"/>
      <c r="CL1098" s="62"/>
      <c r="CM1098" s="63"/>
      <c r="CN1098" s="3"/>
      <c r="CO1098" s="3"/>
      <c r="CP1098" s="41">
        <f>_xlfn.MAXIFS([1]!phvny[age],[1]!phvny[id],paper3[[#This Row],[id]],[1]!phvny[time],paper3[[#This Row],[time]])</f>
        <v>14.416666666666666</v>
      </c>
      <c r="CQ1098" s="3"/>
      <c r="CR1098" s="40"/>
      <c r="CS1098" s="40"/>
      <c r="CT1098" s="40"/>
      <c r="CU1098" s="40"/>
      <c r="CV1098" s="40"/>
      <c r="CW1098" s="40"/>
      <c r="CX1098" s="40"/>
      <c r="CY1098" s="40"/>
    </row>
    <row r="1099" spans="1:103" ht="18.75">
      <c r="A1099" s="216">
        <v>1156</v>
      </c>
      <c r="B1099" s="217" t="s">
        <v>199</v>
      </c>
      <c r="C1099" s="3" t="e">
        <v>#N/A</v>
      </c>
      <c r="D1099" s="3" t="s">
        <v>215</v>
      </c>
      <c r="E1099" s="218">
        <v>45258</v>
      </c>
      <c r="F1099" s="57" t="s">
        <v>106</v>
      </c>
      <c r="G1099" s="57" t="s">
        <v>122</v>
      </c>
      <c r="H1099" s="57">
        <v>2009</v>
      </c>
      <c r="I1099" s="40" t="s">
        <v>108</v>
      </c>
      <c r="J1099" s="40" t="str">
        <f>paper3[[#This Row],[sex]]&amp;paper3[[#This Row],[ageg]]</f>
        <v>boysU14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42">
        <v>167.2</v>
      </c>
      <c r="U1099" s="188">
        <v>87.85</v>
      </c>
      <c r="V1099" s="12">
        <f>paper3[[#This Row],[height]]-paper3[[#This Row],[sittingheight]]</f>
        <v>79.349999999999994</v>
      </c>
      <c r="W1099" s="73">
        <v>67.2</v>
      </c>
      <c r="X1099" s="43" cm="1">
        <f t="array" ref="X1099">INDEX([1]!phvny[yphv], MATCH(1, (paper3[[#This Row],[id]]=[1]!phvny[id])*(paper3[[#This Row],[time]]=[1]!phvny[time]), 0))</f>
        <v>0.76078777156525679</v>
      </c>
      <c r="Y1099" s="192"/>
      <c r="Z1099" s="3"/>
      <c r="AA1099" s="192"/>
      <c r="AB1099" s="3"/>
      <c r="AC1099" s="3"/>
      <c r="AD1099" s="3"/>
      <c r="AE1099" s="3"/>
      <c r="AF1099" s="3"/>
      <c r="AG1099" s="3"/>
      <c r="AH1099" s="194"/>
      <c r="AI1099" s="193"/>
      <c r="AJ1099" s="194">
        <v>4.4539999999999997</v>
      </c>
      <c r="AK1099" s="130"/>
      <c r="AL1099" s="203"/>
      <c r="AM1099" s="203"/>
      <c r="AN1099" s="3"/>
      <c r="AO1099" s="3"/>
      <c r="AP1099" s="137"/>
      <c r="AQ1099" s="132"/>
      <c r="AR1099" s="132"/>
      <c r="AS1099" s="3"/>
      <c r="AT1099" s="3"/>
      <c r="AU1099" s="3"/>
      <c r="AV1099" s="3"/>
      <c r="AW1099" s="192"/>
      <c r="AX1099" s="133"/>
      <c r="AY1099" s="195"/>
      <c r="AZ1099" s="40"/>
      <c r="BA1099" s="40"/>
      <c r="BB1099" s="40"/>
      <c r="BC1099" s="40"/>
      <c r="BD1099" s="135"/>
      <c r="BE1099" s="135"/>
      <c r="BF1099" s="40"/>
      <c r="BG1099" s="135"/>
      <c r="BH1099" s="135"/>
      <c r="BI1099" s="49"/>
      <c r="BJ1099" s="49"/>
      <c r="BK1099" s="66"/>
      <c r="BL1099" s="66"/>
      <c r="BM1099" s="51"/>
      <c r="BN1099" s="51"/>
      <c r="BO1099" s="136"/>
      <c r="BP1099" s="40"/>
      <c r="BQ1099" s="40"/>
      <c r="BR1099" s="67"/>
      <c r="BS1099" s="54"/>
      <c r="BT1099" s="3"/>
      <c r="BU1099" s="3"/>
      <c r="BV1099" s="3"/>
      <c r="BW1099" s="3"/>
      <c r="BX1099" s="70"/>
      <c r="BY1099" s="70"/>
      <c r="BZ1099" s="59"/>
      <c r="CA1099" s="59"/>
      <c r="CB1099" s="59"/>
      <c r="CC1099" s="59"/>
      <c r="CD1099" s="60"/>
      <c r="CE1099" s="60"/>
      <c r="CF1099" s="61"/>
      <c r="CG1099" s="61"/>
      <c r="CH1099" s="61"/>
      <c r="CI1099" s="41"/>
      <c r="CJ1099" s="40"/>
      <c r="CK1099" s="3"/>
      <c r="CL1099" s="62"/>
      <c r="CM1099" s="63"/>
      <c r="CN1099" s="3"/>
      <c r="CO1099" s="3"/>
      <c r="CP1099" s="41">
        <f>_xlfn.MAXIFS([1]!phvny[age],[1]!phvny[id],paper3[[#This Row],[id]],[1]!phvny[time],paper3[[#This Row],[time]])</f>
        <v>14.319444444444445</v>
      </c>
      <c r="CQ1099" s="3"/>
      <c r="CR1099" s="40"/>
      <c r="CS1099" s="40"/>
      <c r="CT1099" s="40"/>
      <c r="CU1099" s="40"/>
      <c r="CV1099" s="40"/>
      <c r="CW1099" s="40"/>
      <c r="CX1099" s="40"/>
      <c r="CY1099" s="40"/>
    </row>
    <row r="1100" spans="1:103" ht="18.75">
      <c r="A1100" s="46">
        <v>1157</v>
      </c>
      <c r="B1100" s="92" t="s">
        <v>199</v>
      </c>
      <c r="C1100" s="3" t="e">
        <v>#N/A</v>
      </c>
      <c r="D1100" s="3" t="s">
        <v>215</v>
      </c>
      <c r="E1100" s="39">
        <v>45258</v>
      </c>
      <c r="F1100" s="3" t="s">
        <v>106</v>
      </c>
      <c r="G1100" s="3" t="s">
        <v>122</v>
      </c>
      <c r="H1100" s="3">
        <v>2009</v>
      </c>
      <c r="I1100" s="40" t="s">
        <v>108</v>
      </c>
      <c r="J1100" s="40" t="str">
        <f>paper3[[#This Row],[sex]]&amp;paper3[[#This Row],[ageg]]</f>
        <v>boysU14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42">
        <v>164</v>
      </c>
      <c r="U1100" s="188">
        <v>83.3</v>
      </c>
      <c r="V1100" s="12">
        <f>paper3[[#This Row],[height]]-paper3[[#This Row],[sittingheight]]</f>
        <v>80.7</v>
      </c>
      <c r="W1100" s="73">
        <v>62.8</v>
      </c>
      <c r="X1100" s="43" cm="1">
        <f t="array" ref="X1100">INDEX([1]!phvny[yphv], MATCH(1, (paper3[[#This Row],[id]]=[1]!phvny[id])*(paper3[[#This Row],[time]]=[1]!phvny[time]), 0))</f>
        <v>0.14635972901626126</v>
      </c>
      <c r="Y1100" s="192"/>
      <c r="Z1100" s="3"/>
      <c r="AA1100" s="192"/>
      <c r="AB1100" s="3"/>
      <c r="AC1100" s="3"/>
      <c r="AD1100" s="3"/>
      <c r="AE1100" s="3"/>
      <c r="AF1100" s="3"/>
      <c r="AG1100" s="3"/>
      <c r="AH1100" s="194"/>
      <c r="AI1100" s="193"/>
      <c r="AJ1100" s="194">
        <v>4.6669999999999998</v>
      </c>
      <c r="AK1100" s="130"/>
      <c r="AL1100" s="203"/>
      <c r="AM1100" s="203"/>
      <c r="AN1100" s="3"/>
      <c r="AO1100" s="3"/>
      <c r="AP1100" s="137">
        <v>10.950000000000001</v>
      </c>
      <c r="AQ1100" s="132"/>
      <c r="AR1100" s="132"/>
      <c r="AS1100" s="3"/>
      <c r="AT1100" s="3"/>
      <c r="AU1100" s="3"/>
      <c r="AV1100" s="3"/>
      <c r="AW1100" s="192"/>
      <c r="AX1100" s="133"/>
      <c r="AY1100" s="195"/>
      <c r="AZ1100" s="40"/>
      <c r="BA1100" s="40"/>
      <c r="BB1100" s="40"/>
      <c r="BC1100" s="40"/>
      <c r="BD1100" s="135"/>
      <c r="BE1100" s="135"/>
      <c r="BF1100" s="40"/>
      <c r="BG1100" s="135"/>
      <c r="BH1100" s="135"/>
      <c r="BI1100" s="49"/>
      <c r="BJ1100" s="49"/>
      <c r="BK1100" s="66"/>
      <c r="BL1100" s="66"/>
      <c r="BM1100" s="51"/>
      <c r="BN1100" s="51"/>
      <c r="BO1100" s="136"/>
      <c r="BP1100" s="40"/>
      <c r="BQ1100" s="40"/>
      <c r="BR1100" s="67"/>
      <c r="BS1100" s="54"/>
      <c r="BT1100" s="3"/>
      <c r="BU1100" s="3"/>
      <c r="BV1100" s="3"/>
      <c r="BW1100" s="3"/>
      <c r="BX1100" s="70"/>
      <c r="BY1100" s="70"/>
      <c r="BZ1100" s="59"/>
      <c r="CA1100" s="59"/>
      <c r="CB1100" s="59"/>
      <c r="CC1100" s="59"/>
      <c r="CD1100" s="60"/>
      <c r="CE1100" s="60"/>
      <c r="CF1100" s="61"/>
      <c r="CG1100" s="61"/>
      <c r="CH1100" s="61"/>
      <c r="CI1100" s="41">
        <v>13.4</v>
      </c>
      <c r="CJ1100" s="40">
        <f>VLOOKUP(paper3[[#This Row],[YYIR nivå]],$DB:$DC,2)</f>
        <v>440</v>
      </c>
      <c r="CK1100" s="3"/>
      <c r="CL1100" s="62"/>
      <c r="CM1100" s="63"/>
      <c r="CN1100" s="3"/>
      <c r="CO1100" s="3"/>
      <c r="CP1100" s="41">
        <f>_xlfn.MAXIFS([1]!phvny[age],[1]!phvny[id],paper3[[#This Row],[id]],[1]!phvny[time],paper3[[#This Row],[time]])</f>
        <v>14.316666666666666</v>
      </c>
      <c r="CQ1100" s="3"/>
      <c r="CR1100" s="40"/>
      <c r="CS1100" s="40"/>
      <c r="CT1100" s="40"/>
      <c r="CU1100" s="40"/>
      <c r="CV1100" s="40"/>
      <c r="CW1100" s="40"/>
      <c r="CX1100" s="40"/>
      <c r="CY1100" s="40"/>
    </row>
    <row r="1101" spans="1:103" ht="18.75">
      <c r="A1101" s="46">
        <v>9100</v>
      </c>
      <c r="B1101" s="92" t="s">
        <v>199</v>
      </c>
      <c r="C1101" s="3" t="e">
        <v>#N/A</v>
      </c>
      <c r="D1101" s="90" t="s">
        <v>215</v>
      </c>
      <c r="E1101" s="39">
        <v>45273</v>
      </c>
      <c r="F1101" s="3" t="s">
        <v>106</v>
      </c>
      <c r="G1101" s="3" t="s">
        <v>122</v>
      </c>
      <c r="H1101" s="3">
        <v>2009</v>
      </c>
      <c r="I1101" s="40" t="s">
        <v>108</v>
      </c>
      <c r="J1101" s="40" t="str">
        <f>paper3[[#This Row],[sex]]&amp;paper3[[#This Row],[ageg]]</f>
        <v>boysU14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42">
        <v>165</v>
      </c>
      <c r="U1101" s="188">
        <v>82.8</v>
      </c>
      <c r="V1101" s="12">
        <f>paper3[[#This Row],[height]]-paper3[[#This Row],[sittingheight]]</f>
        <v>82.2</v>
      </c>
      <c r="W1101" s="73">
        <v>51.7</v>
      </c>
      <c r="X1101" s="43" cm="1">
        <f t="array" ref="X1101">INDEX([1]!phvny[yphv], MATCH(1, (paper3[[#This Row],[id]]=[1]!phvny[id])*(paper3[[#This Row],[time]]=[1]!phvny[time]), 0))</f>
        <v>0.21402181799999809</v>
      </c>
      <c r="Y1101" s="192"/>
      <c r="Z1101" s="3"/>
      <c r="AA1101" s="192"/>
      <c r="AB1101" s="3"/>
      <c r="AC1101" s="3"/>
      <c r="AD1101" s="3"/>
      <c r="AE1101" s="3"/>
      <c r="AF1101" s="3"/>
      <c r="AG1101" s="3"/>
      <c r="AH1101" s="194"/>
      <c r="AI1101" s="193"/>
      <c r="AJ1101" s="194">
        <v>4.62</v>
      </c>
      <c r="AK1101" s="130"/>
      <c r="AL1101" s="203"/>
      <c r="AM1101" s="203"/>
      <c r="AN1101" s="3"/>
      <c r="AO1101" s="3"/>
      <c r="AP1101" s="137"/>
      <c r="AQ1101" s="132"/>
      <c r="AR1101" s="132"/>
      <c r="AS1101" s="3"/>
      <c r="AT1101" s="3"/>
      <c r="AU1101" s="3"/>
      <c r="AV1101" s="3"/>
      <c r="AW1101" s="192"/>
      <c r="AX1101" s="133"/>
      <c r="AY1101" s="195"/>
      <c r="AZ1101" s="40"/>
      <c r="BA1101" s="40"/>
      <c r="BB1101" s="40"/>
      <c r="BC1101" s="40"/>
      <c r="BD1101" s="135"/>
      <c r="BE1101" s="135"/>
      <c r="BF1101" s="40"/>
      <c r="BG1101" s="135"/>
      <c r="BH1101" s="135"/>
      <c r="BI1101" s="49"/>
      <c r="BJ1101" s="49"/>
      <c r="BK1101" s="66"/>
      <c r="BL1101" s="66"/>
      <c r="BM1101" s="51"/>
      <c r="BN1101" s="51"/>
      <c r="BO1101" s="136"/>
      <c r="BP1101" s="40"/>
      <c r="BQ1101" s="40"/>
      <c r="BR1101" s="67"/>
      <c r="BS1101" s="54"/>
      <c r="BT1101" s="3"/>
      <c r="BU1101" s="3"/>
      <c r="BV1101" s="3"/>
      <c r="BW1101" s="3"/>
      <c r="BX1101" s="70"/>
      <c r="BY1101" s="70"/>
      <c r="BZ1101" s="59"/>
      <c r="CA1101" s="59"/>
      <c r="CB1101" s="59"/>
      <c r="CC1101" s="59"/>
      <c r="CD1101" s="60"/>
      <c r="CE1101" s="60"/>
      <c r="CF1101" s="61"/>
      <c r="CG1101" s="61"/>
      <c r="CH1101" s="61"/>
      <c r="CI1101" s="41"/>
      <c r="CJ1101" s="40"/>
      <c r="CK1101" s="3"/>
      <c r="CL1101" s="62"/>
      <c r="CM1101" s="63"/>
      <c r="CN1101" s="3"/>
      <c r="CO1101" s="3"/>
      <c r="CP1101" s="41">
        <f>_xlfn.MAXIFS([1]!phvny[age],[1]!phvny[id],paper3[[#This Row],[id]],[1]!phvny[time],paper3[[#This Row],[time]])</f>
        <v>14.95</v>
      </c>
      <c r="CQ1101" s="3"/>
      <c r="CR1101" s="40"/>
      <c r="CS1101" s="40"/>
      <c r="CT1101" s="40"/>
      <c r="CU1101" s="40"/>
      <c r="CV1101" s="40"/>
      <c r="CW1101" s="40"/>
      <c r="CX1101" s="40"/>
      <c r="CY1101" s="40"/>
    </row>
    <row r="1102" spans="1:103" ht="18.75">
      <c r="A1102" s="46">
        <v>9101</v>
      </c>
      <c r="B1102" s="92" t="s">
        <v>199</v>
      </c>
      <c r="C1102" s="3" t="e">
        <v>#N/A</v>
      </c>
      <c r="D1102" s="90" t="s">
        <v>215</v>
      </c>
      <c r="E1102" s="39">
        <v>45273</v>
      </c>
      <c r="F1102" s="3" t="s">
        <v>106</v>
      </c>
      <c r="G1102" s="3" t="s">
        <v>122</v>
      </c>
      <c r="H1102" s="3">
        <v>2009</v>
      </c>
      <c r="I1102" s="40" t="s">
        <v>108</v>
      </c>
      <c r="J1102" s="40" t="str">
        <f>paper3[[#This Row],[sex]]&amp;paper3[[#This Row],[ageg]]</f>
        <v>boysU14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42">
        <v>188.2</v>
      </c>
      <c r="U1102" s="188">
        <v>94.8</v>
      </c>
      <c r="V1102" s="12">
        <f>paper3[[#This Row],[height]]-paper3[[#This Row],[sittingheight]]</f>
        <v>93.399999999999991</v>
      </c>
      <c r="W1102" s="73">
        <v>64</v>
      </c>
      <c r="X1102" s="43" cm="1">
        <f t="array" ref="X1102">INDEX([1]!phvny[yphv], MATCH(1, (paper3[[#This Row],[id]]=[1]!phvny[id])*(paper3[[#This Row],[time]]=[1]!phvny[time]), 0))</f>
        <v>1.7094329467350351</v>
      </c>
      <c r="Y1102" s="192"/>
      <c r="Z1102" s="3"/>
      <c r="AA1102" s="192"/>
      <c r="AB1102" s="3"/>
      <c r="AC1102" s="3"/>
      <c r="AD1102" s="3"/>
      <c r="AE1102" s="3"/>
      <c r="AF1102" s="3"/>
      <c r="AG1102" s="3"/>
      <c r="AH1102" s="194"/>
      <c r="AI1102" s="193"/>
      <c r="AJ1102" s="194">
        <v>4.6589999999999998</v>
      </c>
      <c r="AK1102" s="130"/>
      <c r="AL1102" s="203"/>
      <c r="AM1102" s="203"/>
      <c r="AN1102" s="3"/>
      <c r="AO1102" s="3"/>
      <c r="AP1102" s="137"/>
      <c r="AQ1102" s="132"/>
      <c r="AR1102" s="132"/>
      <c r="AS1102" s="3"/>
      <c r="AT1102" s="3"/>
      <c r="AU1102" s="3"/>
      <c r="AV1102" s="3"/>
      <c r="AW1102" s="192"/>
      <c r="AX1102" s="133"/>
      <c r="AY1102" s="195"/>
      <c r="AZ1102" s="40"/>
      <c r="BA1102" s="40"/>
      <c r="BB1102" s="40"/>
      <c r="BC1102" s="40"/>
      <c r="BD1102" s="135"/>
      <c r="BE1102" s="135"/>
      <c r="BF1102" s="40"/>
      <c r="BG1102" s="135"/>
      <c r="BH1102" s="135"/>
      <c r="BI1102" s="49"/>
      <c r="BJ1102" s="49"/>
      <c r="BK1102" s="66"/>
      <c r="BL1102" s="66"/>
      <c r="BM1102" s="51"/>
      <c r="BN1102" s="51"/>
      <c r="BO1102" s="136"/>
      <c r="BP1102" s="40"/>
      <c r="BQ1102" s="40"/>
      <c r="BR1102" s="67"/>
      <c r="BS1102" s="54"/>
      <c r="BT1102" s="3"/>
      <c r="BU1102" s="3"/>
      <c r="BV1102" s="3"/>
      <c r="BW1102" s="3"/>
      <c r="BX1102" s="70"/>
      <c r="BY1102" s="70"/>
      <c r="BZ1102" s="59"/>
      <c r="CA1102" s="59"/>
      <c r="CB1102" s="59"/>
      <c r="CC1102" s="59"/>
      <c r="CD1102" s="60"/>
      <c r="CE1102" s="60"/>
      <c r="CF1102" s="61"/>
      <c r="CG1102" s="61"/>
      <c r="CH1102" s="61"/>
      <c r="CI1102" s="41"/>
      <c r="CJ1102" s="40"/>
      <c r="CK1102" s="3"/>
      <c r="CL1102" s="62"/>
      <c r="CM1102" s="63"/>
      <c r="CN1102" s="3"/>
      <c r="CO1102" s="3"/>
      <c r="CP1102" s="41">
        <f>_xlfn.MAXIFS([1]!phvny[age],[1]!phvny[id],paper3[[#This Row],[id]],[1]!phvny[time],paper3[[#This Row],[time]])</f>
        <v>14.691666666666666</v>
      </c>
      <c r="CQ1102" s="3"/>
      <c r="CR1102" s="40"/>
      <c r="CS1102" s="40"/>
      <c r="CT1102" s="40"/>
      <c r="CU1102" s="40"/>
      <c r="CV1102" s="40"/>
      <c r="CW1102" s="40"/>
      <c r="CX1102" s="40"/>
      <c r="CY1102" s="40"/>
    </row>
    <row r="1103" spans="1:103" ht="18.75">
      <c r="A1103" s="46">
        <v>9102</v>
      </c>
      <c r="B1103" s="92" t="s">
        <v>199</v>
      </c>
      <c r="C1103" s="3" t="e">
        <v>#N/A</v>
      </c>
      <c r="D1103" s="90" t="s">
        <v>215</v>
      </c>
      <c r="E1103" s="39">
        <v>45273</v>
      </c>
      <c r="F1103" s="3" t="s">
        <v>106</v>
      </c>
      <c r="G1103" s="3" t="s">
        <v>122</v>
      </c>
      <c r="H1103" s="3">
        <v>2009</v>
      </c>
      <c r="I1103" s="40" t="s">
        <v>108</v>
      </c>
      <c r="J1103" s="40" t="str">
        <f>paper3[[#This Row],[sex]]&amp;paper3[[#This Row],[ageg]]</f>
        <v>boysU14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42">
        <v>176</v>
      </c>
      <c r="U1103" s="188">
        <v>94.3</v>
      </c>
      <c r="V1103" s="12">
        <f>paper3[[#This Row],[height]]-paper3[[#This Row],[sittingheight]]</f>
        <v>81.7</v>
      </c>
      <c r="W1103" s="73">
        <v>63.2</v>
      </c>
      <c r="X1103" s="43" cm="1">
        <f t="array" ref="X1103">INDEX([1]!phvny[yphv], MATCH(1, (paper3[[#This Row],[id]]=[1]!phvny[id])*(paper3[[#This Row],[time]]=[1]!phvny[time]), 0))</f>
        <v>1.4354505191363653</v>
      </c>
      <c r="Y1103" s="192"/>
      <c r="Z1103" s="3"/>
      <c r="AA1103" s="192"/>
      <c r="AB1103" s="3"/>
      <c r="AC1103" s="3"/>
      <c r="AD1103" s="3"/>
      <c r="AE1103" s="3"/>
      <c r="AF1103" s="3"/>
      <c r="AG1103" s="3"/>
      <c r="AH1103" s="194"/>
      <c r="AI1103" s="193"/>
      <c r="AJ1103" s="194">
        <v>4.3419999999999996</v>
      </c>
      <c r="AK1103" s="130"/>
      <c r="AL1103" s="203"/>
      <c r="AM1103" s="203"/>
      <c r="AN1103" s="3"/>
      <c r="AO1103" s="3"/>
      <c r="AP1103" s="137"/>
      <c r="AQ1103" s="132"/>
      <c r="AR1103" s="132"/>
      <c r="AS1103" s="3"/>
      <c r="AT1103" s="3"/>
      <c r="AU1103" s="3"/>
      <c r="AV1103" s="3"/>
      <c r="AW1103" s="192"/>
      <c r="AX1103" s="133"/>
      <c r="AY1103" s="195"/>
      <c r="AZ1103" s="40"/>
      <c r="BA1103" s="40"/>
      <c r="BB1103" s="40"/>
      <c r="BC1103" s="40"/>
      <c r="BD1103" s="135"/>
      <c r="BE1103" s="135"/>
      <c r="BF1103" s="40"/>
      <c r="BG1103" s="135"/>
      <c r="BH1103" s="135"/>
      <c r="BI1103" s="49"/>
      <c r="BJ1103" s="49"/>
      <c r="BK1103" s="66"/>
      <c r="BL1103" s="66"/>
      <c r="BM1103" s="51"/>
      <c r="BN1103" s="51"/>
      <c r="BO1103" s="136"/>
      <c r="BP1103" s="40"/>
      <c r="BQ1103" s="40"/>
      <c r="BR1103" s="67"/>
      <c r="BS1103" s="54"/>
      <c r="BT1103" s="3"/>
      <c r="BU1103" s="3"/>
      <c r="BV1103" s="3"/>
      <c r="BW1103" s="3"/>
      <c r="BX1103" s="70"/>
      <c r="BY1103" s="70"/>
      <c r="BZ1103" s="59"/>
      <c r="CA1103" s="59"/>
      <c r="CB1103" s="59"/>
      <c r="CC1103" s="59"/>
      <c r="CD1103" s="60"/>
      <c r="CE1103" s="60"/>
      <c r="CF1103" s="61"/>
      <c r="CG1103" s="61"/>
      <c r="CH1103" s="61"/>
      <c r="CI1103" s="41"/>
      <c r="CJ1103" s="40"/>
      <c r="CK1103" s="3"/>
      <c r="CL1103" s="62"/>
      <c r="CM1103" s="63"/>
      <c r="CN1103" s="3"/>
      <c r="CO1103" s="3"/>
      <c r="CP1103" s="41">
        <f>_xlfn.MAXIFS([1]!phvny[age],[1]!phvny[id],paper3[[#This Row],[id]],[1]!phvny[time],paper3[[#This Row],[time]])</f>
        <v>14.252777777777778</v>
      </c>
      <c r="CQ1103" s="3"/>
      <c r="CR1103" s="40"/>
      <c r="CS1103" s="40"/>
      <c r="CT1103" s="40"/>
      <c r="CU1103" s="40"/>
      <c r="CV1103" s="40"/>
      <c r="CW1103" s="40"/>
      <c r="CX1103" s="40"/>
      <c r="CY1103" s="40"/>
    </row>
    <row r="1104" spans="1:103" ht="18.75">
      <c r="A1104" s="46">
        <v>9103</v>
      </c>
      <c r="B1104" s="92" t="s">
        <v>199</v>
      </c>
      <c r="C1104" s="3" t="e">
        <v>#N/A</v>
      </c>
      <c r="D1104" s="90" t="s">
        <v>215</v>
      </c>
      <c r="E1104" s="39">
        <v>45273</v>
      </c>
      <c r="F1104" s="3" t="s">
        <v>106</v>
      </c>
      <c r="G1104" s="3" t="s">
        <v>122</v>
      </c>
      <c r="H1104" s="3">
        <v>2009</v>
      </c>
      <c r="I1104" s="40" t="s">
        <v>108</v>
      </c>
      <c r="J1104" s="40" t="str">
        <f>paper3[[#This Row],[sex]]&amp;paper3[[#This Row],[ageg]]</f>
        <v>boysU14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42">
        <v>174</v>
      </c>
      <c r="U1104" s="188">
        <v>89.8</v>
      </c>
      <c r="V1104" s="12">
        <f>paper3[[#This Row],[height]]-paper3[[#This Row],[sittingheight]]</f>
        <v>84.2</v>
      </c>
      <c r="W1104" s="73">
        <v>54</v>
      </c>
      <c r="X1104" s="43" cm="1">
        <f t="array" ref="X1104">INDEX([1]!phvny[yphv], MATCH(1, (paper3[[#This Row],[id]]=[1]!phvny[id])*(paper3[[#This Row],[time]]=[1]!phvny[time]), 0))</f>
        <v>0.61613983227202962</v>
      </c>
      <c r="Y1104" s="192"/>
      <c r="Z1104" s="3"/>
      <c r="AA1104" s="192"/>
      <c r="AB1104" s="3"/>
      <c r="AC1104" s="3"/>
      <c r="AD1104" s="3"/>
      <c r="AE1104" s="3"/>
      <c r="AF1104" s="3"/>
      <c r="AG1104" s="3"/>
      <c r="AH1104" s="194"/>
      <c r="AI1104" s="193"/>
      <c r="AJ1104" s="194">
        <v>4.8959999999999999</v>
      </c>
      <c r="AK1104" s="130"/>
      <c r="AL1104" s="203"/>
      <c r="AM1104" s="203"/>
      <c r="AN1104" s="3"/>
      <c r="AO1104" s="3"/>
      <c r="AP1104" s="137"/>
      <c r="AQ1104" s="132"/>
      <c r="AR1104" s="132"/>
      <c r="AS1104" s="3"/>
      <c r="AT1104" s="3"/>
      <c r="AU1104" s="3"/>
      <c r="AV1104" s="3"/>
      <c r="AW1104" s="192"/>
      <c r="AX1104" s="133"/>
      <c r="AY1104" s="195"/>
      <c r="AZ1104" s="40"/>
      <c r="BA1104" s="40"/>
      <c r="BB1104" s="40"/>
      <c r="BC1104" s="40"/>
      <c r="BD1104" s="135"/>
      <c r="BE1104" s="135"/>
      <c r="BF1104" s="40"/>
      <c r="BG1104" s="135"/>
      <c r="BH1104" s="135"/>
      <c r="BI1104" s="49"/>
      <c r="BJ1104" s="49"/>
      <c r="BK1104" s="66"/>
      <c r="BL1104" s="66"/>
      <c r="BM1104" s="51"/>
      <c r="BN1104" s="51"/>
      <c r="BO1104" s="136"/>
      <c r="BP1104" s="40"/>
      <c r="BQ1104" s="40"/>
      <c r="BR1104" s="67"/>
      <c r="BS1104" s="54"/>
      <c r="BT1104" s="3"/>
      <c r="BU1104" s="3"/>
      <c r="BV1104" s="3"/>
      <c r="BW1104" s="3"/>
      <c r="BX1104" s="70"/>
      <c r="BY1104" s="70"/>
      <c r="BZ1104" s="59"/>
      <c r="CA1104" s="59"/>
      <c r="CB1104" s="59"/>
      <c r="CC1104" s="59"/>
      <c r="CD1104" s="60"/>
      <c r="CE1104" s="60"/>
      <c r="CF1104" s="61"/>
      <c r="CG1104" s="61"/>
      <c r="CH1104" s="61"/>
      <c r="CI1104" s="41"/>
      <c r="CJ1104" s="40"/>
      <c r="CK1104" s="3"/>
      <c r="CL1104" s="62"/>
      <c r="CM1104" s="63"/>
      <c r="CN1104" s="3"/>
      <c r="CO1104" s="3"/>
      <c r="CP1104" s="41">
        <f>_xlfn.MAXIFS([1]!phvny[age],[1]!phvny[id],paper3[[#This Row],[id]],[1]!phvny[time],paper3[[#This Row],[time]])</f>
        <v>13.963888888888889</v>
      </c>
      <c r="CQ1104" s="3"/>
      <c r="CR1104" s="40"/>
      <c r="CS1104" s="40"/>
      <c r="CT1104" s="40"/>
      <c r="CU1104" s="40"/>
      <c r="CV1104" s="40"/>
      <c r="CW1104" s="40"/>
      <c r="CX1104" s="40"/>
      <c r="CY1104" s="40"/>
    </row>
    <row r="1108" spans="29:33">
      <c r="AG1108" s="219"/>
    </row>
    <row r="1117" spans="29:33" ht="15.75">
      <c r="AC1117" s="200"/>
      <c r="AD1117" s="3"/>
      <c r="AE1117" s="219"/>
    </row>
    <row r="1125" spans="45:137">
      <c r="EG1125" t="s">
        <v>360</v>
      </c>
    </row>
    <row r="1126" spans="45:137">
      <c r="AS1126" s="220"/>
      <c r="AT1126" s="220"/>
    </row>
  </sheetData>
  <conditionalFormatting sqref="BX815:BY825">
    <cfRule type="cellIs" dxfId="131" priority="25" operator="lessThan">
      <formula>-0.1</formula>
    </cfRule>
    <cfRule type="cellIs" dxfId="130" priority="26" operator="greaterThan">
      <formula>0.1</formula>
    </cfRule>
  </conditionalFormatting>
  <conditionalFormatting sqref="BX850:BY860">
    <cfRule type="cellIs" dxfId="129" priority="22" operator="lessThan">
      <formula>-0.1</formula>
    </cfRule>
    <cfRule type="cellIs" dxfId="128" priority="23" operator="greaterThan">
      <formula>0.1</formula>
    </cfRule>
  </conditionalFormatting>
  <conditionalFormatting sqref="BX870:BY880">
    <cfRule type="cellIs" dxfId="127" priority="19" operator="lessThan">
      <formula>-0.1</formula>
    </cfRule>
    <cfRule type="cellIs" dxfId="126" priority="20" operator="greaterThan">
      <formula>0.1</formula>
    </cfRule>
  </conditionalFormatting>
  <conditionalFormatting sqref="BX884:BY894">
    <cfRule type="cellIs" dxfId="125" priority="16" operator="lessThan">
      <formula>-0.1</formula>
    </cfRule>
    <cfRule type="cellIs" dxfId="124" priority="17" operator="greaterThan">
      <formula>0.1</formula>
    </cfRule>
  </conditionalFormatting>
  <conditionalFormatting sqref="BX906:BY916">
    <cfRule type="cellIs" dxfId="123" priority="13" operator="lessThan">
      <formula>-0.1</formula>
    </cfRule>
    <cfRule type="cellIs" dxfId="122" priority="14" operator="greaterThan">
      <formula>0.1</formula>
    </cfRule>
  </conditionalFormatting>
  <conditionalFormatting sqref="BX924:BY934">
    <cfRule type="cellIs" dxfId="121" priority="10" operator="lessThan">
      <formula>-0.1</formula>
    </cfRule>
    <cfRule type="cellIs" dxfId="120" priority="11" operator="greaterThan">
      <formula>0.1</formula>
    </cfRule>
  </conditionalFormatting>
  <conditionalFormatting sqref="BX961:BY971">
    <cfRule type="cellIs" dxfId="119" priority="7" operator="lessThan">
      <formula>-0.1</formula>
    </cfRule>
    <cfRule type="cellIs" dxfId="118" priority="8" operator="greaterThan">
      <formula>0.1</formula>
    </cfRule>
  </conditionalFormatting>
  <conditionalFormatting sqref="BX997:BY1030">
    <cfRule type="cellIs" dxfId="117" priority="1" operator="lessThan">
      <formula>-0.1</formula>
    </cfRule>
    <cfRule type="cellIs" dxfId="116" priority="2" operator="greaterThan">
      <formula>0.1</formula>
    </cfRule>
  </conditionalFormatting>
  <conditionalFormatting sqref="BY995:BZ996">
    <cfRule type="cellIs" dxfId="115" priority="4" operator="lessThan">
      <formula>-0.1</formula>
    </cfRule>
    <cfRule type="cellIs" dxfId="114" priority="5" operator="greaterThan">
      <formula>0.1</formula>
    </cfRule>
  </conditionalFormatting>
  <conditionalFormatting sqref="BZ815:CA825">
    <cfRule type="cellIs" dxfId="113" priority="27" operator="lessThan">
      <formula>1</formula>
    </cfRule>
  </conditionalFormatting>
  <conditionalFormatting sqref="BZ850:CA860">
    <cfRule type="cellIs" dxfId="112" priority="24" operator="lessThan">
      <formula>1</formula>
    </cfRule>
  </conditionalFormatting>
  <conditionalFormatting sqref="BZ870:CA880">
    <cfRule type="cellIs" dxfId="111" priority="21" operator="lessThan">
      <formula>1</formula>
    </cfRule>
  </conditionalFormatting>
  <conditionalFormatting sqref="BZ884:CA894">
    <cfRule type="cellIs" dxfId="110" priority="18" operator="lessThan">
      <formula>1</formula>
    </cfRule>
  </conditionalFormatting>
  <conditionalFormatting sqref="BZ906:CA916">
    <cfRule type="cellIs" dxfId="109" priority="15" operator="lessThan">
      <formula>1</formula>
    </cfRule>
  </conditionalFormatting>
  <conditionalFormatting sqref="BZ924:CA934">
    <cfRule type="cellIs" dxfId="108" priority="12" operator="lessThan">
      <formula>1</formula>
    </cfRule>
  </conditionalFormatting>
  <conditionalFormatting sqref="BZ961:CA971">
    <cfRule type="cellIs" dxfId="107" priority="9" operator="lessThan">
      <formula>1</formula>
    </cfRule>
  </conditionalFormatting>
  <conditionalFormatting sqref="BZ997:CA1030">
    <cfRule type="cellIs" dxfId="106" priority="3" operator="lessThan">
      <formula>1</formula>
    </cfRule>
  </conditionalFormatting>
  <conditionalFormatting sqref="CA995:CB996">
    <cfRule type="cellIs" dxfId="105" priority="6" operator="lessThan">
      <formula>1</formula>
    </cfRule>
  </conditionalFormatting>
  <pageMargins left="0.7" right="0.7" top="0.75" bottom="0.75" header="0.3" footer="0.3"/>
  <pageSetup paperSize="0" orientation="portrait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paper3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Martin Tingelstad</dc:creator>
  <cp:lastModifiedBy>Lars Martin Tingelstad</cp:lastModifiedBy>
  <dcterms:created xsi:type="dcterms:W3CDTF">2025-11-06T09:13:04Z</dcterms:created>
  <dcterms:modified xsi:type="dcterms:W3CDTF">2025-11-06T09:13:41Z</dcterms:modified>
</cp:coreProperties>
</file>